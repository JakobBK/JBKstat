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ob\Documents\Arbejde\Statistik\JBKstat\Opdelt i ark\"/>
    </mc:Choice>
  </mc:AlternateContent>
  <xr:revisionPtr revIDLastSave="0" documentId="13_ncr:11_{84FD7C61-CB0C-4E1E-B537-10EE4A0D96D9}" xr6:coauthVersionLast="46" xr6:coauthVersionMax="46" xr10:uidLastSave="{00000000-0000-0000-0000-000000000000}"/>
  <bookViews>
    <workbookView xWindow="-120" yWindow="-120" windowWidth="29040" windowHeight="15840" tabRatio="727" xr2:uid="{00000000-000D-0000-FFFF-FFFF00000000}"/>
  </bookViews>
  <sheets>
    <sheet name="Velkommen" sheetId="43" r:id="rId1"/>
    <sheet name="Data" sheetId="62" r:id="rId2"/>
    <sheet name="DataBeregning" sheetId="64" state="hidden" r:id="rId3"/>
    <sheet name="Lister" sheetId="60" state="hidden" r:id="rId4"/>
    <sheet name="BeskrivendeStatistik" sheetId="40" r:id="rId5"/>
  </sheets>
  <definedNames>
    <definedName name="Beregningsmetode_liste">Lister!$G$2:$G$10</definedName>
    <definedName name="BfHist">_xlfn.ANCHORARRAY(BeskrivendeStatistik!$BW$6)</definedName>
    <definedName name="BfZ">_xlfn.ANCHORARRAY(BeskrivendeStatistik!$BG$6)</definedName>
    <definedName name="Bk_1">_xlfn.ANCHORARRAY(BeskrivendeStatistik!$CX$6)</definedName>
    <definedName name="Bk_2">_xlfn.ANCHORARRAY(BeskrivendeStatistik!$CY$6)</definedName>
    <definedName name="Bk_3">_xlfn.ANCHORARRAY(BeskrivendeStatistik!$CZ$6)</definedName>
    <definedName name="Bk_4">_xlfn.ANCHORARRAY(BeskrivendeStatistik!$DA$6)</definedName>
    <definedName name="Bo">_xlfn.ANCHORARRAY(BeskrivendeStatistik!$DJ$6)</definedName>
    <definedName name="BoY">_xlfn.ANCHORARRAY(BeskrivendeStatistik!$DK$6)</definedName>
    <definedName name="BsData">_xlfn.ANCHORARRAY(BeskrivendeStatistik!$BE$6)</definedName>
    <definedName name="Buf">_xlfn.ANCHORARRAY(BeskrivendeStatistik!$CI$6)</definedName>
    <definedName name="Bx2Hist">_xlfn.ANCHORARRAY(BeskrivendeStatistik!$BY$6)</definedName>
    <definedName name="BxF">_xlfn.ANCHORARRAY(BeskrivendeStatistik!$EA$6)</definedName>
    <definedName name="BxHist">_xlfn.ANCHORARRAY(BeskrivendeStatistik!$BX$6)</definedName>
    <definedName name="BxK">_xlfn.ANCHORARRAY(BeskrivendeStatistik!$DB$6)</definedName>
    <definedName name="BxS">_xlfn.ANCHORARRAY(BeskrivendeStatistik!$CJ$6)</definedName>
    <definedName name="ByF">_xlfn.ANCHORARRAY(BeskrivendeStatistik!$DZ$6)</definedName>
    <definedName name="BzData">_xlfn.ANCHORARRAY(BeskrivendeStatistik!$BF$6)</definedName>
    <definedName name="BzHist">_xlfn.ANCHORARRAY(BeskrivendeStatistik!$BT$6)</definedName>
    <definedName name="Data">Data!$A$2:INDEX(Data!$A$2:$CV$1048576,DataBeregning!$B$2,DataBeregning!$B$3)</definedName>
    <definedName name="DataHeaders">Data!$A$1:$CV$1</definedName>
    <definedName name="DataTitel_liste">_xlfn.ANCHORARRAY(Lister!$C$2)</definedName>
    <definedName name="DataTitelTest_liste">_xlfn.ANCHORARRAY(Lister!$C$2)</definedName>
    <definedName name="Fordeling_liste">Lister!$E$2:$E$5</definedName>
    <definedName name="HypoteseRetning_liste">Lister!$D$2:$D$5</definedName>
    <definedName name="Hypotesetype_Liste">Lister!$F$2:$F$8</definedName>
    <definedName name="Inkluderet">"Inkluderet"</definedName>
    <definedName name="Inkluderet_Liste">Lister!$A$2:$A$3</definedName>
    <definedName name="SandFalsk_liste">Lister!$B$2:$B$3</definedName>
    <definedName name="Udeladt">"Udeladt"</definedName>
    <definedName name="V_Manual_Beskrivende_Statistik">Velkommen!$A$69</definedName>
    <definedName name="V_Manual_Data">Velkommen!$A$27</definedName>
    <definedName name="V_Manual_DataGenerator">Velkommen!#REF!</definedName>
    <definedName name="V_Manual_Konfidens_og_Hypoteser">Velkommen!#REF!</definedName>
    <definedName name="V_Manual_Lineær_Regression">Velkommen!#REF!</definedName>
    <definedName name="V_Manual_Sandsynlighed">Velkommen!#REF!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34" i="40" l="1"/>
  <c r="CL29" i="40"/>
  <c r="BI26" i="40"/>
  <c r="BI28" i="40" s="1"/>
  <c r="BR6" i="40" s="1" a="1"/>
  <c r="BR6" i="40" s="1"/>
  <c r="DN22" i="40"/>
  <c r="BB18" i="40"/>
  <c r="DN10" i="40"/>
  <c r="DN12" i="40" s="1"/>
  <c r="DW6" i="40" a="1"/>
  <c r="DW6" i="40" s="1"/>
  <c r="DT6" i="40" a="1"/>
  <c r="DT6" i="40" s="1"/>
  <c r="DO6" i="40" a="1"/>
  <c r="DO6" i="40" s="1"/>
  <c r="DP6" i="40" s="1" a="1"/>
  <c r="DP6" i="40" s="1"/>
  <c r="DN6" i="40"/>
  <c r="DD6" i="40"/>
  <c r="CU6" i="40" a="1"/>
  <c r="CU6" i="40" s="1"/>
  <c r="CT6" i="40" a="1"/>
  <c r="CT6" i="40" s="1"/>
  <c r="CQ6" i="40" a="1"/>
  <c r="CQ6" i="40" s="1"/>
  <c r="CM6" i="40" a="1"/>
  <c r="CM6" i="40" s="1"/>
  <c r="CL6" i="40"/>
  <c r="BJ6" i="40" a="1"/>
  <c r="BJ6" i="40" s="1"/>
  <c r="BI6" i="40"/>
  <c r="BB6" i="40"/>
  <c r="C2" i="60" a="1"/>
  <c r="C2" i="60" s="1"/>
  <c r="B4" i="64" a="1"/>
  <c r="B4" i="64" s="1"/>
  <c r="B3" i="64" s="1"/>
  <c r="B6" i="64" s="1" a="1"/>
  <c r="B6" i="64" s="1"/>
  <c r="CT5" i="64" l="1"/>
  <c r="CN5" i="64"/>
  <c r="CH5" i="64"/>
  <c r="CB5" i="64"/>
  <c r="BV5" i="64"/>
  <c r="BP5" i="64"/>
  <c r="BJ5" i="64"/>
  <c r="BD5" i="64"/>
  <c r="AX5" i="64"/>
  <c r="AR5" i="64"/>
  <c r="AL5" i="64"/>
  <c r="AF5" i="64"/>
  <c r="Z5" i="64"/>
  <c r="T5" i="64"/>
  <c r="N5" i="64"/>
  <c r="H5" i="64"/>
  <c r="CS5" i="64"/>
  <c r="CM5" i="64"/>
  <c r="CG5" i="64"/>
  <c r="CA5" i="64"/>
  <c r="BU5" i="64"/>
  <c r="BO5" i="64"/>
  <c r="BI5" i="64"/>
  <c r="BC5" i="64"/>
  <c r="AW5" i="64"/>
  <c r="AQ5" i="64"/>
  <c r="AK5" i="64"/>
  <c r="AE5" i="64"/>
  <c r="Y5" i="64"/>
  <c r="S5" i="64"/>
  <c r="M5" i="64"/>
  <c r="G5" i="64"/>
  <c r="B5" i="64"/>
  <c r="CR5" i="64"/>
  <c r="CL5" i="64"/>
  <c r="CF5" i="64"/>
  <c r="BZ5" i="64"/>
  <c r="BT5" i="64"/>
  <c r="BN5" i="64"/>
  <c r="BH5" i="64"/>
  <c r="BB5" i="64"/>
  <c r="AV5" i="64"/>
  <c r="AP5" i="64"/>
  <c r="AJ5" i="64"/>
  <c r="AD5" i="64"/>
  <c r="X5" i="64"/>
  <c r="R5" i="64"/>
  <c r="L5" i="64"/>
  <c r="F5" i="64"/>
  <c r="CW5" i="64"/>
  <c r="CQ5" i="64"/>
  <c r="CK5" i="64"/>
  <c r="CE5" i="64"/>
  <c r="BY5" i="64"/>
  <c r="BS5" i="64"/>
  <c r="BM5" i="64"/>
  <c r="BG5" i="64"/>
  <c r="BA5" i="64"/>
  <c r="AU5" i="64"/>
  <c r="AO5" i="64"/>
  <c r="AI5" i="64"/>
  <c r="AC5" i="64"/>
  <c r="W5" i="64"/>
  <c r="Q5" i="64"/>
  <c r="K5" i="64"/>
  <c r="E5" i="64"/>
  <c r="CV5" i="64"/>
  <c r="CP5" i="64"/>
  <c r="CJ5" i="64"/>
  <c r="CD5" i="64"/>
  <c r="BX5" i="64"/>
  <c r="BR5" i="64"/>
  <c r="BL5" i="64"/>
  <c r="BF5" i="64"/>
  <c r="AZ5" i="64"/>
  <c r="AT5" i="64"/>
  <c r="AN5" i="64"/>
  <c r="AH5" i="64"/>
  <c r="AB5" i="64"/>
  <c r="V5" i="64"/>
  <c r="P5" i="64"/>
  <c r="J5" i="64"/>
  <c r="D5" i="64"/>
  <c r="CU5" i="64"/>
  <c r="CO5" i="64"/>
  <c r="CI5" i="64"/>
  <c r="CC5" i="64"/>
  <c r="BW5" i="64"/>
  <c r="BQ5" i="64"/>
  <c r="BK5" i="64"/>
  <c r="BE5" i="64"/>
  <c r="AY5" i="64"/>
  <c r="AS5" i="64"/>
  <c r="AM5" i="64"/>
  <c r="AG5" i="64"/>
  <c r="AA5" i="64"/>
  <c r="U5" i="64"/>
  <c r="O5" i="64"/>
  <c r="I5" i="64"/>
  <c r="C5" i="64"/>
  <c r="DX6" i="40" a="1"/>
  <c r="DX6" i="40" s="1"/>
  <c r="BU6" i="40" a="1"/>
  <c r="BU6" i="40" s="1"/>
  <c r="B1" i="64" a="1"/>
  <c r="B1" i="64" s="1"/>
  <c r="B3" i="60"/>
  <c r="B2" i="60"/>
  <c r="BB8" i="40" l="1" a="1"/>
  <c r="BB8" i="40" s="1"/>
  <c r="CA8" i="40" s="1"/>
  <c r="B2" i="64"/>
  <c r="BB20" i="40" l="1"/>
  <c r="BI8" i="40"/>
  <c r="BC6" i="40" a="1"/>
  <c r="BC6" i="40" s="1"/>
  <c r="DG6" i="40" a="1"/>
  <c r="DG6" i="40" s="1"/>
  <c r="BQ6" i="40" a="1"/>
  <c r="BQ6" i="40" s="1"/>
  <c r="BD6" i="40" a="1"/>
  <c r="BD6" i="40" s="1"/>
  <c r="CA10" i="40" l="1"/>
  <c r="CA12" i="40" s="1"/>
  <c r="CA6" i="40" s="1"/>
  <c r="B33" i="40"/>
  <c r="B32" i="40"/>
  <c r="B37" i="40"/>
  <c r="B46" i="40"/>
  <c r="CL19" i="40"/>
  <c r="CL17" i="40"/>
  <c r="B31" i="40"/>
  <c r="B34" i="40"/>
  <c r="DD14" i="40"/>
  <c r="DQ6" i="40" a="1"/>
  <c r="DQ6" i="40" s="1"/>
  <c r="DN16" i="40"/>
  <c r="B47" i="40"/>
  <c r="DN14" i="40"/>
  <c r="DD16" i="40"/>
  <c r="B30" i="40"/>
  <c r="BE6" i="40" a="1"/>
  <c r="BE6" i="40" s="1"/>
  <c r="B41" i="40"/>
  <c r="B45" i="40"/>
  <c r="B44" i="40"/>
  <c r="DD18" i="40"/>
  <c r="B42" i="40"/>
  <c r="B35" i="40"/>
  <c r="B39" i="40"/>
  <c r="B38" i="40"/>
  <c r="B43" i="40"/>
  <c r="DN18" i="40" l="1"/>
  <c r="DS6" i="40" s="1" a="1"/>
  <c r="DS6" i="40" s="1"/>
  <c r="CL21" i="40"/>
  <c r="CN6" i="40" a="1"/>
  <c r="CN6" i="40" s="1"/>
  <c r="CA18" i="40"/>
  <c r="CA14" i="40"/>
  <c r="CF6" i="40" s="1" a="1"/>
  <c r="CF6" i="40" s="1"/>
  <c r="CA22" i="40"/>
  <c r="BB12" i="40"/>
  <c r="BB16" i="40" s="1"/>
  <c r="DH6" i="40" a="1"/>
  <c r="DH6" i="40" s="1"/>
  <c r="CB6" i="40" a="1"/>
  <c r="CB6" i="40" s="1"/>
  <c r="BB10" i="40"/>
  <c r="DN20" i="40"/>
  <c r="DN24" i="40" s="1"/>
  <c r="DR6" i="40" s="1" a="1"/>
  <c r="DR6" i="40" s="1"/>
  <c r="DE12" i="40"/>
  <c r="DE15" i="40"/>
  <c r="DD24" i="40"/>
  <c r="DD28" i="40" s="1"/>
  <c r="DE16" i="40"/>
  <c r="DE11" i="40"/>
  <c r="DE21" i="40"/>
  <c r="DE22" i="40"/>
  <c r="DE14" i="40"/>
  <c r="DE9" i="40"/>
  <c r="DE13" i="40"/>
  <c r="DE10" i="40"/>
  <c r="B40" i="40"/>
  <c r="B36" i="40"/>
  <c r="DU6" i="40" l="1" a="1"/>
  <c r="DU6" i="40" s="1"/>
  <c r="DV6" i="40" s="1" a="1"/>
  <c r="DV6" i="40" s="1"/>
  <c r="DY6" i="40" a="1"/>
  <c r="DY6" i="40" s="1"/>
  <c r="EA6" i="40" s="1" a="1"/>
  <c r="EA6" i="40" s="1"/>
  <c r="BB14" i="40"/>
  <c r="BF6" i="40" a="1"/>
  <c r="BF6" i="40" s="1"/>
  <c r="CG6" i="40" a="1"/>
  <c r="CG6" i="40" s="1"/>
  <c r="CH6" i="40" a="1"/>
  <c r="CH6" i="40" s="1"/>
  <c r="DD30" i="40"/>
  <c r="DI6" i="40" s="1" a="1"/>
  <c r="DI6" i="40" s="1"/>
  <c r="CA20" i="40"/>
  <c r="CA24" i="40" s="1"/>
  <c r="CC6" i="40" s="1" a="1"/>
  <c r="CC6" i="40" s="1"/>
  <c r="CD6" i="40" a="1"/>
  <c r="CD6" i="40" s="1"/>
  <c r="CE6" i="40" s="1" a="1"/>
  <c r="CE6" i="40" s="1"/>
  <c r="CL27" i="40"/>
  <c r="CL31" i="40" s="1"/>
  <c r="CO6" i="40" s="1" a="1"/>
  <c r="CO6" i="40" s="1"/>
  <c r="CP6" i="40" a="1"/>
  <c r="CP6" i="40" s="1"/>
  <c r="CJ6" i="40" l="1" a="1"/>
  <c r="CJ6" i="40" s="1"/>
  <c r="CR6" i="40" a="1"/>
  <c r="CR6" i="40" s="1"/>
  <c r="CS6" i="40" s="1" a="1"/>
  <c r="CS6" i="40" s="1"/>
  <c r="CV6" i="40" a="1"/>
  <c r="CV6" i="40" s="1"/>
  <c r="DB6" i="40" s="1" a="1"/>
  <c r="DB6" i="40" s="1"/>
  <c r="CI6" i="40" a="1"/>
  <c r="CI6" i="40" s="1"/>
  <c r="BI12" i="40" a="1"/>
  <c r="BI12" i="40" s="1"/>
  <c r="BG6" i="40" a="1"/>
  <c r="BG6" i="40" s="1"/>
  <c r="DK6" i="40" a="1"/>
  <c r="DK6" i="40" s="1"/>
  <c r="DL6" i="40" a="1"/>
  <c r="DL6" i="40" s="1"/>
  <c r="DJ6" i="40" a="1"/>
  <c r="DJ6" i="40" s="1"/>
  <c r="BI10" i="40"/>
  <c r="BB22" i="40"/>
  <c r="DZ6" i="40" a="1"/>
  <c r="DZ6" i="40" s="1"/>
  <c r="BI16" i="40" l="1"/>
  <c r="BI38" i="40"/>
  <c r="BI42" i="40" s="1"/>
  <c r="BI44" i="40" s="1"/>
  <c r="BI14" i="40"/>
  <c r="BI18" i="40" s="1"/>
  <c r="DD34" i="40"/>
  <c r="DD32" i="40"/>
  <c r="CW6" i="40" a="1"/>
  <c r="CW6" i="40" s="1"/>
  <c r="CX6" i="40" s="1" a="1"/>
  <c r="CX6" i="40" s="1"/>
  <c r="CY6" i="40" l="1" a="1"/>
  <c r="CY6" i="40" s="1"/>
  <c r="BI20" i="40"/>
  <c r="BI30" i="40"/>
  <c r="BS6" i="40" s="1" a="1"/>
  <c r="BS6" i="40" s="1"/>
  <c r="BT6" i="40" s="1" a="1"/>
  <c r="BT6" i="40" s="1"/>
  <c r="DE8" i="40"/>
  <c r="DE6" i="40"/>
  <c r="DE7" i="40"/>
  <c r="DE17" i="40"/>
  <c r="DE18" i="40"/>
  <c r="DE19" i="40"/>
  <c r="BI46" i="40"/>
  <c r="BN6" i="40" a="1"/>
  <c r="BN6" i="40" s="1"/>
  <c r="CZ6" i="40" a="1"/>
  <c r="CZ6" i="40" s="1"/>
  <c r="DA6" i="40" a="1"/>
  <c r="DA6" i="40" s="1"/>
  <c r="BO6" i="40" l="1" a="1"/>
  <c r="BO6" i="40" s="1"/>
  <c r="BP6" i="40" s="1" a="1"/>
  <c r="BP6" i="40" s="1"/>
  <c r="BY6" i="40" s="1" a="1"/>
  <c r="BY6" i="40" s="1"/>
  <c r="BI22" i="40"/>
  <c r="BI32" i="40"/>
  <c r="BI36" i="40" s="1"/>
  <c r="BL6" i="40" l="1" a="1"/>
  <c r="BL6" i="40" s="1"/>
  <c r="BK6" i="40" a="1"/>
  <c r="BK6" i="40" s="1"/>
  <c r="BX6" i="40" l="1" a="1"/>
  <c r="BX6" i="40" s="1"/>
  <c r="BM6" i="40" a="1"/>
  <c r="BM6" i="40" s="1"/>
  <c r="BV6" i="40" s="1" a="1"/>
  <c r="BV6" i="40" s="1"/>
  <c r="BW6" i="40" s="1" a="1"/>
  <c r="BW6" i="4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<sst xmlns="http://schemas.openxmlformats.org/spreadsheetml/2006/main" count="294" uniqueCount="262">
  <si>
    <t>Gennemsnit</t>
  </si>
  <si>
    <t>Andel</t>
  </si>
  <si>
    <t>Intensitet</t>
  </si>
  <si>
    <t>Formålet er at fremme læring af beskrivende statistik og statistisk analyse.</t>
  </si>
  <si>
    <t>Data</t>
  </si>
  <si>
    <t>Overskrift input</t>
  </si>
  <si>
    <t>Beskrivende statistik</t>
  </si>
  <si>
    <t>Beregn parameterværdier der beskriver et observationssæt</t>
  </si>
  <si>
    <t>Afrundet simpel brøk</t>
  </si>
  <si>
    <t>Uforkortet simpel brøk</t>
  </si>
  <si>
    <t>Valg til analyse</t>
  </si>
  <si>
    <t>Observationssæt</t>
  </si>
  <si>
    <t>Analyse input</t>
  </si>
  <si>
    <t>Manual i brug af data arket</t>
  </si>
  <si>
    <t>Manual i brug af Beskrivende Statistik arket</t>
  </si>
  <si>
    <t>Eksempel 1 (interval)</t>
  </si>
  <si>
    <t>Median, 𝑥̃</t>
  </si>
  <si>
    <r>
      <t xml:space="preserve">Typetal, </t>
    </r>
    <r>
      <rPr>
        <i/>
        <sz val="11"/>
        <color theme="1"/>
        <rFont val="Tw Cen MT"/>
        <family val="2"/>
        <scheme val="minor"/>
      </rPr>
      <t>Mo</t>
    </r>
  </si>
  <si>
    <r>
      <t xml:space="preserve">Variationsbredde, </t>
    </r>
    <r>
      <rPr>
        <i/>
        <sz val="11"/>
        <color theme="1"/>
        <rFont val="Tw Cen MT"/>
        <family val="2"/>
        <scheme val="minor"/>
      </rPr>
      <t>t</t>
    </r>
  </si>
  <si>
    <r>
      <t xml:space="preserve">Interkvartilbredde, </t>
    </r>
    <r>
      <rPr>
        <i/>
        <sz val="11"/>
        <color theme="1"/>
        <rFont val="Tw Cen MT"/>
        <family val="2"/>
        <scheme val="minor"/>
      </rPr>
      <t>IQR</t>
    </r>
  </si>
  <si>
    <t>Antal observationer</t>
  </si>
  <si>
    <t>1. kvartil</t>
  </si>
  <si>
    <t>2. kvartil</t>
  </si>
  <si>
    <t>3. kvartil</t>
  </si>
  <si>
    <t>4. kvartil</t>
  </si>
  <si>
    <t>Konfidensinterval</t>
  </si>
  <si>
    <t>Minimum</t>
  </si>
  <si>
    <t>Maximum</t>
  </si>
  <si>
    <t>1. Indsæt data i tabellen på data arket</t>
  </si>
  <si>
    <t xml:space="preserve">Gå til Manual i brug af Data arket                                          </t>
  </si>
  <si>
    <t xml:space="preserve">Gå til Data                                                                                             </t>
  </si>
  <si>
    <t xml:space="preserve">Gå til Manual i brug af Beskrivende Statistik arket                                     </t>
  </si>
  <si>
    <t xml:space="preserve">Gå til Beskrivende Statistik                                                                      </t>
  </si>
  <si>
    <t>Formål med JBKstat</t>
  </si>
  <si>
    <t>JBKstat er et værktøj til studerende på Erhvervsakademi Aarhus.</t>
  </si>
  <si>
    <t>1. Vælg et observationssæt</t>
  </si>
  <si>
    <t>Observationssættet er normalfordelt, hvis følgende kriterier er opfyldt:</t>
  </si>
  <si>
    <t>Fortolkning af normalfraktildiagram</t>
  </si>
  <si>
    <t>Observationerne er jævnt fordelt over og under linjen</t>
  </si>
  <si>
    <t>Fortolkning af Histogram</t>
  </si>
  <si>
    <t>Afvigelserne fra linjen følger nogenlunde en normalfordeling</t>
  </si>
  <si>
    <t>Der er ingen tendens at se i afvigelserne</t>
  </si>
  <si>
    <t>Hvis en stor del af arealet under den sorte kurve er dækket af blå, så er observationssættet normalfordelt.</t>
  </si>
  <si>
    <t>Vær opmærksom på, at små observationssæt kan give dramatiske udsving i histogrammet.</t>
  </si>
  <si>
    <t>Fortolkning af Andelsdiagram</t>
  </si>
  <si>
    <t>Arealet under den sorte kurve viser sandsynligheden i en normalfordeling.</t>
  </si>
  <si>
    <t>Det orange areal viser hvor stor en andel af observationssættet der har værdien FALSE.</t>
  </si>
  <si>
    <t>Fortolkning af Kvartilsæt</t>
  </si>
  <si>
    <t>Det blå areal viser de mindste 25% af observationerne.</t>
  </si>
  <si>
    <t>Det grønne areal viser de største 25% af observationerne.</t>
  </si>
  <si>
    <t>Det orange areal viser observationerne fra 25% til 50%.</t>
  </si>
  <si>
    <t>Det orange areal viser observationerne fra 50% til 75%.</t>
  </si>
  <si>
    <t>Højden af de 4 arealer er vægtet i dette diagram, så de alle har samme areal.</t>
  </si>
  <si>
    <t>Det afspejler, at alle 4 arealer indeholder lige mange observationer, men ikke lige store intervaller.</t>
  </si>
  <si>
    <t>2. Fortolk resultaterne fra diagrammerne</t>
  </si>
  <si>
    <t>Resultat output</t>
  </si>
  <si>
    <t>Hvis du vil have en værdi med flere decimaler, så kan du anvende formattering fra Hjem fanen (se figur 8)</t>
  </si>
  <si>
    <t xml:space="preserve">Gå til Manual i brug af Beskrivende Statistik arket                                                                                                                                  </t>
  </si>
  <si>
    <t>Tosidet</t>
  </si>
  <si>
    <t>Normalfordeling</t>
  </si>
  <si>
    <t>t-fordeling</t>
  </si>
  <si>
    <t>Normalfordeling med kendt standardafvigelse</t>
  </si>
  <si>
    <t>Venstresidet hypotese om værdi</t>
  </si>
  <si>
    <t>Højresidet hypotese om værdi</t>
  </si>
  <si>
    <t>Tosidet hypotese om værdi</t>
  </si>
  <si>
    <t>Venstresidet hypotese om forskel</t>
  </si>
  <si>
    <t>Højresidet hypotese om forskel</t>
  </si>
  <si>
    <t>Tosidet hypotese om forskel</t>
  </si>
  <si>
    <t>t-fordeling med pooled standardafvigelse</t>
  </si>
  <si>
    <t>Normalfordeling med kendte standardafvigelser</t>
  </si>
  <si>
    <t>t-fordeling uden pooled standardafvigelse</t>
  </si>
  <si>
    <t>Chi-i-anden-fordeling</t>
  </si>
  <si>
    <t>F-fordeling</t>
  </si>
  <si>
    <t>Normalfordeling med forbedret teststørrelse</t>
  </si>
  <si>
    <t>Fortolkning af præcise værdier</t>
  </si>
  <si>
    <t>Parameterværdier, stikprøve bruges blandt andet til beregning af konfidensintervaller</t>
  </si>
  <si>
    <t>Parameterværdier, kendt population bruges blandt andet som hypoteser i hypotesetest</t>
  </si>
  <si>
    <t>Parameterværdier, kendt population bruges også som kendte værdier i enkelte hypotesetest</t>
  </si>
  <si>
    <t>Parameterværdier, kendt population hentes fra indtastning på data arket i tabellen over data tabellen (se figur 10)</t>
  </si>
  <si>
    <t>Parameterværdier, stikprøve beregnes på baggrund af observationssættet (se figur 9)</t>
  </si>
  <si>
    <t>Kun data arket skal udfyldes, før en analyse kan udføres</t>
  </si>
  <si>
    <t>Analysen på hvert af de øvrige ark kan udføres uafhængigt</t>
  </si>
  <si>
    <t>Kvartilsættet er en måde at vise observationernes værdier sorteret efter størrelse (se figur 7)</t>
  </si>
  <si>
    <t>Det blå areal viser hvor stor en andel af observationssættet har værdien TRUE (se figur 6)</t>
  </si>
  <si>
    <t>Det blå areal viser100% af værdierne i observationssættet (se figur 5)</t>
  </si>
  <si>
    <t>Observationer er vist med blå cirkler (se figur 4)</t>
  </si>
  <si>
    <t>X-aksen viser værdier, som den er i observationssættet</t>
  </si>
  <si>
    <t>Y-aksen viser, hvor mange standardafvigelser værdien er fra gennemsnittet</t>
  </si>
  <si>
    <t>En normalfordeling er vist med den sorte linje</t>
  </si>
  <si>
    <t>Hvis du klikker på cellen, vises dine valgmuligheder i en drop-down menu (se figur 3)</t>
  </si>
  <si>
    <t>Vælg navnet på det observationssæt du ønsker at analysere</t>
  </si>
  <si>
    <t>Det kan være en fordel at skrive datatypen ind i overskriften, hvis det ikke giver sig selv</t>
  </si>
  <si>
    <t>Det anbefales at bruge korte, beskrivende overskrifter</t>
  </si>
  <si>
    <t>Formålet med arket Data er at indeholde alt data, som bruges til videre analyse</t>
  </si>
  <si>
    <t>Formålet med arket Beskrivende Statistik er at beskrive et observationssæt</t>
  </si>
  <si>
    <t>3. Aflæs eventuelt præcise værdier i resultattabellen</t>
  </si>
  <si>
    <t>Eksempel 3 (nominal)</t>
  </si>
  <si>
    <t>Eksempel 2 (interval)</t>
  </si>
  <si>
    <t>Antal variable</t>
  </si>
  <si>
    <t>Outlier</t>
  </si>
  <si>
    <t>Eksempel 4 (nominal)</t>
  </si>
  <si>
    <t>Variationsbredde</t>
  </si>
  <si>
    <t>Venstresidet</t>
  </si>
  <si>
    <t>Højresidet</t>
  </si>
  <si>
    <t>This work is licensed under a Creative Commons Attribution-ShareAlike 4.0 International Public License</t>
  </si>
  <si>
    <t>Maksimum</t>
  </si>
  <si>
    <t>Antal unikke værdier</t>
  </si>
  <si>
    <t>Skævhed</t>
  </si>
  <si>
    <t>Nedre kvartil</t>
  </si>
  <si>
    <t>Øvre kvartil</t>
  </si>
  <si>
    <t>Vis procenttal</t>
  </si>
  <si>
    <t>Kurtosis</t>
  </si>
  <si>
    <t>Gennemsnit i stikprøve</t>
  </si>
  <si>
    <t>Standardafvigelsesestimat fra stikprøve</t>
  </si>
  <si>
    <t>Variansestimat fra stikprøve</t>
  </si>
  <si>
    <t>Kolonne med data</t>
  </si>
  <si>
    <t>Sekvens</t>
  </si>
  <si>
    <t>Normalfraktildiagram navn</t>
  </si>
  <si>
    <t>Normalfraktildiagram serie 1</t>
  </si>
  <si>
    <t>Normalfraktildiagram serie 2</t>
  </si>
  <si>
    <t>Sorterede data, BsData</t>
  </si>
  <si>
    <t>Z score, BzData</t>
  </si>
  <si>
    <t>Forventet Z værdi, BfZ</t>
  </si>
  <si>
    <t>Afrundet gennemsnit i stikprøve</t>
  </si>
  <si>
    <t>Afrundet standardafvigelsesestimat fra stikprøve</t>
  </si>
  <si>
    <t>Antal intervaller i histogram</t>
  </si>
  <si>
    <t>Interval ID</t>
  </si>
  <si>
    <t>x akse minimum</t>
  </si>
  <si>
    <t>x akse maksimum</t>
  </si>
  <si>
    <t>Histogram med normalfordeling navn</t>
  </si>
  <si>
    <t>Maximal absolut Z score</t>
  </si>
  <si>
    <t>x akse minimum, Z</t>
  </si>
  <si>
    <t>x akse maksimum, Z</t>
  </si>
  <si>
    <t>Intervalbredde</t>
  </si>
  <si>
    <t>Interval nedre grænse</t>
  </si>
  <si>
    <t>Interval øvre grænse</t>
  </si>
  <si>
    <t>Identitet kolonne for data</t>
  </si>
  <si>
    <t>Frekvens i interval</t>
  </si>
  <si>
    <t>Histogram med normalfordeling serie 1</t>
  </si>
  <si>
    <t>Histogram med normalfordeling serie 2</t>
  </si>
  <si>
    <t>Ønsket antal punkter i visualisering</t>
  </si>
  <si>
    <t>Antal punkter i visualisering</t>
  </si>
  <si>
    <t>Data ID</t>
  </si>
  <si>
    <t>Histogram ID</t>
  </si>
  <si>
    <t>Interval i histogram</t>
  </si>
  <si>
    <t>Frekvens i histogram</t>
  </si>
  <si>
    <t>Histogram Z</t>
  </si>
  <si>
    <t>Punktbredde, Z</t>
  </si>
  <si>
    <t>Normalfordeling i histogram, BzHist</t>
  </si>
  <si>
    <t>Vægtet frekvens i histogram, BfHist</t>
  </si>
  <si>
    <t>Punkter per interval</t>
  </si>
  <si>
    <t>Histogram x akse, BxHist</t>
  </si>
  <si>
    <t>Afrunding til x akse</t>
  </si>
  <si>
    <t>Maksimum cifferantal uden decimaler, x akse</t>
  </si>
  <si>
    <t>Maksimum acceptabelt cifferantal</t>
  </si>
  <si>
    <t>Søjlediagram navn</t>
  </si>
  <si>
    <t>Søjlediagram serie 1</t>
  </si>
  <si>
    <t>Søjlediagram ID</t>
  </si>
  <si>
    <t>Søjle nummer</t>
  </si>
  <si>
    <t>Antal punkter per søjle</t>
  </si>
  <si>
    <t>Mellemrum</t>
  </si>
  <si>
    <t>Unikke værdier</t>
  </si>
  <si>
    <t>Frekvens ved unik værdi</t>
  </si>
  <si>
    <t>Søjlediagram x akse, BxS</t>
  </si>
  <si>
    <t>Placering af x akse titel</t>
  </si>
  <si>
    <t>Procent som tekst</t>
  </si>
  <si>
    <t>Unik observation frekvens, Buf</t>
  </si>
  <si>
    <t>Unikke værdier som tekst</t>
  </si>
  <si>
    <t>Kvartilsæt navn</t>
  </si>
  <si>
    <t>Kvartilsæt serienavne</t>
  </si>
  <si>
    <t>Kvartil antal</t>
  </si>
  <si>
    <t>Kvartil værdier eklusiv beregning</t>
  </si>
  <si>
    <t>Kvartil ID</t>
  </si>
  <si>
    <t>Kvartilsæt antal værdier</t>
  </si>
  <si>
    <t>Minimum punkter i visualisering</t>
  </si>
  <si>
    <t>Kvartilsæt ID</t>
  </si>
  <si>
    <t>Kvartil værdi placering i visualisering</t>
  </si>
  <si>
    <t>Kvartil nummer</t>
  </si>
  <si>
    <t>Kvartilsæt identitet</t>
  </si>
  <si>
    <t>Kvartilgrænse ID</t>
  </si>
  <si>
    <t>Antal punkter i kvartil</t>
  </si>
  <si>
    <t>Kvartil vægt</t>
  </si>
  <si>
    <t>Vægtet kvartil til visualisering</t>
  </si>
  <si>
    <t>1. kvartil i visualisering, Bk_1</t>
  </si>
  <si>
    <t>2. kvartil i visualisering, Bk_2</t>
  </si>
  <si>
    <t>3. kvartil i visualisering, Bk_3</t>
  </si>
  <si>
    <t>4. kvartil i visualisering, Bk_4</t>
  </si>
  <si>
    <t>Kvartilsæt x akse, BxK</t>
  </si>
  <si>
    <t>Kvartil værdi, afrundet</t>
  </si>
  <si>
    <t>Boksplot navn</t>
  </si>
  <si>
    <t xml:space="preserve">Boksplot serie 1
</t>
  </si>
  <si>
    <t xml:space="preserve">Boksplot serie 2
</t>
  </si>
  <si>
    <t>Boksplot serie 3</t>
  </si>
  <si>
    <t>Median</t>
  </si>
  <si>
    <t>Boksplot</t>
  </si>
  <si>
    <t>Minimum y</t>
  </si>
  <si>
    <t>Maksimum y</t>
  </si>
  <si>
    <t>Interkvartilbredde</t>
  </si>
  <si>
    <t xml:space="preserve">Boksplot outlier faktor
</t>
  </si>
  <si>
    <t>Boksplot nedre outlier grænse</t>
  </si>
  <si>
    <t>Boksplot øvre outlier grænse</t>
  </si>
  <si>
    <t>Boksplot ID</t>
  </si>
  <si>
    <t>Er outlier</t>
  </si>
  <si>
    <t>Data, sorteret</t>
  </si>
  <si>
    <t>Data, uden outliers</t>
  </si>
  <si>
    <t>Maksimum uden outliers</t>
  </si>
  <si>
    <t>Minimum uden outliers</t>
  </si>
  <si>
    <t>Boksplot x værdier</t>
  </si>
  <si>
    <t>Boksplot y værdier</t>
  </si>
  <si>
    <t>Median x værdier i boksplot</t>
  </si>
  <si>
    <t>Median y værdier i boksplot</t>
  </si>
  <si>
    <t>Outlier, Bo</t>
  </si>
  <si>
    <t>Outlier, x værdier, BoY</t>
  </si>
  <si>
    <t>Fraktildiagram navn</t>
  </si>
  <si>
    <t>Antal fraktiler</t>
  </si>
  <si>
    <t>Fraktiler</t>
  </si>
  <si>
    <t>Fraktil ID</t>
  </si>
  <si>
    <t>Fraktil værdi</t>
  </si>
  <si>
    <t>Fraktil procent</t>
  </si>
  <si>
    <t>Fraktildiagram ID</t>
  </si>
  <si>
    <t>Fraktil i fraktildiagram</t>
  </si>
  <si>
    <t>Fraktil værdi placering i visualisering</t>
  </si>
  <si>
    <t>Fraktilgrænse ID</t>
  </si>
  <si>
    <t>Fraktil antal punkter</t>
  </si>
  <si>
    <t>Fraktil vægt</t>
  </si>
  <si>
    <t>Fraktil identitet</t>
  </si>
  <si>
    <t>Fraktildiagram x akase, BxF</t>
  </si>
  <si>
    <t>Fraktil vægt i fraktildiagram, ByF</t>
  </si>
  <si>
    <t>Fraktildiagram serie</t>
  </si>
  <si>
    <t>Fraktil værdi og procent til x akse</t>
  </si>
  <si>
    <t>Histogram x akse 2, Bx2Hist</t>
  </si>
  <si>
    <t>Antal Z scores der vises</t>
  </si>
  <si>
    <t>Antal Z scores der kan vises</t>
  </si>
  <si>
    <t>Maksimalt ønskeligt antal Z scores</t>
  </si>
  <si>
    <t>Z score ID</t>
  </si>
  <si>
    <t>Midterste Z score</t>
  </si>
  <si>
    <t>Hvis hver anden Z score</t>
  </si>
  <si>
    <t>Z score</t>
  </si>
  <si>
    <t>Position Z score</t>
  </si>
  <si>
    <t>Inkluderet_liste</t>
  </si>
  <si>
    <t>Inkluderet</t>
  </si>
  <si>
    <t>Udeladt</t>
  </si>
  <si>
    <t>SandFalsk_liste</t>
  </si>
  <si>
    <t>Hypotese_liste</t>
  </si>
  <si>
    <t>Fordeling_liste</t>
  </si>
  <si>
    <t>Hypotesetesetype_liste</t>
  </si>
  <si>
    <t>Beregningsmetode_liste</t>
  </si>
  <si>
    <t>Max antal observationer</t>
  </si>
  <si>
    <t>Har overskrift</t>
  </si>
  <si>
    <t>Sidste position for variabel</t>
  </si>
  <si>
    <t>Resultat overblik</t>
  </si>
  <si>
    <t>Præcise resultater af analyse</t>
  </si>
  <si>
    <t>DataTitel_liste</t>
  </si>
  <si>
    <t>Overskriften anvendes som reference til dine data i al videre analyse og skal derfor være unik</t>
  </si>
  <si>
    <t>1. Giv hvert observationssæt en unik overskrift</t>
  </si>
  <si>
    <t>2. Indsæt data under hver overskrift</t>
  </si>
  <si>
    <t>Data er indsat korrekt, hvis det står under en overskrift og ikke indeholder blanke celler</t>
  </si>
  <si>
    <t>Den sikreste måde at indsætte data på, er igennem indsæt speciel =&gt; indsæt værdier (se figur 1)</t>
  </si>
  <si>
    <t>3. Fortsæt til en af de 6 øvrige ark for at udføre statistisk analyse af dine data</t>
  </si>
  <si>
    <t>v. 1.21.BeskrivendeStatistik</t>
  </si>
  <si>
    <t>2. Udfør analyse af parameterværdier på arket Beskrivende Statistik</t>
  </si>
  <si>
    <t>Anvendelse af JBKstat.BeskrivendeStatistik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</si>
</sst>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.000"/>
    <numFmt numFmtId="165" formatCode="0.000%"/>
    <numFmt numFmtId="166" formatCode="#,##0.000"/>
    <numFmt numFmtId="167" formatCode="#,##0.00\ &quot;kr.&quot;"/>
    <numFmt numFmtId="168" formatCode="#,##0\ &quot;kr.&quot;"/>
  </numFmts>
  <fonts count="18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rgb="FF006100"/>
      <name val="Tw Cen MT"/>
      <family val="2"/>
      <scheme val="minor"/>
    </font>
    <font>
      <sz val="11"/>
      <color rgb="FF9C0006"/>
      <name val="Tw Cen MT"/>
      <family val="2"/>
      <scheme val="minor"/>
    </font>
    <font>
      <sz val="11"/>
      <color rgb="FF9C6500"/>
      <name val="Tw Cen MT"/>
      <family val="2"/>
      <scheme val="minor"/>
    </font>
    <font>
      <sz val="11"/>
      <color rgb="FF3F3F76"/>
      <name val="Tw Cen MT"/>
      <family val="2"/>
      <scheme val="minor"/>
    </font>
    <font>
      <sz val="11"/>
      <color rgb="FFFA7D0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rgb="FFFF0000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4"/>
      <name val="Tw Cen MT"/>
      <family val="2"/>
      <scheme val="minor"/>
    </font>
    <font>
      <b/>
      <sz val="11"/>
      <name val="Tw Cen MT"/>
      <family val="2"/>
      <scheme val="minor"/>
    </font>
    <font>
      <sz val="14"/>
      <color theme="1"/>
      <name val="Tw Cen MT"/>
      <family val="2"/>
      <scheme val="major"/>
    </font>
    <font>
      <i/>
      <sz val="11"/>
      <color rgb="FF7F7F7F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uble">
        <color auto="1"/>
      </bottom>
      <diagonal/>
    </border>
  </borders>
  <cellStyleXfs count="30">
    <xf numFmtId="0" fontId="0" fillId="0" borderId="0">
      <alignment vertical="top"/>
    </xf>
    <xf numFmtId="0" fontId="12" fillId="0" borderId="0" applyNumberFormat="0" applyFill="0" applyBorder="0" applyProtection="0">
      <alignment vertical="top"/>
    </xf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Protection="0">
      <alignment vertical="top"/>
    </xf>
    <xf numFmtId="0" fontId="15" fillId="0" borderId="2" applyNumberFormat="0" applyFont="0" applyFill="0" applyAlignment="0" applyProtection="0">
      <alignment vertical="top"/>
    </xf>
    <xf numFmtId="0" fontId="11" fillId="0" borderId="0" applyNumberFormat="0" applyFill="0" applyBorder="0" applyProtection="0">
      <alignment horizontal="centerContinuous" vertical="top" wrapText="1"/>
    </xf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164" fontId="11" fillId="0" borderId="2" applyNumberFormat="0" applyAlignment="0" applyProtection="0"/>
    <xf numFmtId="0" fontId="5" fillId="6" borderId="2" applyNumberFormat="0" applyAlignment="0" applyProtection="0"/>
    <xf numFmtId="0" fontId="6" fillId="0" borderId="1" applyNumberFormat="0" applyFill="0" applyAlignment="0" applyProtection="0"/>
    <xf numFmtId="0" fontId="7" fillId="7" borderId="2" applyNumberFormat="0" applyAlignment="0" applyProtection="0"/>
    <xf numFmtId="0" fontId="8" fillId="0" borderId="0" applyNumberFormat="0" applyFill="0" applyBorder="0" applyAlignment="0" applyProtection="0"/>
    <xf numFmtId="0" fontId="1" fillId="8" borderId="2" applyNumberFormat="0" applyAlignment="0" applyProtection="0">
      <alignment vertical="top" wrapText="1"/>
    </xf>
    <xf numFmtId="166" fontId="9" fillId="0" borderId="3" applyNumberFormat="0" applyFill="0" applyAlignment="0" applyProtection="0"/>
    <xf numFmtId="0" fontId="13" fillId="0" borderId="0" applyNumberFormat="0" applyAlignment="0" applyProtection="0">
      <alignment vertical="top"/>
    </xf>
    <xf numFmtId="166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Fill="0" applyBorder="0" applyAlignment="0" applyProtection="0">
      <alignment vertical="top"/>
    </xf>
    <xf numFmtId="0" fontId="1" fillId="0" borderId="0" applyNumberFormat="0" applyFont="0" applyBorder="0" applyAlignment="0" applyProtection="0">
      <alignment vertical="top"/>
    </xf>
    <xf numFmtId="0" fontId="15" fillId="14" borderId="0" applyNumberFormat="0" applyBorder="0" applyAlignment="0" applyProtection="0"/>
    <xf numFmtId="0" fontId="1" fillId="11" borderId="0" applyNumberFormat="0" applyBorder="0" applyAlignment="0" applyProtection="0"/>
    <xf numFmtId="0" fontId="17" fillId="0" borderId="0" applyNumberFormat="0" applyFill="0" applyBorder="0" applyAlignment="0" applyProtection="0">
      <alignment vertical="top"/>
    </xf>
    <xf numFmtId="0" fontId="1" fillId="15" borderId="0" applyNumberFormat="0" applyBorder="0" applyAlignment="0" applyProtection="0"/>
    <xf numFmtId="0" fontId="1" fillId="9" borderId="0" applyNumberFormat="0" applyBorder="0" applyAlignment="0" applyProtection="0"/>
  </cellStyleXfs>
  <cellXfs count="61">
    <xf numFmtId="0" fontId="0" fillId="0" borderId="0" xfId="0">
      <alignment vertical="top"/>
    </xf>
    <xf numFmtId="0" fontId="10" fillId="0" borderId="0" xfId="2">
      <alignment vertical="top"/>
    </xf>
    <xf numFmtId="0" fontId="5" fillId="5" borderId="2" xfId="9" applyAlignment="1">
      <alignment vertical="top"/>
    </xf>
    <xf numFmtId="0" fontId="11" fillId="0" borderId="0" xfId="3">
      <alignment vertical="top"/>
    </xf>
    <xf numFmtId="0" fontId="13" fillId="0" borderId="0" xfId="17">
      <alignment vertical="top"/>
    </xf>
    <xf numFmtId="0" fontId="13" fillId="0" borderId="0" xfId="17" applyAlignment="1">
      <alignment horizontal="left" vertical="top"/>
    </xf>
    <xf numFmtId="0" fontId="1" fillId="11" borderId="0" xfId="23" applyFill="1" applyAlignment="1">
      <alignment horizontal="left" vertical="top"/>
    </xf>
    <xf numFmtId="0" fontId="1" fillId="13" borderId="0" xfId="23" applyFill="1" applyAlignment="1">
      <alignment horizontal="left" vertical="top"/>
    </xf>
    <xf numFmtId="0" fontId="0" fillId="0" borderId="0" xfId="0" applyAlignment="1">
      <alignment horizontal="left" vertical="top" indent="1"/>
    </xf>
    <xf numFmtId="0" fontId="1" fillId="10" borderId="0" xfId="23" applyFill="1" applyAlignment="1">
      <alignment horizontal="left" vertical="top"/>
    </xf>
    <xf numFmtId="0" fontId="1" fillId="12" borderId="0" xfId="23" applyFill="1" applyAlignment="1">
      <alignment horizontal="left" vertical="top"/>
    </xf>
    <xf numFmtId="0" fontId="10" fillId="11" borderId="0" xfId="2" applyFill="1">
      <alignment vertical="top"/>
    </xf>
    <xf numFmtId="0" fontId="13" fillId="0" borderId="0" xfId="17" applyFill="1">
      <alignment vertical="top"/>
    </xf>
    <xf numFmtId="0" fontId="10" fillId="13" borderId="0" xfId="2" applyFill="1">
      <alignment vertical="top"/>
    </xf>
    <xf numFmtId="0" fontId="1" fillId="9" borderId="2" xfId="4" applyFont="1" applyFill="1" applyAlignment="1">
      <alignment vertical="top"/>
    </xf>
    <xf numFmtId="0" fontId="10" fillId="10" borderId="0" xfId="2" applyFill="1">
      <alignment vertical="top"/>
    </xf>
    <xf numFmtId="0" fontId="10" fillId="12" borderId="0" xfId="2" applyFill="1">
      <alignment vertical="top"/>
    </xf>
    <xf numFmtId="0" fontId="1" fillId="11" borderId="0" xfId="26" applyAlignment="1">
      <alignment vertical="top"/>
    </xf>
    <xf numFmtId="0" fontId="17" fillId="0" borderId="0" xfId="27">
      <alignment vertical="top"/>
    </xf>
    <xf numFmtId="0" fontId="1" fillId="0" borderId="0" xfId="24" applyAlignment="1">
      <alignment vertical="top"/>
    </xf>
    <xf numFmtId="0" fontId="5" fillId="5" borderId="2" xfId="9" applyAlignment="1" applyProtection="1">
      <alignment vertical="top"/>
      <protection locked="0"/>
    </xf>
    <xf numFmtId="0" fontId="0" fillId="0" borderId="0" xfId="0" applyProtection="1">
      <alignment vertical="top"/>
      <protection locked="0"/>
    </xf>
    <xf numFmtId="0" fontId="10" fillId="0" borderId="0" xfId="2" applyProtection="1">
      <alignment vertical="top"/>
      <protection locked="0"/>
    </xf>
    <xf numFmtId="0" fontId="13" fillId="0" borderId="0" xfId="17" applyProtection="1">
      <alignment vertical="top"/>
      <protection locked="0"/>
    </xf>
    <xf numFmtId="0" fontId="11" fillId="0" borderId="0" xfId="3" applyProtection="1">
      <alignment vertical="top"/>
      <protection locked="0"/>
    </xf>
    <xf numFmtId="166" fontId="0" fillId="0" borderId="0" xfId="18" applyFont="1" applyAlignment="1" applyProtection="1">
      <alignment vertical="top"/>
      <protection locked="0"/>
    </xf>
    <xf numFmtId="166" fontId="0" fillId="0" borderId="0" xfId="0" applyNumberFormat="1" applyProtection="1">
      <alignment vertical="top"/>
      <protection locked="0"/>
    </xf>
    <xf numFmtId="0" fontId="0" fillId="0" borderId="0" xfId="0" applyProtection="1">
      <alignment vertical="top"/>
    </xf>
    <xf numFmtId="0" fontId="0" fillId="0" borderId="2" xfId="4" applyFont="1" applyProtection="1">
      <alignment vertical="top"/>
    </xf>
    <xf numFmtId="0" fontId="0" fillId="0" borderId="0" xfId="0" applyAlignment="1" applyProtection="1">
      <alignment vertical="top"/>
      <protection locked="0"/>
    </xf>
    <xf numFmtId="0" fontId="13" fillId="0" borderId="0" xfId="17" applyProtection="1">
      <alignment vertical="top"/>
    </xf>
    <xf numFmtId="0" fontId="0" fillId="0" borderId="0" xfId="0" applyAlignment="1" applyProtection="1">
      <alignment vertical="top"/>
    </xf>
    <xf numFmtId="0" fontId="10" fillId="12" borderId="0" xfId="2" applyFill="1" applyProtection="1">
      <alignment vertical="top"/>
    </xf>
    <xf numFmtId="0" fontId="15" fillId="0" borderId="2" xfId="4" applyNumberFormat="1" applyFont="1" applyAlignment="1" applyProtection="1">
      <alignment vertical="top"/>
    </xf>
    <xf numFmtId="0" fontId="0" fillId="0" borderId="0" xfId="0" applyAlignment="1" applyProtection="1">
      <alignment vertical="top" wrapText="1"/>
      <protection locked="0"/>
    </xf>
    <xf numFmtId="0" fontId="1" fillId="9" borderId="0" xfId="29" applyAlignment="1">
      <alignment vertical="top"/>
    </xf>
    <xf numFmtId="0" fontId="1" fillId="15" borderId="0" xfId="28" applyAlignment="1">
      <alignment vertical="top"/>
    </xf>
    <xf numFmtId="0" fontId="1" fillId="13" borderId="0" xfId="23" applyFill="1" applyAlignment="1" applyProtection="1"/>
    <xf numFmtId="166" fontId="11" fillId="0" borderId="2" xfId="10" applyNumberFormat="1" applyAlignment="1" applyProtection="1">
      <alignment horizontal="right" vertical="top"/>
    </xf>
    <xf numFmtId="0" fontId="5" fillId="6" borderId="2" xfId="11" applyAlignment="1" applyProtection="1">
      <alignment vertical="top"/>
      <protection locked="0"/>
    </xf>
    <xf numFmtId="0" fontId="5" fillId="6" borderId="2" xfId="11" applyAlignment="1">
      <alignment vertical="top"/>
    </xf>
    <xf numFmtId="0" fontId="0" fillId="0" borderId="0" xfId="0" applyNumberFormat="1" applyProtection="1">
      <alignment vertical="top"/>
      <protection locked="0"/>
    </xf>
    <xf numFmtId="12" fontId="11" fillId="0" borderId="2" xfId="10" applyNumberFormat="1" applyAlignment="1" applyProtection="1">
      <alignment horizontal="right" vertical="top"/>
    </xf>
    <xf numFmtId="165" fontId="11" fillId="0" borderId="2" xfId="10" applyNumberFormat="1" applyAlignment="1" applyProtection="1">
      <alignment horizontal="right" vertical="top"/>
    </xf>
    <xf numFmtId="166" fontId="11" fillId="0" borderId="2" xfId="18" applyFont="1" applyBorder="1" applyAlignment="1" applyProtection="1">
      <alignment horizontal="right" vertical="top"/>
    </xf>
    <xf numFmtId="0" fontId="0" fillId="0" borderId="2" xfId="4" applyFont="1" applyProtection="1">
      <alignment vertical="top"/>
      <protection locked="0"/>
    </xf>
    <xf numFmtId="3" fontId="11" fillId="0" borderId="2" xfId="19" applyFont="1" applyBorder="1" applyAlignment="1" applyProtection="1">
      <alignment horizontal="right" vertical="top"/>
    </xf>
    <xf numFmtId="166" fontId="0" fillId="0" borderId="0" xfId="18" applyNumberFormat="1" applyFont="1" applyAlignment="1" applyProtection="1">
      <alignment vertical="top"/>
      <protection locked="0"/>
    </xf>
    <xf numFmtId="0" fontId="0" fillId="0" borderId="0" xfId="0" applyAlignment="1">
      <alignment vertical="top"/>
    </xf>
    <xf numFmtId="0" fontId="5" fillId="6" borderId="2" xfId="11" applyNumberFormat="1" applyAlignment="1" applyProtection="1">
      <alignment vertical="top"/>
      <protection locked="0"/>
    </xf>
    <xf numFmtId="166" fontId="0" fillId="0" borderId="2" xfId="4" applyNumberFormat="1" applyFont="1" applyAlignment="1" applyProtection="1">
      <alignment vertical="top"/>
      <protection locked="0"/>
    </xf>
    <xf numFmtId="0" fontId="0" fillId="0" borderId="2" xfId="4" applyFont="1" applyAlignment="1" applyProtection="1">
      <alignment vertical="top"/>
      <protection locked="0"/>
    </xf>
    <xf numFmtId="0" fontId="0" fillId="0" borderId="2" xfId="4" applyNumberFormat="1" applyFont="1" applyAlignment="1" applyProtection="1">
      <alignment vertical="top"/>
      <protection locked="0"/>
    </xf>
    <xf numFmtId="0" fontId="0" fillId="0" borderId="0" xfId="0" applyAlignment="1">
      <alignment vertical="top" wrapText="1"/>
    </xf>
    <xf numFmtId="0" fontId="0" fillId="0" borderId="2" xfId="4" applyFont="1" applyFill="1" applyAlignment="1" applyProtection="1">
      <alignment vertical="top"/>
      <protection locked="0"/>
    </xf>
    <xf numFmtId="0" fontId="0" fillId="0" borderId="2" xfId="4" applyFont="1" applyAlignment="1">
      <alignment vertical="top"/>
    </xf>
    <xf numFmtId="166" fontId="0" fillId="0" borderId="2" xfId="4" applyNumberFormat="1" applyFont="1" applyAlignment="1" applyProtection="1">
      <alignment vertical="top"/>
    </xf>
    <xf numFmtId="0" fontId="0" fillId="0" borderId="0" xfId="0" applyNumberFormat="1" applyAlignment="1" applyProtection="1">
      <alignment vertical="top"/>
      <protection locked="0"/>
    </xf>
    <xf numFmtId="166" fontId="0" fillId="0" borderId="0" xfId="0" applyNumberFormat="1" applyAlignment="1" applyProtection="1">
      <alignment vertical="top"/>
    </xf>
    <xf numFmtId="0" fontId="0" fillId="0" borderId="0" xfId="0" quotePrefix="1" applyAlignment="1">
      <alignment vertical="top"/>
    </xf>
    <xf numFmtId="0" fontId="11" fillId="5" borderId="2" xfId="3" applyFill="1" applyBorder="1">
      <alignment vertical="top"/>
    </xf>
  </cellXfs>
  <cellStyles count="30">
    <cellStyle name="20% - Accent1" xfId="28" builtinId="30"/>
    <cellStyle name="20% - Accent3" xfId="29" builtinId="38"/>
    <cellStyle name="60% - Accent1" xfId="26" builtinId="32"/>
    <cellStyle name="Accent6" xfId="25" builtinId="49" customBuiltin="1"/>
    <cellStyle name="Bad" xfId="7" builtinId="27" hidden="1"/>
    <cellStyle name="Calculation" xfId="11" builtinId="22" customBuiltin="1"/>
    <cellStyle name="Check Cell" xfId="13" builtinId="23" customBuiltin="1"/>
    <cellStyle name="Comma" xfId="18" builtinId="3" customBuiltin="1"/>
    <cellStyle name="Comma [0]" xfId="19" builtinId="6" customBuiltin="1"/>
    <cellStyle name="Currency" xfId="20" builtinId="4" customBuiltin="1"/>
    <cellStyle name="Currency [0]" xfId="21" builtinId="7" customBuiltin="1"/>
    <cellStyle name="Explanatory Text" xfId="17" builtinId="53" customBuiltin="1"/>
    <cellStyle name="Good" xfId="6" builtinId="26" hidde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27" builtinId="8"/>
    <cellStyle name="Input" xfId="9" builtinId="20" customBuiltin="1"/>
    <cellStyle name="Linked Cell" xfId="12" builtinId="24" hidden="1"/>
    <cellStyle name="Neutral" xfId="8" builtinId="28" hidden="1"/>
    <cellStyle name="Normal" xfId="0" builtinId="0" customBuiltin="1"/>
    <cellStyle name="Normal Fill" xfId="24" xr:uid="{F8B51D0D-85A6-44BC-88ED-53A39908D51E}"/>
    <cellStyle name="Normal Font" xfId="23" xr:uid="{38BB73A8-EBB3-49D5-98B5-B3C1275E03C2}"/>
    <cellStyle name="Note" xfId="15" builtinId="10" customBuiltin="1"/>
    <cellStyle name="Output" xfId="10" builtinId="21" customBuiltin="1"/>
    <cellStyle name="Percent" xfId="22" builtinId="5" customBuiltin="1"/>
    <cellStyle name="Title" xfId="1" builtinId="15" hidden="1" customBuiltin="1"/>
    <cellStyle name="Total" xfId="16" builtinId="25" customBuiltin="1"/>
    <cellStyle name="Warning Text" xfId="14" builtinId="11" hidden="1"/>
  </cellStyles>
  <dxfs count="112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 patternType="none">
          <bgColor auto="1"/>
        </patternFill>
      </fill>
      <border>
        <left style="thick">
          <color theme="3" tint="-0.24994659260841701"/>
        </left>
      </border>
    </dxf>
    <dxf>
      <font>
        <b/>
        <i val="0"/>
        <color theme="0"/>
      </font>
      <fill>
        <patternFill>
          <bgColor theme="3"/>
        </patternFill>
      </fill>
    </dxf>
    <dxf>
      <border>
        <top style="thick">
          <color theme="3" tint="-0.24994659260841701"/>
        </top>
      </border>
    </dxf>
    <dxf>
      <font>
        <b/>
        <i val="0"/>
        <color theme="0"/>
      </font>
      <fill>
        <patternFill>
          <bgColor theme="3"/>
        </patternFill>
      </fill>
    </dxf>
    <dxf>
      <border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 style="thin">
          <color theme="3" tint="0.39994506668294322"/>
        </vertical>
        <horizontal style="thin">
          <color theme="3" tint="0.39994506668294322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font>
        <b/>
        <i val="0"/>
        <color theme="0"/>
      </font>
      <fill>
        <patternFill>
          <bgColor theme="9"/>
        </patternFill>
      </fill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 style="thin">
          <color theme="9" tint="0.39994506668294322"/>
        </vertical>
        <horizontal style="thin">
          <color theme="9" tint="0.39994506668294322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font>
        <b/>
        <i val="0"/>
        <color theme="0"/>
      </font>
      <fill>
        <patternFill>
          <bgColor theme="8"/>
        </patternFill>
      </fill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font>
        <b/>
        <i val="0"/>
        <color theme="0"/>
      </font>
      <fill>
        <patternFill>
          <bgColor theme="7"/>
        </patternFill>
      </fill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font>
        <b/>
        <i val="0"/>
        <color theme="0"/>
      </font>
      <fill>
        <patternFill>
          <bgColor theme="6"/>
        </patternFill>
      </fill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font>
        <b/>
        <i val="0"/>
        <color theme="0"/>
      </font>
      <fill>
        <patternFill>
          <bgColor theme="5"/>
        </patternFill>
      </fill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 style="thin">
          <color theme="5" tint="0.39994506668294322"/>
        </vertical>
        <horizontal style="thin">
          <color theme="5" tint="0.39994506668294322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font>
        <b/>
        <i val="0"/>
        <color theme="0"/>
      </font>
      <fill>
        <patternFill>
          <bgColor theme="4"/>
        </patternFill>
      </fill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4506668294322"/>
        </vertical>
        <horizontal style="thin">
          <color theme="4" tint="0.39994506668294322"/>
        </horizontal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font>
        <b/>
        <i val="0"/>
        <color theme="0"/>
      </font>
      <fill>
        <patternFill>
          <bgColor theme="1"/>
        </patternFill>
      </fill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/>
        <horizontal/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/>
        <horizontal/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15" defaultTableStyle="Table 1" defaultPivotStyle="PivotStyleLight16">
    <tableStyle name="List 0" pivot="0" count="8" xr9:uid="{00000000-0011-0000-FFFF-FFFF00000000}">
      <tableStyleElement type="wholeTable" dxfId="111"/>
      <tableStyleElement type="headerRow" dxfId="110"/>
      <tableStyleElement type="totalRow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  <tableStyle name="List 1" pivot="0" count="8" xr9:uid="{00000000-0011-0000-FFFF-FFFF01000000}">
      <tableStyleElement type="wholeTable" dxfId="103"/>
      <tableStyleElement type="headerRow" dxfId="102"/>
      <tableStyleElement type="totalRow" dxfId="101"/>
      <tableStyleElement type="lastColumn" dxfId="100"/>
      <tableStyleElement type="firstRowStripe" dxfId="99"/>
      <tableStyleElement type="secondRowStripe" dxfId="98"/>
      <tableStyleElement type="firstColumnStripe" dxfId="97"/>
      <tableStyleElement type="secondColumnStripe" dxfId="96"/>
    </tableStyle>
    <tableStyle name="List 2" pivot="0" count="8" xr9:uid="{00000000-0011-0000-FFFF-FFFF02000000}">
      <tableStyleElement type="wholeTable" dxfId="95"/>
      <tableStyleElement type="headerRow" dxfId="94"/>
      <tableStyleElement type="totalRow" dxfId="93"/>
      <tableStyleElement type="lastColumn" dxfId="92"/>
      <tableStyleElement type="firstRowStripe" dxfId="91"/>
      <tableStyleElement type="secondRowStripe" dxfId="90"/>
      <tableStyleElement type="firstColumnStripe" dxfId="89"/>
      <tableStyleElement type="secondColumnStripe" dxfId="88"/>
    </tableStyle>
    <tableStyle name="List 3" pivot="0" count="8" xr9:uid="{00000000-0011-0000-FFFF-FFFF03000000}">
      <tableStyleElement type="wholeTable" dxfId="87"/>
      <tableStyleElement type="headerRow" dxfId="86"/>
      <tableStyleElement type="totalRow" dxfId="85"/>
      <tableStyleElement type="lastColumn" dxfId="84"/>
      <tableStyleElement type="firstRowStripe" dxfId="83"/>
      <tableStyleElement type="secondRowStripe" dxfId="82"/>
      <tableStyleElement type="firstColumnStripe" dxfId="81"/>
      <tableStyleElement type="secondColumnStripe" dxfId="80"/>
    </tableStyle>
    <tableStyle name="List 4" pivot="0" count="8" xr9:uid="{00000000-0011-0000-FFFF-FFFF04000000}">
      <tableStyleElement type="wholeTable" dxfId="79"/>
      <tableStyleElement type="headerRow" dxfId="78"/>
      <tableStyleElement type="totalRow" dxfId="77"/>
      <tableStyleElement type="lastColumn" dxfId="76"/>
      <tableStyleElement type="firstRowStripe" dxfId="75"/>
      <tableStyleElement type="secondRowStripe" dxfId="74"/>
      <tableStyleElement type="firstColumnStripe" dxfId="73"/>
      <tableStyleElement type="secondColumnStripe" dxfId="72"/>
    </tableStyle>
    <tableStyle name="List 5" pivot="0" count="8" xr9:uid="{00000000-0011-0000-FFFF-FFFF05000000}">
      <tableStyleElement type="wholeTable" dxfId="71"/>
      <tableStyleElement type="headerRow" dxfId="70"/>
      <tableStyleElement type="totalRow" dxfId="69"/>
      <tableStyleElement type="lastColumn" dxfId="68"/>
      <tableStyleElement type="firstRowStripe" dxfId="67"/>
      <tableStyleElement type="secondRowStripe" dxfId="66"/>
      <tableStyleElement type="firstColumnStripe" dxfId="65"/>
      <tableStyleElement type="secondColumnStripe" dxfId="64"/>
    </tableStyle>
    <tableStyle name="List 6" pivot="0" count="8" xr9:uid="{00000000-0011-0000-FFFF-FFFF06000000}">
      <tableStyleElement type="wholeTable" dxfId="63"/>
      <tableStyleElement type="headerRow" dxfId="62"/>
      <tableStyleElement type="totalRow" dxfId="61"/>
      <tableStyleElement type="lastColumn" dxfId="60"/>
      <tableStyleElement type="firstRowStripe" dxfId="59"/>
      <tableStyleElement type="secondRowStripe" dxfId="58"/>
      <tableStyleElement type="firstColumnStripe" dxfId="57"/>
      <tableStyleElement type="secondColumnStripe" dxfId="56"/>
    </tableStyle>
    <tableStyle name="Table 0" pivot="0" count="7" xr9:uid="{00000000-0011-0000-FFFF-FFFF07000000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secondRowStripe" dxfId="50"/>
      <tableStyleElement type="secondColumnStripe" dxfId="49"/>
    </tableStyle>
    <tableStyle name="Table 1" pivot="0" count="7" xr9:uid="{00000000-0011-0000-FFFF-FFFF08000000}">
      <tableStyleElement type="wholeTable" dxfId="48"/>
      <tableStyleElement type="headerRow" dxfId="47"/>
      <tableStyleElement type="totalRow" dxfId="46"/>
      <tableStyleElement type="firstColumn" dxfId="45"/>
      <tableStyleElement type="lastColumn" dxfId="44"/>
      <tableStyleElement type="secondRowStripe" dxfId="43"/>
      <tableStyleElement type="secondColumnStripe" dxfId="42"/>
    </tableStyle>
    <tableStyle name="Table 2" pivot="0" count="7" xr9:uid="{00000000-0011-0000-FFFF-FFFF09000000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secondRowStripe" dxfId="36"/>
      <tableStyleElement type="secondColumnStripe" dxfId="35"/>
    </tableStyle>
    <tableStyle name="Table 3" pivot="0" count="7" xr9:uid="{00000000-0011-0000-FFFF-FFFF0A000000}">
      <tableStyleElement type="wholeTable" dxfId="34"/>
      <tableStyleElement type="headerRow" dxfId="33"/>
      <tableStyleElement type="totalRow" dxfId="32"/>
      <tableStyleElement type="firstColumn" dxfId="31"/>
      <tableStyleElement type="lastColumn" dxfId="30"/>
      <tableStyleElement type="secondRowStripe" dxfId="29"/>
      <tableStyleElement type="secondColumnStripe" dxfId="28"/>
    </tableStyle>
    <tableStyle name="Table 4" pivot="0" count="7" xr9:uid="{00000000-0011-0000-FFFF-FFFF0B000000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secondRowStripe" dxfId="22"/>
      <tableStyleElement type="secondColumnStripe" dxfId="21"/>
    </tableStyle>
    <tableStyle name="Table 5" pivot="0" count="7" xr9:uid="{00000000-0011-0000-FFFF-FFFF0C000000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secondRowStripe" dxfId="15"/>
      <tableStyleElement type="secondColumnStripe" dxfId="14"/>
    </tableStyle>
    <tableStyle name="Table 6" pivot="0" count="7" xr9:uid="{00000000-0011-0000-FFFF-FFFF0D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secondRowStripe" dxfId="8"/>
      <tableStyleElement type="secondColumnStripe" dxfId="7"/>
    </tableStyle>
    <tableStyle name="Table 7" pivot="0" count="7" xr9:uid="{6BE13D90-1AF0-4518-A1F1-60987CE17347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secondRowStripe" dxfId="1"/>
      <tableStyleElement type="secondColumnStripe" dxfId="0"/>
    </tableStyle>
  </tableStyles>
  <colors>
    <mruColors>
      <color rgb="FFFFC7CE"/>
      <color rgb="FF9C0006"/>
      <color rgb="FFD9D9D9"/>
      <color rgb="FF7F7F7F"/>
      <color rgb="FF3F3F76"/>
      <color rgb="FFBFBFBF"/>
      <color rgb="FF3F3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BeskrivendeStatistik!$DN$6</c:f>
          <c:strCache>
            <c:ptCount val="1"/>
            <c:pt idx="0">
              <c:v>Fraktildiagram med 6 intervaller
for 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BeskrivendeStatistik!$DN$26</c:f>
              <c:strCache>
                <c:ptCount val="1"/>
                <c:pt idx="0">
                  <c:v>Fraktiler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[0]!BxF</c:f>
              <c:strCache>
                <c:ptCount val="252"/>
                <c:pt idx="0">
                  <c:v>-1.5 (0%)</c:v>
                </c:pt>
                <c:pt idx="9">
                  <c:v>-0.9 (17%)</c:v>
                </c:pt>
                <c:pt idx="20">
                  <c:v>-0.3 (33%)</c:v>
                </c:pt>
                <c:pt idx="34">
                  <c:v>0.5 (50%)</c:v>
                </c:pt>
                <c:pt idx="49">
                  <c:v>1.3 (67%)</c:v>
                </c:pt>
                <c:pt idx="75">
                  <c:v>2.8 (83%)</c:v>
                </c:pt>
                <c:pt idx="251">
                  <c:v>13 (100%)</c:v>
                </c:pt>
              </c:strCache>
            </c:strRef>
          </c:cat>
          <c:val>
            <c:numRef>
              <c:f>[0]!ByF</c:f>
              <c:numCache>
                <c:formatCode>General</c:formatCode>
                <c:ptCount val="252"/>
                <c:pt idx="0">
                  <c:v>1.7350867949805218</c:v>
                </c:pt>
                <c:pt idx="1">
                  <c:v>1.7350867949805218</c:v>
                </c:pt>
                <c:pt idx="2">
                  <c:v>1.7350867949805218</c:v>
                </c:pt>
                <c:pt idx="3">
                  <c:v>1.7350867949805218</c:v>
                </c:pt>
                <c:pt idx="4">
                  <c:v>1.7350867949805218</c:v>
                </c:pt>
                <c:pt idx="5">
                  <c:v>1.7350867949805218</c:v>
                </c:pt>
                <c:pt idx="6">
                  <c:v>1.7350867949805218</c:v>
                </c:pt>
                <c:pt idx="7">
                  <c:v>1.7350867949805218</c:v>
                </c:pt>
                <c:pt idx="8">
                  <c:v>1.7350867949805218</c:v>
                </c:pt>
                <c:pt idx="9">
                  <c:v>1.4196164686204271</c:v>
                </c:pt>
                <c:pt idx="10">
                  <c:v>1.4196164686204271</c:v>
                </c:pt>
                <c:pt idx="11">
                  <c:v>1.4196164686204271</c:v>
                </c:pt>
                <c:pt idx="12">
                  <c:v>1.4196164686204271</c:v>
                </c:pt>
                <c:pt idx="13">
                  <c:v>1.4196164686204271</c:v>
                </c:pt>
                <c:pt idx="14">
                  <c:v>1.4196164686204271</c:v>
                </c:pt>
                <c:pt idx="15">
                  <c:v>1.4196164686204271</c:v>
                </c:pt>
                <c:pt idx="16">
                  <c:v>1.4196164686204271</c:v>
                </c:pt>
                <c:pt idx="17">
                  <c:v>1.4196164686204271</c:v>
                </c:pt>
                <c:pt idx="18">
                  <c:v>1.4196164686204271</c:v>
                </c:pt>
                <c:pt idx="19">
                  <c:v>1.4196164686204271</c:v>
                </c:pt>
                <c:pt idx="20">
                  <c:v>1.1154129396303354</c:v>
                </c:pt>
                <c:pt idx="21">
                  <c:v>1.1154129396303354</c:v>
                </c:pt>
                <c:pt idx="22">
                  <c:v>1.1154129396303354</c:v>
                </c:pt>
                <c:pt idx="23">
                  <c:v>1.1154129396303354</c:v>
                </c:pt>
                <c:pt idx="24">
                  <c:v>1.1154129396303354</c:v>
                </c:pt>
                <c:pt idx="25">
                  <c:v>1.1154129396303354</c:v>
                </c:pt>
                <c:pt idx="26">
                  <c:v>1.1154129396303354</c:v>
                </c:pt>
                <c:pt idx="27">
                  <c:v>1.1154129396303354</c:v>
                </c:pt>
                <c:pt idx="28">
                  <c:v>1.1154129396303354</c:v>
                </c:pt>
                <c:pt idx="29">
                  <c:v>1.1154129396303354</c:v>
                </c:pt>
                <c:pt idx="30">
                  <c:v>1.1154129396303354</c:v>
                </c:pt>
                <c:pt idx="31">
                  <c:v>1.1154129396303354</c:v>
                </c:pt>
                <c:pt idx="32">
                  <c:v>1.1154129396303354</c:v>
                </c:pt>
                <c:pt idx="33">
                  <c:v>1.1154129396303354</c:v>
                </c:pt>
                <c:pt idx="34">
                  <c:v>1.0410520769883131</c:v>
                </c:pt>
                <c:pt idx="35">
                  <c:v>1.0410520769883131</c:v>
                </c:pt>
                <c:pt idx="36">
                  <c:v>1.0410520769883131</c:v>
                </c:pt>
                <c:pt idx="37">
                  <c:v>1.0410520769883131</c:v>
                </c:pt>
                <c:pt idx="38">
                  <c:v>1.0410520769883131</c:v>
                </c:pt>
                <c:pt idx="39">
                  <c:v>1.0410520769883131</c:v>
                </c:pt>
                <c:pt idx="40">
                  <c:v>1.0410520769883131</c:v>
                </c:pt>
                <c:pt idx="41">
                  <c:v>1.0410520769883131</c:v>
                </c:pt>
                <c:pt idx="42">
                  <c:v>1.0410520769883131</c:v>
                </c:pt>
                <c:pt idx="43">
                  <c:v>1.0410520769883131</c:v>
                </c:pt>
                <c:pt idx="44">
                  <c:v>1.0410520769883131</c:v>
                </c:pt>
                <c:pt idx="45">
                  <c:v>1.0410520769883131</c:v>
                </c:pt>
                <c:pt idx="46">
                  <c:v>1.0410520769883131</c:v>
                </c:pt>
                <c:pt idx="47">
                  <c:v>1.0410520769883131</c:v>
                </c:pt>
                <c:pt idx="48">
                  <c:v>1.0410520769883131</c:v>
                </c:pt>
                <c:pt idx="49">
                  <c:v>0.60060696749325759</c:v>
                </c:pt>
                <c:pt idx="50">
                  <c:v>0.60060696749325759</c:v>
                </c:pt>
                <c:pt idx="51">
                  <c:v>0.60060696749325759</c:v>
                </c:pt>
                <c:pt idx="52">
                  <c:v>0.60060696749325759</c:v>
                </c:pt>
                <c:pt idx="53">
                  <c:v>0.60060696749325759</c:v>
                </c:pt>
                <c:pt idx="54">
                  <c:v>0.60060696749325759</c:v>
                </c:pt>
                <c:pt idx="55">
                  <c:v>0.60060696749325759</c:v>
                </c:pt>
                <c:pt idx="56">
                  <c:v>0.60060696749325759</c:v>
                </c:pt>
                <c:pt idx="57">
                  <c:v>0.60060696749325759</c:v>
                </c:pt>
                <c:pt idx="58">
                  <c:v>0.60060696749325759</c:v>
                </c:pt>
                <c:pt idx="59">
                  <c:v>0.60060696749325759</c:v>
                </c:pt>
                <c:pt idx="60">
                  <c:v>0.60060696749325759</c:v>
                </c:pt>
                <c:pt idx="61">
                  <c:v>0.60060696749325759</c:v>
                </c:pt>
                <c:pt idx="62">
                  <c:v>0.60060696749325759</c:v>
                </c:pt>
                <c:pt idx="63">
                  <c:v>0.60060696749325759</c:v>
                </c:pt>
                <c:pt idx="64">
                  <c:v>0.60060696749325759</c:v>
                </c:pt>
                <c:pt idx="65">
                  <c:v>0.60060696749325759</c:v>
                </c:pt>
                <c:pt idx="66">
                  <c:v>0.60060696749325759</c:v>
                </c:pt>
                <c:pt idx="67">
                  <c:v>0.60060696749325759</c:v>
                </c:pt>
                <c:pt idx="68">
                  <c:v>0.60060696749325759</c:v>
                </c:pt>
                <c:pt idx="69">
                  <c:v>0.60060696749325759</c:v>
                </c:pt>
                <c:pt idx="70">
                  <c:v>0.60060696749325759</c:v>
                </c:pt>
                <c:pt idx="71">
                  <c:v>0.60060696749325759</c:v>
                </c:pt>
                <c:pt idx="72">
                  <c:v>0.60060696749325759</c:v>
                </c:pt>
                <c:pt idx="73">
                  <c:v>0.60060696749325759</c:v>
                </c:pt>
                <c:pt idx="74">
                  <c:v>0.60060696749325759</c:v>
                </c:pt>
                <c:pt idx="75">
                  <c:v>8.8224752287145186E-2</c:v>
                </c:pt>
                <c:pt idx="76">
                  <c:v>8.8224752287145186E-2</c:v>
                </c:pt>
                <c:pt idx="77">
                  <c:v>8.8224752287145186E-2</c:v>
                </c:pt>
                <c:pt idx="78">
                  <c:v>8.8224752287145186E-2</c:v>
                </c:pt>
                <c:pt idx="79">
                  <c:v>8.8224752287145186E-2</c:v>
                </c:pt>
                <c:pt idx="80">
                  <c:v>8.8224752287145186E-2</c:v>
                </c:pt>
                <c:pt idx="81">
                  <c:v>8.8224752287145186E-2</c:v>
                </c:pt>
                <c:pt idx="82">
                  <c:v>8.8224752287145186E-2</c:v>
                </c:pt>
                <c:pt idx="83">
                  <c:v>8.8224752287145186E-2</c:v>
                </c:pt>
                <c:pt idx="84">
                  <c:v>8.8224752287145186E-2</c:v>
                </c:pt>
                <c:pt idx="85">
                  <c:v>8.8224752287145186E-2</c:v>
                </c:pt>
                <c:pt idx="86">
                  <c:v>8.8224752287145186E-2</c:v>
                </c:pt>
                <c:pt idx="87">
                  <c:v>8.8224752287145186E-2</c:v>
                </c:pt>
                <c:pt idx="88">
                  <c:v>8.8224752287145186E-2</c:v>
                </c:pt>
                <c:pt idx="89">
                  <c:v>8.8224752287145186E-2</c:v>
                </c:pt>
                <c:pt idx="90">
                  <c:v>8.8224752287145186E-2</c:v>
                </c:pt>
                <c:pt idx="91">
                  <c:v>8.8224752287145186E-2</c:v>
                </c:pt>
                <c:pt idx="92">
                  <c:v>8.8224752287145186E-2</c:v>
                </c:pt>
                <c:pt idx="93">
                  <c:v>8.8224752287145186E-2</c:v>
                </c:pt>
                <c:pt idx="94">
                  <c:v>8.8224752287145186E-2</c:v>
                </c:pt>
                <c:pt idx="95">
                  <c:v>8.8224752287145186E-2</c:v>
                </c:pt>
                <c:pt idx="96">
                  <c:v>8.8224752287145186E-2</c:v>
                </c:pt>
                <c:pt idx="97">
                  <c:v>8.8224752287145186E-2</c:v>
                </c:pt>
                <c:pt idx="98">
                  <c:v>8.8224752287145186E-2</c:v>
                </c:pt>
                <c:pt idx="99">
                  <c:v>8.8224752287145186E-2</c:v>
                </c:pt>
                <c:pt idx="100">
                  <c:v>8.8224752287145186E-2</c:v>
                </c:pt>
                <c:pt idx="101">
                  <c:v>8.8224752287145186E-2</c:v>
                </c:pt>
                <c:pt idx="102">
                  <c:v>8.8224752287145186E-2</c:v>
                </c:pt>
                <c:pt idx="103">
                  <c:v>8.8224752287145186E-2</c:v>
                </c:pt>
                <c:pt idx="104">
                  <c:v>8.8224752287145186E-2</c:v>
                </c:pt>
                <c:pt idx="105">
                  <c:v>8.8224752287145186E-2</c:v>
                </c:pt>
                <c:pt idx="106">
                  <c:v>8.8224752287145186E-2</c:v>
                </c:pt>
                <c:pt idx="107">
                  <c:v>8.8224752287145186E-2</c:v>
                </c:pt>
                <c:pt idx="108">
                  <c:v>8.8224752287145186E-2</c:v>
                </c:pt>
                <c:pt idx="109">
                  <c:v>8.8224752287145186E-2</c:v>
                </c:pt>
                <c:pt idx="110">
                  <c:v>8.8224752287145186E-2</c:v>
                </c:pt>
                <c:pt idx="111">
                  <c:v>8.8224752287145186E-2</c:v>
                </c:pt>
                <c:pt idx="112">
                  <c:v>8.8224752287145186E-2</c:v>
                </c:pt>
                <c:pt idx="113">
                  <c:v>8.8224752287145186E-2</c:v>
                </c:pt>
                <c:pt idx="114">
                  <c:v>8.8224752287145186E-2</c:v>
                </c:pt>
                <c:pt idx="115">
                  <c:v>8.8224752287145186E-2</c:v>
                </c:pt>
                <c:pt idx="116">
                  <c:v>8.8224752287145186E-2</c:v>
                </c:pt>
                <c:pt idx="117">
                  <c:v>8.8224752287145186E-2</c:v>
                </c:pt>
                <c:pt idx="118">
                  <c:v>8.8224752287145186E-2</c:v>
                </c:pt>
                <c:pt idx="119">
                  <c:v>8.8224752287145186E-2</c:v>
                </c:pt>
                <c:pt idx="120">
                  <c:v>8.8224752287145186E-2</c:v>
                </c:pt>
                <c:pt idx="121">
                  <c:v>8.8224752287145186E-2</c:v>
                </c:pt>
                <c:pt idx="122">
                  <c:v>8.8224752287145186E-2</c:v>
                </c:pt>
                <c:pt idx="123">
                  <c:v>8.8224752287145186E-2</c:v>
                </c:pt>
                <c:pt idx="124">
                  <c:v>8.8224752287145186E-2</c:v>
                </c:pt>
                <c:pt idx="125">
                  <c:v>8.8224752287145186E-2</c:v>
                </c:pt>
                <c:pt idx="126">
                  <c:v>8.8224752287145186E-2</c:v>
                </c:pt>
                <c:pt idx="127">
                  <c:v>8.8224752287145186E-2</c:v>
                </c:pt>
                <c:pt idx="128">
                  <c:v>8.8224752287145186E-2</c:v>
                </c:pt>
                <c:pt idx="129">
                  <c:v>8.8224752287145186E-2</c:v>
                </c:pt>
                <c:pt idx="130">
                  <c:v>8.8224752287145186E-2</c:v>
                </c:pt>
                <c:pt idx="131">
                  <c:v>8.8224752287145186E-2</c:v>
                </c:pt>
                <c:pt idx="132">
                  <c:v>8.8224752287145186E-2</c:v>
                </c:pt>
                <c:pt idx="133">
                  <c:v>8.8224752287145186E-2</c:v>
                </c:pt>
                <c:pt idx="134">
                  <c:v>8.8224752287145186E-2</c:v>
                </c:pt>
                <c:pt idx="135">
                  <c:v>8.8224752287145186E-2</c:v>
                </c:pt>
                <c:pt idx="136">
                  <c:v>8.8224752287145186E-2</c:v>
                </c:pt>
                <c:pt idx="137">
                  <c:v>8.8224752287145186E-2</c:v>
                </c:pt>
                <c:pt idx="138">
                  <c:v>8.8224752287145186E-2</c:v>
                </c:pt>
                <c:pt idx="139">
                  <c:v>8.8224752287145186E-2</c:v>
                </c:pt>
                <c:pt idx="140">
                  <c:v>8.8224752287145186E-2</c:v>
                </c:pt>
                <c:pt idx="141">
                  <c:v>8.8224752287145186E-2</c:v>
                </c:pt>
                <c:pt idx="142">
                  <c:v>8.8224752287145186E-2</c:v>
                </c:pt>
                <c:pt idx="143">
                  <c:v>8.8224752287145186E-2</c:v>
                </c:pt>
                <c:pt idx="144">
                  <c:v>8.8224752287145186E-2</c:v>
                </c:pt>
                <c:pt idx="145">
                  <c:v>8.8224752287145186E-2</c:v>
                </c:pt>
                <c:pt idx="146">
                  <c:v>8.8224752287145186E-2</c:v>
                </c:pt>
                <c:pt idx="147">
                  <c:v>8.8224752287145186E-2</c:v>
                </c:pt>
                <c:pt idx="148">
                  <c:v>8.8224752287145186E-2</c:v>
                </c:pt>
                <c:pt idx="149">
                  <c:v>8.8224752287145186E-2</c:v>
                </c:pt>
                <c:pt idx="150">
                  <c:v>8.8224752287145186E-2</c:v>
                </c:pt>
                <c:pt idx="151">
                  <c:v>8.8224752287145186E-2</c:v>
                </c:pt>
                <c:pt idx="152">
                  <c:v>8.8224752287145186E-2</c:v>
                </c:pt>
                <c:pt idx="153">
                  <c:v>8.8224752287145186E-2</c:v>
                </c:pt>
                <c:pt idx="154">
                  <c:v>8.8224752287145186E-2</c:v>
                </c:pt>
                <c:pt idx="155">
                  <c:v>8.8224752287145186E-2</c:v>
                </c:pt>
                <c:pt idx="156">
                  <c:v>8.8224752287145186E-2</c:v>
                </c:pt>
                <c:pt idx="157">
                  <c:v>8.8224752287145186E-2</c:v>
                </c:pt>
                <c:pt idx="158">
                  <c:v>8.8224752287145186E-2</c:v>
                </c:pt>
                <c:pt idx="159">
                  <c:v>8.8224752287145186E-2</c:v>
                </c:pt>
                <c:pt idx="160">
                  <c:v>8.8224752287145186E-2</c:v>
                </c:pt>
                <c:pt idx="161">
                  <c:v>8.8224752287145186E-2</c:v>
                </c:pt>
                <c:pt idx="162">
                  <c:v>8.8224752287145186E-2</c:v>
                </c:pt>
                <c:pt idx="163">
                  <c:v>8.8224752287145186E-2</c:v>
                </c:pt>
                <c:pt idx="164">
                  <c:v>8.8224752287145186E-2</c:v>
                </c:pt>
                <c:pt idx="165">
                  <c:v>8.8224752287145186E-2</c:v>
                </c:pt>
                <c:pt idx="166">
                  <c:v>8.8224752287145186E-2</c:v>
                </c:pt>
                <c:pt idx="167">
                  <c:v>8.8224752287145186E-2</c:v>
                </c:pt>
                <c:pt idx="168">
                  <c:v>8.8224752287145186E-2</c:v>
                </c:pt>
                <c:pt idx="169">
                  <c:v>8.8224752287145186E-2</c:v>
                </c:pt>
                <c:pt idx="170">
                  <c:v>8.8224752287145186E-2</c:v>
                </c:pt>
                <c:pt idx="171">
                  <c:v>8.8224752287145186E-2</c:v>
                </c:pt>
                <c:pt idx="172">
                  <c:v>8.8224752287145186E-2</c:v>
                </c:pt>
                <c:pt idx="173">
                  <c:v>8.8224752287145186E-2</c:v>
                </c:pt>
                <c:pt idx="174">
                  <c:v>8.8224752287145186E-2</c:v>
                </c:pt>
                <c:pt idx="175">
                  <c:v>8.8224752287145186E-2</c:v>
                </c:pt>
                <c:pt idx="176">
                  <c:v>8.8224752287145186E-2</c:v>
                </c:pt>
                <c:pt idx="177">
                  <c:v>8.8224752287145186E-2</c:v>
                </c:pt>
                <c:pt idx="178">
                  <c:v>8.8224752287145186E-2</c:v>
                </c:pt>
                <c:pt idx="179">
                  <c:v>8.8224752287145186E-2</c:v>
                </c:pt>
                <c:pt idx="180">
                  <c:v>8.8224752287145186E-2</c:v>
                </c:pt>
                <c:pt idx="181">
                  <c:v>8.8224752287145186E-2</c:v>
                </c:pt>
                <c:pt idx="182">
                  <c:v>8.8224752287145186E-2</c:v>
                </c:pt>
                <c:pt idx="183">
                  <c:v>8.8224752287145186E-2</c:v>
                </c:pt>
                <c:pt idx="184">
                  <c:v>8.8224752287145186E-2</c:v>
                </c:pt>
                <c:pt idx="185">
                  <c:v>8.8224752287145186E-2</c:v>
                </c:pt>
                <c:pt idx="186">
                  <c:v>8.8224752287145186E-2</c:v>
                </c:pt>
                <c:pt idx="187">
                  <c:v>8.8224752287145186E-2</c:v>
                </c:pt>
                <c:pt idx="188">
                  <c:v>8.8224752287145186E-2</c:v>
                </c:pt>
                <c:pt idx="189">
                  <c:v>8.8224752287145186E-2</c:v>
                </c:pt>
                <c:pt idx="190">
                  <c:v>8.8224752287145186E-2</c:v>
                </c:pt>
                <c:pt idx="191">
                  <c:v>8.8224752287145186E-2</c:v>
                </c:pt>
                <c:pt idx="192">
                  <c:v>8.8224752287145186E-2</c:v>
                </c:pt>
                <c:pt idx="193">
                  <c:v>8.8224752287145186E-2</c:v>
                </c:pt>
                <c:pt idx="194">
                  <c:v>8.8224752287145186E-2</c:v>
                </c:pt>
                <c:pt idx="195">
                  <c:v>8.8224752287145186E-2</c:v>
                </c:pt>
                <c:pt idx="196">
                  <c:v>8.8224752287145186E-2</c:v>
                </c:pt>
                <c:pt idx="197">
                  <c:v>8.8224752287145186E-2</c:v>
                </c:pt>
                <c:pt idx="198">
                  <c:v>8.8224752287145186E-2</c:v>
                </c:pt>
                <c:pt idx="199">
                  <c:v>8.8224752287145186E-2</c:v>
                </c:pt>
                <c:pt idx="200">
                  <c:v>8.8224752287145186E-2</c:v>
                </c:pt>
                <c:pt idx="201">
                  <c:v>8.8224752287145186E-2</c:v>
                </c:pt>
                <c:pt idx="202">
                  <c:v>8.8224752287145186E-2</c:v>
                </c:pt>
                <c:pt idx="203">
                  <c:v>8.8224752287145186E-2</c:v>
                </c:pt>
                <c:pt idx="204">
                  <c:v>8.8224752287145186E-2</c:v>
                </c:pt>
                <c:pt idx="205">
                  <c:v>8.8224752287145186E-2</c:v>
                </c:pt>
                <c:pt idx="206">
                  <c:v>8.8224752287145186E-2</c:v>
                </c:pt>
                <c:pt idx="207">
                  <c:v>8.8224752287145186E-2</c:v>
                </c:pt>
                <c:pt idx="208">
                  <c:v>8.8224752287145186E-2</c:v>
                </c:pt>
                <c:pt idx="209">
                  <c:v>8.8224752287145186E-2</c:v>
                </c:pt>
                <c:pt idx="210">
                  <c:v>8.8224752287145186E-2</c:v>
                </c:pt>
                <c:pt idx="211">
                  <c:v>8.8224752287145186E-2</c:v>
                </c:pt>
                <c:pt idx="212">
                  <c:v>8.8224752287145186E-2</c:v>
                </c:pt>
                <c:pt idx="213">
                  <c:v>8.8224752287145186E-2</c:v>
                </c:pt>
                <c:pt idx="214">
                  <c:v>8.8224752287145186E-2</c:v>
                </c:pt>
                <c:pt idx="215">
                  <c:v>8.8224752287145186E-2</c:v>
                </c:pt>
                <c:pt idx="216">
                  <c:v>8.8224752287145186E-2</c:v>
                </c:pt>
                <c:pt idx="217">
                  <c:v>8.8224752287145186E-2</c:v>
                </c:pt>
                <c:pt idx="218">
                  <c:v>8.8224752287145186E-2</c:v>
                </c:pt>
                <c:pt idx="219">
                  <c:v>8.8224752287145186E-2</c:v>
                </c:pt>
                <c:pt idx="220">
                  <c:v>8.8224752287145186E-2</c:v>
                </c:pt>
                <c:pt idx="221">
                  <c:v>8.8224752287145186E-2</c:v>
                </c:pt>
                <c:pt idx="222">
                  <c:v>8.8224752287145186E-2</c:v>
                </c:pt>
                <c:pt idx="223">
                  <c:v>8.8224752287145186E-2</c:v>
                </c:pt>
                <c:pt idx="224">
                  <c:v>8.8224752287145186E-2</c:v>
                </c:pt>
                <c:pt idx="225">
                  <c:v>8.8224752287145186E-2</c:v>
                </c:pt>
                <c:pt idx="226">
                  <c:v>8.8224752287145186E-2</c:v>
                </c:pt>
                <c:pt idx="227">
                  <c:v>8.8224752287145186E-2</c:v>
                </c:pt>
                <c:pt idx="228">
                  <c:v>8.8224752287145186E-2</c:v>
                </c:pt>
                <c:pt idx="229">
                  <c:v>8.8224752287145186E-2</c:v>
                </c:pt>
                <c:pt idx="230">
                  <c:v>8.8224752287145186E-2</c:v>
                </c:pt>
                <c:pt idx="231">
                  <c:v>8.8224752287145186E-2</c:v>
                </c:pt>
                <c:pt idx="232">
                  <c:v>8.8224752287145186E-2</c:v>
                </c:pt>
                <c:pt idx="233">
                  <c:v>8.8224752287145186E-2</c:v>
                </c:pt>
                <c:pt idx="234">
                  <c:v>8.8224752287145186E-2</c:v>
                </c:pt>
                <c:pt idx="235">
                  <c:v>8.8224752287145186E-2</c:v>
                </c:pt>
                <c:pt idx="236">
                  <c:v>8.8224752287145186E-2</c:v>
                </c:pt>
                <c:pt idx="237">
                  <c:v>8.8224752287145186E-2</c:v>
                </c:pt>
                <c:pt idx="238">
                  <c:v>8.8224752287145186E-2</c:v>
                </c:pt>
                <c:pt idx="239">
                  <c:v>8.8224752287145186E-2</c:v>
                </c:pt>
                <c:pt idx="240">
                  <c:v>8.8224752287145186E-2</c:v>
                </c:pt>
                <c:pt idx="241">
                  <c:v>8.8224752287145186E-2</c:v>
                </c:pt>
                <c:pt idx="242">
                  <c:v>8.8224752287145186E-2</c:v>
                </c:pt>
                <c:pt idx="243">
                  <c:v>8.8224752287145186E-2</c:v>
                </c:pt>
                <c:pt idx="244">
                  <c:v>8.8224752287145186E-2</c:v>
                </c:pt>
                <c:pt idx="245">
                  <c:v>8.8224752287145186E-2</c:v>
                </c:pt>
                <c:pt idx="246">
                  <c:v>8.8224752287145186E-2</c:v>
                </c:pt>
                <c:pt idx="247">
                  <c:v>8.8224752287145186E-2</c:v>
                </c:pt>
                <c:pt idx="248">
                  <c:v>8.8224752287145186E-2</c:v>
                </c:pt>
                <c:pt idx="249">
                  <c:v>8.8224752287145186E-2</c:v>
                </c:pt>
                <c:pt idx="250">
                  <c:v>8.8224752287145186E-2</c:v>
                </c:pt>
                <c:pt idx="251">
                  <c:v>8.8224752287145186E-2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7-43BA-A2FC-788A7AA58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358096"/>
        <c:axId val="457071392"/>
      </c:barChart>
      <c:catAx>
        <c:axId val="29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57071392"/>
        <c:crosses val="autoZero"/>
        <c:auto val="1"/>
        <c:lblAlgn val="ctr"/>
        <c:lblOffset val="100"/>
        <c:noMultiLvlLbl val="0"/>
      </c:catAx>
      <c:valAx>
        <c:axId val="4570713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93580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BeskrivendeStatistik!$DD$6</c:f>
          <c:strCache>
            <c:ptCount val="1"/>
            <c:pt idx="0">
              <c:v>Boksplot af
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BeskrivendeStatistik!$DD$8</c:f>
              <c:strCache>
                <c:ptCount val="1"/>
                <c:pt idx="0">
                  <c:v>Outlier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alpha val="7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[0]!Bo</c:f>
              <c:numCache>
                <c:formatCode>General</c:formatCode>
                <c:ptCount val="2"/>
                <c:pt idx="0">
                  <c:v>8</c:v>
                </c:pt>
                <c:pt idx="1">
                  <c:v>13</c:v>
                </c:pt>
              </c:numCache>
            </c:numRef>
          </c:xVal>
          <c:yVal>
            <c:numRef>
              <c:f>[0]!BoY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1-4F7B-B762-E5F372A3DC4B}"/>
            </c:ext>
          </c:extLst>
        </c:ser>
        <c:ser>
          <c:idx val="2"/>
          <c:order val="1"/>
          <c:tx>
            <c:strRef>
              <c:f>BeskrivendeStatistik!$DD$10</c:f>
              <c:strCache>
                <c:ptCount val="1"/>
                <c:pt idx="0">
                  <c:v>Boksplot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BeskrivendeStatistik!$DE$6:$DE$19</c:f>
              <c:numCache>
                <c:formatCode>General</c:formatCode>
                <c:ptCount val="14"/>
                <c:pt idx="0">
                  <c:v>-1.479592604535932</c:v>
                </c:pt>
                <c:pt idx="1">
                  <c:v>-1.479592604535932</c:v>
                </c:pt>
                <c:pt idx="2">
                  <c:v>-1.479592604535932</c:v>
                </c:pt>
                <c:pt idx="3">
                  <c:v>-0.77564154305867694</c:v>
                </c:pt>
                <c:pt idx="4">
                  <c:v>-0.77564154305867694</c:v>
                </c:pt>
                <c:pt idx="5">
                  <c:v>1.7034016755912118</c:v>
                </c:pt>
                <c:pt idx="6">
                  <c:v>1.7034016755912118</c:v>
                </c:pt>
                <c:pt idx="7">
                  <c:v>-0.77564154305867694</c:v>
                </c:pt>
                <c:pt idx="8">
                  <c:v>-0.77564154305867694</c:v>
                </c:pt>
                <c:pt idx="9">
                  <c:v>1.7034016755912118</c:v>
                </c:pt>
                <c:pt idx="10">
                  <c:v>1.7034016755912118</c:v>
                </c:pt>
                <c:pt idx="11">
                  <c:v>1.8110756828005981</c:v>
                </c:pt>
                <c:pt idx="12">
                  <c:v>1.8110756828005981</c:v>
                </c:pt>
                <c:pt idx="13">
                  <c:v>1.8110756828005981</c:v>
                </c:pt>
              </c:numCache>
            </c:numRef>
          </c:xVal>
          <c:yVal>
            <c:numRef>
              <c:f>BeskrivendeStatistik!$DF$6:$DF$19</c:f>
              <c:numCache>
                <c:formatCode>General</c:formatCode>
                <c:ptCount val="14"/>
                <c:pt idx="0">
                  <c:v>-1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21-4F7B-B762-E5F372A3DC4B}"/>
            </c:ext>
          </c:extLst>
        </c:ser>
        <c:ser>
          <c:idx val="1"/>
          <c:order val="2"/>
          <c:tx>
            <c:strRef>
              <c:f>BeskrivendeStatistik!$DD$12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BeskrivendeStatistik!$DE$21:$DE$22</c:f>
              <c:numCache>
                <c:formatCode>General</c:formatCode>
                <c:ptCount val="2"/>
                <c:pt idx="0">
                  <c:v>0.49925963399512074</c:v>
                </c:pt>
                <c:pt idx="1">
                  <c:v>0.49925963399512074</c:v>
                </c:pt>
              </c:numCache>
            </c:numRef>
          </c:xVal>
          <c:yVal>
            <c:numRef>
              <c:f>BeskrivendeStatistik!$DF$21:$DF$22</c:f>
              <c:numCache>
                <c:formatCode>General</c:formatCode>
                <c:ptCount val="2"/>
                <c:pt idx="0">
                  <c:v>-1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21-4F7B-B762-E5F372A3D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1263"/>
        <c:axId val="247937903"/>
      </c:scatterChart>
      <c:valAx>
        <c:axId val="247937903"/>
        <c:scaling>
          <c:orientation val="minMax"/>
          <c:max val="1.5"/>
          <c:min val="-1.5"/>
        </c:scaling>
        <c:delete val="1"/>
        <c:axPos val="l"/>
        <c:numFmt formatCode="General" sourceLinked="1"/>
        <c:majorTickMark val="out"/>
        <c:minorTickMark val="none"/>
        <c:tickLblPos val="nextTo"/>
        <c:crossAx val="31931263"/>
        <c:crosses val="autoZero"/>
        <c:crossBetween val="midCat"/>
      </c:valAx>
      <c:valAx>
        <c:axId val="3193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47937903"/>
        <c:crossesAt val="-1.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BeskrivendeStatistik!$CL$6</c:f>
          <c:strCache>
            <c:ptCount val="1"/>
            <c:pt idx="0">
              <c:v>Kvartilsæt for
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BeskrivendeStatistik!$CL$8</c:f>
              <c:strCache>
                <c:ptCount val="1"/>
                <c:pt idx="0">
                  <c:v>1. kvartil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[0]!BxK</c:f>
              <c:strCache>
                <c:ptCount val="5000"/>
                <c:pt idx="0">
                  <c:v>-1.48</c:v>
                </c:pt>
                <c:pt idx="243">
                  <c:v>-0.776</c:v>
                </c:pt>
                <c:pt idx="683">
                  <c:v>0.499</c:v>
                </c:pt>
                <c:pt idx="1099">
                  <c:v>1.703</c:v>
                </c:pt>
                <c:pt idx="4999">
                  <c:v>13</c:v>
                </c:pt>
              </c:strCache>
            </c:strRef>
          </c:cat>
          <c:val>
            <c:numRef>
              <c:f>[0]!Bk_1</c:f>
              <c:numCache>
                <c:formatCode>General</c:formatCode>
                <c:ptCount val="5000"/>
                <c:pt idx="0">
                  <c:v>1.8192576091040986</c:v>
                </c:pt>
                <c:pt idx="1">
                  <c:v>1.8192576091040986</c:v>
                </c:pt>
                <c:pt idx="2">
                  <c:v>1.8192576091040986</c:v>
                </c:pt>
                <c:pt idx="3">
                  <c:v>1.8192576091040986</c:v>
                </c:pt>
                <c:pt idx="4">
                  <c:v>1.8192576091040986</c:v>
                </c:pt>
                <c:pt idx="5">
                  <c:v>1.8192576091040986</c:v>
                </c:pt>
                <c:pt idx="6">
                  <c:v>1.8192576091040986</c:v>
                </c:pt>
                <c:pt idx="7">
                  <c:v>1.8192576091040986</c:v>
                </c:pt>
                <c:pt idx="8">
                  <c:v>1.8192576091040986</c:v>
                </c:pt>
                <c:pt idx="9">
                  <c:v>1.8192576091040986</c:v>
                </c:pt>
                <c:pt idx="10">
                  <c:v>1.8192576091040986</c:v>
                </c:pt>
                <c:pt idx="11">
                  <c:v>1.8192576091040986</c:v>
                </c:pt>
                <c:pt idx="12">
                  <c:v>1.8192576091040986</c:v>
                </c:pt>
                <c:pt idx="13">
                  <c:v>1.8192576091040986</c:v>
                </c:pt>
                <c:pt idx="14">
                  <c:v>1.8192576091040986</c:v>
                </c:pt>
                <c:pt idx="15">
                  <c:v>1.8192576091040986</c:v>
                </c:pt>
                <c:pt idx="16">
                  <c:v>1.8192576091040986</c:v>
                </c:pt>
                <c:pt idx="17">
                  <c:v>1.8192576091040986</c:v>
                </c:pt>
                <c:pt idx="18">
                  <c:v>1.8192576091040986</c:v>
                </c:pt>
                <c:pt idx="19">
                  <c:v>1.8192576091040986</c:v>
                </c:pt>
                <c:pt idx="20">
                  <c:v>1.8192576091040986</c:v>
                </c:pt>
                <c:pt idx="21">
                  <c:v>1.8192576091040986</c:v>
                </c:pt>
                <c:pt idx="22">
                  <c:v>1.8192576091040986</c:v>
                </c:pt>
                <c:pt idx="23">
                  <c:v>1.8192576091040986</c:v>
                </c:pt>
                <c:pt idx="24">
                  <c:v>1.8192576091040986</c:v>
                </c:pt>
                <c:pt idx="25">
                  <c:v>1.8192576091040986</c:v>
                </c:pt>
                <c:pt idx="26">
                  <c:v>1.8192576091040986</c:v>
                </c:pt>
                <c:pt idx="27">
                  <c:v>1.8192576091040986</c:v>
                </c:pt>
                <c:pt idx="28">
                  <c:v>1.8192576091040986</c:v>
                </c:pt>
                <c:pt idx="29">
                  <c:v>1.8192576091040986</c:v>
                </c:pt>
                <c:pt idx="30">
                  <c:v>1.8192576091040986</c:v>
                </c:pt>
                <c:pt idx="31">
                  <c:v>1.8192576091040986</c:v>
                </c:pt>
                <c:pt idx="32">
                  <c:v>1.8192576091040986</c:v>
                </c:pt>
                <c:pt idx="33">
                  <c:v>1.8192576091040986</c:v>
                </c:pt>
                <c:pt idx="34">
                  <c:v>1.8192576091040986</c:v>
                </c:pt>
                <c:pt idx="35">
                  <c:v>1.8192576091040986</c:v>
                </c:pt>
                <c:pt idx="36">
                  <c:v>1.8192576091040986</c:v>
                </c:pt>
                <c:pt idx="37">
                  <c:v>1.8192576091040986</c:v>
                </c:pt>
                <c:pt idx="38">
                  <c:v>1.8192576091040986</c:v>
                </c:pt>
                <c:pt idx="39">
                  <c:v>1.8192576091040986</c:v>
                </c:pt>
                <c:pt idx="40">
                  <c:v>1.8192576091040986</c:v>
                </c:pt>
                <c:pt idx="41">
                  <c:v>1.8192576091040986</c:v>
                </c:pt>
                <c:pt idx="42">
                  <c:v>1.8192576091040986</c:v>
                </c:pt>
                <c:pt idx="43">
                  <c:v>1.8192576091040986</c:v>
                </c:pt>
                <c:pt idx="44">
                  <c:v>1.8192576091040986</c:v>
                </c:pt>
                <c:pt idx="45">
                  <c:v>1.8192576091040986</c:v>
                </c:pt>
                <c:pt idx="46">
                  <c:v>1.8192576091040986</c:v>
                </c:pt>
                <c:pt idx="47">
                  <c:v>1.8192576091040986</c:v>
                </c:pt>
                <c:pt idx="48">
                  <c:v>1.8192576091040986</c:v>
                </c:pt>
                <c:pt idx="49">
                  <c:v>1.8192576091040986</c:v>
                </c:pt>
                <c:pt idx="50">
                  <c:v>1.8192576091040986</c:v>
                </c:pt>
                <c:pt idx="51">
                  <c:v>1.8192576091040986</c:v>
                </c:pt>
                <c:pt idx="52">
                  <c:v>1.8192576091040986</c:v>
                </c:pt>
                <c:pt idx="53">
                  <c:v>1.8192576091040986</c:v>
                </c:pt>
                <c:pt idx="54">
                  <c:v>1.8192576091040986</c:v>
                </c:pt>
                <c:pt idx="55">
                  <c:v>1.8192576091040986</c:v>
                </c:pt>
                <c:pt idx="56">
                  <c:v>1.8192576091040986</c:v>
                </c:pt>
                <c:pt idx="57">
                  <c:v>1.8192576091040986</c:v>
                </c:pt>
                <c:pt idx="58">
                  <c:v>1.8192576091040986</c:v>
                </c:pt>
                <c:pt idx="59">
                  <c:v>1.8192576091040986</c:v>
                </c:pt>
                <c:pt idx="60">
                  <c:v>1.8192576091040986</c:v>
                </c:pt>
                <c:pt idx="61">
                  <c:v>1.8192576091040986</c:v>
                </c:pt>
                <c:pt idx="62">
                  <c:v>1.8192576091040986</c:v>
                </c:pt>
                <c:pt idx="63">
                  <c:v>1.8192576091040986</c:v>
                </c:pt>
                <c:pt idx="64">
                  <c:v>1.8192576091040986</c:v>
                </c:pt>
                <c:pt idx="65">
                  <c:v>1.8192576091040986</c:v>
                </c:pt>
                <c:pt idx="66">
                  <c:v>1.8192576091040986</c:v>
                </c:pt>
                <c:pt idx="67">
                  <c:v>1.8192576091040986</c:v>
                </c:pt>
                <c:pt idx="68">
                  <c:v>1.8192576091040986</c:v>
                </c:pt>
                <c:pt idx="69">
                  <c:v>1.8192576091040986</c:v>
                </c:pt>
                <c:pt idx="70">
                  <c:v>1.8192576091040986</c:v>
                </c:pt>
                <c:pt idx="71">
                  <c:v>1.8192576091040986</c:v>
                </c:pt>
                <c:pt idx="72">
                  <c:v>1.8192576091040986</c:v>
                </c:pt>
                <c:pt idx="73">
                  <c:v>1.8192576091040986</c:v>
                </c:pt>
                <c:pt idx="74">
                  <c:v>1.8192576091040986</c:v>
                </c:pt>
                <c:pt idx="75">
                  <c:v>1.8192576091040986</c:v>
                </c:pt>
                <c:pt idx="76">
                  <c:v>1.8192576091040986</c:v>
                </c:pt>
                <c:pt idx="77">
                  <c:v>1.8192576091040986</c:v>
                </c:pt>
                <c:pt idx="78">
                  <c:v>1.8192576091040986</c:v>
                </c:pt>
                <c:pt idx="79">
                  <c:v>1.8192576091040986</c:v>
                </c:pt>
                <c:pt idx="80">
                  <c:v>1.8192576091040986</c:v>
                </c:pt>
                <c:pt idx="81">
                  <c:v>1.8192576091040986</c:v>
                </c:pt>
                <c:pt idx="82">
                  <c:v>1.8192576091040986</c:v>
                </c:pt>
                <c:pt idx="83">
                  <c:v>1.8192576091040986</c:v>
                </c:pt>
                <c:pt idx="84">
                  <c:v>1.8192576091040986</c:v>
                </c:pt>
                <c:pt idx="85">
                  <c:v>1.8192576091040986</c:v>
                </c:pt>
                <c:pt idx="86">
                  <c:v>1.8192576091040986</c:v>
                </c:pt>
                <c:pt idx="87">
                  <c:v>1.8192576091040986</c:v>
                </c:pt>
                <c:pt idx="88">
                  <c:v>1.8192576091040986</c:v>
                </c:pt>
                <c:pt idx="89">
                  <c:v>1.8192576091040986</c:v>
                </c:pt>
                <c:pt idx="90">
                  <c:v>1.8192576091040986</c:v>
                </c:pt>
                <c:pt idx="91">
                  <c:v>1.8192576091040986</c:v>
                </c:pt>
                <c:pt idx="92">
                  <c:v>1.8192576091040986</c:v>
                </c:pt>
                <c:pt idx="93">
                  <c:v>1.8192576091040986</c:v>
                </c:pt>
                <c:pt idx="94">
                  <c:v>1.8192576091040986</c:v>
                </c:pt>
                <c:pt idx="95">
                  <c:v>1.8192576091040986</c:v>
                </c:pt>
                <c:pt idx="96">
                  <c:v>1.8192576091040986</c:v>
                </c:pt>
                <c:pt idx="97">
                  <c:v>1.8192576091040986</c:v>
                </c:pt>
                <c:pt idx="98">
                  <c:v>1.8192576091040986</c:v>
                </c:pt>
                <c:pt idx="99">
                  <c:v>1.8192576091040986</c:v>
                </c:pt>
                <c:pt idx="100">
                  <c:v>1.8192576091040986</c:v>
                </c:pt>
                <c:pt idx="101">
                  <c:v>1.8192576091040986</c:v>
                </c:pt>
                <c:pt idx="102">
                  <c:v>1.8192576091040986</c:v>
                </c:pt>
                <c:pt idx="103">
                  <c:v>1.8192576091040986</c:v>
                </c:pt>
                <c:pt idx="104">
                  <c:v>1.8192576091040986</c:v>
                </c:pt>
                <c:pt idx="105">
                  <c:v>1.8192576091040986</c:v>
                </c:pt>
                <c:pt idx="106">
                  <c:v>1.8192576091040986</c:v>
                </c:pt>
                <c:pt idx="107">
                  <c:v>1.8192576091040986</c:v>
                </c:pt>
                <c:pt idx="108">
                  <c:v>1.8192576091040986</c:v>
                </c:pt>
                <c:pt idx="109">
                  <c:v>1.8192576091040986</c:v>
                </c:pt>
                <c:pt idx="110">
                  <c:v>1.8192576091040986</c:v>
                </c:pt>
                <c:pt idx="111">
                  <c:v>1.8192576091040986</c:v>
                </c:pt>
                <c:pt idx="112">
                  <c:v>1.8192576091040986</c:v>
                </c:pt>
                <c:pt idx="113">
                  <c:v>1.8192576091040986</c:v>
                </c:pt>
                <c:pt idx="114">
                  <c:v>1.8192576091040986</c:v>
                </c:pt>
                <c:pt idx="115">
                  <c:v>1.8192576091040986</c:v>
                </c:pt>
                <c:pt idx="116">
                  <c:v>1.8192576091040986</c:v>
                </c:pt>
                <c:pt idx="117">
                  <c:v>1.8192576091040986</c:v>
                </c:pt>
                <c:pt idx="118">
                  <c:v>1.8192576091040986</c:v>
                </c:pt>
                <c:pt idx="119">
                  <c:v>1.8192576091040986</c:v>
                </c:pt>
                <c:pt idx="120">
                  <c:v>1.8192576091040986</c:v>
                </c:pt>
                <c:pt idx="121">
                  <c:v>1.8192576091040986</c:v>
                </c:pt>
                <c:pt idx="122">
                  <c:v>1.8192576091040986</c:v>
                </c:pt>
                <c:pt idx="123">
                  <c:v>1.8192576091040986</c:v>
                </c:pt>
                <c:pt idx="124">
                  <c:v>1.8192576091040986</c:v>
                </c:pt>
                <c:pt idx="125">
                  <c:v>1.8192576091040986</c:v>
                </c:pt>
                <c:pt idx="126">
                  <c:v>1.8192576091040986</c:v>
                </c:pt>
                <c:pt idx="127">
                  <c:v>1.8192576091040986</c:v>
                </c:pt>
                <c:pt idx="128">
                  <c:v>1.8192576091040986</c:v>
                </c:pt>
                <c:pt idx="129">
                  <c:v>1.8192576091040986</c:v>
                </c:pt>
                <c:pt idx="130">
                  <c:v>1.8192576091040986</c:v>
                </c:pt>
                <c:pt idx="131">
                  <c:v>1.8192576091040986</c:v>
                </c:pt>
                <c:pt idx="132">
                  <c:v>1.8192576091040986</c:v>
                </c:pt>
                <c:pt idx="133">
                  <c:v>1.8192576091040986</c:v>
                </c:pt>
                <c:pt idx="134">
                  <c:v>1.8192576091040986</c:v>
                </c:pt>
                <c:pt idx="135">
                  <c:v>1.8192576091040986</c:v>
                </c:pt>
                <c:pt idx="136">
                  <c:v>1.8192576091040986</c:v>
                </c:pt>
                <c:pt idx="137">
                  <c:v>1.8192576091040986</c:v>
                </c:pt>
                <c:pt idx="138">
                  <c:v>1.8192576091040986</c:v>
                </c:pt>
                <c:pt idx="139">
                  <c:v>1.8192576091040986</c:v>
                </c:pt>
                <c:pt idx="140">
                  <c:v>1.8192576091040986</c:v>
                </c:pt>
                <c:pt idx="141">
                  <c:v>1.8192576091040986</c:v>
                </c:pt>
                <c:pt idx="142">
                  <c:v>1.8192576091040986</c:v>
                </c:pt>
                <c:pt idx="143">
                  <c:v>1.8192576091040986</c:v>
                </c:pt>
                <c:pt idx="144">
                  <c:v>1.8192576091040986</c:v>
                </c:pt>
                <c:pt idx="145">
                  <c:v>1.8192576091040986</c:v>
                </c:pt>
                <c:pt idx="146">
                  <c:v>1.8192576091040986</c:v>
                </c:pt>
                <c:pt idx="147">
                  <c:v>1.8192576091040986</c:v>
                </c:pt>
                <c:pt idx="148">
                  <c:v>1.8192576091040986</c:v>
                </c:pt>
                <c:pt idx="149">
                  <c:v>1.8192576091040986</c:v>
                </c:pt>
                <c:pt idx="150">
                  <c:v>1.8192576091040986</c:v>
                </c:pt>
                <c:pt idx="151">
                  <c:v>1.8192576091040986</c:v>
                </c:pt>
                <c:pt idx="152">
                  <c:v>1.8192576091040986</c:v>
                </c:pt>
                <c:pt idx="153">
                  <c:v>1.8192576091040986</c:v>
                </c:pt>
                <c:pt idx="154">
                  <c:v>1.8192576091040986</c:v>
                </c:pt>
                <c:pt idx="155">
                  <c:v>1.8192576091040986</c:v>
                </c:pt>
                <c:pt idx="156">
                  <c:v>1.8192576091040986</c:v>
                </c:pt>
                <c:pt idx="157">
                  <c:v>1.8192576091040986</c:v>
                </c:pt>
                <c:pt idx="158">
                  <c:v>1.8192576091040986</c:v>
                </c:pt>
                <c:pt idx="159">
                  <c:v>1.8192576091040986</c:v>
                </c:pt>
                <c:pt idx="160">
                  <c:v>1.8192576091040986</c:v>
                </c:pt>
                <c:pt idx="161">
                  <c:v>1.8192576091040986</c:v>
                </c:pt>
                <c:pt idx="162">
                  <c:v>1.8192576091040986</c:v>
                </c:pt>
                <c:pt idx="163">
                  <c:v>1.8192576091040986</c:v>
                </c:pt>
                <c:pt idx="164">
                  <c:v>1.8192576091040986</c:v>
                </c:pt>
                <c:pt idx="165">
                  <c:v>1.8192576091040986</c:v>
                </c:pt>
                <c:pt idx="166">
                  <c:v>1.8192576091040986</c:v>
                </c:pt>
                <c:pt idx="167">
                  <c:v>1.8192576091040986</c:v>
                </c:pt>
                <c:pt idx="168">
                  <c:v>1.8192576091040986</c:v>
                </c:pt>
                <c:pt idx="169">
                  <c:v>1.8192576091040986</c:v>
                </c:pt>
                <c:pt idx="170">
                  <c:v>1.8192576091040986</c:v>
                </c:pt>
                <c:pt idx="171">
                  <c:v>1.8192576091040986</c:v>
                </c:pt>
                <c:pt idx="172">
                  <c:v>1.8192576091040986</c:v>
                </c:pt>
                <c:pt idx="173">
                  <c:v>1.8192576091040986</c:v>
                </c:pt>
                <c:pt idx="174">
                  <c:v>1.8192576091040986</c:v>
                </c:pt>
                <c:pt idx="175">
                  <c:v>1.8192576091040986</c:v>
                </c:pt>
                <c:pt idx="176">
                  <c:v>1.8192576091040986</c:v>
                </c:pt>
                <c:pt idx="177">
                  <c:v>1.8192576091040986</c:v>
                </c:pt>
                <c:pt idx="178">
                  <c:v>1.8192576091040986</c:v>
                </c:pt>
                <c:pt idx="179">
                  <c:v>1.8192576091040986</c:v>
                </c:pt>
                <c:pt idx="180">
                  <c:v>1.8192576091040986</c:v>
                </c:pt>
                <c:pt idx="181">
                  <c:v>1.8192576091040986</c:v>
                </c:pt>
                <c:pt idx="182">
                  <c:v>1.8192576091040986</c:v>
                </c:pt>
                <c:pt idx="183">
                  <c:v>1.8192576091040986</c:v>
                </c:pt>
                <c:pt idx="184">
                  <c:v>1.8192576091040986</c:v>
                </c:pt>
                <c:pt idx="185">
                  <c:v>1.8192576091040986</c:v>
                </c:pt>
                <c:pt idx="186">
                  <c:v>1.8192576091040986</c:v>
                </c:pt>
                <c:pt idx="187">
                  <c:v>1.8192576091040986</c:v>
                </c:pt>
                <c:pt idx="188">
                  <c:v>1.8192576091040986</c:v>
                </c:pt>
                <c:pt idx="189">
                  <c:v>1.8192576091040986</c:v>
                </c:pt>
                <c:pt idx="190">
                  <c:v>1.8192576091040986</c:v>
                </c:pt>
                <c:pt idx="191">
                  <c:v>1.8192576091040986</c:v>
                </c:pt>
                <c:pt idx="192">
                  <c:v>1.8192576091040986</c:v>
                </c:pt>
                <c:pt idx="193">
                  <c:v>1.8192576091040986</c:v>
                </c:pt>
                <c:pt idx="194">
                  <c:v>1.8192576091040986</c:v>
                </c:pt>
                <c:pt idx="195">
                  <c:v>1.8192576091040986</c:v>
                </c:pt>
                <c:pt idx="196">
                  <c:v>1.8192576091040986</c:v>
                </c:pt>
                <c:pt idx="197">
                  <c:v>1.8192576091040986</c:v>
                </c:pt>
                <c:pt idx="198">
                  <c:v>1.8192576091040986</c:v>
                </c:pt>
                <c:pt idx="199">
                  <c:v>1.8192576091040986</c:v>
                </c:pt>
                <c:pt idx="200">
                  <c:v>1.8192576091040986</c:v>
                </c:pt>
                <c:pt idx="201">
                  <c:v>1.8192576091040986</c:v>
                </c:pt>
                <c:pt idx="202">
                  <c:v>1.8192576091040986</c:v>
                </c:pt>
                <c:pt idx="203">
                  <c:v>1.8192576091040986</c:v>
                </c:pt>
                <c:pt idx="204">
                  <c:v>1.8192576091040986</c:v>
                </c:pt>
                <c:pt idx="205">
                  <c:v>1.8192576091040986</c:v>
                </c:pt>
                <c:pt idx="206">
                  <c:v>1.8192576091040986</c:v>
                </c:pt>
                <c:pt idx="207">
                  <c:v>1.8192576091040986</c:v>
                </c:pt>
                <c:pt idx="208">
                  <c:v>1.8192576091040986</c:v>
                </c:pt>
                <c:pt idx="209">
                  <c:v>1.8192576091040986</c:v>
                </c:pt>
                <c:pt idx="210">
                  <c:v>1.8192576091040986</c:v>
                </c:pt>
                <c:pt idx="211">
                  <c:v>1.8192576091040986</c:v>
                </c:pt>
                <c:pt idx="212">
                  <c:v>1.8192576091040986</c:v>
                </c:pt>
                <c:pt idx="213">
                  <c:v>1.8192576091040986</c:v>
                </c:pt>
                <c:pt idx="214">
                  <c:v>1.8192576091040986</c:v>
                </c:pt>
                <c:pt idx="215">
                  <c:v>1.8192576091040986</c:v>
                </c:pt>
                <c:pt idx="216">
                  <c:v>1.8192576091040986</c:v>
                </c:pt>
                <c:pt idx="217">
                  <c:v>1.8192576091040986</c:v>
                </c:pt>
                <c:pt idx="218">
                  <c:v>1.8192576091040986</c:v>
                </c:pt>
                <c:pt idx="219">
                  <c:v>1.8192576091040986</c:v>
                </c:pt>
                <c:pt idx="220">
                  <c:v>1.8192576091040986</c:v>
                </c:pt>
                <c:pt idx="221">
                  <c:v>1.8192576091040986</c:v>
                </c:pt>
                <c:pt idx="222">
                  <c:v>1.8192576091040986</c:v>
                </c:pt>
                <c:pt idx="223">
                  <c:v>1.8192576091040986</c:v>
                </c:pt>
                <c:pt idx="224">
                  <c:v>1.8192576091040986</c:v>
                </c:pt>
                <c:pt idx="225">
                  <c:v>1.8192576091040986</c:v>
                </c:pt>
                <c:pt idx="226">
                  <c:v>1.8192576091040986</c:v>
                </c:pt>
                <c:pt idx="227">
                  <c:v>1.8192576091040986</c:v>
                </c:pt>
                <c:pt idx="228">
                  <c:v>1.8192576091040986</c:v>
                </c:pt>
                <c:pt idx="229">
                  <c:v>1.8192576091040986</c:v>
                </c:pt>
                <c:pt idx="230">
                  <c:v>1.8192576091040986</c:v>
                </c:pt>
                <c:pt idx="231">
                  <c:v>1.8192576091040986</c:v>
                </c:pt>
                <c:pt idx="232">
                  <c:v>1.8192576091040986</c:v>
                </c:pt>
                <c:pt idx="233">
                  <c:v>1.8192576091040986</c:v>
                </c:pt>
                <c:pt idx="234">
                  <c:v>1.8192576091040986</c:v>
                </c:pt>
                <c:pt idx="235">
                  <c:v>1.8192576091040986</c:v>
                </c:pt>
                <c:pt idx="236">
                  <c:v>1.8192576091040986</c:v>
                </c:pt>
                <c:pt idx="237">
                  <c:v>1.8192576091040986</c:v>
                </c:pt>
                <c:pt idx="238">
                  <c:v>1.8192576091040986</c:v>
                </c:pt>
                <c:pt idx="239">
                  <c:v>1.8192576091040986</c:v>
                </c:pt>
                <c:pt idx="240">
                  <c:v>1.8192576091040986</c:v>
                </c:pt>
                <c:pt idx="241">
                  <c:v>1.8192576091040986</c:v>
                </c:pt>
                <c:pt idx="242">
                  <c:v>1.8192576091040986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8-4A7A-88F9-3FB27C46CC0F}"/>
            </c:ext>
          </c:extLst>
        </c:ser>
        <c:ser>
          <c:idx val="1"/>
          <c:order val="1"/>
          <c:tx>
            <c:strRef>
              <c:f>BeskrivendeStatistik!$CL$9</c:f>
              <c:strCache>
                <c:ptCount val="1"/>
                <c:pt idx="0">
                  <c:v>2. kvartil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[0]!BxK</c:f>
              <c:strCache>
                <c:ptCount val="5000"/>
                <c:pt idx="0">
                  <c:v>-1.48</c:v>
                </c:pt>
                <c:pt idx="243">
                  <c:v>-0.776</c:v>
                </c:pt>
                <c:pt idx="683">
                  <c:v>0.499</c:v>
                </c:pt>
                <c:pt idx="1099">
                  <c:v>1.703</c:v>
                </c:pt>
                <c:pt idx="4999">
                  <c:v>13</c:v>
                </c:pt>
              </c:strCache>
            </c:strRef>
          </c:cat>
          <c:val>
            <c:numRef>
              <c:f>[0]!Bk_2</c:f>
              <c:numCache>
                <c:formatCode>General</c:formatCode>
                <c:ptCount val="5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1.0047263613915816</c:v>
                </c:pt>
                <c:pt idx="244">
                  <c:v>1.0047263613915816</c:v>
                </c:pt>
                <c:pt idx="245">
                  <c:v>1.0047263613915816</c:v>
                </c:pt>
                <c:pt idx="246">
                  <c:v>1.0047263613915816</c:v>
                </c:pt>
                <c:pt idx="247">
                  <c:v>1.0047263613915816</c:v>
                </c:pt>
                <c:pt idx="248">
                  <c:v>1.0047263613915816</c:v>
                </c:pt>
                <c:pt idx="249">
                  <c:v>1.0047263613915816</c:v>
                </c:pt>
                <c:pt idx="250">
                  <c:v>1.0047263613915816</c:v>
                </c:pt>
                <c:pt idx="251">
                  <c:v>1.0047263613915816</c:v>
                </c:pt>
                <c:pt idx="252">
                  <c:v>1.0047263613915816</c:v>
                </c:pt>
                <c:pt idx="253">
                  <c:v>1.0047263613915816</c:v>
                </c:pt>
                <c:pt idx="254">
                  <c:v>1.0047263613915816</c:v>
                </c:pt>
                <c:pt idx="255">
                  <c:v>1.0047263613915816</c:v>
                </c:pt>
                <c:pt idx="256">
                  <c:v>1.0047263613915816</c:v>
                </c:pt>
                <c:pt idx="257">
                  <c:v>1.0047263613915816</c:v>
                </c:pt>
                <c:pt idx="258">
                  <c:v>1.0047263613915816</c:v>
                </c:pt>
                <c:pt idx="259">
                  <c:v>1.0047263613915816</c:v>
                </c:pt>
                <c:pt idx="260">
                  <c:v>1.0047263613915816</c:v>
                </c:pt>
                <c:pt idx="261">
                  <c:v>1.0047263613915816</c:v>
                </c:pt>
                <c:pt idx="262">
                  <c:v>1.0047263613915816</c:v>
                </c:pt>
                <c:pt idx="263">
                  <c:v>1.0047263613915816</c:v>
                </c:pt>
                <c:pt idx="264">
                  <c:v>1.0047263613915816</c:v>
                </c:pt>
                <c:pt idx="265">
                  <c:v>1.0047263613915816</c:v>
                </c:pt>
                <c:pt idx="266">
                  <c:v>1.0047263613915816</c:v>
                </c:pt>
                <c:pt idx="267">
                  <c:v>1.0047263613915816</c:v>
                </c:pt>
                <c:pt idx="268">
                  <c:v>1.0047263613915816</c:v>
                </c:pt>
                <c:pt idx="269">
                  <c:v>1.0047263613915816</c:v>
                </c:pt>
                <c:pt idx="270">
                  <c:v>1.0047263613915816</c:v>
                </c:pt>
                <c:pt idx="271">
                  <c:v>1.0047263613915816</c:v>
                </c:pt>
                <c:pt idx="272">
                  <c:v>1.0047263613915816</c:v>
                </c:pt>
                <c:pt idx="273">
                  <c:v>1.0047263613915816</c:v>
                </c:pt>
                <c:pt idx="274">
                  <c:v>1.0047263613915816</c:v>
                </c:pt>
                <c:pt idx="275">
                  <c:v>1.0047263613915816</c:v>
                </c:pt>
                <c:pt idx="276">
                  <c:v>1.0047263613915816</c:v>
                </c:pt>
                <c:pt idx="277">
                  <c:v>1.0047263613915816</c:v>
                </c:pt>
                <c:pt idx="278">
                  <c:v>1.0047263613915816</c:v>
                </c:pt>
                <c:pt idx="279">
                  <c:v>1.0047263613915816</c:v>
                </c:pt>
                <c:pt idx="280">
                  <c:v>1.0047263613915816</c:v>
                </c:pt>
                <c:pt idx="281">
                  <c:v>1.0047263613915816</c:v>
                </c:pt>
                <c:pt idx="282">
                  <c:v>1.0047263613915816</c:v>
                </c:pt>
                <c:pt idx="283">
                  <c:v>1.0047263613915816</c:v>
                </c:pt>
                <c:pt idx="284">
                  <c:v>1.0047263613915816</c:v>
                </c:pt>
                <c:pt idx="285">
                  <c:v>1.0047263613915816</c:v>
                </c:pt>
                <c:pt idx="286">
                  <c:v>1.0047263613915816</c:v>
                </c:pt>
                <c:pt idx="287">
                  <c:v>1.0047263613915816</c:v>
                </c:pt>
                <c:pt idx="288">
                  <c:v>1.0047263613915816</c:v>
                </c:pt>
                <c:pt idx="289">
                  <c:v>1.0047263613915816</c:v>
                </c:pt>
                <c:pt idx="290">
                  <c:v>1.0047263613915816</c:v>
                </c:pt>
                <c:pt idx="291">
                  <c:v>1.0047263613915816</c:v>
                </c:pt>
                <c:pt idx="292">
                  <c:v>1.0047263613915816</c:v>
                </c:pt>
                <c:pt idx="293">
                  <c:v>1.0047263613915816</c:v>
                </c:pt>
                <c:pt idx="294">
                  <c:v>1.0047263613915816</c:v>
                </c:pt>
                <c:pt idx="295">
                  <c:v>1.0047263613915816</c:v>
                </c:pt>
                <c:pt idx="296">
                  <c:v>1.0047263613915816</c:v>
                </c:pt>
                <c:pt idx="297">
                  <c:v>1.0047263613915816</c:v>
                </c:pt>
                <c:pt idx="298">
                  <c:v>1.0047263613915816</c:v>
                </c:pt>
                <c:pt idx="299">
                  <c:v>1.0047263613915816</c:v>
                </c:pt>
                <c:pt idx="300">
                  <c:v>1.0047263613915816</c:v>
                </c:pt>
                <c:pt idx="301">
                  <c:v>1.0047263613915816</c:v>
                </c:pt>
                <c:pt idx="302">
                  <c:v>1.0047263613915816</c:v>
                </c:pt>
                <c:pt idx="303">
                  <c:v>1.0047263613915816</c:v>
                </c:pt>
                <c:pt idx="304">
                  <c:v>1.0047263613915816</c:v>
                </c:pt>
                <c:pt idx="305">
                  <c:v>1.0047263613915816</c:v>
                </c:pt>
                <c:pt idx="306">
                  <c:v>1.0047263613915816</c:v>
                </c:pt>
                <c:pt idx="307">
                  <c:v>1.0047263613915816</c:v>
                </c:pt>
                <c:pt idx="308">
                  <c:v>1.0047263613915816</c:v>
                </c:pt>
                <c:pt idx="309">
                  <c:v>1.0047263613915816</c:v>
                </c:pt>
                <c:pt idx="310">
                  <c:v>1.0047263613915816</c:v>
                </c:pt>
                <c:pt idx="311">
                  <c:v>1.0047263613915816</c:v>
                </c:pt>
                <c:pt idx="312">
                  <c:v>1.0047263613915816</c:v>
                </c:pt>
                <c:pt idx="313">
                  <c:v>1.0047263613915816</c:v>
                </c:pt>
                <c:pt idx="314">
                  <c:v>1.0047263613915816</c:v>
                </c:pt>
                <c:pt idx="315">
                  <c:v>1.0047263613915816</c:v>
                </c:pt>
                <c:pt idx="316">
                  <c:v>1.0047263613915816</c:v>
                </c:pt>
                <c:pt idx="317">
                  <c:v>1.0047263613915816</c:v>
                </c:pt>
                <c:pt idx="318">
                  <c:v>1.0047263613915816</c:v>
                </c:pt>
                <c:pt idx="319">
                  <c:v>1.0047263613915816</c:v>
                </c:pt>
                <c:pt idx="320">
                  <c:v>1.0047263613915816</c:v>
                </c:pt>
                <c:pt idx="321">
                  <c:v>1.0047263613915816</c:v>
                </c:pt>
                <c:pt idx="322">
                  <c:v>1.0047263613915816</c:v>
                </c:pt>
                <c:pt idx="323">
                  <c:v>1.0047263613915816</c:v>
                </c:pt>
                <c:pt idx="324">
                  <c:v>1.0047263613915816</c:v>
                </c:pt>
                <c:pt idx="325">
                  <c:v>1.0047263613915816</c:v>
                </c:pt>
                <c:pt idx="326">
                  <c:v>1.0047263613915816</c:v>
                </c:pt>
                <c:pt idx="327">
                  <c:v>1.0047263613915816</c:v>
                </c:pt>
                <c:pt idx="328">
                  <c:v>1.0047263613915816</c:v>
                </c:pt>
                <c:pt idx="329">
                  <c:v>1.0047263613915816</c:v>
                </c:pt>
                <c:pt idx="330">
                  <c:v>1.0047263613915816</c:v>
                </c:pt>
                <c:pt idx="331">
                  <c:v>1.0047263613915816</c:v>
                </c:pt>
                <c:pt idx="332">
                  <c:v>1.0047263613915816</c:v>
                </c:pt>
                <c:pt idx="333">
                  <c:v>1.0047263613915816</c:v>
                </c:pt>
                <c:pt idx="334">
                  <c:v>1.0047263613915816</c:v>
                </c:pt>
                <c:pt idx="335">
                  <c:v>1.0047263613915816</c:v>
                </c:pt>
                <c:pt idx="336">
                  <c:v>1.0047263613915816</c:v>
                </c:pt>
                <c:pt idx="337">
                  <c:v>1.0047263613915816</c:v>
                </c:pt>
                <c:pt idx="338">
                  <c:v>1.0047263613915816</c:v>
                </c:pt>
                <c:pt idx="339">
                  <c:v>1.0047263613915816</c:v>
                </c:pt>
                <c:pt idx="340">
                  <c:v>1.0047263613915816</c:v>
                </c:pt>
                <c:pt idx="341">
                  <c:v>1.0047263613915816</c:v>
                </c:pt>
                <c:pt idx="342">
                  <c:v>1.0047263613915816</c:v>
                </c:pt>
                <c:pt idx="343">
                  <c:v>1.0047263613915816</c:v>
                </c:pt>
                <c:pt idx="344">
                  <c:v>1.0047263613915816</c:v>
                </c:pt>
                <c:pt idx="345">
                  <c:v>1.0047263613915816</c:v>
                </c:pt>
                <c:pt idx="346">
                  <c:v>1.0047263613915816</c:v>
                </c:pt>
                <c:pt idx="347">
                  <c:v>1.0047263613915816</c:v>
                </c:pt>
                <c:pt idx="348">
                  <c:v>1.0047263613915816</c:v>
                </c:pt>
                <c:pt idx="349">
                  <c:v>1.0047263613915816</c:v>
                </c:pt>
                <c:pt idx="350">
                  <c:v>1.0047263613915816</c:v>
                </c:pt>
                <c:pt idx="351">
                  <c:v>1.0047263613915816</c:v>
                </c:pt>
                <c:pt idx="352">
                  <c:v>1.0047263613915816</c:v>
                </c:pt>
                <c:pt idx="353">
                  <c:v>1.0047263613915816</c:v>
                </c:pt>
                <c:pt idx="354">
                  <c:v>1.0047263613915816</c:v>
                </c:pt>
                <c:pt idx="355">
                  <c:v>1.0047263613915816</c:v>
                </c:pt>
                <c:pt idx="356">
                  <c:v>1.0047263613915816</c:v>
                </c:pt>
                <c:pt idx="357">
                  <c:v>1.0047263613915816</c:v>
                </c:pt>
                <c:pt idx="358">
                  <c:v>1.0047263613915816</c:v>
                </c:pt>
                <c:pt idx="359">
                  <c:v>1.0047263613915816</c:v>
                </c:pt>
                <c:pt idx="360">
                  <c:v>1.0047263613915816</c:v>
                </c:pt>
                <c:pt idx="361">
                  <c:v>1.0047263613915816</c:v>
                </c:pt>
                <c:pt idx="362">
                  <c:v>1.0047263613915816</c:v>
                </c:pt>
                <c:pt idx="363">
                  <c:v>1.0047263613915816</c:v>
                </c:pt>
                <c:pt idx="364">
                  <c:v>1.0047263613915816</c:v>
                </c:pt>
                <c:pt idx="365">
                  <c:v>1.0047263613915816</c:v>
                </c:pt>
                <c:pt idx="366">
                  <c:v>1.0047263613915816</c:v>
                </c:pt>
                <c:pt idx="367">
                  <c:v>1.0047263613915816</c:v>
                </c:pt>
                <c:pt idx="368">
                  <c:v>1.0047263613915816</c:v>
                </c:pt>
                <c:pt idx="369">
                  <c:v>1.0047263613915816</c:v>
                </c:pt>
                <c:pt idx="370">
                  <c:v>1.0047263613915816</c:v>
                </c:pt>
                <c:pt idx="371">
                  <c:v>1.0047263613915816</c:v>
                </c:pt>
                <c:pt idx="372">
                  <c:v>1.0047263613915816</c:v>
                </c:pt>
                <c:pt idx="373">
                  <c:v>1.0047263613915816</c:v>
                </c:pt>
                <c:pt idx="374">
                  <c:v>1.0047263613915816</c:v>
                </c:pt>
                <c:pt idx="375">
                  <c:v>1.0047263613915816</c:v>
                </c:pt>
                <c:pt idx="376">
                  <c:v>1.0047263613915816</c:v>
                </c:pt>
                <c:pt idx="377">
                  <c:v>1.0047263613915816</c:v>
                </c:pt>
                <c:pt idx="378">
                  <c:v>1.0047263613915816</c:v>
                </c:pt>
                <c:pt idx="379">
                  <c:v>1.0047263613915816</c:v>
                </c:pt>
                <c:pt idx="380">
                  <c:v>1.0047263613915816</c:v>
                </c:pt>
                <c:pt idx="381">
                  <c:v>1.0047263613915816</c:v>
                </c:pt>
                <c:pt idx="382">
                  <c:v>1.0047263613915816</c:v>
                </c:pt>
                <c:pt idx="383">
                  <c:v>1.0047263613915816</c:v>
                </c:pt>
                <c:pt idx="384">
                  <c:v>1.0047263613915816</c:v>
                </c:pt>
                <c:pt idx="385">
                  <c:v>1.0047263613915816</c:v>
                </c:pt>
                <c:pt idx="386">
                  <c:v>1.0047263613915816</c:v>
                </c:pt>
                <c:pt idx="387">
                  <c:v>1.0047263613915816</c:v>
                </c:pt>
                <c:pt idx="388">
                  <c:v>1.0047263613915816</c:v>
                </c:pt>
                <c:pt idx="389">
                  <c:v>1.0047263613915816</c:v>
                </c:pt>
                <c:pt idx="390">
                  <c:v>1.0047263613915816</c:v>
                </c:pt>
                <c:pt idx="391">
                  <c:v>1.0047263613915816</c:v>
                </c:pt>
                <c:pt idx="392">
                  <c:v>1.0047263613915816</c:v>
                </c:pt>
                <c:pt idx="393">
                  <c:v>1.0047263613915816</c:v>
                </c:pt>
                <c:pt idx="394">
                  <c:v>1.0047263613915816</c:v>
                </c:pt>
                <c:pt idx="395">
                  <c:v>1.0047263613915816</c:v>
                </c:pt>
                <c:pt idx="396">
                  <c:v>1.0047263613915816</c:v>
                </c:pt>
                <c:pt idx="397">
                  <c:v>1.0047263613915816</c:v>
                </c:pt>
                <c:pt idx="398">
                  <c:v>1.0047263613915816</c:v>
                </c:pt>
                <c:pt idx="399">
                  <c:v>1.0047263613915816</c:v>
                </c:pt>
                <c:pt idx="400">
                  <c:v>1.0047263613915816</c:v>
                </c:pt>
                <c:pt idx="401">
                  <c:v>1.0047263613915816</c:v>
                </c:pt>
                <c:pt idx="402">
                  <c:v>1.0047263613915816</c:v>
                </c:pt>
                <c:pt idx="403">
                  <c:v>1.0047263613915816</c:v>
                </c:pt>
                <c:pt idx="404">
                  <c:v>1.0047263613915816</c:v>
                </c:pt>
                <c:pt idx="405">
                  <c:v>1.0047263613915816</c:v>
                </c:pt>
                <c:pt idx="406">
                  <c:v>1.0047263613915816</c:v>
                </c:pt>
                <c:pt idx="407">
                  <c:v>1.0047263613915816</c:v>
                </c:pt>
                <c:pt idx="408">
                  <c:v>1.0047263613915816</c:v>
                </c:pt>
                <c:pt idx="409">
                  <c:v>1.0047263613915816</c:v>
                </c:pt>
                <c:pt idx="410">
                  <c:v>1.0047263613915816</c:v>
                </c:pt>
                <c:pt idx="411">
                  <c:v>1.0047263613915816</c:v>
                </c:pt>
                <c:pt idx="412">
                  <c:v>1.0047263613915816</c:v>
                </c:pt>
                <c:pt idx="413">
                  <c:v>1.0047263613915816</c:v>
                </c:pt>
                <c:pt idx="414">
                  <c:v>1.0047263613915816</c:v>
                </c:pt>
                <c:pt idx="415">
                  <c:v>1.0047263613915816</c:v>
                </c:pt>
                <c:pt idx="416">
                  <c:v>1.0047263613915816</c:v>
                </c:pt>
                <c:pt idx="417">
                  <c:v>1.0047263613915816</c:v>
                </c:pt>
                <c:pt idx="418">
                  <c:v>1.0047263613915816</c:v>
                </c:pt>
                <c:pt idx="419">
                  <c:v>1.0047263613915816</c:v>
                </c:pt>
                <c:pt idx="420">
                  <c:v>1.0047263613915816</c:v>
                </c:pt>
                <c:pt idx="421">
                  <c:v>1.0047263613915816</c:v>
                </c:pt>
                <c:pt idx="422">
                  <c:v>1.0047263613915816</c:v>
                </c:pt>
                <c:pt idx="423">
                  <c:v>1.0047263613915816</c:v>
                </c:pt>
                <c:pt idx="424">
                  <c:v>1.0047263613915816</c:v>
                </c:pt>
                <c:pt idx="425">
                  <c:v>1.0047263613915816</c:v>
                </c:pt>
                <c:pt idx="426">
                  <c:v>1.0047263613915816</c:v>
                </c:pt>
                <c:pt idx="427">
                  <c:v>1.0047263613915816</c:v>
                </c:pt>
                <c:pt idx="428">
                  <c:v>1.0047263613915816</c:v>
                </c:pt>
                <c:pt idx="429">
                  <c:v>1.0047263613915816</c:v>
                </c:pt>
                <c:pt idx="430">
                  <c:v>1.0047263613915816</c:v>
                </c:pt>
                <c:pt idx="431">
                  <c:v>1.0047263613915816</c:v>
                </c:pt>
                <c:pt idx="432">
                  <c:v>1.0047263613915816</c:v>
                </c:pt>
                <c:pt idx="433">
                  <c:v>1.0047263613915816</c:v>
                </c:pt>
                <c:pt idx="434">
                  <c:v>1.0047263613915816</c:v>
                </c:pt>
                <c:pt idx="435">
                  <c:v>1.0047263613915816</c:v>
                </c:pt>
                <c:pt idx="436">
                  <c:v>1.0047263613915816</c:v>
                </c:pt>
                <c:pt idx="437">
                  <c:v>1.0047263613915816</c:v>
                </c:pt>
                <c:pt idx="438">
                  <c:v>1.0047263613915816</c:v>
                </c:pt>
                <c:pt idx="439">
                  <c:v>1.0047263613915816</c:v>
                </c:pt>
                <c:pt idx="440">
                  <c:v>1.0047263613915816</c:v>
                </c:pt>
                <c:pt idx="441">
                  <c:v>1.0047263613915816</c:v>
                </c:pt>
                <c:pt idx="442">
                  <c:v>1.0047263613915816</c:v>
                </c:pt>
                <c:pt idx="443">
                  <c:v>1.0047263613915816</c:v>
                </c:pt>
                <c:pt idx="444">
                  <c:v>1.0047263613915816</c:v>
                </c:pt>
                <c:pt idx="445">
                  <c:v>1.0047263613915816</c:v>
                </c:pt>
                <c:pt idx="446">
                  <c:v>1.0047263613915816</c:v>
                </c:pt>
                <c:pt idx="447">
                  <c:v>1.0047263613915816</c:v>
                </c:pt>
                <c:pt idx="448">
                  <c:v>1.0047263613915816</c:v>
                </c:pt>
                <c:pt idx="449">
                  <c:v>1.0047263613915816</c:v>
                </c:pt>
                <c:pt idx="450">
                  <c:v>1.0047263613915816</c:v>
                </c:pt>
                <c:pt idx="451">
                  <c:v>1.0047263613915816</c:v>
                </c:pt>
                <c:pt idx="452">
                  <c:v>1.0047263613915816</c:v>
                </c:pt>
                <c:pt idx="453">
                  <c:v>1.0047263613915816</c:v>
                </c:pt>
                <c:pt idx="454">
                  <c:v>1.0047263613915816</c:v>
                </c:pt>
                <c:pt idx="455">
                  <c:v>1.0047263613915816</c:v>
                </c:pt>
                <c:pt idx="456">
                  <c:v>1.0047263613915816</c:v>
                </c:pt>
                <c:pt idx="457">
                  <c:v>1.0047263613915816</c:v>
                </c:pt>
                <c:pt idx="458">
                  <c:v>1.0047263613915816</c:v>
                </c:pt>
                <c:pt idx="459">
                  <c:v>1.0047263613915816</c:v>
                </c:pt>
                <c:pt idx="460">
                  <c:v>1.0047263613915816</c:v>
                </c:pt>
                <c:pt idx="461">
                  <c:v>1.0047263613915816</c:v>
                </c:pt>
                <c:pt idx="462">
                  <c:v>1.0047263613915816</c:v>
                </c:pt>
                <c:pt idx="463">
                  <c:v>1.0047263613915816</c:v>
                </c:pt>
                <c:pt idx="464">
                  <c:v>1.0047263613915816</c:v>
                </c:pt>
                <c:pt idx="465">
                  <c:v>1.0047263613915816</c:v>
                </c:pt>
                <c:pt idx="466">
                  <c:v>1.0047263613915816</c:v>
                </c:pt>
                <c:pt idx="467">
                  <c:v>1.0047263613915816</c:v>
                </c:pt>
                <c:pt idx="468">
                  <c:v>1.0047263613915816</c:v>
                </c:pt>
                <c:pt idx="469">
                  <c:v>1.0047263613915816</c:v>
                </c:pt>
                <c:pt idx="470">
                  <c:v>1.0047263613915816</c:v>
                </c:pt>
                <c:pt idx="471">
                  <c:v>1.0047263613915816</c:v>
                </c:pt>
                <c:pt idx="472">
                  <c:v>1.0047263613915816</c:v>
                </c:pt>
                <c:pt idx="473">
                  <c:v>1.0047263613915816</c:v>
                </c:pt>
                <c:pt idx="474">
                  <c:v>1.0047263613915816</c:v>
                </c:pt>
                <c:pt idx="475">
                  <c:v>1.0047263613915816</c:v>
                </c:pt>
                <c:pt idx="476">
                  <c:v>1.0047263613915816</c:v>
                </c:pt>
                <c:pt idx="477">
                  <c:v>1.0047263613915816</c:v>
                </c:pt>
                <c:pt idx="478">
                  <c:v>1.0047263613915816</c:v>
                </c:pt>
                <c:pt idx="479">
                  <c:v>1.0047263613915816</c:v>
                </c:pt>
                <c:pt idx="480">
                  <c:v>1.0047263613915816</c:v>
                </c:pt>
                <c:pt idx="481">
                  <c:v>1.0047263613915816</c:v>
                </c:pt>
                <c:pt idx="482">
                  <c:v>1.0047263613915816</c:v>
                </c:pt>
                <c:pt idx="483">
                  <c:v>1.0047263613915816</c:v>
                </c:pt>
                <c:pt idx="484">
                  <c:v>1.0047263613915816</c:v>
                </c:pt>
                <c:pt idx="485">
                  <c:v>1.0047263613915816</c:v>
                </c:pt>
                <c:pt idx="486">
                  <c:v>1.0047263613915816</c:v>
                </c:pt>
                <c:pt idx="487">
                  <c:v>1.0047263613915816</c:v>
                </c:pt>
                <c:pt idx="488">
                  <c:v>1.0047263613915816</c:v>
                </c:pt>
                <c:pt idx="489">
                  <c:v>1.0047263613915816</c:v>
                </c:pt>
                <c:pt idx="490">
                  <c:v>1.0047263613915816</c:v>
                </c:pt>
                <c:pt idx="491">
                  <c:v>1.0047263613915816</c:v>
                </c:pt>
                <c:pt idx="492">
                  <c:v>1.0047263613915816</c:v>
                </c:pt>
                <c:pt idx="493">
                  <c:v>1.0047263613915816</c:v>
                </c:pt>
                <c:pt idx="494">
                  <c:v>1.0047263613915816</c:v>
                </c:pt>
                <c:pt idx="495">
                  <c:v>1.0047263613915816</c:v>
                </c:pt>
                <c:pt idx="496">
                  <c:v>1.0047263613915816</c:v>
                </c:pt>
                <c:pt idx="497">
                  <c:v>1.0047263613915816</c:v>
                </c:pt>
                <c:pt idx="498">
                  <c:v>1.0047263613915816</c:v>
                </c:pt>
                <c:pt idx="499">
                  <c:v>1.0047263613915816</c:v>
                </c:pt>
                <c:pt idx="500">
                  <c:v>1.0047263613915816</c:v>
                </c:pt>
                <c:pt idx="501">
                  <c:v>1.0047263613915816</c:v>
                </c:pt>
                <c:pt idx="502">
                  <c:v>1.0047263613915816</c:v>
                </c:pt>
                <c:pt idx="503">
                  <c:v>1.0047263613915816</c:v>
                </c:pt>
                <c:pt idx="504">
                  <c:v>1.0047263613915816</c:v>
                </c:pt>
                <c:pt idx="505">
                  <c:v>1.0047263613915816</c:v>
                </c:pt>
                <c:pt idx="506">
                  <c:v>1.0047263613915816</c:v>
                </c:pt>
                <c:pt idx="507">
                  <c:v>1.0047263613915816</c:v>
                </c:pt>
                <c:pt idx="508">
                  <c:v>1.0047263613915816</c:v>
                </c:pt>
                <c:pt idx="509">
                  <c:v>1.0047263613915816</c:v>
                </c:pt>
                <c:pt idx="510">
                  <c:v>1.0047263613915816</c:v>
                </c:pt>
                <c:pt idx="511">
                  <c:v>1.0047263613915816</c:v>
                </c:pt>
                <c:pt idx="512">
                  <c:v>1.0047263613915816</c:v>
                </c:pt>
                <c:pt idx="513">
                  <c:v>1.0047263613915816</c:v>
                </c:pt>
                <c:pt idx="514">
                  <c:v>1.0047263613915816</c:v>
                </c:pt>
                <c:pt idx="515">
                  <c:v>1.0047263613915816</c:v>
                </c:pt>
                <c:pt idx="516">
                  <c:v>1.0047263613915816</c:v>
                </c:pt>
                <c:pt idx="517">
                  <c:v>1.0047263613915816</c:v>
                </c:pt>
                <c:pt idx="518">
                  <c:v>1.0047263613915816</c:v>
                </c:pt>
                <c:pt idx="519">
                  <c:v>1.0047263613915816</c:v>
                </c:pt>
                <c:pt idx="520">
                  <c:v>1.0047263613915816</c:v>
                </c:pt>
                <c:pt idx="521">
                  <c:v>1.0047263613915816</c:v>
                </c:pt>
                <c:pt idx="522">
                  <c:v>1.0047263613915816</c:v>
                </c:pt>
                <c:pt idx="523">
                  <c:v>1.0047263613915816</c:v>
                </c:pt>
                <c:pt idx="524">
                  <c:v>1.0047263613915816</c:v>
                </c:pt>
                <c:pt idx="525">
                  <c:v>1.0047263613915816</c:v>
                </c:pt>
                <c:pt idx="526">
                  <c:v>1.0047263613915816</c:v>
                </c:pt>
                <c:pt idx="527">
                  <c:v>1.0047263613915816</c:v>
                </c:pt>
                <c:pt idx="528">
                  <c:v>1.0047263613915816</c:v>
                </c:pt>
                <c:pt idx="529">
                  <c:v>1.0047263613915816</c:v>
                </c:pt>
                <c:pt idx="530">
                  <c:v>1.0047263613915816</c:v>
                </c:pt>
                <c:pt idx="531">
                  <c:v>1.0047263613915816</c:v>
                </c:pt>
                <c:pt idx="532">
                  <c:v>1.0047263613915816</c:v>
                </c:pt>
                <c:pt idx="533">
                  <c:v>1.0047263613915816</c:v>
                </c:pt>
                <c:pt idx="534">
                  <c:v>1.0047263613915816</c:v>
                </c:pt>
                <c:pt idx="535">
                  <c:v>1.0047263613915816</c:v>
                </c:pt>
                <c:pt idx="536">
                  <c:v>1.0047263613915816</c:v>
                </c:pt>
                <c:pt idx="537">
                  <c:v>1.0047263613915816</c:v>
                </c:pt>
                <c:pt idx="538">
                  <c:v>1.0047263613915816</c:v>
                </c:pt>
                <c:pt idx="539">
                  <c:v>1.0047263613915816</c:v>
                </c:pt>
                <c:pt idx="540">
                  <c:v>1.0047263613915816</c:v>
                </c:pt>
                <c:pt idx="541">
                  <c:v>1.0047263613915816</c:v>
                </c:pt>
                <c:pt idx="542">
                  <c:v>1.0047263613915816</c:v>
                </c:pt>
                <c:pt idx="543">
                  <c:v>1.0047263613915816</c:v>
                </c:pt>
                <c:pt idx="544">
                  <c:v>1.0047263613915816</c:v>
                </c:pt>
                <c:pt idx="545">
                  <c:v>1.0047263613915816</c:v>
                </c:pt>
                <c:pt idx="546">
                  <c:v>1.0047263613915816</c:v>
                </c:pt>
                <c:pt idx="547">
                  <c:v>1.0047263613915816</c:v>
                </c:pt>
                <c:pt idx="548">
                  <c:v>1.0047263613915816</c:v>
                </c:pt>
                <c:pt idx="549">
                  <c:v>1.0047263613915816</c:v>
                </c:pt>
                <c:pt idx="550">
                  <c:v>1.0047263613915816</c:v>
                </c:pt>
                <c:pt idx="551">
                  <c:v>1.0047263613915816</c:v>
                </c:pt>
                <c:pt idx="552">
                  <c:v>1.0047263613915816</c:v>
                </c:pt>
                <c:pt idx="553">
                  <c:v>1.0047263613915816</c:v>
                </c:pt>
                <c:pt idx="554">
                  <c:v>1.0047263613915816</c:v>
                </c:pt>
                <c:pt idx="555">
                  <c:v>1.0047263613915816</c:v>
                </c:pt>
                <c:pt idx="556">
                  <c:v>1.0047263613915816</c:v>
                </c:pt>
                <c:pt idx="557">
                  <c:v>1.0047263613915816</c:v>
                </c:pt>
                <c:pt idx="558">
                  <c:v>1.0047263613915816</c:v>
                </c:pt>
                <c:pt idx="559">
                  <c:v>1.0047263613915816</c:v>
                </c:pt>
                <c:pt idx="560">
                  <c:v>1.0047263613915816</c:v>
                </c:pt>
                <c:pt idx="561">
                  <c:v>1.0047263613915816</c:v>
                </c:pt>
                <c:pt idx="562">
                  <c:v>1.0047263613915816</c:v>
                </c:pt>
                <c:pt idx="563">
                  <c:v>1.0047263613915816</c:v>
                </c:pt>
                <c:pt idx="564">
                  <c:v>1.0047263613915816</c:v>
                </c:pt>
                <c:pt idx="565">
                  <c:v>1.0047263613915816</c:v>
                </c:pt>
                <c:pt idx="566">
                  <c:v>1.0047263613915816</c:v>
                </c:pt>
                <c:pt idx="567">
                  <c:v>1.0047263613915816</c:v>
                </c:pt>
                <c:pt idx="568">
                  <c:v>1.0047263613915816</c:v>
                </c:pt>
                <c:pt idx="569">
                  <c:v>1.0047263613915816</c:v>
                </c:pt>
                <c:pt idx="570">
                  <c:v>1.0047263613915816</c:v>
                </c:pt>
                <c:pt idx="571">
                  <c:v>1.0047263613915816</c:v>
                </c:pt>
                <c:pt idx="572">
                  <c:v>1.0047263613915816</c:v>
                </c:pt>
                <c:pt idx="573">
                  <c:v>1.0047263613915816</c:v>
                </c:pt>
                <c:pt idx="574">
                  <c:v>1.0047263613915816</c:v>
                </c:pt>
                <c:pt idx="575">
                  <c:v>1.0047263613915816</c:v>
                </c:pt>
                <c:pt idx="576">
                  <c:v>1.0047263613915816</c:v>
                </c:pt>
                <c:pt idx="577">
                  <c:v>1.0047263613915816</c:v>
                </c:pt>
                <c:pt idx="578">
                  <c:v>1.0047263613915816</c:v>
                </c:pt>
                <c:pt idx="579">
                  <c:v>1.0047263613915816</c:v>
                </c:pt>
                <c:pt idx="580">
                  <c:v>1.0047263613915816</c:v>
                </c:pt>
                <c:pt idx="581">
                  <c:v>1.0047263613915816</c:v>
                </c:pt>
                <c:pt idx="582">
                  <c:v>1.0047263613915816</c:v>
                </c:pt>
                <c:pt idx="583">
                  <c:v>1.0047263613915816</c:v>
                </c:pt>
                <c:pt idx="584">
                  <c:v>1.0047263613915816</c:v>
                </c:pt>
                <c:pt idx="585">
                  <c:v>1.0047263613915816</c:v>
                </c:pt>
                <c:pt idx="586">
                  <c:v>1.0047263613915816</c:v>
                </c:pt>
                <c:pt idx="587">
                  <c:v>1.0047263613915816</c:v>
                </c:pt>
                <c:pt idx="588">
                  <c:v>1.0047263613915816</c:v>
                </c:pt>
                <c:pt idx="589">
                  <c:v>1.0047263613915816</c:v>
                </c:pt>
                <c:pt idx="590">
                  <c:v>1.0047263613915816</c:v>
                </c:pt>
                <c:pt idx="591">
                  <c:v>1.0047263613915816</c:v>
                </c:pt>
                <c:pt idx="592">
                  <c:v>1.0047263613915816</c:v>
                </c:pt>
                <c:pt idx="593">
                  <c:v>1.0047263613915816</c:v>
                </c:pt>
                <c:pt idx="594">
                  <c:v>1.0047263613915816</c:v>
                </c:pt>
                <c:pt idx="595">
                  <c:v>1.0047263613915816</c:v>
                </c:pt>
                <c:pt idx="596">
                  <c:v>1.0047263613915816</c:v>
                </c:pt>
                <c:pt idx="597">
                  <c:v>1.0047263613915816</c:v>
                </c:pt>
                <c:pt idx="598">
                  <c:v>1.0047263613915816</c:v>
                </c:pt>
                <c:pt idx="599">
                  <c:v>1.0047263613915816</c:v>
                </c:pt>
                <c:pt idx="600">
                  <c:v>1.0047263613915816</c:v>
                </c:pt>
                <c:pt idx="601">
                  <c:v>1.0047263613915816</c:v>
                </c:pt>
                <c:pt idx="602">
                  <c:v>1.0047263613915816</c:v>
                </c:pt>
                <c:pt idx="603">
                  <c:v>1.0047263613915816</c:v>
                </c:pt>
                <c:pt idx="604">
                  <c:v>1.0047263613915816</c:v>
                </c:pt>
                <c:pt idx="605">
                  <c:v>1.0047263613915816</c:v>
                </c:pt>
                <c:pt idx="606">
                  <c:v>1.0047263613915816</c:v>
                </c:pt>
                <c:pt idx="607">
                  <c:v>1.0047263613915816</c:v>
                </c:pt>
                <c:pt idx="608">
                  <c:v>1.0047263613915816</c:v>
                </c:pt>
                <c:pt idx="609">
                  <c:v>1.0047263613915816</c:v>
                </c:pt>
                <c:pt idx="610">
                  <c:v>1.0047263613915816</c:v>
                </c:pt>
                <c:pt idx="611">
                  <c:v>1.0047263613915816</c:v>
                </c:pt>
                <c:pt idx="612">
                  <c:v>1.0047263613915816</c:v>
                </c:pt>
                <c:pt idx="613">
                  <c:v>1.0047263613915816</c:v>
                </c:pt>
                <c:pt idx="614">
                  <c:v>1.0047263613915816</c:v>
                </c:pt>
                <c:pt idx="615">
                  <c:v>1.0047263613915816</c:v>
                </c:pt>
                <c:pt idx="616">
                  <c:v>1.0047263613915816</c:v>
                </c:pt>
                <c:pt idx="617">
                  <c:v>1.0047263613915816</c:v>
                </c:pt>
                <c:pt idx="618">
                  <c:v>1.0047263613915816</c:v>
                </c:pt>
                <c:pt idx="619">
                  <c:v>1.0047263613915816</c:v>
                </c:pt>
                <c:pt idx="620">
                  <c:v>1.0047263613915816</c:v>
                </c:pt>
                <c:pt idx="621">
                  <c:v>1.0047263613915816</c:v>
                </c:pt>
                <c:pt idx="622">
                  <c:v>1.0047263613915816</c:v>
                </c:pt>
                <c:pt idx="623">
                  <c:v>1.0047263613915816</c:v>
                </c:pt>
                <c:pt idx="624">
                  <c:v>1.0047263613915816</c:v>
                </c:pt>
                <c:pt idx="625">
                  <c:v>1.0047263613915816</c:v>
                </c:pt>
                <c:pt idx="626">
                  <c:v>1.0047263613915816</c:v>
                </c:pt>
                <c:pt idx="627">
                  <c:v>1.0047263613915816</c:v>
                </c:pt>
                <c:pt idx="628">
                  <c:v>1.0047263613915816</c:v>
                </c:pt>
                <c:pt idx="629">
                  <c:v>1.0047263613915816</c:v>
                </c:pt>
                <c:pt idx="630">
                  <c:v>1.0047263613915816</c:v>
                </c:pt>
                <c:pt idx="631">
                  <c:v>1.0047263613915816</c:v>
                </c:pt>
                <c:pt idx="632">
                  <c:v>1.0047263613915816</c:v>
                </c:pt>
                <c:pt idx="633">
                  <c:v>1.0047263613915816</c:v>
                </c:pt>
                <c:pt idx="634">
                  <c:v>1.0047263613915816</c:v>
                </c:pt>
                <c:pt idx="635">
                  <c:v>1.0047263613915816</c:v>
                </c:pt>
                <c:pt idx="636">
                  <c:v>1.0047263613915816</c:v>
                </c:pt>
                <c:pt idx="637">
                  <c:v>1.0047263613915816</c:v>
                </c:pt>
                <c:pt idx="638">
                  <c:v>1.0047263613915816</c:v>
                </c:pt>
                <c:pt idx="639">
                  <c:v>1.0047263613915816</c:v>
                </c:pt>
                <c:pt idx="640">
                  <c:v>1.0047263613915816</c:v>
                </c:pt>
                <c:pt idx="641">
                  <c:v>1.0047263613915816</c:v>
                </c:pt>
                <c:pt idx="642">
                  <c:v>1.0047263613915816</c:v>
                </c:pt>
                <c:pt idx="643">
                  <c:v>1.0047263613915816</c:v>
                </c:pt>
                <c:pt idx="644">
                  <c:v>1.0047263613915816</c:v>
                </c:pt>
                <c:pt idx="645">
                  <c:v>1.0047263613915816</c:v>
                </c:pt>
                <c:pt idx="646">
                  <c:v>1.0047263613915816</c:v>
                </c:pt>
                <c:pt idx="647">
                  <c:v>1.0047263613915816</c:v>
                </c:pt>
                <c:pt idx="648">
                  <c:v>1.0047263613915816</c:v>
                </c:pt>
                <c:pt idx="649">
                  <c:v>1.0047263613915816</c:v>
                </c:pt>
                <c:pt idx="650">
                  <c:v>1.0047263613915816</c:v>
                </c:pt>
                <c:pt idx="651">
                  <c:v>1.0047263613915816</c:v>
                </c:pt>
                <c:pt idx="652">
                  <c:v>1.0047263613915816</c:v>
                </c:pt>
                <c:pt idx="653">
                  <c:v>1.0047263613915816</c:v>
                </c:pt>
                <c:pt idx="654">
                  <c:v>1.0047263613915816</c:v>
                </c:pt>
                <c:pt idx="655">
                  <c:v>1.0047263613915816</c:v>
                </c:pt>
                <c:pt idx="656">
                  <c:v>1.0047263613915816</c:v>
                </c:pt>
                <c:pt idx="657">
                  <c:v>1.0047263613915816</c:v>
                </c:pt>
                <c:pt idx="658">
                  <c:v>1.0047263613915816</c:v>
                </c:pt>
                <c:pt idx="659">
                  <c:v>1.0047263613915816</c:v>
                </c:pt>
                <c:pt idx="660">
                  <c:v>1.0047263613915816</c:v>
                </c:pt>
                <c:pt idx="661">
                  <c:v>1.0047263613915816</c:v>
                </c:pt>
                <c:pt idx="662">
                  <c:v>1.0047263613915816</c:v>
                </c:pt>
                <c:pt idx="663">
                  <c:v>1.0047263613915816</c:v>
                </c:pt>
                <c:pt idx="664">
                  <c:v>1.0047263613915816</c:v>
                </c:pt>
                <c:pt idx="665">
                  <c:v>1.0047263613915816</c:v>
                </c:pt>
                <c:pt idx="666">
                  <c:v>1.0047263613915816</c:v>
                </c:pt>
                <c:pt idx="667">
                  <c:v>1.0047263613915816</c:v>
                </c:pt>
                <c:pt idx="668">
                  <c:v>1.0047263613915816</c:v>
                </c:pt>
                <c:pt idx="669">
                  <c:v>1.0047263613915816</c:v>
                </c:pt>
                <c:pt idx="670">
                  <c:v>1.0047263613915816</c:v>
                </c:pt>
                <c:pt idx="671">
                  <c:v>1.0047263613915816</c:v>
                </c:pt>
                <c:pt idx="672">
                  <c:v>1.0047263613915816</c:v>
                </c:pt>
                <c:pt idx="673">
                  <c:v>1.0047263613915816</c:v>
                </c:pt>
                <c:pt idx="674">
                  <c:v>1.0047263613915816</c:v>
                </c:pt>
                <c:pt idx="675">
                  <c:v>1.0047263613915816</c:v>
                </c:pt>
                <c:pt idx="676">
                  <c:v>1.0047263613915816</c:v>
                </c:pt>
                <c:pt idx="677">
                  <c:v>1.0047263613915816</c:v>
                </c:pt>
                <c:pt idx="678">
                  <c:v>1.0047263613915816</c:v>
                </c:pt>
                <c:pt idx="679">
                  <c:v>1.0047263613915816</c:v>
                </c:pt>
                <c:pt idx="680">
                  <c:v>1.0047263613915816</c:v>
                </c:pt>
                <c:pt idx="681">
                  <c:v>1.0047263613915816</c:v>
                </c:pt>
                <c:pt idx="682">
                  <c:v>1.0047263613915816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B8-4A7A-88F9-3FB27C46CC0F}"/>
            </c:ext>
          </c:extLst>
        </c:ser>
        <c:ser>
          <c:idx val="2"/>
          <c:order val="2"/>
          <c:tx>
            <c:strRef>
              <c:f>BeskrivendeStatistik!$CL$10</c:f>
              <c:strCache>
                <c:ptCount val="1"/>
                <c:pt idx="0">
                  <c:v>3. kvartil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[0]!BxK</c:f>
              <c:strCache>
                <c:ptCount val="5000"/>
                <c:pt idx="0">
                  <c:v>-1.48</c:v>
                </c:pt>
                <c:pt idx="243">
                  <c:v>-0.776</c:v>
                </c:pt>
                <c:pt idx="683">
                  <c:v>0.499</c:v>
                </c:pt>
                <c:pt idx="1099">
                  <c:v>1.703</c:v>
                </c:pt>
                <c:pt idx="4999">
                  <c:v>13</c:v>
                </c:pt>
              </c:strCache>
            </c:strRef>
          </c:cat>
          <c:val>
            <c:numRef>
              <c:f>[0]!Bk_3</c:f>
              <c:numCache>
                <c:formatCode>General</c:formatCode>
                <c:ptCount val="5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 formatCode="#,##0.000">
                  <c:v>#N/A</c:v>
                </c:pt>
                <c:pt idx="315" formatCode="#,##0.000">
                  <c:v>#N/A</c:v>
                </c:pt>
                <c:pt idx="316" formatCode="#,##0.000">
                  <c:v>#N/A</c:v>
                </c:pt>
                <c:pt idx="317" formatCode="#,##0.000">
                  <c:v>#N/A</c:v>
                </c:pt>
                <c:pt idx="318" formatCode="#,##0.000">
                  <c:v>#N/A</c:v>
                </c:pt>
                <c:pt idx="319" formatCode="#,##0.000">
                  <c:v>#N/A</c:v>
                </c:pt>
                <c:pt idx="320" formatCode="#,##0.000">
                  <c:v>#N/A</c:v>
                </c:pt>
                <c:pt idx="321" formatCode="#,##0.000">
                  <c:v>#N/A</c:v>
                </c:pt>
                <c:pt idx="322" formatCode="#,##0.000">
                  <c:v>#N/A</c:v>
                </c:pt>
                <c:pt idx="323" formatCode="#,##0.000">
                  <c:v>#N/A</c:v>
                </c:pt>
                <c:pt idx="324" formatCode="#,##0.000">
                  <c:v>#N/A</c:v>
                </c:pt>
                <c:pt idx="325" formatCode="#,##0.000">
                  <c:v>#N/A</c:v>
                </c:pt>
                <c:pt idx="326" formatCode="#,##0.000">
                  <c:v>#N/A</c:v>
                </c:pt>
                <c:pt idx="327" formatCode="#,##0.000">
                  <c:v>#N/A</c:v>
                </c:pt>
                <c:pt idx="328" formatCode="#,##0.000">
                  <c:v>#N/A</c:v>
                </c:pt>
                <c:pt idx="329" formatCode="#,##0.000">
                  <c:v>#N/A</c:v>
                </c:pt>
                <c:pt idx="330" formatCode="#,##0.000">
                  <c:v>#N/A</c:v>
                </c:pt>
                <c:pt idx="331" formatCode="#,##0.000">
                  <c:v>#N/A</c:v>
                </c:pt>
                <c:pt idx="332" formatCode="#,##0.000">
                  <c:v>#N/A</c:v>
                </c:pt>
                <c:pt idx="333" formatCode="#,##0.000">
                  <c:v>#N/A</c:v>
                </c:pt>
                <c:pt idx="334" formatCode="#,##0.000">
                  <c:v>#N/A</c:v>
                </c:pt>
                <c:pt idx="335" formatCode="#,##0.000">
                  <c:v>#N/A</c:v>
                </c:pt>
                <c:pt idx="336" formatCode="#,##0.000">
                  <c:v>#N/A</c:v>
                </c:pt>
                <c:pt idx="337" formatCode="#,##0.000">
                  <c:v>#N/A</c:v>
                </c:pt>
                <c:pt idx="338" formatCode="#,##0.000">
                  <c:v>#N/A</c:v>
                </c:pt>
                <c:pt idx="339" formatCode="#,##0.000">
                  <c:v>#N/A</c:v>
                </c:pt>
                <c:pt idx="340" formatCode="#,##0.000">
                  <c:v>#N/A</c:v>
                </c:pt>
                <c:pt idx="341" formatCode="#,##0.000">
                  <c:v>#N/A</c:v>
                </c:pt>
                <c:pt idx="342" formatCode="#,##0.000">
                  <c:v>#N/A</c:v>
                </c:pt>
                <c:pt idx="343" formatCode="#,##0.000">
                  <c:v>#N/A</c:v>
                </c:pt>
                <c:pt idx="344" formatCode="#,##0.000">
                  <c:v>#N/A</c:v>
                </c:pt>
                <c:pt idx="345" formatCode="#,##0.000">
                  <c:v>#N/A</c:v>
                </c:pt>
                <c:pt idx="346" formatCode="#,##0.000">
                  <c:v>#N/A</c:v>
                </c:pt>
                <c:pt idx="347" formatCode="#,##0.000">
                  <c:v>#N/A</c:v>
                </c:pt>
                <c:pt idx="348" formatCode="#,##0.000">
                  <c:v>#N/A</c:v>
                </c:pt>
                <c:pt idx="349" formatCode="#,##0.000">
                  <c:v>#N/A</c:v>
                </c:pt>
                <c:pt idx="350" formatCode="#,##0.000">
                  <c:v>#N/A</c:v>
                </c:pt>
                <c:pt idx="351" formatCode="#,##0.000">
                  <c:v>#N/A</c:v>
                </c:pt>
                <c:pt idx="352" formatCode="#,##0.000">
                  <c:v>#N/A</c:v>
                </c:pt>
                <c:pt idx="353" formatCode="#,##0.000">
                  <c:v>#N/A</c:v>
                </c:pt>
                <c:pt idx="354" formatCode="#,##0.000">
                  <c:v>#N/A</c:v>
                </c:pt>
                <c:pt idx="355" formatCode="#,##0.000">
                  <c:v>#N/A</c:v>
                </c:pt>
                <c:pt idx="356" formatCode="#,##0.000">
                  <c:v>#N/A</c:v>
                </c:pt>
                <c:pt idx="357" formatCode="#,##0.000">
                  <c:v>#N/A</c:v>
                </c:pt>
                <c:pt idx="358" formatCode="#,##0.000">
                  <c:v>#N/A</c:v>
                </c:pt>
                <c:pt idx="359" formatCode="#,##0.000">
                  <c:v>#N/A</c:v>
                </c:pt>
                <c:pt idx="360" formatCode="#,##0.000">
                  <c:v>#N/A</c:v>
                </c:pt>
                <c:pt idx="361" formatCode="#,##0.000">
                  <c:v>#N/A</c:v>
                </c:pt>
                <c:pt idx="362" formatCode="#,##0.000">
                  <c:v>#N/A</c:v>
                </c:pt>
                <c:pt idx="363" formatCode="#,##0.000">
                  <c:v>#N/A</c:v>
                </c:pt>
                <c:pt idx="364" formatCode="#,##0.000">
                  <c:v>#N/A</c:v>
                </c:pt>
                <c:pt idx="365" formatCode="#,##0.000">
                  <c:v>#N/A</c:v>
                </c:pt>
                <c:pt idx="366" formatCode="#,##0.000">
                  <c:v>#N/A</c:v>
                </c:pt>
                <c:pt idx="367" formatCode="#,##0.000">
                  <c:v>#N/A</c:v>
                </c:pt>
                <c:pt idx="368" formatCode="#,##0.000">
                  <c:v>#N/A</c:v>
                </c:pt>
                <c:pt idx="369" formatCode="#,##0.000">
                  <c:v>#N/A</c:v>
                </c:pt>
                <c:pt idx="370" formatCode="#,##0.000">
                  <c:v>#N/A</c:v>
                </c:pt>
                <c:pt idx="371" formatCode="#,##0.000">
                  <c:v>#N/A</c:v>
                </c:pt>
                <c:pt idx="372" formatCode="#,##0.000">
                  <c:v>#N/A</c:v>
                </c:pt>
                <c:pt idx="373" formatCode="#,##0.000">
                  <c:v>#N/A</c:v>
                </c:pt>
                <c:pt idx="374" formatCode="#,##0.000">
                  <c:v>#N/A</c:v>
                </c:pt>
                <c:pt idx="375" formatCode="#,##0.000">
                  <c:v>#N/A</c:v>
                </c:pt>
                <c:pt idx="376" formatCode="#,##0.000">
                  <c:v>#N/A</c:v>
                </c:pt>
                <c:pt idx="377" formatCode="#,##0.000">
                  <c:v>#N/A</c:v>
                </c:pt>
                <c:pt idx="378" formatCode="#,##0.000">
                  <c:v>#N/A</c:v>
                </c:pt>
                <c:pt idx="379" formatCode="#,##0.000">
                  <c:v>#N/A</c:v>
                </c:pt>
                <c:pt idx="380" formatCode="#,##0.000">
                  <c:v>#N/A</c:v>
                </c:pt>
                <c:pt idx="381" formatCode="#,##0.000">
                  <c:v>#N/A</c:v>
                </c:pt>
                <c:pt idx="382" formatCode="#,##0.000">
                  <c:v>#N/A</c:v>
                </c:pt>
                <c:pt idx="383" formatCode="#,##0.000">
                  <c:v>#N/A</c:v>
                </c:pt>
                <c:pt idx="384" formatCode="#,##0.000">
                  <c:v>#N/A</c:v>
                </c:pt>
                <c:pt idx="385" formatCode="#,##0.000">
                  <c:v>#N/A</c:v>
                </c:pt>
                <c:pt idx="386" formatCode="#,##0.000">
                  <c:v>#N/A</c:v>
                </c:pt>
                <c:pt idx="387" formatCode="#,##0.000">
                  <c:v>#N/A</c:v>
                </c:pt>
                <c:pt idx="388" formatCode="#,##0.000">
                  <c:v>#N/A</c:v>
                </c:pt>
                <c:pt idx="389" formatCode="#,##0.000">
                  <c:v>#N/A</c:v>
                </c:pt>
                <c:pt idx="390" formatCode="#,##0.000">
                  <c:v>#N/A</c:v>
                </c:pt>
                <c:pt idx="391" formatCode="#,##0.000">
                  <c:v>#N/A</c:v>
                </c:pt>
                <c:pt idx="392" formatCode="#,##0.000">
                  <c:v>#N/A</c:v>
                </c:pt>
                <c:pt idx="393" formatCode="#,##0.000">
                  <c:v>#N/A</c:v>
                </c:pt>
                <c:pt idx="394" formatCode="#,##0.000">
                  <c:v>#N/A</c:v>
                </c:pt>
                <c:pt idx="395" formatCode="#,##0.000">
                  <c:v>#N/A</c:v>
                </c:pt>
                <c:pt idx="396" formatCode="#,##0.000">
                  <c:v>#N/A</c:v>
                </c:pt>
                <c:pt idx="397" formatCode="#,##0.000">
                  <c:v>#N/A</c:v>
                </c:pt>
                <c:pt idx="398" formatCode="#,##0.000">
                  <c:v>#N/A</c:v>
                </c:pt>
                <c:pt idx="399" formatCode="#,##0.000">
                  <c:v>#N/A</c:v>
                </c:pt>
                <c:pt idx="400" formatCode="#,##0.000">
                  <c:v>#N/A</c:v>
                </c:pt>
                <c:pt idx="401" formatCode="#,##0.000">
                  <c:v>#N/A</c:v>
                </c:pt>
                <c:pt idx="402" formatCode="#,##0.000">
                  <c:v>#N/A</c:v>
                </c:pt>
                <c:pt idx="403" formatCode="#,##0.000">
                  <c:v>#N/A</c:v>
                </c:pt>
                <c:pt idx="404" formatCode="#,##0.000">
                  <c:v>#N/A</c:v>
                </c:pt>
                <c:pt idx="405" formatCode="#,##0.000">
                  <c:v>#N/A</c:v>
                </c:pt>
                <c:pt idx="406" formatCode="#,##0.000">
                  <c:v>#N/A</c:v>
                </c:pt>
                <c:pt idx="407" formatCode="#,##0.000">
                  <c:v>#N/A</c:v>
                </c:pt>
                <c:pt idx="408" formatCode="#,##0.000">
                  <c:v>#N/A</c:v>
                </c:pt>
                <c:pt idx="409" formatCode="#,##0.000">
                  <c:v>#N/A</c:v>
                </c:pt>
                <c:pt idx="410" formatCode="#,##0.000">
                  <c:v>#N/A</c:v>
                </c:pt>
                <c:pt idx="411" formatCode="#,##0.000">
                  <c:v>#N/A</c:v>
                </c:pt>
                <c:pt idx="412" formatCode="#,##0.000">
                  <c:v>#N/A</c:v>
                </c:pt>
                <c:pt idx="413" formatCode="#,##0.000">
                  <c:v>#N/A</c:v>
                </c:pt>
                <c:pt idx="414" formatCode="#,##0.000">
                  <c:v>#N/A</c:v>
                </c:pt>
                <c:pt idx="415" formatCode="#,##0.000">
                  <c:v>#N/A</c:v>
                </c:pt>
                <c:pt idx="416" formatCode="#,##0.000">
                  <c:v>#N/A</c:v>
                </c:pt>
                <c:pt idx="417" formatCode="#,##0.000">
                  <c:v>#N/A</c:v>
                </c:pt>
                <c:pt idx="418" formatCode="#,##0.000">
                  <c:v>#N/A</c:v>
                </c:pt>
                <c:pt idx="419" formatCode="#,##0.000">
                  <c:v>#N/A</c:v>
                </c:pt>
                <c:pt idx="420" formatCode="#,##0.000">
                  <c:v>#N/A</c:v>
                </c:pt>
                <c:pt idx="421" formatCode="#,##0.000">
                  <c:v>#N/A</c:v>
                </c:pt>
                <c:pt idx="422" formatCode="#,##0.000">
                  <c:v>#N/A</c:v>
                </c:pt>
                <c:pt idx="423" formatCode="#,##0.000">
                  <c:v>#N/A</c:v>
                </c:pt>
                <c:pt idx="424" formatCode="#,##0.000">
                  <c:v>#N/A</c:v>
                </c:pt>
                <c:pt idx="425" formatCode="#,##0.000">
                  <c:v>#N/A</c:v>
                </c:pt>
                <c:pt idx="426" formatCode="#,##0.000">
                  <c:v>#N/A</c:v>
                </c:pt>
                <c:pt idx="427" formatCode="#,##0.000">
                  <c:v>#N/A</c:v>
                </c:pt>
                <c:pt idx="428" formatCode="#,##0.000">
                  <c:v>#N/A</c:v>
                </c:pt>
                <c:pt idx="429" formatCode="#,##0.000">
                  <c:v>#N/A</c:v>
                </c:pt>
                <c:pt idx="430" formatCode="#,##0.000">
                  <c:v>#N/A</c:v>
                </c:pt>
                <c:pt idx="431" formatCode="#,##0.000">
                  <c:v>#N/A</c:v>
                </c:pt>
                <c:pt idx="432" formatCode="#,##0.000">
                  <c:v>#N/A</c:v>
                </c:pt>
                <c:pt idx="433" formatCode="#,##0.000">
                  <c:v>#N/A</c:v>
                </c:pt>
                <c:pt idx="434" formatCode="#,##0.000">
                  <c:v>#N/A</c:v>
                </c:pt>
                <c:pt idx="435" formatCode="#,##0.000">
                  <c:v>#N/A</c:v>
                </c:pt>
                <c:pt idx="436" formatCode="#,##0.000">
                  <c:v>#N/A</c:v>
                </c:pt>
                <c:pt idx="437" formatCode="#,##0.000">
                  <c:v>#N/A</c:v>
                </c:pt>
                <c:pt idx="438" formatCode="#,##0.000">
                  <c:v>#N/A</c:v>
                </c:pt>
                <c:pt idx="439" formatCode="#,##0.000">
                  <c:v>#N/A</c:v>
                </c:pt>
                <c:pt idx="440" formatCode="#,##0.000">
                  <c:v>#N/A</c:v>
                </c:pt>
                <c:pt idx="441" formatCode="#,##0.000">
                  <c:v>#N/A</c:v>
                </c:pt>
                <c:pt idx="442" formatCode="#,##0.000">
                  <c:v>#N/A</c:v>
                </c:pt>
                <c:pt idx="443" formatCode="#,##0.000">
                  <c:v>#N/A</c:v>
                </c:pt>
                <c:pt idx="444" formatCode="#,##0.000">
                  <c:v>#N/A</c:v>
                </c:pt>
                <c:pt idx="445" formatCode="#,##0.000">
                  <c:v>#N/A</c:v>
                </c:pt>
                <c:pt idx="446" formatCode="#,##0.000">
                  <c:v>#N/A</c:v>
                </c:pt>
                <c:pt idx="447" formatCode="#,##0.000">
                  <c:v>#N/A</c:v>
                </c:pt>
                <c:pt idx="448" formatCode="#,##0.000">
                  <c:v>#N/A</c:v>
                </c:pt>
                <c:pt idx="449" formatCode="#,##0.000">
                  <c:v>#N/A</c:v>
                </c:pt>
                <c:pt idx="450" formatCode="#,##0.000">
                  <c:v>#N/A</c:v>
                </c:pt>
                <c:pt idx="451" formatCode="#,##0.000">
                  <c:v>#N/A</c:v>
                </c:pt>
                <c:pt idx="452" formatCode="#,##0.000">
                  <c:v>#N/A</c:v>
                </c:pt>
                <c:pt idx="453" formatCode="#,##0.000">
                  <c:v>#N/A</c:v>
                </c:pt>
                <c:pt idx="454" formatCode="#,##0.000">
                  <c:v>#N/A</c:v>
                </c:pt>
                <c:pt idx="455" formatCode="#,##0.000">
                  <c:v>#N/A</c:v>
                </c:pt>
                <c:pt idx="456" formatCode="#,##0.000">
                  <c:v>#N/A</c:v>
                </c:pt>
                <c:pt idx="457" formatCode="#,##0.000">
                  <c:v>#N/A</c:v>
                </c:pt>
                <c:pt idx="458" formatCode="#,##0.000">
                  <c:v>#N/A</c:v>
                </c:pt>
                <c:pt idx="459" formatCode="#,##0.000">
                  <c:v>#N/A</c:v>
                </c:pt>
                <c:pt idx="460" formatCode="#,##0.000">
                  <c:v>#N/A</c:v>
                </c:pt>
                <c:pt idx="461" formatCode="#,##0.000">
                  <c:v>#N/A</c:v>
                </c:pt>
                <c:pt idx="462" formatCode="#,##0.000">
                  <c:v>#N/A</c:v>
                </c:pt>
                <c:pt idx="463" formatCode="#,##0.000">
                  <c:v>#N/A</c:v>
                </c:pt>
                <c:pt idx="464" formatCode="#,##0.000">
                  <c:v>#N/A</c:v>
                </c:pt>
                <c:pt idx="465" formatCode="#,##0.000">
                  <c:v>#N/A</c:v>
                </c:pt>
                <c:pt idx="466" formatCode="#,##0.000">
                  <c:v>#N/A</c:v>
                </c:pt>
                <c:pt idx="467" formatCode="#,##0.000">
                  <c:v>#N/A</c:v>
                </c:pt>
                <c:pt idx="468" formatCode="#,##0.000">
                  <c:v>#N/A</c:v>
                </c:pt>
                <c:pt idx="469" formatCode="#,##0.000">
                  <c:v>#N/A</c:v>
                </c:pt>
                <c:pt idx="470" formatCode="#,##0.000">
                  <c:v>#N/A</c:v>
                </c:pt>
                <c:pt idx="471" formatCode="#,##0.000">
                  <c:v>#N/A</c:v>
                </c:pt>
                <c:pt idx="472" formatCode="#,##0.000">
                  <c:v>#N/A</c:v>
                </c:pt>
                <c:pt idx="473" formatCode="#,##0.000">
                  <c:v>#N/A</c:v>
                </c:pt>
                <c:pt idx="474" formatCode="#,##0.000">
                  <c:v>#N/A</c:v>
                </c:pt>
                <c:pt idx="475" formatCode="#,##0.000">
                  <c:v>#N/A</c:v>
                </c:pt>
                <c:pt idx="476" formatCode="#,##0.000">
                  <c:v>#N/A</c:v>
                </c:pt>
                <c:pt idx="477" formatCode="#,##0.000">
                  <c:v>#N/A</c:v>
                </c:pt>
                <c:pt idx="478" formatCode="#,##0.000">
                  <c:v>#N/A</c:v>
                </c:pt>
                <c:pt idx="479" formatCode="#,##0.000">
                  <c:v>#N/A</c:v>
                </c:pt>
                <c:pt idx="480" formatCode="#,##0.000">
                  <c:v>#N/A</c:v>
                </c:pt>
                <c:pt idx="481" formatCode="#,##0.000">
                  <c:v>#N/A</c:v>
                </c:pt>
                <c:pt idx="482" formatCode="#,##0.000">
                  <c:v>#N/A</c:v>
                </c:pt>
                <c:pt idx="483" formatCode="#,##0.000">
                  <c:v>#N/A</c:v>
                </c:pt>
                <c:pt idx="484" formatCode="#,##0.000">
                  <c:v>#N/A</c:v>
                </c:pt>
                <c:pt idx="485" formatCode="#,##0.000">
                  <c:v>#N/A</c:v>
                </c:pt>
                <c:pt idx="486" formatCode="#,##0.000">
                  <c:v>#N/A</c:v>
                </c:pt>
                <c:pt idx="487" formatCode="#,##0.000">
                  <c:v>#N/A</c:v>
                </c:pt>
                <c:pt idx="488" formatCode="#,##0.000">
                  <c:v>#N/A</c:v>
                </c:pt>
                <c:pt idx="489" formatCode="#,##0.000">
                  <c:v>#N/A</c:v>
                </c:pt>
                <c:pt idx="490" formatCode="#,##0.000">
                  <c:v>#N/A</c:v>
                </c:pt>
                <c:pt idx="491" formatCode="#,##0.000">
                  <c:v>#N/A</c:v>
                </c:pt>
                <c:pt idx="492" formatCode="#,##0.000">
                  <c:v>#N/A</c:v>
                </c:pt>
                <c:pt idx="493" formatCode="#,##0.000">
                  <c:v>#N/A</c:v>
                </c:pt>
                <c:pt idx="494" formatCode="#,##0.000">
                  <c:v>#N/A</c:v>
                </c:pt>
                <c:pt idx="495" formatCode="#,##0.000">
                  <c:v>#N/A</c:v>
                </c:pt>
                <c:pt idx="496" formatCode="#,##0.000">
                  <c:v>#N/A</c:v>
                </c:pt>
                <c:pt idx="497" formatCode="#,##0.000">
                  <c:v>#N/A</c:v>
                </c:pt>
                <c:pt idx="498" formatCode="#,##0.000">
                  <c:v>#N/A</c:v>
                </c:pt>
                <c:pt idx="499" formatCode="#,##0.000">
                  <c:v>#N/A</c:v>
                </c:pt>
                <c:pt idx="500" formatCode="#,##0.000">
                  <c:v>#N/A</c:v>
                </c:pt>
                <c:pt idx="501" formatCode="#,##0.000">
                  <c:v>#N/A</c:v>
                </c:pt>
                <c:pt idx="502" formatCode="#,##0.000">
                  <c:v>#N/A</c:v>
                </c:pt>
                <c:pt idx="503" formatCode="#,##0.000">
                  <c:v>#N/A</c:v>
                </c:pt>
                <c:pt idx="504" formatCode="#,##0.000">
                  <c:v>#N/A</c:v>
                </c:pt>
                <c:pt idx="505" formatCode="#,##0.000">
                  <c:v>#N/A</c:v>
                </c:pt>
                <c:pt idx="506" formatCode="#,##0.000">
                  <c:v>#N/A</c:v>
                </c:pt>
                <c:pt idx="507" formatCode="#,##0.000">
                  <c:v>#N/A</c:v>
                </c:pt>
                <c:pt idx="508" formatCode="#,##0.000">
                  <c:v>#N/A</c:v>
                </c:pt>
                <c:pt idx="509" formatCode="#,##0.000">
                  <c:v>#N/A</c:v>
                </c:pt>
                <c:pt idx="510" formatCode="#,##0.000">
                  <c:v>#N/A</c:v>
                </c:pt>
                <c:pt idx="511" formatCode="#,##0.000">
                  <c:v>#N/A</c:v>
                </c:pt>
                <c:pt idx="512" formatCode="#,##0.000">
                  <c:v>#N/A</c:v>
                </c:pt>
                <c:pt idx="513" formatCode="#,##0.000">
                  <c:v>#N/A</c:v>
                </c:pt>
                <c:pt idx="514" formatCode="#,##0.000">
                  <c:v>#N/A</c:v>
                </c:pt>
                <c:pt idx="515" formatCode="#,##0.000">
                  <c:v>#N/A</c:v>
                </c:pt>
                <c:pt idx="516" formatCode="#,##0.000">
                  <c:v>#N/A</c:v>
                </c:pt>
                <c:pt idx="517" formatCode="#,##0.000">
                  <c:v>#N/A</c:v>
                </c:pt>
                <c:pt idx="518" formatCode="#,##0.000">
                  <c:v>#N/A</c:v>
                </c:pt>
                <c:pt idx="519" formatCode="#,##0.000">
                  <c:v>#N/A</c:v>
                </c:pt>
                <c:pt idx="520" formatCode="#,##0.000">
                  <c:v>#N/A</c:v>
                </c:pt>
                <c:pt idx="521" formatCode="#,##0.000">
                  <c:v>#N/A</c:v>
                </c:pt>
                <c:pt idx="522" formatCode="#,##0.000">
                  <c:v>#N/A</c:v>
                </c:pt>
                <c:pt idx="523" formatCode="#,##0.000">
                  <c:v>#N/A</c:v>
                </c:pt>
                <c:pt idx="524" formatCode="#,##0.000">
                  <c:v>#N/A</c:v>
                </c:pt>
                <c:pt idx="525" formatCode="#,##0.000">
                  <c:v>#N/A</c:v>
                </c:pt>
                <c:pt idx="526" formatCode="#,##0.000">
                  <c:v>#N/A</c:v>
                </c:pt>
                <c:pt idx="527" formatCode="#,##0.000">
                  <c:v>#N/A</c:v>
                </c:pt>
                <c:pt idx="528" formatCode="#,##0.000">
                  <c:v>#N/A</c:v>
                </c:pt>
                <c:pt idx="529" formatCode="#,##0.000">
                  <c:v>#N/A</c:v>
                </c:pt>
                <c:pt idx="530" formatCode="#,##0.000">
                  <c:v>#N/A</c:v>
                </c:pt>
                <c:pt idx="531" formatCode="#,##0.000">
                  <c:v>#N/A</c:v>
                </c:pt>
                <c:pt idx="532" formatCode="#,##0.000">
                  <c:v>#N/A</c:v>
                </c:pt>
                <c:pt idx="533" formatCode="#,##0.000">
                  <c:v>#N/A</c:v>
                </c:pt>
                <c:pt idx="534" formatCode="#,##0.000">
                  <c:v>#N/A</c:v>
                </c:pt>
                <c:pt idx="535" formatCode="#,##0.000">
                  <c:v>#N/A</c:v>
                </c:pt>
                <c:pt idx="536" formatCode="#,##0.000">
                  <c:v>#N/A</c:v>
                </c:pt>
                <c:pt idx="537" formatCode="#,##0.000">
                  <c:v>#N/A</c:v>
                </c:pt>
                <c:pt idx="538" formatCode="#,##0.000">
                  <c:v>#N/A</c:v>
                </c:pt>
                <c:pt idx="539" formatCode="#,##0.000">
                  <c:v>#N/A</c:v>
                </c:pt>
                <c:pt idx="540" formatCode="#,##0.000">
                  <c:v>#N/A</c:v>
                </c:pt>
                <c:pt idx="541" formatCode="#,##0.000">
                  <c:v>#N/A</c:v>
                </c:pt>
                <c:pt idx="542" formatCode="#,##0.000">
                  <c:v>#N/A</c:v>
                </c:pt>
                <c:pt idx="543" formatCode="#,##0.000">
                  <c:v>#N/A</c:v>
                </c:pt>
                <c:pt idx="544" formatCode="#,##0.000">
                  <c:v>#N/A</c:v>
                </c:pt>
                <c:pt idx="545" formatCode="#,##0.000">
                  <c:v>#N/A</c:v>
                </c:pt>
                <c:pt idx="546" formatCode="#,##0.000">
                  <c:v>#N/A</c:v>
                </c:pt>
                <c:pt idx="547" formatCode="#,##0.000">
                  <c:v>#N/A</c:v>
                </c:pt>
                <c:pt idx="548" formatCode="#,##0.000">
                  <c:v>#N/A</c:v>
                </c:pt>
                <c:pt idx="549" formatCode="#,##0.000">
                  <c:v>#N/A</c:v>
                </c:pt>
                <c:pt idx="550" formatCode="#,##0.000">
                  <c:v>#N/A</c:v>
                </c:pt>
                <c:pt idx="551" formatCode="#,##0.000">
                  <c:v>#N/A</c:v>
                </c:pt>
                <c:pt idx="552" formatCode="#,##0.000">
                  <c:v>#N/A</c:v>
                </c:pt>
                <c:pt idx="553" formatCode="#,##0.000">
                  <c:v>#N/A</c:v>
                </c:pt>
                <c:pt idx="554" formatCode="#,##0.000">
                  <c:v>#N/A</c:v>
                </c:pt>
                <c:pt idx="555" formatCode="#,##0.000">
                  <c:v>#N/A</c:v>
                </c:pt>
                <c:pt idx="556" formatCode="#,##0.000">
                  <c:v>#N/A</c:v>
                </c:pt>
                <c:pt idx="557" formatCode="#,##0.000">
                  <c:v>#N/A</c:v>
                </c:pt>
                <c:pt idx="558" formatCode="#,##0.000">
                  <c:v>#N/A</c:v>
                </c:pt>
                <c:pt idx="559" formatCode="#,##0.000">
                  <c:v>#N/A</c:v>
                </c:pt>
                <c:pt idx="560" formatCode="#,##0.000">
                  <c:v>#N/A</c:v>
                </c:pt>
                <c:pt idx="561" formatCode="#,##0.000">
                  <c:v>#N/A</c:v>
                </c:pt>
                <c:pt idx="562" formatCode="#,##0.000">
                  <c:v>#N/A</c:v>
                </c:pt>
                <c:pt idx="563" formatCode="#,##0.000">
                  <c:v>#N/A</c:v>
                </c:pt>
                <c:pt idx="564" formatCode="#,##0.000">
                  <c:v>#N/A</c:v>
                </c:pt>
                <c:pt idx="565" formatCode="#,##0.000">
                  <c:v>#N/A</c:v>
                </c:pt>
                <c:pt idx="566" formatCode="#,##0.000">
                  <c:v>#N/A</c:v>
                </c:pt>
                <c:pt idx="567" formatCode="#,##0.000">
                  <c:v>#N/A</c:v>
                </c:pt>
                <c:pt idx="568" formatCode="#,##0.000">
                  <c:v>#N/A</c:v>
                </c:pt>
                <c:pt idx="569" formatCode="#,##0.000">
                  <c:v>#N/A</c:v>
                </c:pt>
                <c:pt idx="570" formatCode="#,##0.000">
                  <c:v>#N/A</c:v>
                </c:pt>
                <c:pt idx="571" formatCode="#,##0.000">
                  <c:v>#N/A</c:v>
                </c:pt>
                <c:pt idx="572" formatCode="#,##0.000">
                  <c:v>#N/A</c:v>
                </c:pt>
                <c:pt idx="573" formatCode="#,##0.000">
                  <c:v>#N/A</c:v>
                </c:pt>
                <c:pt idx="574" formatCode="#,##0.000">
                  <c:v>#N/A</c:v>
                </c:pt>
                <c:pt idx="575" formatCode="#,##0.000">
                  <c:v>#N/A</c:v>
                </c:pt>
                <c:pt idx="576" formatCode="#,##0.000">
                  <c:v>#N/A</c:v>
                </c:pt>
                <c:pt idx="577" formatCode="#,##0.000">
                  <c:v>#N/A</c:v>
                </c:pt>
                <c:pt idx="578" formatCode="#,##0.000">
                  <c:v>#N/A</c:v>
                </c:pt>
                <c:pt idx="579" formatCode="#,##0.000">
                  <c:v>#N/A</c:v>
                </c:pt>
                <c:pt idx="580" formatCode="#,##0.000">
                  <c:v>#N/A</c:v>
                </c:pt>
                <c:pt idx="581" formatCode="#,##0.000">
                  <c:v>#N/A</c:v>
                </c:pt>
                <c:pt idx="582" formatCode="#,##0.000">
                  <c:v>#N/A</c:v>
                </c:pt>
                <c:pt idx="583" formatCode="#,##0.000">
                  <c:v>#N/A</c:v>
                </c:pt>
                <c:pt idx="584" formatCode="#,##0.000">
                  <c:v>#N/A</c:v>
                </c:pt>
                <c:pt idx="585" formatCode="#,##0.000">
                  <c:v>#N/A</c:v>
                </c:pt>
                <c:pt idx="586" formatCode="#,##0.000">
                  <c:v>#N/A</c:v>
                </c:pt>
                <c:pt idx="587" formatCode="#,##0.000">
                  <c:v>#N/A</c:v>
                </c:pt>
                <c:pt idx="588" formatCode="#,##0.000">
                  <c:v>#N/A</c:v>
                </c:pt>
                <c:pt idx="589" formatCode="#,##0.000">
                  <c:v>#N/A</c:v>
                </c:pt>
                <c:pt idx="590" formatCode="#,##0.000">
                  <c:v>#N/A</c:v>
                </c:pt>
                <c:pt idx="591" formatCode="#,##0.000">
                  <c:v>#N/A</c:v>
                </c:pt>
                <c:pt idx="592" formatCode="#,##0.000">
                  <c:v>#N/A</c:v>
                </c:pt>
                <c:pt idx="593" formatCode="#,##0.000">
                  <c:v>#N/A</c:v>
                </c:pt>
                <c:pt idx="594" formatCode="#,##0.000">
                  <c:v>#N/A</c:v>
                </c:pt>
                <c:pt idx="595" formatCode="#,##0.000">
                  <c:v>#N/A</c:v>
                </c:pt>
                <c:pt idx="596" formatCode="#,##0.000">
                  <c:v>#N/A</c:v>
                </c:pt>
                <c:pt idx="597" formatCode="#,##0.000">
                  <c:v>#N/A</c:v>
                </c:pt>
                <c:pt idx="598" formatCode="#,##0.000">
                  <c:v>#N/A</c:v>
                </c:pt>
                <c:pt idx="599" formatCode="#,##0.000">
                  <c:v>#N/A</c:v>
                </c:pt>
                <c:pt idx="600" formatCode="#,##0.000">
                  <c:v>#N/A</c:v>
                </c:pt>
                <c:pt idx="601" formatCode="#,##0.000">
                  <c:v>#N/A</c:v>
                </c:pt>
                <c:pt idx="602" formatCode="#,##0.000">
                  <c:v>#N/A</c:v>
                </c:pt>
                <c:pt idx="603" formatCode="#,##0.000">
                  <c:v>#N/A</c:v>
                </c:pt>
                <c:pt idx="604" formatCode="#,##0.000">
                  <c:v>#N/A</c:v>
                </c:pt>
                <c:pt idx="605" formatCode="#,##0.000">
                  <c:v>#N/A</c:v>
                </c:pt>
                <c:pt idx="606" formatCode="#,##0.000">
                  <c:v>#N/A</c:v>
                </c:pt>
                <c:pt idx="607" formatCode="#,##0.000">
                  <c:v>#N/A</c:v>
                </c:pt>
                <c:pt idx="608" formatCode="#,##0.000">
                  <c:v>#N/A</c:v>
                </c:pt>
                <c:pt idx="609" formatCode="#,##0.000">
                  <c:v>#N/A</c:v>
                </c:pt>
                <c:pt idx="610" formatCode="#,##0.000">
                  <c:v>#N/A</c:v>
                </c:pt>
                <c:pt idx="611" formatCode="#,##0.000">
                  <c:v>#N/A</c:v>
                </c:pt>
                <c:pt idx="612" formatCode="#,##0.000">
                  <c:v>#N/A</c:v>
                </c:pt>
                <c:pt idx="613" formatCode="#,##0.000">
                  <c:v>#N/A</c:v>
                </c:pt>
                <c:pt idx="614" formatCode="#,##0.000">
                  <c:v>#N/A</c:v>
                </c:pt>
                <c:pt idx="615" formatCode="#,##0.000">
                  <c:v>#N/A</c:v>
                </c:pt>
                <c:pt idx="616" formatCode="#,##0.000">
                  <c:v>#N/A</c:v>
                </c:pt>
                <c:pt idx="617" formatCode="#,##0.000">
                  <c:v>#N/A</c:v>
                </c:pt>
                <c:pt idx="618" formatCode="#,##0.000">
                  <c:v>#N/A</c:v>
                </c:pt>
                <c:pt idx="619" formatCode="#,##0.000">
                  <c:v>#N/A</c:v>
                </c:pt>
                <c:pt idx="620" formatCode="#,##0.000">
                  <c:v>#N/A</c:v>
                </c:pt>
                <c:pt idx="621" formatCode="#,##0.000">
                  <c:v>#N/A</c:v>
                </c:pt>
                <c:pt idx="622" formatCode="#,##0.000">
                  <c:v>#N/A</c:v>
                </c:pt>
                <c:pt idx="623" formatCode="#,##0.000">
                  <c:v>#N/A</c:v>
                </c:pt>
                <c:pt idx="624" formatCode="#,##0.000">
                  <c:v>#N/A</c:v>
                </c:pt>
                <c:pt idx="625" formatCode="#,##0.000">
                  <c:v>#N/A</c:v>
                </c:pt>
                <c:pt idx="626" formatCode="#,##0.000">
                  <c:v>#N/A</c:v>
                </c:pt>
                <c:pt idx="627" formatCode="#,##0.000">
                  <c:v>#N/A</c:v>
                </c:pt>
                <c:pt idx="628" formatCode="#,##0.000">
                  <c:v>#N/A</c:v>
                </c:pt>
                <c:pt idx="629" formatCode="#,##0.000">
                  <c:v>#N/A</c:v>
                </c:pt>
                <c:pt idx="630" formatCode="#,##0.000">
                  <c:v>#N/A</c:v>
                </c:pt>
                <c:pt idx="631" formatCode="#,##0.000">
                  <c:v>#N/A</c:v>
                </c:pt>
                <c:pt idx="632" formatCode="#,##0.000">
                  <c:v>#N/A</c:v>
                </c:pt>
                <c:pt idx="633" formatCode="#,##0.000">
                  <c:v>#N/A</c:v>
                </c:pt>
                <c:pt idx="634" formatCode="#,##0.000">
                  <c:v>#N/A</c:v>
                </c:pt>
                <c:pt idx="635" formatCode="#,##0.000">
                  <c:v>#N/A</c:v>
                </c:pt>
                <c:pt idx="636" formatCode="#,##0.000">
                  <c:v>#N/A</c:v>
                </c:pt>
                <c:pt idx="637" formatCode="#,##0.000">
                  <c:v>#N/A</c:v>
                </c:pt>
                <c:pt idx="638" formatCode="#,##0.000">
                  <c:v>#N/A</c:v>
                </c:pt>
                <c:pt idx="639" formatCode="#,##0.000">
                  <c:v>#N/A</c:v>
                </c:pt>
                <c:pt idx="640" formatCode="#,##0.000">
                  <c:v>#N/A</c:v>
                </c:pt>
                <c:pt idx="641" formatCode="#,##0.000">
                  <c:v>#N/A</c:v>
                </c:pt>
                <c:pt idx="642" formatCode="#,##0.000">
                  <c:v>#N/A</c:v>
                </c:pt>
                <c:pt idx="643" formatCode="#,##0.000">
                  <c:v>#N/A</c:v>
                </c:pt>
                <c:pt idx="644" formatCode="#,##0.000">
                  <c:v>#N/A</c:v>
                </c:pt>
                <c:pt idx="645" formatCode="#,##0.000">
                  <c:v>#N/A</c:v>
                </c:pt>
                <c:pt idx="646" formatCode="#,##0.000">
                  <c:v>#N/A</c:v>
                </c:pt>
                <c:pt idx="647" formatCode="#,##0.000">
                  <c:v>#N/A</c:v>
                </c:pt>
                <c:pt idx="648" formatCode="#,##0.000">
                  <c:v>#N/A</c:v>
                </c:pt>
                <c:pt idx="649" formatCode="#,##0.000">
                  <c:v>#N/A</c:v>
                </c:pt>
                <c:pt idx="650" formatCode="#,##0.000">
                  <c:v>#N/A</c:v>
                </c:pt>
                <c:pt idx="651" formatCode="#,##0.000">
                  <c:v>#N/A</c:v>
                </c:pt>
                <c:pt idx="652" formatCode="#,##0.000">
                  <c:v>#N/A</c:v>
                </c:pt>
                <c:pt idx="653" formatCode="#,##0.000">
                  <c:v>#N/A</c:v>
                </c:pt>
                <c:pt idx="654" formatCode="#,##0.000">
                  <c:v>#N/A</c:v>
                </c:pt>
                <c:pt idx="655" formatCode="#,##0.000">
                  <c:v>#N/A</c:v>
                </c:pt>
                <c:pt idx="656" formatCode="#,##0.000">
                  <c:v>#N/A</c:v>
                </c:pt>
                <c:pt idx="657" formatCode="#,##0.000">
                  <c:v>#N/A</c:v>
                </c:pt>
                <c:pt idx="658" formatCode="#,##0.000">
                  <c:v>#N/A</c:v>
                </c:pt>
                <c:pt idx="659" formatCode="#,##0.000">
                  <c:v>#N/A</c:v>
                </c:pt>
                <c:pt idx="660" formatCode="#,##0.000">
                  <c:v>#N/A</c:v>
                </c:pt>
                <c:pt idx="661" formatCode="#,##0.000">
                  <c:v>#N/A</c:v>
                </c:pt>
                <c:pt idx="662" formatCode="#,##0.000">
                  <c:v>#N/A</c:v>
                </c:pt>
                <c:pt idx="663" formatCode="#,##0.000">
                  <c:v>#N/A</c:v>
                </c:pt>
                <c:pt idx="664" formatCode="#,##0.000">
                  <c:v>#N/A</c:v>
                </c:pt>
                <c:pt idx="665" formatCode="#,##0.000">
                  <c:v>#N/A</c:v>
                </c:pt>
                <c:pt idx="666" formatCode="#,##0.000">
                  <c:v>#N/A</c:v>
                </c:pt>
                <c:pt idx="667" formatCode="#,##0.000">
                  <c:v>#N/A</c:v>
                </c:pt>
                <c:pt idx="668" formatCode="#,##0.000">
                  <c:v>#N/A</c:v>
                </c:pt>
                <c:pt idx="669" formatCode="#,##0.000">
                  <c:v>#N/A</c:v>
                </c:pt>
                <c:pt idx="670" formatCode="#,##0.000">
                  <c:v>#N/A</c:v>
                </c:pt>
                <c:pt idx="671" formatCode="#,##0.000">
                  <c:v>#N/A</c:v>
                </c:pt>
                <c:pt idx="672" formatCode="#,##0.000">
                  <c:v>#N/A</c:v>
                </c:pt>
                <c:pt idx="673" formatCode="#,##0.000">
                  <c:v>#N/A</c:v>
                </c:pt>
                <c:pt idx="674" formatCode="#,##0.000">
                  <c:v>#N/A</c:v>
                </c:pt>
                <c:pt idx="675" formatCode="#,##0.000">
                  <c:v>#N/A</c:v>
                </c:pt>
                <c:pt idx="676" formatCode="#,##0.000">
                  <c:v>#N/A</c:v>
                </c:pt>
                <c:pt idx="677" formatCode="#,##0.000">
                  <c:v>#N/A</c:v>
                </c:pt>
                <c:pt idx="678" formatCode="#,##0.000">
                  <c:v>#N/A</c:v>
                </c:pt>
                <c:pt idx="679" formatCode="#,##0.000">
                  <c:v>#N/A</c:v>
                </c:pt>
                <c:pt idx="680" formatCode="#,##0.000">
                  <c:v>#N/A</c:v>
                </c:pt>
                <c:pt idx="681" formatCode="#,##0.000">
                  <c:v>#N/A</c:v>
                </c:pt>
                <c:pt idx="682" formatCode="#,##0.000">
                  <c:v>#N/A</c:v>
                </c:pt>
                <c:pt idx="683" formatCode="#,##0.000">
                  <c:v>1.0626913437795575</c:v>
                </c:pt>
                <c:pt idx="684" formatCode="#,##0.000">
                  <c:v>1.0626913437795575</c:v>
                </c:pt>
                <c:pt idx="685" formatCode="#,##0.000">
                  <c:v>1.0626913437795575</c:v>
                </c:pt>
                <c:pt idx="686" formatCode="#,##0.000">
                  <c:v>1.0626913437795575</c:v>
                </c:pt>
                <c:pt idx="687" formatCode="#,##0.000">
                  <c:v>1.0626913437795575</c:v>
                </c:pt>
                <c:pt idx="688" formatCode="#,##0.000">
                  <c:v>1.0626913437795575</c:v>
                </c:pt>
                <c:pt idx="689" formatCode="#,##0.000">
                  <c:v>1.0626913437795575</c:v>
                </c:pt>
                <c:pt idx="690" formatCode="#,##0.000">
                  <c:v>1.0626913437795575</c:v>
                </c:pt>
                <c:pt idx="691" formatCode="#,##0.000">
                  <c:v>1.0626913437795575</c:v>
                </c:pt>
                <c:pt idx="692" formatCode="#,##0.000">
                  <c:v>1.0626913437795575</c:v>
                </c:pt>
                <c:pt idx="693" formatCode="#,##0.000">
                  <c:v>1.0626913437795575</c:v>
                </c:pt>
                <c:pt idx="694" formatCode="#,##0.000">
                  <c:v>1.0626913437795575</c:v>
                </c:pt>
                <c:pt idx="695" formatCode="#,##0.000">
                  <c:v>1.0626913437795575</c:v>
                </c:pt>
                <c:pt idx="696" formatCode="#,##0.000">
                  <c:v>1.0626913437795575</c:v>
                </c:pt>
                <c:pt idx="697" formatCode="#,##0.000">
                  <c:v>1.0626913437795575</c:v>
                </c:pt>
                <c:pt idx="698" formatCode="#,##0.000">
                  <c:v>1.0626913437795575</c:v>
                </c:pt>
                <c:pt idx="699" formatCode="#,##0.000">
                  <c:v>1.0626913437795575</c:v>
                </c:pt>
                <c:pt idx="700" formatCode="#,##0.000">
                  <c:v>1.0626913437795575</c:v>
                </c:pt>
                <c:pt idx="701" formatCode="#,##0.000">
                  <c:v>1.0626913437795575</c:v>
                </c:pt>
                <c:pt idx="702" formatCode="#,##0.000">
                  <c:v>1.0626913437795575</c:v>
                </c:pt>
                <c:pt idx="703" formatCode="#,##0.000">
                  <c:v>1.0626913437795575</c:v>
                </c:pt>
                <c:pt idx="704" formatCode="#,##0.000">
                  <c:v>1.0626913437795575</c:v>
                </c:pt>
                <c:pt idx="705" formatCode="#,##0.000">
                  <c:v>1.0626913437795575</c:v>
                </c:pt>
                <c:pt idx="706" formatCode="#,##0.000">
                  <c:v>1.0626913437795575</c:v>
                </c:pt>
                <c:pt idx="707" formatCode="#,##0.000">
                  <c:v>1.0626913437795575</c:v>
                </c:pt>
                <c:pt idx="708" formatCode="#,##0.000">
                  <c:v>1.0626913437795575</c:v>
                </c:pt>
                <c:pt idx="709" formatCode="#,##0.000">
                  <c:v>1.0626913437795575</c:v>
                </c:pt>
                <c:pt idx="710" formatCode="#,##0.000">
                  <c:v>1.0626913437795575</c:v>
                </c:pt>
                <c:pt idx="711" formatCode="#,##0.000">
                  <c:v>1.0626913437795575</c:v>
                </c:pt>
                <c:pt idx="712" formatCode="#,##0.000">
                  <c:v>1.0626913437795575</c:v>
                </c:pt>
                <c:pt idx="713" formatCode="#,##0.000">
                  <c:v>1.0626913437795575</c:v>
                </c:pt>
                <c:pt idx="714" formatCode="#,##0.000">
                  <c:v>1.0626913437795575</c:v>
                </c:pt>
                <c:pt idx="715" formatCode="#,##0.000">
                  <c:v>1.0626913437795575</c:v>
                </c:pt>
                <c:pt idx="716" formatCode="#,##0.000">
                  <c:v>1.0626913437795575</c:v>
                </c:pt>
                <c:pt idx="717" formatCode="#,##0.000">
                  <c:v>1.0626913437795575</c:v>
                </c:pt>
                <c:pt idx="718" formatCode="#,##0.000">
                  <c:v>1.0626913437795575</c:v>
                </c:pt>
                <c:pt idx="719" formatCode="#,##0.000">
                  <c:v>1.0626913437795575</c:v>
                </c:pt>
                <c:pt idx="720" formatCode="#,##0.000">
                  <c:v>1.0626913437795575</c:v>
                </c:pt>
                <c:pt idx="721" formatCode="#,##0.000">
                  <c:v>1.0626913437795575</c:v>
                </c:pt>
                <c:pt idx="722" formatCode="#,##0.000">
                  <c:v>1.0626913437795575</c:v>
                </c:pt>
                <c:pt idx="723" formatCode="#,##0.000">
                  <c:v>1.0626913437795575</c:v>
                </c:pt>
                <c:pt idx="724" formatCode="#,##0.000">
                  <c:v>1.0626913437795575</c:v>
                </c:pt>
                <c:pt idx="725" formatCode="#,##0.000">
                  <c:v>1.0626913437795575</c:v>
                </c:pt>
                <c:pt idx="726" formatCode="#,##0.000">
                  <c:v>1.0626913437795575</c:v>
                </c:pt>
                <c:pt idx="727" formatCode="#,##0.000">
                  <c:v>1.0626913437795575</c:v>
                </c:pt>
                <c:pt idx="728" formatCode="#,##0.000">
                  <c:v>1.0626913437795575</c:v>
                </c:pt>
                <c:pt idx="729" formatCode="#,##0.000">
                  <c:v>1.0626913437795575</c:v>
                </c:pt>
                <c:pt idx="730" formatCode="#,##0.000">
                  <c:v>1.0626913437795575</c:v>
                </c:pt>
                <c:pt idx="731" formatCode="#,##0.000">
                  <c:v>1.0626913437795575</c:v>
                </c:pt>
                <c:pt idx="732" formatCode="#,##0.000">
                  <c:v>1.0626913437795575</c:v>
                </c:pt>
                <c:pt idx="733" formatCode="#,##0.000">
                  <c:v>1.0626913437795575</c:v>
                </c:pt>
                <c:pt idx="734" formatCode="#,##0.000">
                  <c:v>1.0626913437795575</c:v>
                </c:pt>
                <c:pt idx="735" formatCode="#,##0.000">
                  <c:v>1.0626913437795575</c:v>
                </c:pt>
                <c:pt idx="736" formatCode="#,##0.000">
                  <c:v>1.0626913437795575</c:v>
                </c:pt>
                <c:pt idx="737" formatCode="#,##0.000">
                  <c:v>1.0626913437795575</c:v>
                </c:pt>
                <c:pt idx="738" formatCode="#,##0.000">
                  <c:v>1.0626913437795575</c:v>
                </c:pt>
                <c:pt idx="739" formatCode="#,##0.000">
                  <c:v>1.0626913437795575</c:v>
                </c:pt>
                <c:pt idx="740" formatCode="#,##0.000">
                  <c:v>1.0626913437795575</c:v>
                </c:pt>
                <c:pt idx="741" formatCode="#,##0.000">
                  <c:v>1.0626913437795575</c:v>
                </c:pt>
                <c:pt idx="742" formatCode="#,##0.000">
                  <c:v>1.0626913437795575</c:v>
                </c:pt>
                <c:pt idx="743" formatCode="#,##0.000">
                  <c:v>1.0626913437795575</c:v>
                </c:pt>
                <c:pt idx="744" formatCode="#,##0.000">
                  <c:v>1.0626913437795575</c:v>
                </c:pt>
                <c:pt idx="745" formatCode="#,##0.000">
                  <c:v>1.0626913437795575</c:v>
                </c:pt>
                <c:pt idx="746" formatCode="#,##0.000">
                  <c:v>1.0626913437795575</c:v>
                </c:pt>
                <c:pt idx="747" formatCode="#,##0.000">
                  <c:v>1.0626913437795575</c:v>
                </c:pt>
                <c:pt idx="748" formatCode="#,##0.000">
                  <c:v>1.0626913437795575</c:v>
                </c:pt>
                <c:pt idx="749" formatCode="#,##0.000">
                  <c:v>1.0626913437795575</c:v>
                </c:pt>
                <c:pt idx="750" formatCode="#,##0.000">
                  <c:v>1.0626913437795575</c:v>
                </c:pt>
                <c:pt idx="751" formatCode="#,##0.000">
                  <c:v>1.0626913437795575</c:v>
                </c:pt>
                <c:pt idx="752" formatCode="#,##0.000">
                  <c:v>1.0626913437795575</c:v>
                </c:pt>
                <c:pt idx="753" formatCode="#,##0.000">
                  <c:v>1.0626913437795575</c:v>
                </c:pt>
                <c:pt idx="754" formatCode="#,##0.000">
                  <c:v>1.0626913437795575</c:v>
                </c:pt>
                <c:pt idx="755" formatCode="#,##0.000">
                  <c:v>1.0626913437795575</c:v>
                </c:pt>
                <c:pt idx="756" formatCode="#,##0.000">
                  <c:v>1.0626913437795575</c:v>
                </c:pt>
                <c:pt idx="757" formatCode="#,##0.000">
                  <c:v>1.0626913437795575</c:v>
                </c:pt>
                <c:pt idx="758" formatCode="#,##0.000">
                  <c:v>1.0626913437795575</c:v>
                </c:pt>
                <c:pt idx="759" formatCode="#,##0.000">
                  <c:v>1.0626913437795575</c:v>
                </c:pt>
                <c:pt idx="760" formatCode="#,##0.000">
                  <c:v>1.0626913437795575</c:v>
                </c:pt>
                <c:pt idx="761" formatCode="#,##0.000">
                  <c:v>1.0626913437795575</c:v>
                </c:pt>
                <c:pt idx="762" formatCode="#,##0.000">
                  <c:v>1.0626913437795575</c:v>
                </c:pt>
                <c:pt idx="763" formatCode="#,##0.000">
                  <c:v>1.0626913437795575</c:v>
                </c:pt>
                <c:pt idx="764" formatCode="#,##0.000">
                  <c:v>1.0626913437795575</c:v>
                </c:pt>
                <c:pt idx="765" formatCode="#,##0.000">
                  <c:v>1.0626913437795575</c:v>
                </c:pt>
                <c:pt idx="766" formatCode="#,##0.000">
                  <c:v>1.0626913437795575</c:v>
                </c:pt>
                <c:pt idx="767" formatCode="#,##0.000">
                  <c:v>1.0626913437795575</c:v>
                </c:pt>
                <c:pt idx="768" formatCode="#,##0.000">
                  <c:v>1.0626913437795575</c:v>
                </c:pt>
                <c:pt idx="769" formatCode="#,##0.000">
                  <c:v>1.0626913437795575</c:v>
                </c:pt>
                <c:pt idx="770" formatCode="#,##0.000">
                  <c:v>1.0626913437795575</c:v>
                </c:pt>
                <c:pt idx="771" formatCode="#,##0.000">
                  <c:v>1.0626913437795575</c:v>
                </c:pt>
                <c:pt idx="772" formatCode="#,##0.000">
                  <c:v>1.0626913437795575</c:v>
                </c:pt>
                <c:pt idx="773" formatCode="#,##0.000">
                  <c:v>1.0626913437795575</c:v>
                </c:pt>
                <c:pt idx="774" formatCode="#,##0.000">
                  <c:v>1.0626913437795575</c:v>
                </c:pt>
                <c:pt idx="775" formatCode="#,##0.000">
                  <c:v>1.0626913437795575</c:v>
                </c:pt>
                <c:pt idx="776" formatCode="#,##0.000">
                  <c:v>1.0626913437795575</c:v>
                </c:pt>
                <c:pt idx="777" formatCode="#,##0.000">
                  <c:v>1.0626913437795575</c:v>
                </c:pt>
                <c:pt idx="778" formatCode="#,##0.000">
                  <c:v>1.0626913437795575</c:v>
                </c:pt>
                <c:pt idx="779" formatCode="#,##0.000">
                  <c:v>1.0626913437795575</c:v>
                </c:pt>
                <c:pt idx="780" formatCode="#,##0.000">
                  <c:v>1.0626913437795575</c:v>
                </c:pt>
                <c:pt idx="781" formatCode="#,##0.000">
                  <c:v>1.0626913437795575</c:v>
                </c:pt>
                <c:pt idx="782" formatCode="#,##0.000">
                  <c:v>1.0626913437795575</c:v>
                </c:pt>
                <c:pt idx="783" formatCode="#,##0.000">
                  <c:v>1.0626913437795575</c:v>
                </c:pt>
                <c:pt idx="784" formatCode="#,##0.000">
                  <c:v>1.0626913437795575</c:v>
                </c:pt>
                <c:pt idx="785" formatCode="#,##0.000">
                  <c:v>1.0626913437795575</c:v>
                </c:pt>
                <c:pt idx="786" formatCode="#,##0.000">
                  <c:v>1.0626913437795575</c:v>
                </c:pt>
                <c:pt idx="787" formatCode="#,##0.000">
                  <c:v>1.0626913437795575</c:v>
                </c:pt>
                <c:pt idx="788" formatCode="#,##0.000">
                  <c:v>1.0626913437795575</c:v>
                </c:pt>
                <c:pt idx="789" formatCode="#,##0.000">
                  <c:v>1.0626913437795575</c:v>
                </c:pt>
                <c:pt idx="790" formatCode="#,##0.000">
                  <c:v>1.0626913437795575</c:v>
                </c:pt>
                <c:pt idx="791" formatCode="#,##0.000">
                  <c:v>1.0626913437795575</c:v>
                </c:pt>
                <c:pt idx="792" formatCode="#,##0.000">
                  <c:v>1.0626913437795575</c:v>
                </c:pt>
                <c:pt idx="793" formatCode="#,##0.000">
                  <c:v>1.0626913437795575</c:v>
                </c:pt>
                <c:pt idx="794" formatCode="#,##0.000">
                  <c:v>1.0626913437795575</c:v>
                </c:pt>
                <c:pt idx="795" formatCode="#,##0.000">
                  <c:v>1.0626913437795575</c:v>
                </c:pt>
                <c:pt idx="796" formatCode="#,##0.000">
                  <c:v>1.0626913437795575</c:v>
                </c:pt>
                <c:pt idx="797" formatCode="#,##0.000">
                  <c:v>1.0626913437795575</c:v>
                </c:pt>
                <c:pt idx="798" formatCode="#,##0.000">
                  <c:v>1.0626913437795575</c:v>
                </c:pt>
                <c:pt idx="799" formatCode="#,##0.000">
                  <c:v>1.0626913437795575</c:v>
                </c:pt>
                <c:pt idx="800" formatCode="#,##0.000">
                  <c:v>1.0626913437795575</c:v>
                </c:pt>
                <c:pt idx="801" formatCode="#,##0.000">
                  <c:v>1.0626913437795575</c:v>
                </c:pt>
                <c:pt idx="802" formatCode="#,##0.000">
                  <c:v>1.0626913437795575</c:v>
                </c:pt>
                <c:pt idx="803" formatCode="#,##0.000">
                  <c:v>1.0626913437795575</c:v>
                </c:pt>
                <c:pt idx="804" formatCode="#,##0.000">
                  <c:v>1.0626913437795575</c:v>
                </c:pt>
                <c:pt idx="805" formatCode="#,##0.000">
                  <c:v>1.0626913437795575</c:v>
                </c:pt>
                <c:pt idx="806" formatCode="#,##0.000">
                  <c:v>1.0626913437795575</c:v>
                </c:pt>
                <c:pt idx="807" formatCode="#,##0.000">
                  <c:v>1.0626913437795575</c:v>
                </c:pt>
                <c:pt idx="808" formatCode="#,##0.000">
                  <c:v>1.0626913437795575</c:v>
                </c:pt>
                <c:pt idx="809" formatCode="#,##0.000">
                  <c:v>1.0626913437795575</c:v>
                </c:pt>
                <c:pt idx="810" formatCode="#,##0.000">
                  <c:v>1.0626913437795575</c:v>
                </c:pt>
                <c:pt idx="811" formatCode="#,##0.000">
                  <c:v>1.0626913437795575</c:v>
                </c:pt>
                <c:pt idx="812" formatCode="#,##0.000">
                  <c:v>1.0626913437795575</c:v>
                </c:pt>
                <c:pt idx="813" formatCode="#,##0.000">
                  <c:v>1.0626913437795575</c:v>
                </c:pt>
                <c:pt idx="814" formatCode="#,##0.000">
                  <c:v>1.0626913437795575</c:v>
                </c:pt>
                <c:pt idx="815" formatCode="#,##0.000">
                  <c:v>1.0626913437795575</c:v>
                </c:pt>
                <c:pt idx="816" formatCode="#,##0.000">
                  <c:v>1.0626913437795575</c:v>
                </c:pt>
                <c:pt idx="817" formatCode="#,##0.000">
                  <c:v>1.0626913437795575</c:v>
                </c:pt>
                <c:pt idx="818" formatCode="#,##0.000">
                  <c:v>1.0626913437795575</c:v>
                </c:pt>
                <c:pt idx="819" formatCode="#,##0.000">
                  <c:v>1.0626913437795575</c:v>
                </c:pt>
                <c:pt idx="820" formatCode="#,##0.000">
                  <c:v>1.0626913437795575</c:v>
                </c:pt>
                <c:pt idx="821" formatCode="#,##0.000">
                  <c:v>1.0626913437795575</c:v>
                </c:pt>
                <c:pt idx="822" formatCode="#,##0.000">
                  <c:v>1.0626913437795575</c:v>
                </c:pt>
                <c:pt idx="823" formatCode="#,##0.000">
                  <c:v>1.0626913437795575</c:v>
                </c:pt>
                <c:pt idx="824" formatCode="#,##0.000">
                  <c:v>1.0626913437795575</c:v>
                </c:pt>
                <c:pt idx="825" formatCode="#,##0.000">
                  <c:v>1.0626913437795575</c:v>
                </c:pt>
                <c:pt idx="826" formatCode="#,##0.000">
                  <c:v>1.0626913437795575</c:v>
                </c:pt>
                <c:pt idx="827" formatCode="#,##0.000">
                  <c:v>1.0626913437795575</c:v>
                </c:pt>
                <c:pt idx="828" formatCode="#,##0.000">
                  <c:v>1.0626913437795575</c:v>
                </c:pt>
                <c:pt idx="829" formatCode="#,##0.000">
                  <c:v>1.0626913437795575</c:v>
                </c:pt>
                <c:pt idx="830" formatCode="#,##0.000">
                  <c:v>1.0626913437795575</c:v>
                </c:pt>
                <c:pt idx="831" formatCode="#,##0.000">
                  <c:v>1.0626913437795575</c:v>
                </c:pt>
                <c:pt idx="832" formatCode="#,##0.000">
                  <c:v>1.0626913437795575</c:v>
                </c:pt>
                <c:pt idx="833" formatCode="#,##0.000">
                  <c:v>1.0626913437795575</c:v>
                </c:pt>
                <c:pt idx="834" formatCode="#,##0.000">
                  <c:v>1.0626913437795575</c:v>
                </c:pt>
                <c:pt idx="835" formatCode="#,##0.000">
                  <c:v>1.0626913437795575</c:v>
                </c:pt>
                <c:pt idx="836" formatCode="#,##0.000">
                  <c:v>1.0626913437795575</c:v>
                </c:pt>
                <c:pt idx="837" formatCode="#,##0.000">
                  <c:v>1.0626913437795575</c:v>
                </c:pt>
                <c:pt idx="838" formatCode="#,##0.000">
                  <c:v>1.0626913437795575</c:v>
                </c:pt>
                <c:pt idx="839" formatCode="#,##0.000">
                  <c:v>1.0626913437795575</c:v>
                </c:pt>
                <c:pt idx="840" formatCode="#,##0.000">
                  <c:v>1.0626913437795575</c:v>
                </c:pt>
                <c:pt idx="841" formatCode="#,##0.000">
                  <c:v>1.0626913437795575</c:v>
                </c:pt>
                <c:pt idx="842" formatCode="#,##0.000">
                  <c:v>1.0626913437795575</c:v>
                </c:pt>
                <c:pt idx="843" formatCode="#,##0.000">
                  <c:v>1.0626913437795575</c:v>
                </c:pt>
                <c:pt idx="844" formatCode="#,##0.000">
                  <c:v>1.0626913437795575</c:v>
                </c:pt>
                <c:pt idx="845" formatCode="#,##0.000">
                  <c:v>1.0626913437795575</c:v>
                </c:pt>
                <c:pt idx="846" formatCode="#,##0.000">
                  <c:v>1.0626913437795575</c:v>
                </c:pt>
                <c:pt idx="847" formatCode="#,##0.000">
                  <c:v>1.0626913437795575</c:v>
                </c:pt>
                <c:pt idx="848" formatCode="#,##0.000">
                  <c:v>1.0626913437795575</c:v>
                </c:pt>
                <c:pt idx="849" formatCode="#,##0.000">
                  <c:v>1.0626913437795575</c:v>
                </c:pt>
                <c:pt idx="850" formatCode="#,##0.000">
                  <c:v>1.0626913437795575</c:v>
                </c:pt>
                <c:pt idx="851" formatCode="#,##0.000">
                  <c:v>1.0626913437795575</c:v>
                </c:pt>
                <c:pt idx="852" formatCode="#,##0.000">
                  <c:v>1.0626913437795575</c:v>
                </c:pt>
                <c:pt idx="853" formatCode="#,##0.000">
                  <c:v>1.0626913437795575</c:v>
                </c:pt>
                <c:pt idx="854" formatCode="#,##0.000">
                  <c:v>1.0626913437795575</c:v>
                </c:pt>
                <c:pt idx="855" formatCode="#,##0.000">
                  <c:v>1.0626913437795575</c:v>
                </c:pt>
                <c:pt idx="856" formatCode="#,##0.000">
                  <c:v>1.0626913437795575</c:v>
                </c:pt>
                <c:pt idx="857" formatCode="#,##0.000">
                  <c:v>1.0626913437795575</c:v>
                </c:pt>
                <c:pt idx="858" formatCode="#,##0.000">
                  <c:v>1.0626913437795575</c:v>
                </c:pt>
                <c:pt idx="859" formatCode="#,##0.000">
                  <c:v>1.0626913437795575</c:v>
                </c:pt>
                <c:pt idx="860" formatCode="#,##0.000">
                  <c:v>1.0626913437795575</c:v>
                </c:pt>
                <c:pt idx="861" formatCode="#,##0.000">
                  <c:v>1.0626913437795575</c:v>
                </c:pt>
                <c:pt idx="862" formatCode="#,##0.000">
                  <c:v>1.0626913437795575</c:v>
                </c:pt>
                <c:pt idx="863" formatCode="#,##0.000">
                  <c:v>1.0626913437795575</c:v>
                </c:pt>
                <c:pt idx="864" formatCode="#,##0.000">
                  <c:v>1.0626913437795575</c:v>
                </c:pt>
                <c:pt idx="865" formatCode="#,##0.000">
                  <c:v>1.0626913437795575</c:v>
                </c:pt>
                <c:pt idx="866" formatCode="#,##0.000">
                  <c:v>1.0626913437795575</c:v>
                </c:pt>
                <c:pt idx="867" formatCode="#,##0.000">
                  <c:v>1.0626913437795575</c:v>
                </c:pt>
                <c:pt idx="868" formatCode="#,##0.000">
                  <c:v>1.0626913437795575</c:v>
                </c:pt>
                <c:pt idx="869" formatCode="#,##0.000">
                  <c:v>1.0626913437795575</c:v>
                </c:pt>
                <c:pt idx="870" formatCode="#,##0.000">
                  <c:v>1.0626913437795575</c:v>
                </c:pt>
                <c:pt idx="871" formatCode="#,##0.000">
                  <c:v>1.0626913437795575</c:v>
                </c:pt>
                <c:pt idx="872" formatCode="#,##0.000">
                  <c:v>1.0626913437795575</c:v>
                </c:pt>
                <c:pt idx="873" formatCode="#,##0.000">
                  <c:v>1.0626913437795575</c:v>
                </c:pt>
                <c:pt idx="874" formatCode="#,##0.000">
                  <c:v>1.0626913437795575</c:v>
                </c:pt>
                <c:pt idx="875" formatCode="#,##0.000">
                  <c:v>1.0626913437795575</c:v>
                </c:pt>
                <c:pt idx="876" formatCode="#,##0.000">
                  <c:v>1.0626913437795575</c:v>
                </c:pt>
                <c:pt idx="877" formatCode="#,##0.000">
                  <c:v>1.0626913437795575</c:v>
                </c:pt>
                <c:pt idx="878" formatCode="#,##0.000">
                  <c:v>1.0626913437795575</c:v>
                </c:pt>
                <c:pt idx="879" formatCode="#,##0.000">
                  <c:v>1.0626913437795575</c:v>
                </c:pt>
                <c:pt idx="880" formatCode="#,##0.000">
                  <c:v>1.0626913437795575</c:v>
                </c:pt>
                <c:pt idx="881" formatCode="#,##0.000">
                  <c:v>1.0626913437795575</c:v>
                </c:pt>
                <c:pt idx="882" formatCode="#,##0.000">
                  <c:v>1.0626913437795575</c:v>
                </c:pt>
                <c:pt idx="883" formatCode="#,##0.000">
                  <c:v>1.0626913437795575</c:v>
                </c:pt>
                <c:pt idx="884" formatCode="#,##0.000">
                  <c:v>1.0626913437795575</c:v>
                </c:pt>
                <c:pt idx="885" formatCode="#,##0.000">
                  <c:v>1.0626913437795575</c:v>
                </c:pt>
                <c:pt idx="886" formatCode="#,##0.000">
                  <c:v>1.0626913437795575</c:v>
                </c:pt>
                <c:pt idx="887" formatCode="#,##0.000">
                  <c:v>1.0626913437795575</c:v>
                </c:pt>
                <c:pt idx="888" formatCode="#,##0.000">
                  <c:v>1.0626913437795575</c:v>
                </c:pt>
                <c:pt idx="889" formatCode="#,##0.000">
                  <c:v>1.0626913437795575</c:v>
                </c:pt>
                <c:pt idx="890" formatCode="#,##0.000">
                  <c:v>1.0626913437795575</c:v>
                </c:pt>
                <c:pt idx="891" formatCode="#,##0.000">
                  <c:v>1.0626913437795575</c:v>
                </c:pt>
                <c:pt idx="892" formatCode="#,##0.000">
                  <c:v>1.0626913437795575</c:v>
                </c:pt>
                <c:pt idx="893" formatCode="#,##0.000">
                  <c:v>1.0626913437795575</c:v>
                </c:pt>
                <c:pt idx="894" formatCode="#,##0.000">
                  <c:v>1.0626913437795575</c:v>
                </c:pt>
                <c:pt idx="895" formatCode="#,##0.000">
                  <c:v>1.0626913437795575</c:v>
                </c:pt>
                <c:pt idx="896" formatCode="#,##0.000">
                  <c:v>1.0626913437795575</c:v>
                </c:pt>
                <c:pt idx="897" formatCode="#,##0.000">
                  <c:v>1.0626913437795575</c:v>
                </c:pt>
                <c:pt idx="898" formatCode="#,##0.000">
                  <c:v>1.0626913437795575</c:v>
                </c:pt>
                <c:pt idx="899" formatCode="#,##0.000">
                  <c:v>1.0626913437795575</c:v>
                </c:pt>
                <c:pt idx="900" formatCode="#,##0.000">
                  <c:v>1.0626913437795575</c:v>
                </c:pt>
                <c:pt idx="901" formatCode="#,##0.000">
                  <c:v>1.0626913437795575</c:v>
                </c:pt>
                <c:pt idx="902" formatCode="#,##0.000">
                  <c:v>1.0626913437795575</c:v>
                </c:pt>
                <c:pt idx="903" formatCode="#,##0.000">
                  <c:v>1.0626913437795575</c:v>
                </c:pt>
                <c:pt idx="904" formatCode="#,##0.000">
                  <c:v>1.0626913437795575</c:v>
                </c:pt>
                <c:pt idx="905" formatCode="#,##0.000">
                  <c:v>1.0626913437795575</c:v>
                </c:pt>
                <c:pt idx="906" formatCode="#,##0.000">
                  <c:v>1.0626913437795575</c:v>
                </c:pt>
                <c:pt idx="907" formatCode="#,##0.000">
                  <c:v>1.0626913437795575</c:v>
                </c:pt>
                <c:pt idx="908" formatCode="#,##0.000">
                  <c:v>1.0626913437795575</c:v>
                </c:pt>
                <c:pt idx="909" formatCode="#,##0.000">
                  <c:v>1.0626913437795575</c:v>
                </c:pt>
                <c:pt idx="910" formatCode="#,##0.000">
                  <c:v>1.0626913437795575</c:v>
                </c:pt>
                <c:pt idx="911" formatCode="#,##0.000">
                  <c:v>1.0626913437795575</c:v>
                </c:pt>
                <c:pt idx="912" formatCode="#,##0.000">
                  <c:v>1.0626913437795575</c:v>
                </c:pt>
                <c:pt idx="913" formatCode="#,##0.000">
                  <c:v>1.0626913437795575</c:v>
                </c:pt>
                <c:pt idx="914" formatCode="#,##0.000">
                  <c:v>1.0626913437795575</c:v>
                </c:pt>
                <c:pt idx="915" formatCode="#,##0.000">
                  <c:v>1.0626913437795575</c:v>
                </c:pt>
                <c:pt idx="916" formatCode="#,##0.000">
                  <c:v>1.0626913437795575</c:v>
                </c:pt>
                <c:pt idx="917" formatCode="#,##0.000">
                  <c:v>1.0626913437795575</c:v>
                </c:pt>
                <c:pt idx="918" formatCode="#,##0.000">
                  <c:v>1.0626913437795575</c:v>
                </c:pt>
                <c:pt idx="919" formatCode="#,##0.000">
                  <c:v>1.0626913437795575</c:v>
                </c:pt>
                <c:pt idx="920" formatCode="#,##0.000">
                  <c:v>1.0626913437795575</c:v>
                </c:pt>
                <c:pt idx="921" formatCode="#,##0.000">
                  <c:v>1.0626913437795575</c:v>
                </c:pt>
                <c:pt idx="922" formatCode="#,##0.000">
                  <c:v>1.0626913437795575</c:v>
                </c:pt>
                <c:pt idx="923" formatCode="#,##0.000">
                  <c:v>1.0626913437795575</c:v>
                </c:pt>
                <c:pt idx="924" formatCode="#,##0.000">
                  <c:v>1.0626913437795575</c:v>
                </c:pt>
                <c:pt idx="925" formatCode="#,##0.000">
                  <c:v>1.0626913437795575</c:v>
                </c:pt>
                <c:pt idx="926" formatCode="#,##0.000">
                  <c:v>1.0626913437795575</c:v>
                </c:pt>
                <c:pt idx="927" formatCode="#,##0.000">
                  <c:v>1.0626913437795575</c:v>
                </c:pt>
                <c:pt idx="928" formatCode="#,##0.000">
                  <c:v>1.0626913437795575</c:v>
                </c:pt>
                <c:pt idx="929" formatCode="#,##0.000">
                  <c:v>1.0626913437795575</c:v>
                </c:pt>
                <c:pt idx="930" formatCode="#,##0.000">
                  <c:v>1.0626913437795575</c:v>
                </c:pt>
                <c:pt idx="931" formatCode="#,##0.000">
                  <c:v>1.0626913437795575</c:v>
                </c:pt>
                <c:pt idx="932" formatCode="#,##0.000">
                  <c:v>1.0626913437795575</c:v>
                </c:pt>
                <c:pt idx="933" formatCode="#,##0.000">
                  <c:v>1.0626913437795575</c:v>
                </c:pt>
                <c:pt idx="934" formatCode="#,##0.000">
                  <c:v>1.0626913437795575</c:v>
                </c:pt>
                <c:pt idx="935" formatCode="#,##0.000">
                  <c:v>1.0626913437795575</c:v>
                </c:pt>
                <c:pt idx="936" formatCode="#,##0.000">
                  <c:v>1.0626913437795575</c:v>
                </c:pt>
                <c:pt idx="937" formatCode="#,##0.000">
                  <c:v>1.0626913437795575</c:v>
                </c:pt>
                <c:pt idx="938" formatCode="#,##0.000">
                  <c:v>1.0626913437795575</c:v>
                </c:pt>
                <c:pt idx="939" formatCode="#,##0.000">
                  <c:v>1.0626913437795575</c:v>
                </c:pt>
                <c:pt idx="940" formatCode="#,##0.000">
                  <c:v>1.0626913437795575</c:v>
                </c:pt>
                <c:pt idx="941" formatCode="#,##0.000">
                  <c:v>1.0626913437795575</c:v>
                </c:pt>
                <c:pt idx="942" formatCode="#,##0.000">
                  <c:v>1.0626913437795575</c:v>
                </c:pt>
                <c:pt idx="943" formatCode="#,##0.000">
                  <c:v>1.0626913437795575</c:v>
                </c:pt>
                <c:pt idx="944" formatCode="#,##0.000">
                  <c:v>1.0626913437795575</c:v>
                </c:pt>
                <c:pt idx="945" formatCode="#,##0.000">
                  <c:v>1.0626913437795575</c:v>
                </c:pt>
                <c:pt idx="946" formatCode="#,##0.000">
                  <c:v>1.0626913437795575</c:v>
                </c:pt>
                <c:pt idx="947" formatCode="#,##0.000">
                  <c:v>1.0626913437795575</c:v>
                </c:pt>
                <c:pt idx="948" formatCode="#,##0.000">
                  <c:v>1.0626913437795575</c:v>
                </c:pt>
                <c:pt idx="949" formatCode="#,##0.000">
                  <c:v>1.0626913437795575</c:v>
                </c:pt>
                <c:pt idx="950" formatCode="#,##0.000">
                  <c:v>1.0626913437795575</c:v>
                </c:pt>
                <c:pt idx="951" formatCode="#,##0.000">
                  <c:v>1.0626913437795575</c:v>
                </c:pt>
                <c:pt idx="952" formatCode="#,##0.000">
                  <c:v>1.0626913437795575</c:v>
                </c:pt>
                <c:pt idx="953" formatCode="#,##0.000">
                  <c:v>1.0626913437795575</c:v>
                </c:pt>
                <c:pt idx="954" formatCode="#,##0.000">
                  <c:v>1.0626913437795575</c:v>
                </c:pt>
                <c:pt idx="955" formatCode="#,##0.000">
                  <c:v>1.0626913437795575</c:v>
                </c:pt>
                <c:pt idx="956" formatCode="#,##0.000">
                  <c:v>1.0626913437795575</c:v>
                </c:pt>
                <c:pt idx="957" formatCode="#,##0.000">
                  <c:v>1.0626913437795575</c:v>
                </c:pt>
                <c:pt idx="958" formatCode="#,##0.000">
                  <c:v>1.0626913437795575</c:v>
                </c:pt>
                <c:pt idx="959" formatCode="#,##0.000">
                  <c:v>1.0626913437795575</c:v>
                </c:pt>
                <c:pt idx="960" formatCode="#,##0.000">
                  <c:v>1.0626913437795575</c:v>
                </c:pt>
                <c:pt idx="961" formatCode="#,##0.000">
                  <c:v>1.0626913437795575</c:v>
                </c:pt>
                <c:pt idx="962" formatCode="#,##0.000">
                  <c:v>1.0626913437795575</c:v>
                </c:pt>
                <c:pt idx="963" formatCode="#,##0.000">
                  <c:v>1.0626913437795575</c:v>
                </c:pt>
                <c:pt idx="964" formatCode="#,##0.000">
                  <c:v>1.0626913437795575</c:v>
                </c:pt>
                <c:pt idx="965" formatCode="#,##0.000">
                  <c:v>1.0626913437795575</c:v>
                </c:pt>
                <c:pt idx="966" formatCode="#,##0.000">
                  <c:v>1.0626913437795575</c:v>
                </c:pt>
                <c:pt idx="967" formatCode="#,##0.000">
                  <c:v>1.0626913437795575</c:v>
                </c:pt>
                <c:pt idx="968" formatCode="#,##0.000">
                  <c:v>1.0626913437795575</c:v>
                </c:pt>
                <c:pt idx="969" formatCode="#,##0.000">
                  <c:v>1.0626913437795575</c:v>
                </c:pt>
                <c:pt idx="970" formatCode="#,##0.000">
                  <c:v>1.0626913437795575</c:v>
                </c:pt>
                <c:pt idx="971" formatCode="#,##0.000">
                  <c:v>1.0626913437795575</c:v>
                </c:pt>
                <c:pt idx="972" formatCode="#,##0.000">
                  <c:v>1.0626913437795575</c:v>
                </c:pt>
                <c:pt idx="973" formatCode="#,##0.000">
                  <c:v>1.0626913437795575</c:v>
                </c:pt>
                <c:pt idx="974" formatCode="#,##0.000">
                  <c:v>1.0626913437795575</c:v>
                </c:pt>
                <c:pt idx="975" formatCode="#,##0.000">
                  <c:v>1.0626913437795575</c:v>
                </c:pt>
                <c:pt idx="976" formatCode="#,##0.000">
                  <c:v>1.0626913437795575</c:v>
                </c:pt>
                <c:pt idx="977" formatCode="#,##0.000">
                  <c:v>1.0626913437795575</c:v>
                </c:pt>
                <c:pt idx="978" formatCode="#,##0.000">
                  <c:v>1.0626913437795575</c:v>
                </c:pt>
                <c:pt idx="979" formatCode="#,##0.000">
                  <c:v>1.0626913437795575</c:v>
                </c:pt>
                <c:pt idx="980" formatCode="#,##0.000">
                  <c:v>1.0626913437795575</c:v>
                </c:pt>
                <c:pt idx="981" formatCode="#,##0.000">
                  <c:v>1.0626913437795575</c:v>
                </c:pt>
                <c:pt idx="982" formatCode="#,##0.000">
                  <c:v>1.0626913437795575</c:v>
                </c:pt>
                <c:pt idx="983" formatCode="#,##0.000">
                  <c:v>1.0626913437795575</c:v>
                </c:pt>
                <c:pt idx="984" formatCode="#,##0.000">
                  <c:v>1.0626913437795575</c:v>
                </c:pt>
                <c:pt idx="985" formatCode="#,##0.000">
                  <c:v>1.0626913437795575</c:v>
                </c:pt>
                <c:pt idx="986" formatCode="#,##0.000">
                  <c:v>1.0626913437795575</c:v>
                </c:pt>
                <c:pt idx="987" formatCode="#,##0.000">
                  <c:v>1.0626913437795575</c:v>
                </c:pt>
                <c:pt idx="988" formatCode="#,##0.000">
                  <c:v>1.0626913437795575</c:v>
                </c:pt>
                <c:pt idx="989" formatCode="#,##0.000">
                  <c:v>1.0626913437795575</c:v>
                </c:pt>
                <c:pt idx="990" formatCode="#,##0.000">
                  <c:v>1.0626913437795575</c:v>
                </c:pt>
                <c:pt idx="991" formatCode="#,##0.000">
                  <c:v>1.0626913437795575</c:v>
                </c:pt>
                <c:pt idx="992" formatCode="#,##0.000">
                  <c:v>1.0626913437795575</c:v>
                </c:pt>
                <c:pt idx="993" formatCode="#,##0.000">
                  <c:v>1.0626913437795575</c:v>
                </c:pt>
                <c:pt idx="994" formatCode="#,##0.000">
                  <c:v>1.0626913437795575</c:v>
                </c:pt>
                <c:pt idx="995" formatCode="#,##0.000">
                  <c:v>1.0626913437795575</c:v>
                </c:pt>
                <c:pt idx="996" formatCode="#,##0.000">
                  <c:v>1.0626913437795575</c:v>
                </c:pt>
                <c:pt idx="997" formatCode="#,##0.000">
                  <c:v>1.0626913437795575</c:v>
                </c:pt>
                <c:pt idx="998" formatCode="#,##0.000">
                  <c:v>1.0626913437795575</c:v>
                </c:pt>
                <c:pt idx="999" formatCode="#,##0.000">
                  <c:v>1.0626913437795575</c:v>
                </c:pt>
                <c:pt idx="1000" formatCode="#,##0.000">
                  <c:v>1.0626913437795575</c:v>
                </c:pt>
                <c:pt idx="1001" formatCode="#,##0.000">
                  <c:v>1.0626913437795575</c:v>
                </c:pt>
                <c:pt idx="1002" formatCode="#,##0.000">
                  <c:v>1.0626913437795575</c:v>
                </c:pt>
                <c:pt idx="1003" formatCode="#,##0.000">
                  <c:v>1.0626913437795575</c:v>
                </c:pt>
                <c:pt idx="1004" formatCode="#,##0.000">
                  <c:v>1.0626913437795575</c:v>
                </c:pt>
                <c:pt idx="1005" formatCode="#,##0.000">
                  <c:v>1.0626913437795575</c:v>
                </c:pt>
                <c:pt idx="1006" formatCode="#,##0.000">
                  <c:v>1.0626913437795575</c:v>
                </c:pt>
                <c:pt idx="1007" formatCode="#,##0.000">
                  <c:v>1.0626913437795575</c:v>
                </c:pt>
                <c:pt idx="1008" formatCode="#,##0.000">
                  <c:v>1.0626913437795575</c:v>
                </c:pt>
                <c:pt idx="1009" formatCode="#,##0.000">
                  <c:v>1.0626913437795575</c:v>
                </c:pt>
                <c:pt idx="1010" formatCode="#,##0.000">
                  <c:v>1.0626913437795575</c:v>
                </c:pt>
                <c:pt idx="1011" formatCode="#,##0.000">
                  <c:v>1.0626913437795575</c:v>
                </c:pt>
                <c:pt idx="1012" formatCode="#,##0.000">
                  <c:v>1.0626913437795575</c:v>
                </c:pt>
                <c:pt idx="1013" formatCode="#,##0.000">
                  <c:v>1.0626913437795575</c:v>
                </c:pt>
                <c:pt idx="1014" formatCode="#,##0.000">
                  <c:v>1.0626913437795575</c:v>
                </c:pt>
                <c:pt idx="1015" formatCode="#,##0.000">
                  <c:v>1.0626913437795575</c:v>
                </c:pt>
                <c:pt idx="1016" formatCode="#,##0.000">
                  <c:v>1.0626913437795575</c:v>
                </c:pt>
                <c:pt idx="1017" formatCode="#,##0.000">
                  <c:v>1.0626913437795575</c:v>
                </c:pt>
                <c:pt idx="1018" formatCode="#,##0.000">
                  <c:v>1.0626913437795575</c:v>
                </c:pt>
                <c:pt idx="1019" formatCode="#,##0.000">
                  <c:v>1.0626913437795575</c:v>
                </c:pt>
                <c:pt idx="1020" formatCode="#,##0.000">
                  <c:v>1.0626913437795575</c:v>
                </c:pt>
                <c:pt idx="1021" formatCode="#,##0.000">
                  <c:v>1.0626913437795575</c:v>
                </c:pt>
                <c:pt idx="1022" formatCode="#,##0.000">
                  <c:v>1.0626913437795575</c:v>
                </c:pt>
                <c:pt idx="1023" formatCode="#,##0.000">
                  <c:v>1.0626913437795575</c:v>
                </c:pt>
                <c:pt idx="1024" formatCode="#,##0.000">
                  <c:v>1.0626913437795575</c:v>
                </c:pt>
                <c:pt idx="1025" formatCode="#,##0.000">
                  <c:v>1.0626913437795575</c:v>
                </c:pt>
                <c:pt idx="1026" formatCode="#,##0.000">
                  <c:v>1.0626913437795575</c:v>
                </c:pt>
                <c:pt idx="1027" formatCode="#,##0.000">
                  <c:v>1.0626913437795575</c:v>
                </c:pt>
                <c:pt idx="1028" formatCode="#,##0.000">
                  <c:v>1.0626913437795575</c:v>
                </c:pt>
                <c:pt idx="1029" formatCode="#,##0.000">
                  <c:v>1.0626913437795575</c:v>
                </c:pt>
                <c:pt idx="1030" formatCode="#,##0.000">
                  <c:v>1.0626913437795575</c:v>
                </c:pt>
                <c:pt idx="1031" formatCode="#,##0.000">
                  <c:v>1.0626913437795575</c:v>
                </c:pt>
                <c:pt idx="1032" formatCode="#,##0.000">
                  <c:v>1.0626913437795575</c:v>
                </c:pt>
                <c:pt idx="1033" formatCode="#,##0.000">
                  <c:v>1.0626913437795575</c:v>
                </c:pt>
                <c:pt idx="1034" formatCode="#,##0.000">
                  <c:v>1.0626913437795575</c:v>
                </c:pt>
                <c:pt idx="1035" formatCode="#,##0.000">
                  <c:v>1.0626913437795575</c:v>
                </c:pt>
                <c:pt idx="1036" formatCode="#,##0.000">
                  <c:v>1.0626913437795575</c:v>
                </c:pt>
                <c:pt idx="1037" formatCode="#,##0.000">
                  <c:v>1.0626913437795575</c:v>
                </c:pt>
                <c:pt idx="1038" formatCode="#,##0.000">
                  <c:v>1.0626913437795575</c:v>
                </c:pt>
                <c:pt idx="1039" formatCode="#,##0.000">
                  <c:v>1.0626913437795575</c:v>
                </c:pt>
                <c:pt idx="1040" formatCode="#,##0.000">
                  <c:v>1.0626913437795575</c:v>
                </c:pt>
                <c:pt idx="1041" formatCode="#,##0.000">
                  <c:v>1.0626913437795575</c:v>
                </c:pt>
                <c:pt idx="1042" formatCode="#,##0.000">
                  <c:v>1.0626913437795575</c:v>
                </c:pt>
                <c:pt idx="1043" formatCode="#,##0.000">
                  <c:v>1.0626913437795575</c:v>
                </c:pt>
                <c:pt idx="1044" formatCode="#,##0.000">
                  <c:v>1.0626913437795575</c:v>
                </c:pt>
                <c:pt idx="1045" formatCode="#,##0.000">
                  <c:v>1.0626913437795575</c:v>
                </c:pt>
                <c:pt idx="1046" formatCode="#,##0.000">
                  <c:v>1.0626913437795575</c:v>
                </c:pt>
                <c:pt idx="1047" formatCode="#,##0.000">
                  <c:v>1.0626913437795575</c:v>
                </c:pt>
                <c:pt idx="1048" formatCode="#,##0.000">
                  <c:v>1.0626913437795575</c:v>
                </c:pt>
                <c:pt idx="1049" formatCode="#,##0.000">
                  <c:v>1.0626913437795575</c:v>
                </c:pt>
                <c:pt idx="1050" formatCode="#,##0.000">
                  <c:v>1.0626913437795575</c:v>
                </c:pt>
                <c:pt idx="1051" formatCode="#,##0.000">
                  <c:v>1.0626913437795575</c:v>
                </c:pt>
                <c:pt idx="1052" formatCode="#,##0.000">
                  <c:v>1.0626913437795575</c:v>
                </c:pt>
                <c:pt idx="1053" formatCode="#,##0.000">
                  <c:v>1.0626913437795575</c:v>
                </c:pt>
                <c:pt idx="1054" formatCode="#,##0.000">
                  <c:v>1.0626913437795575</c:v>
                </c:pt>
                <c:pt idx="1055" formatCode="#,##0.000">
                  <c:v>1.0626913437795575</c:v>
                </c:pt>
                <c:pt idx="1056" formatCode="#,##0.000">
                  <c:v>1.0626913437795575</c:v>
                </c:pt>
                <c:pt idx="1057" formatCode="#,##0.000">
                  <c:v>1.0626913437795575</c:v>
                </c:pt>
                <c:pt idx="1058" formatCode="#,##0.000">
                  <c:v>1.0626913437795575</c:v>
                </c:pt>
                <c:pt idx="1059" formatCode="#,##0.000">
                  <c:v>1.0626913437795575</c:v>
                </c:pt>
                <c:pt idx="1060" formatCode="#,##0.000">
                  <c:v>1.0626913437795575</c:v>
                </c:pt>
                <c:pt idx="1061" formatCode="#,##0.000">
                  <c:v>1.0626913437795575</c:v>
                </c:pt>
                <c:pt idx="1062" formatCode="#,##0.000">
                  <c:v>1.0626913437795575</c:v>
                </c:pt>
                <c:pt idx="1063" formatCode="#,##0.000">
                  <c:v>1.0626913437795575</c:v>
                </c:pt>
                <c:pt idx="1064" formatCode="#,##0.000">
                  <c:v>1.0626913437795575</c:v>
                </c:pt>
                <c:pt idx="1065" formatCode="#,##0.000">
                  <c:v>1.0626913437795575</c:v>
                </c:pt>
                <c:pt idx="1066" formatCode="#,##0.000">
                  <c:v>1.0626913437795575</c:v>
                </c:pt>
                <c:pt idx="1067" formatCode="#,##0.000">
                  <c:v>1.0626913437795575</c:v>
                </c:pt>
                <c:pt idx="1068" formatCode="#,##0.000">
                  <c:v>1.0626913437795575</c:v>
                </c:pt>
                <c:pt idx="1069" formatCode="#,##0.000">
                  <c:v>1.0626913437795575</c:v>
                </c:pt>
                <c:pt idx="1070" formatCode="#,##0.000">
                  <c:v>1.0626913437795575</c:v>
                </c:pt>
                <c:pt idx="1071" formatCode="#,##0.000">
                  <c:v>1.0626913437795575</c:v>
                </c:pt>
                <c:pt idx="1072" formatCode="#,##0.000">
                  <c:v>1.0626913437795575</c:v>
                </c:pt>
                <c:pt idx="1073" formatCode="#,##0.000">
                  <c:v>1.0626913437795575</c:v>
                </c:pt>
                <c:pt idx="1074" formatCode="#,##0.000">
                  <c:v>1.0626913437795575</c:v>
                </c:pt>
                <c:pt idx="1075" formatCode="#,##0.000">
                  <c:v>1.0626913437795575</c:v>
                </c:pt>
                <c:pt idx="1076" formatCode="#,##0.000">
                  <c:v>1.0626913437795575</c:v>
                </c:pt>
                <c:pt idx="1077" formatCode="#,##0.000">
                  <c:v>1.0626913437795575</c:v>
                </c:pt>
                <c:pt idx="1078" formatCode="#,##0.000">
                  <c:v>1.0626913437795575</c:v>
                </c:pt>
                <c:pt idx="1079" formatCode="#,##0.000">
                  <c:v>1.0626913437795575</c:v>
                </c:pt>
                <c:pt idx="1080" formatCode="#,##0.000">
                  <c:v>1.0626913437795575</c:v>
                </c:pt>
                <c:pt idx="1081" formatCode="#,##0.000">
                  <c:v>1.0626913437795575</c:v>
                </c:pt>
                <c:pt idx="1082" formatCode="#,##0.000">
                  <c:v>1.0626913437795575</c:v>
                </c:pt>
                <c:pt idx="1083" formatCode="#,##0.000">
                  <c:v>1.0626913437795575</c:v>
                </c:pt>
                <c:pt idx="1084" formatCode="#,##0.000">
                  <c:v>1.0626913437795575</c:v>
                </c:pt>
                <c:pt idx="1085" formatCode="#,##0.000">
                  <c:v>1.0626913437795575</c:v>
                </c:pt>
                <c:pt idx="1086" formatCode="#,##0.000">
                  <c:v>1.0626913437795575</c:v>
                </c:pt>
                <c:pt idx="1087" formatCode="#,##0.000">
                  <c:v>1.0626913437795575</c:v>
                </c:pt>
                <c:pt idx="1088" formatCode="#,##0.000">
                  <c:v>1.0626913437795575</c:v>
                </c:pt>
                <c:pt idx="1089" formatCode="#,##0.000">
                  <c:v>1.0626913437795575</c:v>
                </c:pt>
                <c:pt idx="1090" formatCode="#,##0.000">
                  <c:v>1.0626913437795575</c:v>
                </c:pt>
                <c:pt idx="1091" formatCode="#,##0.000">
                  <c:v>1.0626913437795575</c:v>
                </c:pt>
                <c:pt idx="1092" formatCode="#,##0.000">
                  <c:v>1.0626913437795575</c:v>
                </c:pt>
                <c:pt idx="1093" formatCode="#,##0.000">
                  <c:v>1.0626913437795575</c:v>
                </c:pt>
                <c:pt idx="1094" formatCode="#,##0.000">
                  <c:v>1.0626913437795575</c:v>
                </c:pt>
                <c:pt idx="1095" formatCode="#,##0.000">
                  <c:v>1.0626913437795575</c:v>
                </c:pt>
                <c:pt idx="1096" formatCode="#,##0.000">
                  <c:v>1.0626913437795575</c:v>
                </c:pt>
                <c:pt idx="1097" formatCode="#,##0.000">
                  <c:v>1.0626913437795575</c:v>
                </c:pt>
                <c:pt idx="1098" formatCode="#,##0.000">
                  <c:v>1.0626913437795575</c:v>
                </c:pt>
                <c:pt idx="1099" formatCode="#,##0.000">
                  <c:v>#N/A</c:v>
                </c:pt>
                <c:pt idx="1100" formatCode="#,##0.000">
                  <c:v>#N/A</c:v>
                </c:pt>
                <c:pt idx="1101" formatCode="#,##0.000">
                  <c:v>#N/A</c:v>
                </c:pt>
                <c:pt idx="1102" formatCode="#,##0.000">
                  <c:v>#N/A</c:v>
                </c:pt>
                <c:pt idx="1103" formatCode="#,##0.000">
                  <c:v>#N/A</c:v>
                </c:pt>
                <c:pt idx="1104" formatCode="#,##0.000">
                  <c:v>#N/A</c:v>
                </c:pt>
                <c:pt idx="1105" formatCode="#,##0.000">
                  <c:v>#N/A</c:v>
                </c:pt>
                <c:pt idx="1106" formatCode="#,##0.000">
                  <c:v>#N/A</c:v>
                </c:pt>
                <c:pt idx="1107" formatCode="#,##0.000">
                  <c:v>#N/A</c:v>
                </c:pt>
                <c:pt idx="1108" formatCode="#,##0.000">
                  <c:v>#N/A</c:v>
                </c:pt>
                <c:pt idx="1109" formatCode="#,##0.000">
                  <c:v>#N/A</c:v>
                </c:pt>
                <c:pt idx="1110" formatCode="#,##0.000">
                  <c:v>#N/A</c:v>
                </c:pt>
                <c:pt idx="1111" formatCode="#,##0.000">
                  <c:v>#N/A</c:v>
                </c:pt>
                <c:pt idx="1112" formatCode="#,##0.000">
                  <c:v>#N/A</c:v>
                </c:pt>
                <c:pt idx="1113" formatCode="#,##0.000">
                  <c:v>#N/A</c:v>
                </c:pt>
                <c:pt idx="1114" formatCode="#,##0.000">
                  <c:v>#N/A</c:v>
                </c:pt>
                <c:pt idx="1115" formatCode="#,##0.000">
                  <c:v>#N/A</c:v>
                </c:pt>
                <c:pt idx="1116" formatCode="#,##0.000">
                  <c:v>#N/A</c:v>
                </c:pt>
                <c:pt idx="1117" formatCode="#,##0.000">
                  <c:v>#N/A</c:v>
                </c:pt>
                <c:pt idx="1118" formatCode="#,##0.000">
                  <c:v>#N/A</c:v>
                </c:pt>
                <c:pt idx="1119" formatCode="#,##0.000">
                  <c:v>#N/A</c:v>
                </c:pt>
                <c:pt idx="1120" formatCode="#,##0.000">
                  <c:v>#N/A</c:v>
                </c:pt>
                <c:pt idx="1121" formatCode="#,##0.000">
                  <c:v>#N/A</c:v>
                </c:pt>
                <c:pt idx="1122" formatCode="#,##0.000">
                  <c:v>#N/A</c:v>
                </c:pt>
                <c:pt idx="1123" formatCode="#,##0.000">
                  <c:v>#N/A</c:v>
                </c:pt>
                <c:pt idx="1124" formatCode="#,##0.000">
                  <c:v>#N/A</c:v>
                </c:pt>
                <c:pt idx="1125" formatCode="#,##0.000">
                  <c:v>#N/A</c:v>
                </c:pt>
                <c:pt idx="1126" formatCode="#,##0.000">
                  <c:v>#N/A</c:v>
                </c:pt>
                <c:pt idx="1127" formatCode="#,##0.000">
                  <c:v>#N/A</c:v>
                </c:pt>
                <c:pt idx="1128" formatCode="#,##0.000">
                  <c:v>#N/A</c:v>
                </c:pt>
                <c:pt idx="1129" formatCode="#,##0.000">
                  <c:v>#N/A</c:v>
                </c:pt>
                <c:pt idx="1130" formatCode="#,##0.000">
                  <c:v>#N/A</c:v>
                </c:pt>
                <c:pt idx="1131" formatCode="#,##0.000">
                  <c:v>#N/A</c:v>
                </c:pt>
                <c:pt idx="1132" formatCode="#,##0.000">
                  <c:v>#N/A</c:v>
                </c:pt>
                <c:pt idx="1133" formatCode="#,##0.000">
                  <c:v>#N/A</c:v>
                </c:pt>
                <c:pt idx="1134" formatCode="#,##0.000">
                  <c:v>#N/A</c:v>
                </c:pt>
                <c:pt idx="1135" formatCode="#,##0.000">
                  <c:v>#N/A</c:v>
                </c:pt>
                <c:pt idx="1136" formatCode="#,##0.000">
                  <c:v>#N/A</c:v>
                </c:pt>
                <c:pt idx="1137" formatCode="#,##0.000">
                  <c:v>#N/A</c:v>
                </c:pt>
                <c:pt idx="1138" formatCode="#,##0.000">
                  <c:v>#N/A</c:v>
                </c:pt>
                <c:pt idx="1139" formatCode="#,##0.000">
                  <c:v>#N/A</c:v>
                </c:pt>
                <c:pt idx="1140" formatCode="#,##0.000">
                  <c:v>#N/A</c:v>
                </c:pt>
                <c:pt idx="1141" formatCode="#,##0.000">
                  <c:v>#N/A</c:v>
                </c:pt>
                <c:pt idx="1142" formatCode="#,##0.000">
                  <c:v>#N/A</c:v>
                </c:pt>
                <c:pt idx="1143" formatCode="#,##0.000">
                  <c:v>#N/A</c:v>
                </c:pt>
                <c:pt idx="1144" formatCode="#,##0.000">
                  <c:v>#N/A</c:v>
                </c:pt>
                <c:pt idx="1145" formatCode="#,##0.000">
                  <c:v>#N/A</c:v>
                </c:pt>
                <c:pt idx="1146" formatCode="#,##0.000">
                  <c:v>#N/A</c:v>
                </c:pt>
                <c:pt idx="1147" formatCode="#,##0.000">
                  <c:v>#N/A</c:v>
                </c:pt>
                <c:pt idx="1148" formatCode="#,##0.000">
                  <c:v>#N/A</c:v>
                </c:pt>
                <c:pt idx="1149" formatCode="#,##0.000">
                  <c:v>#N/A</c:v>
                </c:pt>
                <c:pt idx="1150" formatCode="#,##0.000">
                  <c:v>#N/A</c:v>
                </c:pt>
                <c:pt idx="1151" formatCode="#,##0.000">
                  <c:v>#N/A</c:v>
                </c:pt>
                <c:pt idx="1152" formatCode="#,##0.000">
                  <c:v>#N/A</c:v>
                </c:pt>
                <c:pt idx="1153" formatCode="#,##0.000">
                  <c:v>#N/A</c:v>
                </c:pt>
                <c:pt idx="1154" formatCode="#,##0.000">
                  <c:v>#N/A</c:v>
                </c:pt>
                <c:pt idx="1155" formatCode="#,##0.000">
                  <c:v>#N/A</c:v>
                </c:pt>
                <c:pt idx="1156" formatCode="#,##0.000">
                  <c:v>#N/A</c:v>
                </c:pt>
                <c:pt idx="1157" formatCode="#,##0.000">
                  <c:v>#N/A</c:v>
                </c:pt>
                <c:pt idx="1158" formatCode="#,##0.000">
                  <c:v>#N/A</c:v>
                </c:pt>
                <c:pt idx="1159" formatCode="#,##0.000">
                  <c:v>#N/A</c:v>
                </c:pt>
                <c:pt idx="1160" formatCode="#,##0.000">
                  <c:v>#N/A</c:v>
                </c:pt>
                <c:pt idx="1161" formatCode="#,##0.000">
                  <c:v>#N/A</c:v>
                </c:pt>
                <c:pt idx="1162" formatCode="#,##0.000">
                  <c:v>#N/A</c:v>
                </c:pt>
                <c:pt idx="1163" formatCode="#,##0.000">
                  <c:v>#N/A</c:v>
                </c:pt>
                <c:pt idx="1164" formatCode="#,##0.000">
                  <c:v>#N/A</c:v>
                </c:pt>
                <c:pt idx="1165" formatCode="#,##0.000">
                  <c:v>#N/A</c:v>
                </c:pt>
                <c:pt idx="1166" formatCode="#,##0.000">
                  <c:v>#N/A</c:v>
                </c:pt>
                <c:pt idx="1167" formatCode="#,##0.000">
                  <c:v>#N/A</c:v>
                </c:pt>
                <c:pt idx="1168" formatCode="#,##0.000">
                  <c:v>#N/A</c:v>
                </c:pt>
                <c:pt idx="1169" formatCode="#,##0.000">
                  <c:v>#N/A</c:v>
                </c:pt>
                <c:pt idx="1170" formatCode="#,##0.000">
                  <c:v>#N/A</c:v>
                </c:pt>
                <c:pt idx="1171" formatCode="#,##0.000">
                  <c:v>#N/A</c:v>
                </c:pt>
                <c:pt idx="1172" formatCode="#,##0.000">
                  <c:v>#N/A</c:v>
                </c:pt>
                <c:pt idx="1173" formatCode="#,##0.000">
                  <c:v>#N/A</c:v>
                </c:pt>
                <c:pt idx="1174" formatCode="#,##0.000">
                  <c:v>#N/A</c:v>
                </c:pt>
                <c:pt idx="1175" formatCode="#,##0.000">
                  <c:v>#N/A</c:v>
                </c:pt>
                <c:pt idx="1176" formatCode="#,##0.000">
                  <c:v>#N/A</c:v>
                </c:pt>
                <c:pt idx="1177" formatCode="#,##0.000">
                  <c:v>#N/A</c:v>
                </c:pt>
                <c:pt idx="1178" formatCode="#,##0.000">
                  <c:v>#N/A</c:v>
                </c:pt>
                <c:pt idx="1179" formatCode="#,##0.000">
                  <c:v>#N/A</c:v>
                </c:pt>
                <c:pt idx="1180" formatCode="#,##0.000">
                  <c:v>#N/A</c:v>
                </c:pt>
                <c:pt idx="1181" formatCode="#,##0.000">
                  <c:v>#N/A</c:v>
                </c:pt>
                <c:pt idx="1182" formatCode="#,##0.000">
                  <c:v>#N/A</c:v>
                </c:pt>
                <c:pt idx="1183" formatCode="#,##0.000">
                  <c:v>#N/A</c:v>
                </c:pt>
                <c:pt idx="1184" formatCode="#,##0.000">
                  <c:v>#N/A</c:v>
                </c:pt>
                <c:pt idx="1185" formatCode="#,##0.000">
                  <c:v>#N/A</c:v>
                </c:pt>
                <c:pt idx="1186" formatCode="#,##0.000">
                  <c:v>#N/A</c:v>
                </c:pt>
                <c:pt idx="1187" formatCode="#,##0.000">
                  <c:v>#N/A</c:v>
                </c:pt>
                <c:pt idx="1188" formatCode="#,##0.000">
                  <c:v>#N/A</c:v>
                </c:pt>
                <c:pt idx="1189" formatCode="#,##0.000">
                  <c:v>#N/A</c:v>
                </c:pt>
                <c:pt idx="1190" formatCode="#,##0.000">
                  <c:v>#N/A</c:v>
                </c:pt>
                <c:pt idx="1191" formatCode="#,##0.000">
                  <c:v>#N/A</c:v>
                </c:pt>
                <c:pt idx="1192" formatCode="#,##0.000">
                  <c:v>#N/A</c:v>
                </c:pt>
                <c:pt idx="1193" formatCode="#,##0.000">
                  <c:v>#N/A</c:v>
                </c:pt>
                <c:pt idx="1194" formatCode="#,##0.000">
                  <c:v>#N/A</c:v>
                </c:pt>
                <c:pt idx="1195" formatCode="#,##0.000">
                  <c:v>#N/A</c:v>
                </c:pt>
                <c:pt idx="1196" formatCode="#,##0.000">
                  <c:v>#N/A</c:v>
                </c:pt>
                <c:pt idx="1197" formatCode="#,##0.000">
                  <c:v>#N/A</c:v>
                </c:pt>
                <c:pt idx="1198" formatCode="#,##0.000">
                  <c:v>#N/A</c:v>
                </c:pt>
                <c:pt idx="1199" formatCode="#,##0.000">
                  <c:v>#N/A</c:v>
                </c:pt>
                <c:pt idx="1200" formatCode="#,##0.000">
                  <c:v>#N/A</c:v>
                </c:pt>
                <c:pt idx="1201" formatCode="#,##0.000">
                  <c:v>#N/A</c:v>
                </c:pt>
                <c:pt idx="1202" formatCode="#,##0.000">
                  <c:v>#N/A</c:v>
                </c:pt>
                <c:pt idx="1203" formatCode="#,##0.000">
                  <c:v>#N/A</c:v>
                </c:pt>
                <c:pt idx="1204" formatCode="#,##0.000">
                  <c:v>#N/A</c:v>
                </c:pt>
                <c:pt idx="1205" formatCode="#,##0.000">
                  <c:v>#N/A</c:v>
                </c:pt>
                <c:pt idx="1206" formatCode="#,##0.000">
                  <c:v>#N/A</c:v>
                </c:pt>
                <c:pt idx="1207" formatCode="#,##0.000">
                  <c:v>#N/A</c:v>
                </c:pt>
                <c:pt idx="1208" formatCode="#,##0.000">
                  <c:v>#N/A</c:v>
                </c:pt>
                <c:pt idx="1209" formatCode="#,##0.000">
                  <c:v>#N/A</c:v>
                </c:pt>
                <c:pt idx="1210" formatCode="#,##0.000">
                  <c:v>#N/A</c:v>
                </c:pt>
                <c:pt idx="1211" formatCode="#,##0.000">
                  <c:v>#N/A</c:v>
                </c:pt>
                <c:pt idx="1212" formatCode="#,##0.000">
                  <c:v>#N/A</c:v>
                </c:pt>
                <c:pt idx="1213" formatCode="#,##0.000">
                  <c:v>#N/A</c:v>
                </c:pt>
                <c:pt idx="1214" formatCode="#,##0.000">
                  <c:v>#N/A</c:v>
                </c:pt>
                <c:pt idx="1215" formatCode="#,##0.000">
                  <c:v>#N/A</c:v>
                </c:pt>
                <c:pt idx="1216" formatCode="#,##0.000">
                  <c:v>#N/A</c:v>
                </c:pt>
                <c:pt idx="1217" formatCode="#,##0.000">
                  <c:v>#N/A</c:v>
                </c:pt>
                <c:pt idx="1218" formatCode="#,##0.000">
                  <c:v>#N/A</c:v>
                </c:pt>
                <c:pt idx="1219" formatCode="#,##0.000">
                  <c:v>#N/A</c:v>
                </c:pt>
                <c:pt idx="1220" formatCode="#,##0.000">
                  <c:v>#N/A</c:v>
                </c:pt>
                <c:pt idx="1221" formatCode="#,##0.000">
                  <c:v>#N/A</c:v>
                </c:pt>
                <c:pt idx="1222" formatCode="#,##0.000">
                  <c:v>#N/A</c:v>
                </c:pt>
                <c:pt idx="1223" formatCode="#,##0.000">
                  <c:v>#N/A</c:v>
                </c:pt>
                <c:pt idx="1224" formatCode="#,##0.000">
                  <c:v>#N/A</c:v>
                </c:pt>
                <c:pt idx="1225" formatCode="#,##0.000">
                  <c:v>#N/A</c:v>
                </c:pt>
                <c:pt idx="1226" formatCode="#,##0.000">
                  <c:v>#N/A</c:v>
                </c:pt>
                <c:pt idx="1227" formatCode="#,##0.000">
                  <c:v>#N/A</c:v>
                </c:pt>
                <c:pt idx="1228" formatCode="#,##0.000">
                  <c:v>#N/A</c:v>
                </c:pt>
                <c:pt idx="1229" formatCode="#,##0.000">
                  <c:v>#N/A</c:v>
                </c:pt>
                <c:pt idx="1230" formatCode="#,##0.000">
                  <c:v>#N/A</c:v>
                </c:pt>
                <c:pt idx="1231" formatCode="#,##0.000">
                  <c:v>#N/A</c:v>
                </c:pt>
                <c:pt idx="1232" formatCode="#,##0.000">
                  <c:v>#N/A</c:v>
                </c:pt>
                <c:pt idx="1233" formatCode="#,##0.000">
                  <c:v>#N/A</c:v>
                </c:pt>
                <c:pt idx="1234" formatCode="#,##0.000">
                  <c:v>#N/A</c:v>
                </c:pt>
                <c:pt idx="1235" formatCode="#,##0.000">
                  <c:v>#N/A</c:v>
                </c:pt>
                <c:pt idx="1236" formatCode="#,##0.000">
                  <c:v>#N/A</c:v>
                </c:pt>
                <c:pt idx="1237" formatCode="#,##0.000">
                  <c:v>#N/A</c:v>
                </c:pt>
                <c:pt idx="1238" formatCode="#,##0.000">
                  <c:v>#N/A</c:v>
                </c:pt>
                <c:pt idx="1239" formatCode="#,##0.000">
                  <c:v>#N/A</c:v>
                </c:pt>
                <c:pt idx="1240" formatCode="#,##0.000">
                  <c:v>#N/A</c:v>
                </c:pt>
                <c:pt idx="1241" formatCode="#,##0.000">
                  <c:v>#N/A</c:v>
                </c:pt>
                <c:pt idx="1242" formatCode="#,##0.000">
                  <c:v>#N/A</c:v>
                </c:pt>
                <c:pt idx="1243" formatCode="#,##0.000">
                  <c:v>#N/A</c:v>
                </c:pt>
                <c:pt idx="1244" formatCode="#,##0.000">
                  <c:v>#N/A</c:v>
                </c:pt>
                <c:pt idx="1245" formatCode="#,##0.000">
                  <c:v>#N/A</c:v>
                </c:pt>
                <c:pt idx="1246" formatCode="#,##0.000">
                  <c:v>#N/A</c:v>
                </c:pt>
                <c:pt idx="1247" formatCode="#,##0.000">
                  <c:v>#N/A</c:v>
                </c:pt>
                <c:pt idx="1248" formatCode="#,##0.000">
                  <c:v>#N/A</c:v>
                </c:pt>
                <c:pt idx="1249" formatCode="#,##0.000">
                  <c:v>#N/A</c:v>
                </c:pt>
                <c:pt idx="1250" formatCode="#,##0.000">
                  <c:v>#N/A</c:v>
                </c:pt>
                <c:pt idx="1251" formatCode="#,##0.000">
                  <c:v>#N/A</c:v>
                </c:pt>
                <c:pt idx="1252" formatCode="#,##0.000">
                  <c:v>#N/A</c:v>
                </c:pt>
                <c:pt idx="1253" formatCode="#,##0.000">
                  <c:v>#N/A</c:v>
                </c:pt>
                <c:pt idx="1254" formatCode="#,##0.000">
                  <c:v>#N/A</c:v>
                </c:pt>
                <c:pt idx="1255" formatCode="#,##0.000">
                  <c:v>#N/A</c:v>
                </c:pt>
                <c:pt idx="1256" formatCode="#,##0.000">
                  <c:v>#N/A</c:v>
                </c:pt>
                <c:pt idx="1257" formatCode="#,##0.000">
                  <c:v>#N/A</c:v>
                </c:pt>
                <c:pt idx="1258" formatCode="#,##0.000">
                  <c:v>#N/A</c:v>
                </c:pt>
                <c:pt idx="1259" formatCode="#,##0.000">
                  <c:v>#N/A</c:v>
                </c:pt>
                <c:pt idx="1260" formatCode="#,##0.000">
                  <c:v>#N/A</c:v>
                </c:pt>
                <c:pt idx="1261" formatCode="#,##0.000">
                  <c:v>#N/A</c:v>
                </c:pt>
                <c:pt idx="1262" formatCode="#,##0.000">
                  <c:v>#N/A</c:v>
                </c:pt>
                <c:pt idx="1263" formatCode="#,##0.000">
                  <c:v>#N/A</c:v>
                </c:pt>
                <c:pt idx="1264" formatCode="#,##0.000">
                  <c:v>#N/A</c:v>
                </c:pt>
                <c:pt idx="1265" formatCode="#,##0.000">
                  <c:v>#N/A</c:v>
                </c:pt>
                <c:pt idx="1266" formatCode="#,##0.000">
                  <c:v>#N/A</c:v>
                </c:pt>
                <c:pt idx="1267" formatCode="#,##0.000">
                  <c:v>#N/A</c:v>
                </c:pt>
                <c:pt idx="1268" formatCode="#,##0.000">
                  <c:v>#N/A</c:v>
                </c:pt>
                <c:pt idx="1269" formatCode="#,##0.000">
                  <c:v>#N/A</c:v>
                </c:pt>
                <c:pt idx="1270" formatCode="#,##0.000">
                  <c:v>#N/A</c:v>
                </c:pt>
                <c:pt idx="1271" formatCode="#,##0.000">
                  <c:v>#N/A</c:v>
                </c:pt>
                <c:pt idx="1272" formatCode="#,##0.000">
                  <c:v>#N/A</c:v>
                </c:pt>
                <c:pt idx="1273" formatCode="#,##0.000">
                  <c:v>#N/A</c:v>
                </c:pt>
                <c:pt idx="1274" formatCode="#,##0.000">
                  <c:v>#N/A</c:v>
                </c:pt>
                <c:pt idx="1275" formatCode="#,##0.000">
                  <c:v>#N/A</c:v>
                </c:pt>
                <c:pt idx="1276" formatCode="#,##0.000">
                  <c:v>#N/A</c:v>
                </c:pt>
                <c:pt idx="1277" formatCode="#,##0.000">
                  <c:v>#N/A</c:v>
                </c:pt>
                <c:pt idx="1278" formatCode="#,##0.000">
                  <c:v>#N/A</c:v>
                </c:pt>
                <c:pt idx="1279" formatCode="#,##0.000">
                  <c:v>#N/A</c:v>
                </c:pt>
                <c:pt idx="1280" formatCode="#,##0.000">
                  <c:v>#N/A</c:v>
                </c:pt>
                <c:pt idx="1281" formatCode="#,##0.000">
                  <c:v>#N/A</c:v>
                </c:pt>
                <c:pt idx="1282" formatCode="#,##0.000">
                  <c:v>#N/A</c:v>
                </c:pt>
                <c:pt idx="1283" formatCode="#,##0.000">
                  <c:v>#N/A</c:v>
                </c:pt>
                <c:pt idx="1284" formatCode="#,##0.000">
                  <c:v>#N/A</c:v>
                </c:pt>
                <c:pt idx="1285" formatCode="#,##0.000">
                  <c:v>#N/A</c:v>
                </c:pt>
                <c:pt idx="1286" formatCode="#,##0.000">
                  <c:v>#N/A</c:v>
                </c:pt>
                <c:pt idx="1287" formatCode="#,##0.000">
                  <c:v>#N/A</c:v>
                </c:pt>
                <c:pt idx="1288" formatCode="#,##0.000">
                  <c:v>#N/A</c:v>
                </c:pt>
                <c:pt idx="1289" formatCode="#,##0.000">
                  <c:v>#N/A</c:v>
                </c:pt>
                <c:pt idx="1290" formatCode="#,##0.000">
                  <c:v>#N/A</c:v>
                </c:pt>
                <c:pt idx="1291" formatCode="#,##0.000">
                  <c:v>#N/A</c:v>
                </c:pt>
                <c:pt idx="1292" formatCode="#,##0.000">
                  <c:v>#N/A</c:v>
                </c:pt>
                <c:pt idx="1293" formatCode="#,##0.000">
                  <c:v>#N/A</c:v>
                </c:pt>
                <c:pt idx="1294" formatCode="#,##0.000">
                  <c:v>#N/A</c:v>
                </c:pt>
                <c:pt idx="1295" formatCode="#,##0.000">
                  <c:v>#N/A</c:v>
                </c:pt>
                <c:pt idx="1296" formatCode="#,##0.000">
                  <c:v>#N/A</c:v>
                </c:pt>
                <c:pt idx="1297" formatCode="#,##0.000">
                  <c:v>#N/A</c:v>
                </c:pt>
                <c:pt idx="1298" formatCode="#,##0.000">
                  <c:v>#N/A</c:v>
                </c:pt>
                <c:pt idx="1299" formatCode="#,##0.000">
                  <c:v>#N/A</c:v>
                </c:pt>
                <c:pt idx="1300" formatCode="#,##0.000">
                  <c:v>#N/A</c:v>
                </c:pt>
                <c:pt idx="1301" formatCode="#,##0.000">
                  <c:v>#N/A</c:v>
                </c:pt>
                <c:pt idx="1302" formatCode="#,##0.000">
                  <c:v>#N/A</c:v>
                </c:pt>
                <c:pt idx="1303" formatCode="#,##0.000">
                  <c:v>#N/A</c:v>
                </c:pt>
                <c:pt idx="1304" formatCode="#,##0.000">
                  <c:v>#N/A</c:v>
                </c:pt>
                <c:pt idx="1305" formatCode="#,##0.000">
                  <c:v>#N/A</c:v>
                </c:pt>
                <c:pt idx="1306" formatCode="#,##0.000">
                  <c:v>#N/A</c:v>
                </c:pt>
                <c:pt idx="1307" formatCode="#,##0.000">
                  <c:v>#N/A</c:v>
                </c:pt>
                <c:pt idx="1308" formatCode="#,##0.000">
                  <c:v>#N/A</c:v>
                </c:pt>
                <c:pt idx="1309" formatCode="#,##0.000">
                  <c:v>#N/A</c:v>
                </c:pt>
                <c:pt idx="1310" formatCode="#,##0.000">
                  <c:v>#N/A</c:v>
                </c:pt>
                <c:pt idx="1311" formatCode="#,##0.000">
                  <c:v>#N/A</c:v>
                </c:pt>
                <c:pt idx="1312" formatCode="#,##0.000">
                  <c:v>#N/A</c:v>
                </c:pt>
                <c:pt idx="1313" formatCode="#,##0.000">
                  <c:v>#N/A</c:v>
                </c:pt>
                <c:pt idx="1314" formatCode="#,##0.000">
                  <c:v>#N/A</c:v>
                </c:pt>
                <c:pt idx="1315" formatCode="#,##0.000">
                  <c:v>#N/A</c:v>
                </c:pt>
                <c:pt idx="1316" formatCode="#,##0.000">
                  <c:v>#N/A</c:v>
                </c:pt>
                <c:pt idx="1317" formatCode="#,##0.000">
                  <c:v>#N/A</c:v>
                </c:pt>
                <c:pt idx="1318" formatCode="#,##0.000">
                  <c:v>#N/A</c:v>
                </c:pt>
                <c:pt idx="1319" formatCode="#,##0.000">
                  <c:v>#N/A</c:v>
                </c:pt>
                <c:pt idx="1320" formatCode="#,##0.000">
                  <c:v>#N/A</c:v>
                </c:pt>
                <c:pt idx="1321" formatCode="#,##0.000">
                  <c:v>#N/A</c:v>
                </c:pt>
                <c:pt idx="1322" formatCode="#,##0.000">
                  <c:v>#N/A</c:v>
                </c:pt>
                <c:pt idx="1323" formatCode="#,##0.000">
                  <c:v>#N/A</c:v>
                </c:pt>
                <c:pt idx="1324" formatCode="#,##0.000">
                  <c:v>#N/A</c:v>
                </c:pt>
                <c:pt idx="1325" formatCode="#,##0.000">
                  <c:v>#N/A</c:v>
                </c:pt>
                <c:pt idx="1326" formatCode="#,##0.000">
                  <c:v>#N/A</c:v>
                </c:pt>
                <c:pt idx="1327" formatCode="#,##0.000">
                  <c:v>#N/A</c:v>
                </c:pt>
                <c:pt idx="1328" formatCode="#,##0.000">
                  <c:v>#N/A</c:v>
                </c:pt>
                <c:pt idx="1329" formatCode="#,##0.000">
                  <c:v>#N/A</c:v>
                </c:pt>
                <c:pt idx="1330" formatCode="#,##0.000">
                  <c:v>#N/A</c:v>
                </c:pt>
                <c:pt idx="1331" formatCode="#,##0.000">
                  <c:v>#N/A</c:v>
                </c:pt>
                <c:pt idx="1332" formatCode="#,##0.000">
                  <c:v>#N/A</c:v>
                </c:pt>
                <c:pt idx="1333" formatCode="#,##0.000">
                  <c:v>#N/A</c:v>
                </c:pt>
                <c:pt idx="1334" formatCode="#,##0.000">
                  <c:v>#N/A</c:v>
                </c:pt>
                <c:pt idx="1335" formatCode="#,##0.000">
                  <c:v>#N/A</c:v>
                </c:pt>
                <c:pt idx="1336" formatCode="#,##0.000">
                  <c:v>#N/A</c:v>
                </c:pt>
                <c:pt idx="1337" formatCode="#,##0.000">
                  <c:v>#N/A</c:v>
                </c:pt>
                <c:pt idx="1338" formatCode="#,##0.000">
                  <c:v>#N/A</c:v>
                </c:pt>
                <c:pt idx="1339" formatCode="#,##0.000">
                  <c:v>#N/A</c:v>
                </c:pt>
                <c:pt idx="1340" formatCode="#,##0.000">
                  <c:v>#N/A</c:v>
                </c:pt>
                <c:pt idx="1341" formatCode="#,##0.000">
                  <c:v>#N/A</c:v>
                </c:pt>
                <c:pt idx="1342" formatCode="#,##0.000">
                  <c:v>#N/A</c:v>
                </c:pt>
                <c:pt idx="1343" formatCode="#,##0.000">
                  <c:v>#N/A</c:v>
                </c:pt>
                <c:pt idx="1344" formatCode="#,##0.000">
                  <c:v>#N/A</c:v>
                </c:pt>
                <c:pt idx="1345" formatCode="#,##0.000">
                  <c:v>#N/A</c:v>
                </c:pt>
                <c:pt idx="1346" formatCode="#,##0.000">
                  <c:v>#N/A</c:v>
                </c:pt>
                <c:pt idx="1347" formatCode="#,##0.000">
                  <c:v>#N/A</c:v>
                </c:pt>
                <c:pt idx="1348" formatCode="#,##0.000">
                  <c:v>#N/A</c:v>
                </c:pt>
                <c:pt idx="1349" formatCode="#,##0.000">
                  <c:v>#N/A</c:v>
                </c:pt>
                <c:pt idx="1350" formatCode="#,##0.000">
                  <c:v>#N/A</c:v>
                </c:pt>
                <c:pt idx="1351" formatCode="#,##0.000">
                  <c:v>#N/A</c:v>
                </c:pt>
                <c:pt idx="1352" formatCode="#,##0.000">
                  <c:v>#N/A</c:v>
                </c:pt>
                <c:pt idx="1353" formatCode="#,##0.000">
                  <c:v>#N/A</c:v>
                </c:pt>
                <c:pt idx="1354" formatCode="#,##0.000">
                  <c:v>#N/A</c:v>
                </c:pt>
                <c:pt idx="1355" formatCode="#,##0.000">
                  <c:v>#N/A</c:v>
                </c:pt>
                <c:pt idx="1356" formatCode="#,##0.000">
                  <c:v>#N/A</c:v>
                </c:pt>
                <c:pt idx="1357" formatCode="#,##0.000">
                  <c:v>#N/A</c:v>
                </c:pt>
                <c:pt idx="1358" formatCode="#,##0.000">
                  <c:v>#N/A</c:v>
                </c:pt>
                <c:pt idx="1359" formatCode="#,##0.000">
                  <c:v>#N/A</c:v>
                </c:pt>
                <c:pt idx="1360" formatCode="#,##0.000">
                  <c:v>#N/A</c:v>
                </c:pt>
                <c:pt idx="1361" formatCode="#,##0.000">
                  <c:v>#N/A</c:v>
                </c:pt>
                <c:pt idx="1362" formatCode="#,##0.000">
                  <c:v>#N/A</c:v>
                </c:pt>
                <c:pt idx="1363" formatCode="#,##0.000">
                  <c:v>#N/A</c:v>
                </c:pt>
                <c:pt idx="1364" formatCode="#,##0.000">
                  <c:v>#N/A</c:v>
                </c:pt>
                <c:pt idx="1365" formatCode="#,##0.000">
                  <c:v>#N/A</c:v>
                </c:pt>
                <c:pt idx="1366" formatCode="#,##0.000">
                  <c:v>#N/A</c:v>
                </c:pt>
                <c:pt idx="1367" formatCode="#,##0.000">
                  <c:v>#N/A</c:v>
                </c:pt>
                <c:pt idx="1368" formatCode="#,##0.000">
                  <c:v>#N/A</c:v>
                </c:pt>
                <c:pt idx="1369" formatCode="#,##0.000">
                  <c:v>#N/A</c:v>
                </c:pt>
                <c:pt idx="1370" formatCode="#,##0.000">
                  <c:v>#N/A</c:v>
                </c:pt>
                <c:pt idx="1371" formatCode="#,##0.000">
                  <c:v>#N/A</c:v>
                </c:pt>
                <c:pt idx="1372" formatCode="#,##0.000">
                  <c:v>#N/A</c:v>
                </c:pt>
                <c:pt idx="1373" formatCode="#,##0.000">
                  <c:v>#N/A</c:v>
                </c:pt>
                <c:pt idx="1374" formatCode="#,##0.000">
                  <c:v>#N/A</c:v>
                </c:pt>
                <c:pt idx="1375" formatCode="#,##0.000">
                  <c:v>#N/A</c:v>
                </c:pt>
                <c:pt idx="1376" formatCode="#,##0.000">
                  <c:v>#N/A</c:v>
                </c:pt>
                <c:pt idx="1377" formatCode="#,##0.000">
                  <c:v>#N/A</c:v>
                </c:pt>
                <c:pt idx="1378" formatCode="#,##0.000">
                  <c:v>#N/A</c:v>
                </c:pt>
                <c:pt idx="1379" formatCode="#,##0.000">
                  <c:v>#N/A</c:v>
                </c:pt>
                <c:pt idx="1380" formatCode="#,##0.000">
                  <c:v>#N/A</c:v>
                </c:pt>
                <c:pt idx="1381" formatCode="#,##0.000">
                  <c:v>#N/A</c:v>
                </c:pt>
                <c:pt idx="1382" formatCode="#,##0.000">
                  <c:v>#N/A</c:v>
                </c:pt>
                <c:pt idx="1383" formatCode="#,##0.000">
                  <c:v>#N/A</c:v>
                </c:pt>
                <c:pt idx="1384" formatCode="#,##0.000">
                  <c:v>#N/A</c:v>
                </c:pt>
                <c:pt idx="1385" formatCode="#,##0.000">
                  <c:v>#N/A</c:v>
                </c:pt>
                <c:pt idx="1386" formatCode="#,##0.000">
                  <c:v>#N/A</c:v>
                </c:pt>
                <c:pt idx="1387" formatCode="#,##0.000">
                  <c:v>#N/A</c:v>
                </c:pt>
                <c:pt idx="1388" formatCode="#,##0.000">
                  <c:v>#N/A</c:v>
                </c:pt>
                <c:pt idx="1389" formatCode="#,##0.000">
                  <c:v>#N/A</c:v>
                </c:pt>
                <c:pt idx="1390" formatCode="#,##0.000">
                  <c:v>#N/A</c:v>
                </c:pt>
                <c:pt idx="1391" formatCode="#,##0.000">
                  <c:v>#N/A</c:v>
                </c:pt>
                <c:pt idx="1392" formatCode="#,##0.000">
                  <c:v>#N/A</c:v>
                </c:pt>
                <c:pt idx="1393" formatCode="#,##0.000">
                  <c:v>#N/A</c:v>
                </c:pt>
                <c:pt idx="1394" formatCode="#,##0.000">
                  <c:v>#N/A</c:v>
                </c:pt>
                <c:pt idx="1395" formatCode="#,##0.000">
                  <c:v>#N/A</c:v>
                </c:pt>
                <c:pt idx="1396" formatCode="#,##0.000">
                  <c:v>#N/A</c:v>
                </c:pt>
                <c:pt idx="1397" formatCode="#,##0.000">
                  <c:v>#N/A</c:v>
                </c:pt>
                <c:pt idx="1398" formatCode="#,##0.000">
                  <c:v>#N/A</c:v>
                </c:pt>
                <c:pt idx="1399" formatCode="#,##0.000">
                  <c:v>#N/A</c:v>
                </c:pt>
                <c:pt idx="1400" formatCode="#,##0.000">
                  <c:v>#N/A</c:v>
                </c:pt>
                <c:pt idx="1401" formatCode="#,##0.000">
                  <c:v>#N/A</c:v>
                </c:pt>
                <c:pt idx="1402" formatCode="#,##0.000">
                  <c:v>#N/A</c:v>
                </c:pt>
                <c:pt idx="1403" formatCode="#,##0.000">
                  <c:v>#N/A</c:v>
                </c:pt>
                <c:pt idx="1404" formatCode="#,##0.000">
                  <c:v>#N/A</c:v>
                </c:pt>
                <c:pt idx="1405" formatCode="#,##0.000">
                  <c:v>#N/A</c:v>
                </c:pt>
                <c:pt idx="1406" formatCode="#,##0.000">
                  <c:v>#N/A</c:v>
                </c:pt>
                <c:pt idx="1407" formatCode="#,##0.000">
                  <c:v>#N/A</c:v>
                </c:pt>
                <c:pt idx="1408" formatCode="#,##0.000">
                  <c:v>#N/A</c:v>
                </c:pt>
                <c:pt idx="1409" formatCode="#,##0.000">
                  <c:v>#N/A</c:v>
                </c:pt>
                <c:pt idx="1410" formatCode="#,##0.000">
                  <c:v>#N/A</c:v>
                </c:pt>
                <c:pt idx="1411" formatCode="#,##0.000">
                  <c:v>#N/A</c:v>
                </c:pt>
                <c:pt idx="1412" formatCode="#,##0.000">
                  <c:v>#N/A</c:v>
                </c:pt>
                <c:pt idx="1413" formatCode="#,##0.000">
                  <c:v>#N/A</c:v>
                </c:pt>
                <c:pt idx="1414" formatCode="#,##0.000">
                  <c:v>#N/A</c:v>
                </c:pt>
                <c:pt idx="1415" formatCode="#,##0.000">
                  <c:v>#N/A</c:v>
                </c:pt>
                <c:pt idx="1416" formatCode="#,##0.000">
                  <c:v>#N/A</c:v>
                </c:pt>
                <c:pt idx="1417" formatCode="#,##0.000">
                  <c:v>#N/A</c:v>
                </c:pt>
                <c:pt idx="1418" formatCode="#,##0.000">
                  <c:v>#N/A</c:v>
                </c:pt>
                <c:pt idx="1419" formatCode="#,##0.000">
                  <c:v>#N/A</c:v>
                </c:pt>
                <c:pt idx="1420" formatCode="#,##0.000">
                  <c:v>#N/A</c:v>
                </c:pt>
                <c:pt idx="1421" formatCode="#,##0.000">
                  <c:v>#N/A</c:v>
                </c:pt>
                <c:pt idx="1422" formatCode="#,##0.000">
                  <c:v>#N/A</c:v>
                </c:pt>
                <c:pt idx="1423" formatCode="#,##0.000">
                  <c:v>#N/A</c:v>
                </c:pt>
                <c:pt idx="1424" formatCode="#,##0.000">
                  <c:v>#N/A</c:v>
                </c:pt>
                <c:pt idx="1425" formatCode="#,##0.000">
                  <c:v>#N/A</c:v>
                </c:pt>
                <c:pt idx="1426" formatCode="#,##0.000">
                  <c:v>#N/A</c:v>
                </c:pt>
                <c:pt idx="1427" formatCode="#,##0.000">
                  <c:v>#N/A</c:v>
                </c:pt>
                <c:pt idx="1428" formatCode="#,##0.000">
                  <c:v>#N/A</c:v>
                </c:pt>
                <c:pt idx="1429" formatCode="#,##0.000">
                  <c:v>#N/A</c:v>
                </c:pt>
                <c:pt idx="1430" formatCode="#,##0.000">
                  <c:v>#N/A</c:v>
                </c:pt>
                <c:pt idx="1431" formatCode="#,##0.000">
                  <c:v>#N/A</c:v>
                </c:pt>
                <c:pt idx="1432" formatCode="#,##0.000">
                  <c:v>#N/A</c:v>
                </c:pt>
                <c:pt idx="1433" formatCode="#,##0.000">
                  <c:v>#N/A</c:v>
                </c:pt>
                <c:pt idx="1434" formatCode="#,##0.000">
                  <c:v>#N/A</c:v>
                </c:pt>
                <c:pt idx="1435" formatCode="#,##0.000">
                  <c:v>#N/A</c:v>
                </c:pt>
                <c:pt idx="1436" formatCode="#,##0.000">
                  <c:v>#N/A</c:v>
                </c:pt>
                <c:pt idx="1437" formatCode="#,##0.000">
                  <c:v>#N/A</c:v>
                </c:pt>
                <c:pt idx="1438" formatCode="#,##0.000">
                  <c:v>#N/A</c:v>
                </c:pt>
                <c:pt idx="1439" formatCode="#,##0.000">
                  <c:v>#N/A</c:v>
                </c:pt>
                <c:pt idx="1440" formatCode="#,##0.000">
                  <c:v>#N/A</c:v>
                </c:pt>
                <c:pt idx="1441" formatCode="#,##0.000">
                  <c:v>#N/A</c:v>
                </c:pt>
                <c:pt idx="1442" formatCode="#,##0.000">
                  <c:v>#N/A</c:v>
                </c:pt>
                <c:pt idx="1443" formatCode="#,##0.000">
                  <c:v>#N/A</c:v>
                </c:pt>
                <c:pt idx="1444" formatCode="#,##0.000">
                  <c:v>#N/A</c:v>
                </c:pt>
                <c:pt idx="1445" formatCode="#,##0.000">
                  <c:v>#N/A</c:v>
                </c:pt>
                <c:pt idx="1446" formatCode="#,##0.000">
                  <c:v>#N/A</c:v>
                </c:pt>
                <c:pt idx="1447" formatCode="#,##0.000">
                  <c:v>#N/A</c:v>
                </c:pt>
                <c:pt idx="1448" formatCode="#,##0.000">
                  <c:v>#N/A</c:v>
                </c:pt>
                <c:pt idx="1449" formatCode="#,##0.000">
                  <c:v>#N/A</c:v>
                </c:pt>
                <c:pt idx="1450" formatCode="#,##0.000">
                  <c:v>#N/A</c:v>
                </c:pt>
                <c:pt idx="1451" formatCode="#,##0.000">
                  <c:v>#N/A</c:v>
                </c:pt>
                <c:pt idx="1452" formatCode="#,##0.000">
                  <c:v>#N/A</c:v>
                </c:pt>
                <c:pt idx="1453" formatCode="#,##0.000">
                  <c:v>#N/A</c:v>
                </c:pt>
                <c:pt idx="1454" formatCode="#,##0.000">
                  <c:v>#N/A</c:v>
                </c:pt>
                <c:pt idx="1455" formatCode="#,##0.000">
                  <c:v>#N/A</c:v>
                </c:pt>
                <c:pt idx="1456" formatCode="#,##0.000">
                  <c:v>#N/A</c:v>
                </c:pt>
                <c:pt idx="1457" formatCode="#,##0.000">
                  <c:v>#N/A</c:v>
                </c:pt>
                <c:pt idx="1458" formatCode="#,##0.000">
                  <c:v>#N/A</c:v>
                </c:pt>
                <c:pt idx="1459" formatCode="#,##0.000">
                  <c:v>#N/A</c:v>
                </c:pt>
                <c:pt idx="1460" formatCode="#,##0.000">
                  <c:v>#N/A</c:v>
                </c:pt>
                <c:pt idx="1461" formatCode="#,##0.000">
                  <c:v>#N/A</c:v>
                </c:pt>
                <c:pt idx="1462" formatCode="#,##0.000">
                  <c:v>#N/A</c:v>
                </c:pt>
                <c:pt idx="1463" formatCode="#,##0.000">
                  <c:v>#N/A</c:v>
                </c:pt>
                <c:pt idx="1464" formatCode="#,##0.000">
                  <c:v>#N/A</c:v>
                </c:pt>
                <c:pt idx="1465" formatCode="#,##0.000">
                  <c:v>#N/A</c:v>
                </c:pt>
                <c:pt idx="1466" formatCode="#,##0.000">
                  <c:v>#N/A</c:v>
                </c:pt>
                <c:pt idx="1467" formatCode="#,##0.000">
                  <c:v>#N/A</c:v>
                </c:pt>
                <c:pt idx="1468" formatCode="#,##0.000">
                  <c:v>#N/A</c:v>
                </c:pt>
                <c:pt idx="1469" formatCode="#,##0.000">
                  <c:v>#N/A</c:v>
                </c:pt>
                <c:pt idx="1470" formatCode="#,##0.000">
                  <c:v>#N/A</c:v>
                </c:pt>
                <c:pt idx="1471" formatCode="#,##0.000">
                  <c:v>#N/A</c:v>
                </c:pt>
                <c:pt idx="1472" formatCode="#,##0.000">
                  <c:v>#N/A</c:v>
                </c:pt>
                <c:pt idx="1473" formatCode="#,##0.000">
                  <c:v>#N/A</c:v>
                </c:pt>
                <c:pt idx="1474" formatCode="#,##0.000">
                  <c:v>#N/A</c:v>
                </c:pt>
                <c:pt idx="1475" formatCode="#,##0.000">
                  <c:v>#N/A</c:v>
                </c:pt>
                <c:pt idx="1476" formatCode="#,##0.000">
                  <c:v>#N/A</c:v>
                </c:pt>
                <c:pt idx="1477" formatCode="#,##0.000">
                  <c:v>#N/A</c:v>
                </c:pt>
                <c:pt idx="1478" formatCode="#,##0.000">
                  <c:v>#N/A</c:v>
                </c:pt>
                <c:pt idx="1479" formatCode="#,##0.000">
                  <c:v>#N/A</c:v>
                </c:pt>
                <c:pt idx="1480" formatCode="#,##0.000">
                  <c:v>#N/A</c:v>
                </c:pt>
                <c:pt idx="1481" formatCode="#,##0.000">
                  <c:v>#N/A</c:v>
                </c:pt>
                <c:pt idx="1482" formatCode="#,##0.000">
                  <c:v>#N/A</c:v>
                </c:pt>
                <c:pt idx="1483" formatCode="#,##0.000">
                  <c:v>#N/A</c:v>
                </c:pt>
                <c:pt idx="1484" formatCode="#,##0.000">
                  <c:v>#N/A</c:v>
                </c:pt>
                <c:pt idx="1485" formatCode="#,##0.000">
                  <c:v>#N/A</c:v>
                </c:pt>
                <c:pt idx="1486" formatCode="#,##0.000">
                  <c:v>#N/A</c:v>
                </c:pt>
                <c:pt idx="1487" formatCode="#,##0.000">
                  <c:v>#N/A</c:v>
                </c:pt>
                <c:pt idx="1488" formatCode="#,##0.000">
                  <c:v>#N/A</c:v>
                </c:pt>
                <c:pt idx="1489" formatCode="#,##0.000">
                  <c:v>#N/A</c:v>
                </c:pt>
                <c:pt idx="1490" formatCode="#,##0.000">
                  <c:v>#N/A</c:v>
                </c:pt>
                <c:pt idx="1491" formatCode="#,##0.000">
                  <c:v>#N/A</c:v>
                </c:pt>
                <c:pt idx="1492" formatCode="#,##0.000">
                  <c:v>#N/A</c:v>
                </c:pt>
                <c:pt idx="1493" formatCode="#,##0.000">
                  <c:v>#N/A</c:v>
                </c:pt>
                <c:pt idx="1494" formatCode="#,##0.000">
                  <c:v>#N/A</c:v>
                </c:pt>
                <c:pt idx="1495" formatCode="#,##0.000">
                  <c:v>#N/A</c:v>
                </c:pt>
                <c:pt idx="1496" formatCode="#,##0.000">
                  <c:v>#N/A</c:v>
                </c:pt>
                <c:pt idx="1497" formatCode="#,##0.000">
                  <c:v>#N/A</c:v>
                </c:pt>
                <c:pt idx="1498" formatCode="#,##0.000">
                  <c:v>#N/A</c:v>
                </c:pt>
                <c:pt idx="1499" formatCode="#,##0.000">
                  <c:v>#N/A</c:v>
                </c:pt>
                <c:pt idx="1500" formatCode="#,##0.000">
                  <c:v>#N/A</c:v>
                </c:pt>
                <c:pt idx="1501" formatCode="#,##0.000">
                  <c:v>#N/A</c:v>
                </c:pt>
                <c:pt idx="1502" formatCode="#,##0.000">
                  <c:v>#N/A</c:v>
                </c:pt>
                <c:pt idx="1503" formatCode="#,##0.000">
                  <c:v>#N/A</c:v>
                </c:pt>
                <c:pt idx="1504" formatCode="#,##0.000">
                  <c:v>#N/A</c:v>
                </c:pt>
                <c:pt idx="1505" formatCode="#,##0.000">
                  <c:v>#N/A</c:v>
                </c:pt>
                <c:pt idx="1506" formatCode="#,##0.000">
                  <c:v>#N/A</c:v>
                </c:pt>
                <c:pt idx="1507" formatCode="#,##0.000">
                  <c:v>#N/A</c:v>
                </c:pt>
                <c:pt idx="1508" formatCode="#,##0.000">
                  <c:v>#N/A</c:v>
                </c:pt>
                <c:pt idx="1509" formatCode="#,##0.000">
                  <c:v>#N/A</c:v>
                </c:pt>
                <c:pt idx="1510" formatCode="#,##0.000">
                  <c:v>#N/A</c:v>
                </c:pt>
                <c:pt idx="1511" formatCode="#,##0.000">
                  <c:v>#N/A</c:v>
                </c:pt>
                <c:pt idx="1512" formatCode="#,##0.000">
                  <c:v>#N/A</c:v>
                </c:pt>
                <c:pt idx="1513" formatCode="#,##0.000">
                  <c:v>#N/A</c:v>
                </c:pt>
                <c:pt idx="1514" formatCode="#,##0.000">
                  <c:v>#N/A</c:v>
                </c:pt>
                <c:pt idx="1515" formatCode="#,##0.000">
                  <c:v>#N/A</c:v>
                </c:pt>
                <c:pt idx="1516" formatCode="#,##0.000">
                  <c:v>#N/A</c:v>
                </c:pt>
                <c:pt idx="1517" formatCode="#,##0.000">
                  <c:v>#N/A</c:v>
                </c:pt>
                <c:pt idx="1518" formatCode="#,##0.000">
                  <c:v>#N/A</c:v>
                </c:pt>
                <c:pt idx="1519" formatCode="#,##0.000">
                  <c:v>#N/A</c:v>
                </c:pt>
                <c:pt idx="1520" formatCode="#,##0.000">
                  <c:v>#N/A</c:v>
                </c:pt>
                <c:pt idx="1521" formatCode="#,##0.000">
                  <c:v>#N/A</c:v>
                </c:pt>
                <c:pt idx="1522" formatCode="#,##0.000">
                  <c:v>#N/A</c:v>
                </c:pt>
                <c:pt idx="1523" formatCode="#,##0.000">
                  <c:v>#N/A</c:v>
                </c:pt>
                <c:pt idx="1524" formatCode="#,##0.000">
                  <c:v>#N/A</c:v>
                </c:pt>
                <c:pt idx="1525" formatCode="#,##0.000">
                  <c:v>#N/A</c:v>
                </c:pt>
                <c:pt idx="1526" formatCode="#,##0.000">
                  <c:v>#N/A</c:v>
                </c:pt>
                <c:pt idx="1527" formatCode="#,##0.000">
                  <c:v>#N/A</c:v>
                </c:pt>
                <c:pt idx="1528" formatCode="#,##0.000">
                  <c:v>#N/A</c:v>
                </c:pt>
                <c:pt idx="1529" formatCode="#,##0.000">
                  <c:v>#N/A</c:v>
                </c:pt>
                <c:pt idx="1530" formatCode="#,##0.000">
                  <c:v>#N/A</c:v>
                </c:pt>
                <c:pt idx="1531" formatCode="#,##0.000">
                  <c:v>#N/A</c:v>
                </c:pt>
                <c:pt idx="1532" formatCode="#,##0.000">
                  <c:v>#N/A</c:v>
                </c:pt>
                <c:pt idx="1533" formatCode="#,##0.000">
                  <c:v>#N/A</c:v>
                </c:pt>
                <c:pt idx="1534" formatCode="#,##0.000">
                  <c:v>#N/A</c:v>
                </c:pt>
                <c:pt idx="1535" formatCode="#,##0.000">
                  <c:v>#N/A</c:v>
                </c:pt>
                <c:pt idx="1536" formatCode="#,##0.000">
                  <c:v>#N/A</c:v>
                </c:pt>
                <c:pt idx="1537" formatCode="#,##0.000">
                  <c:v>#N/A</c:v>
                </c:pt>
                <c:pt idx="1538" formatCode="#,##0.000">
                  <c:v>#N/A</c:v>
                </c:pt>
                <c:pt idx="1539" formatCode="#,##0.000">
                  <c:v>#N/A</c:v>
                </c:pt>
                <c:pt idx="1540" formatCode="#,##0.000">
                  <c:v>#N/A</c:v>
                </c:pt>
                <c:pt idx="1541" formatCode="#,##0.000">
                  <c:v>#N/A</c:v>
                </c:pt>
                <c:pt idx="1542" formatCode="#,##0.000">
                  <c:v>#N/A</c:v>
                </c:pt>
                <c:pt idx="1543" formatCode="#,##0.000">
                  <c:v>#N/A</c:v>
                </c:pt>
                <c:pt idx="1544" formatCode="#,##0.000">
                  <c:v>#N/A</c:v>
                </c:pt>
                <c:pt idx="1545" formatCode="#,##0.000">
                  <c:v>#N/A</c:v>
                </c:pt>
                <c:pt idx="1546" formatCode="#,##0.000">
                  <c:v>#N/A</c:v>
                </c:pt>
                <c:pt idx="1547" formatCode="#,##0.000">
                  <c:v>#N/A</c:v>
                </c:pt>
                <c:pt idx="1548" formatCode="#,##0.000">
                  <c:v>#N/A</c:v>
                </c:pt>
                <c:pt idx="1549" formatCode="#,##0.000">
                  <c:v>#N/A</c:v>
                </c:pt>
                <c:pt idx="1550" formatCode="#,##0.000">
                  <c:v>#N/A</c:v>
                </c:pt>
                <c:pt idx="1551" formatCode="#,##0.000">
                  <c:v>#N/A</c:v>
                </c:pt>
                <c:pt idx="1552" formatCode="#,##0.000">
                  <c:v>#N/A</c:v>
                </c:pt>
                <c:pt idx="1553" formatCode="#,##0.000">
                  <c:v>#N/A</c:v>
                </c:pt>
                <c:pt idx="1554" formatCode="#,##0.000">
                  <c:v>#N/A</c:v>
                </c:pt>
                <c:pt idx="1555" formatCode="#,##0.000">
                  <c:v>#N/A</c:v>
                </c:pt>
                <c:pt idx="1556" formatCode="#,##0.000">
                  <c:v>#N/A</c:v>
                </c:pt>
                <c:pt idx="1557" formatCode="#,##0.000">
                  <c:v>#N/A</c:v>
                </c:pt>
                <c:pt idx="1558" formatCode="#,##0.000">
                  <c:v>#N/A</c:v>
                </c:pt>
                <c:pt idx="1559" formatCode="#,##0.000">
                  <c:v>#N/A</c:v>
                </c:pt>
                <c:pt idx="1560" formatCode="#,##0.000">
                  <c:v>#N/A</c:v>
                </c:pt>
                <c:pt idx="1561" formatCode="#,##0.000">
                  <c:v>#N/A</c:v>
                </c:pt>
                <c:pt idx="1562" formatCode="#,##0.000">
                  <c:v>#N/A</c:v>
                </c:pt>
                <c:pt idx="1563" formatCode="#,##0.000">
                  <c:v>#N/A</c:v>
                </c:pt>
                <c:pt idx="1564" formatCode="#,##0.000">
                  <c:v>#N/A</c:v>
                </c:pt>
                <c:pt idx="1565" formatCode="#,##0.000">
                  <c:v>#N/A</c:v>
                </c:pt>
                <c:pt idx="1566" formatCode="#,##0.000">
                  <c:v>#N/A</c:v>
                </c:pt>
                <c:pt idx="1567" formatCode="#,##0.000">
                  <c:v>#N/A</c:v>
                </c:pt>
                <c:pt idx="1568" formatCode="#,##0.000">
                  <c:v>#N/A</c:v>
                </c:pt>
                <c:pt idx="1569" formatCode="#,##0.000">
                  <c:v>#N/A</c:v>
                </c:pt>
                <c:pt idx="1570" formatCode="#,##0.000">
                  <c:v>#N/A</c:v>
                </c:pt>
                <c:pt idx="1571" formatCode="#,##0.000">
                  <c:v>#N/A</c:v>
                </c:pt>
                <c:pt idx="1572" formatCode="#,##0.000">
                  <c:v>#N/A</c:v>
                </c:pt>
                <c:pt idx="1573" formatCode="#,##0.000">
                  <c:v>#N/A</c:v>
                </c:pt>
                <c:pt idx="1574" formatCode="#,##0.000">
                  <c:v>#N/A</c:v>
                </c:pt>
                <c:pt idx="1575" formatCode="#,##0.000">
                  <c:v>#N/A</c:v>
                </c:pt>
                <c:pt idx="1576" formatCode="#,##0.000">
                  <c:v>#N/A</c:v>
                </c:pt>
                <c:pt idx="1577" formatCode="#,##0.000">
                  <c:v>#N/A</c:v>
                </c:pt>
                <c:pt idx="1578" formatCode="#,##0.000">
                  <c:v>#N/A</c:v>
                </c:pt>
                <c:pt idx="1579" formatCode="#,##0.000">
                  <c:v>#N/A</c:v>
                </c:pt>
                <c:pt idx="1580" formatCode="#,##0.000">
                  <c:v>#N/A</c:v>
                </c:pt>
                <c:pt idx="1581" formatCode="#,##0.000">
                  <c:v>#N/A</c:v>
                </c:pt>
                <c:pt idx="1582" formatCode="#,##0.000">
                  <c:v>#N/A</c:v>
                </c:pt>
                <c:pt idx="1583" formatCode="#,##0.000">
                  <c:v>#N/A</c:v>
                </c:pt>
                <c:pt idx="1584" formatCode="#,##0.000">
                  <c:v>#N/A</c:v>
                </c:pt>
                <c:pt idx="1585" formatCode="#,##0.000">
                  <c:v>#N/A</c:v>
                </c:pt>
                <c:pt idx="1586" formatCode="#,##0.000">
                  <c:v>#N/A</c:v>
                </c:pt>
                <c:pt idx="1587" formatCode="#,##0.000">
                  <c:v>#N/A</c:v>
                </c:pt>
                <c:pt idx="1588" formatCode="#,##0.000">
                  <c:v>#N/A</c:v>
                </c:pt>
                <c:pt idx="1589" formatCode="#,##0.000">
                  <c:v>#N/A</c:v>
                </c:pt>
                <c:pt idx="1590" formatCode="#,##0.000">
                  <c:v>#N/A</c:v>
                </c:pt>
                <c:pt idx="1591" formatCode="#,##0.000">
                  <c:v>#N/A</c:v>
                </c:pt>
                <c:pt idx="1592" formatCode="#,##0.000">
                  <c:v>#N/A</c:v>
                </c:pt>
                <c:pt idx="1593" formatCode="#,##0.000">
                  <c:v>#N/A</c:v>
                </c:pt>
                <c:pt idx="1594" formatCode="#,##0.000">
                  <c:v>#N/A</c:v>
                </c:pt>
                <c:pt idx="1595" formatCode="#,##0.000">
                  <c:v>#N/A</c:v>
                </c:pt>
                <c:pt idx="1596" formatCode="#,##0.000">
                  <c:v>#N/A</c:v>
                </c:pt>
                <c:pt idx="1597" formatCode="#,##0.000">
                  <c:v>#N/A</c:v>
                </c:pt>
                <c:pt idx="1598" formatCode="#,##0.000">
                  <c:v>#N/A</c:v>
                </c:pt>
                <c:pt idx="1599" formatCode="#,##0.000">
                  <c:v>#N/A</c:v>
                </c:pt>
                <c:pt idx="1600" formatCode="#,##0.000">
                  <c:v>#N/A</c:v>
                </c:pt>
                <c:pt idx="1601" formatCode="#,##0.000">
                  <c:v>#N/A</c:v>
                </c:pt>
                <c:pt idx="1602" formatCode="#,##0.000">
                  <c:v>#N/A</c:v>
                </c:pt>
                <c:pt idx="1603" formatCode="#,##0.000">
                  <c:v>#N/A</c:v>
                </c:pt>
                <c:pt idx="1604" formatCode="#,##0.000">
                  <c:v>#N/A</c:v>
                </c:pt>
                <c:pt idx="1605" formatCode="#,##0.000">
                  <c:v>#N/A</c:v>
                </c:pt>
                <c:pt idx="1606" formatCode="#,##0.000">
                  <c:v>#N/A</c:v>
                </c:pt>
                <c:pt idx="1607" formatCode="#,##0.000">
                  <c:v>#N/A</c:v>
                </c:pt>
                <c:pt idx="1608" formatCode="#,##0.000">
                  <c:v>#N/A</c:v>
                </c:pt>
                <c:pt idx="1609" formatCode="#,##0.000">
                  <c:v>#N/A</c:v>
                </c:pt>
                <c:pt idx="1610" formatCode="#,##0.000">
                  <c:v>#N/A</c:v>
                </c:pt>
                <c:pt idx="1611" formatCode="#,##0.000">
                  <c:v>#N/A</c:v>
                </c:pt>
                <c:pt idx="1612" formatCode="#,##0.000">
                  <c:v>#N/A</c:v>
                </c:pt>
                <c:pt idx="1613" formatCode="#,##0.000">
                  <c:v>#N/A</c:v>
                </c:pt>
                <c:pt idx="1614" formatCode="#,##0.000">
                  <c:v>#N/A</c:v>
                </c:pt>
                <c:pt idx="1615" formatCode="#,##0.000">
                  <c:v>#N/A</c:v>
                </c:pt>
                <c:pt idx="1616" formatCode="#,##0.000">
                  <c:v>#N/A</c:v>
                </c:pt>
                <c:pt idx="1617" formatCode="#,##0.000">
                  <c:v>#N/A</c:v>
                </c:pt>
                <c:pt idx="1618" formatCode="#,##0.000">
                  <c:v>#N/A</c:v>
                </c:pt>
                <c:pt idx="1619" formatCode="#,##0.000">
                  <c:v>#N/A</c:v>
                </c:pt>
                <c:pt idx="1620" formatCode="#,##0.000">
                  <c:v>#N/A</c:v>
                </c:pt>
                <c:pt idx="1621" formatCode="#,##0.000">
                  <c:v>#N/A</c:v>
                </c:pt>
                <c:pt idx="1622" formatCode="#,##0.000">
                  <c:v>#N/A</c:v>
                </c:pt>
                <c:pt idx="1623" formatCode="#,##0.000">
                  <c:v>#N/A</c:v>
                </c:pt>
                <c:pt idx="1624" formatCode="#,##0.000">
                  <c:v>#N/A</c:v>
                </c:pt>
                <c:pt idx="1625" formatCode="#,##0.000">
                  <c:v>#N/A</c:v>
                </c:pt>
                <c:pt idx="1626" formatCode="#,##0.000">
                  <c:v>#N/A</c:v>
                </c:pt>
                <c:pt idx="1627" formatCode="#,##0.000">
                  <c:v>#N/A</c:v>
                </c:pt>
                <c:pt idx="1628" formatCode="#,##0.000">
                  <c:v>#N/A</c:v>
                </c:pt>
                <c:pt idx="1629" formatCode="#,##0.000">
                  <c:v>#N/A</c:v>
                </c:pt>
                <c:pt idx="1630" formatCode="#,##0.000">
                  <c:v>#N/A</c:v>
                </c:pt>
                <c:pt idx="1631" formatCode="#,##0.000">
                  <c:v>#N/A</c:v>
                </c:pt>
                <c:pt idx="1632" formatCode="#,##0.000">
                  <c:v>#N/A</c:v>
                </c:pt>
                <c:pt idx="1633" formatCode="#,##0.000">
                  <c:v>#N/A</c:v>
                </c:pt>
                <c:pt idx="1634" formatCode="#,##0.000">
                  <c:v>#N/A</c:v>
                </c:pt>
                <c:pt idx="1635" formatCode="#,##0.000">
                  <c:v>#N/A</c:v>
                </c:pt>
                <c:pt idx="1636" formatCode="#,##0.000">
                  <c:v>#N/A</c:v>
                </c:pt>
                <c:pt idx="1637" formatCode="#,##0.000">
                  <c:v>#N/A</c:v>
                </c:pt>
                <c:pt idx="1638" formatCode="#,##0.000">
                  <c:v>#N/A</c:v>
                </c:pt>
                <c:pt idx="1639" formatCode="#,##0.000">
                  <c:v>#N/A</c:v>
                </c:pt>
                <c:pt idx="1640" formatCode="#,##0.000">
                  <c:v>#N/A</c:v>
                </c:pt>
                <c:pt idx="1641" formatCode="#,##0.000">
                  <c:v>#N/A</c:v>
                </c:pt>
                <c:pt idx="1642" formatCode="#,##0.000">
                  <c:v>#N/A</c:v>
                </c:pt>
                <c:pt idx="1643" formatCode="#,##0.000">
                  <c:v>#N/A</c:v>
                </c:pt>
                <c:pt idx="1644" formatCode="#,##0.000">
                  <c:v>#N/A</c:v>
                </c:pt>
                <c:pt idx="1645" formatCode="#,##0.000">
                  <c:v>#N/A</c:v>
                </c:pt>
                <c:pt idx="1646" formatCode="#,##0.000">
                  <c:v>#N/A</c:v>
                </c:pt>
                <c:pt idx="1647" formatCode="#,##0.000">
                  <c:v>#N/A</c:v>
                </c:pt>
                <c:pt idx="1648" formatCode="#,##0.000">
                  <c:v>#N/A</c:v>
                </c:pt>
                <c:pt idx="1649" formatCode="#,##0.000">
                  <c:v>#N/A</c:v>
                </c:pt>
                <c:pt idx="1650" formatCode="#,##0.000">
                  <c:v>#N/A</c:v>
                </c:pt>
                <c:pt idx="1651" formatCode="#,##0.000">
                  <c:v>#N/A</c:v>
                </c:pt>
                <c:pt idx="1652" formatCode="#,##0.000">
                  <c:v>#N/A</c:v>
                </c:pt>
                <c:pt idx="1653" formatCode="#,##0.000">
                  <c:v>#N/A</c:v>
                </c:pt>
                <c:pt idx="1654" formatCode="#,##0.000">
                  <c:v>#N/A</c:v>
                </c:pt>
                <c:pt idx="1655" formatCode="#,##0.000">
                  <c:v>#N/A</c:v>
                </c:pt>
                <c:pt idx="1656" formatCode="#,##0.000">
                  <c:v>#N/A</c:v>
                </c:pt>
                <c:pt idx="1657" formatCode="#,##0.000">
                  <c:v>#N/A</c:v>
                </c:pt>
                <c:pt idx="1658" formatCode="#,##0.000">
                  <c:v>#N/A</c:v>
                </c:pt>
                <c:pt idx="1659" formatCode="#,##0.000">
                  <c:v>#N/A</c:v>
                </c:pt>
                <c:pt idx="1660" formatCode="#,##0.000">
                  <c:v>#N/A</c:v>
                </c:pt>
                <c:pt idx="1661" formatCode="#,##0.000">
                  <c:v>#N/A</c:v>
                </c:pt>
                <c:pt idx="1662" formatCode="#,##0.000">
                  <c:v>#N/A</c:v>
                </c:pt>
                <c:pt idx="1663" formatCode="#,##0.000">
                  <c:v>#N/A</c:v>
                </c:pt>
                <c:pt idx="1664" formatCode="#,##0.000">
                  <c:v>#N/A</c:v>
                </c:pt>
                <c:pt idx="1665" formatCode="#,##0.000">
                  <c:v>#N/A</c:v>
                </c:pt>
                <c:pt idx="1666" formatCode="#,##0.000">
                  <c:v>#N/A</c:v>
                </c:pt>
                <c:pt idx="1667" formatCode="#,##0.000">
                  <c:v>#N/A</c:v>
                </c:pt>
                <c:pt idx="1668" formatCode="#,##0.000">
                  <c:v>#N/A</c:v>
                </c:pt>
                <c:pt idx="1669" formatCode="#,##0.000">
                  <c:v>#N/A</c:v>
                </c:pt>
                <c:pt idx="1670" formatCode="#,##0.000">
                  <c:v>#N/A</c:v>
                </c:pt>
                <c:pt idx="1671" formatCode="#,##0.000">
                  <c:v>#N/A</c:v>
                </c:pt>
                <c:pt idx="1672" formatCode="#,##0.000">
                  <c:v>#N/A</c:v>
                </c:pt>
                <c:pt idx="1673" formatCode="#,##0.000">
                  <c:v>#N/A</c:v>
                </c:pt>
                <c:pt idx="1674" formatCode="#,##0.000">
                  <c:v>#N/A</c:v>
                </c:pt>
                <c:pt idx="1675" formatCode="#,##0.000">
                  <c:v>#N/A</c:v>
                </c:pt>
                <c:pt idx="1676" formatCode="#,##0.000">
                  <c:v>#N/A</c:v>
                </c:pt>
                <c:pt idx="1677" formatCode="#,##0.000">
                  <c:v>#N/A</c:v>
                </c:pt>
                <c:pt idx="1678" formatCode="#,##0.000">
                  <c:v>#N/A</c:v>
                </c:pt>
                <c:pt idx="1679" formatCode="#,##0.000">
                  <c:v>#N/A</c:v>
                </c:pt>
                <c:pt idx="1680" formatCode="#,##0.000">
                  <c:v>#N/A</c:v>
                </c:pt>
                <c:pt idx="1681" formatCode="#,##0.000">
                  <c:v>#N/A</c:v>
                </c:pt>
                <c:pt idx="1682" formatCode="#,##0.000">
                  <c:v>#N/A</c:v>
                </c:pt>
                <c:pt idx="1683" formatCode="#,##0.000">
                  <c:v>#N/A</c:v>
                </c:pt>
                <c:pt idx="1684" formatCode="#,##0.000">
                  <c:v>#N/A</c:v>
                </c:pt>
                <c:pt idx="1685" formatCode="#,##0.000">
                  <c:v>#N/A</c:v>
                </c:pt>
                <c:pt idx="1686" formatCode="#,##0.000">
                  <c:v>#N/A</c:v>
                </c:pt>
                <c:pt idx="1687" formatCode="#,##0.000">
                  <c:v>#N/A</c:v>
                </c:pt>
                <c:pt idx="1688" formatCode="#,##0.000">
                  <c:v>#N/A</c:v>
                </c:pt>
                <c:pt idx="1689" formatCode="#,##0.000">
                  <c:v>#N/A</c:v>
                </c:pt>
                <c:pt idx="1690" formatCode="#,##0.000">
                  <c:v>#N/A</c:v>
                </c:pt>
                <c:pt idx="1691" formatCode="#,##0.000">
                  <c:v>#N/A</c:v>
                </c:pt>
                <c:pt idx="1692" formatCode="#,##0.000">
                  <c:v>#N/A</c:v>
                </c:pt>
                <c:pt idx="1693" formatCode="#,##0.000">
                  <c:v>#N/A</c:v>
                </c:pt>
                <c:pt idx="1694" formatCode="#,##0.000">
                  <c:v>#N/A</c:v>
                </c:pt>
                <c:pt idx="1695" formatCode="#,##0.000">
                  <c:v>#N/A</c:v>
                </c:pt>
                <c:pt idx="1696" formatCode="#,##0.000">
                  <c:v>#N/A</c:v>
                </c:pt>
                <c:pt idx="1697" formatCode="#,##0.000">
                  <c:v>#N/A</c:v>
                </c:pt>
                <c:pt idx="1698" formatCode="#,##0.000">
                  <c:v>#N/A</c:v>
                </c:pt>
                <c:pt idx="1699" formatCode="#,##0.000">
                  <c:v>#N/A</c:v>
                </c:pt>
                <c:pt idx="1700" formatCode="#,##0.000">
                  <c:v>#N/A</c:v>
                </c:pt>
                <c:pt idx="1701" formatCode="#,##0.000">
                  <c:v>#N/A</c:v>
                </c:pt>
                <c:pt idx="1702" formatCode="#,##0.000">
                  <c:v>#N/A</c:v>
                </c:pt>
                <c:pt idx="1703" formatCode="#,##0.000">
                  <c:v>#N/A</c:v>
                </c:pt>
                <c:pt idx="1704" formatCode="#,##0.000">
                  <c:v>#N/A</c:v>
                </c:pt>
                <c:pt idx="1705" formatCode="#,##0.000">
                  <c:v>#N/A</c:v>
                </c:pt>
                <c:pt idx="1706" formatCode="#,##0.000">
                  <c:v>#N/A</c:v>
                </c:pt>
                <c:pt idx="1707" formatCode="#,##0.000">
                  <c:v>#N/A</c:v>
                </c:pt>
                <c:pt idx="1708" formatCode="#,##0.000">
                  <c:v>#N/A</c:v>
                </c:pt>
                <c:pt idx="1709" formatCode="#,##0.000">
                  <c:v>#N/A</c:v>
                </c:pt>
                <c:pt idx="1710" formatCode="#,##0.000">
                  <c:v>#N/A</c:v>
                </c:pt>
                <c:pt idx="1711" formatCode="#,##0.000">
                  <c:v>#N/A</c:v>
                </c:pt>
                <c:pt idx="1712" formatCode="#,##0.000">
                  <c:v>#N/A</c:v>
                </c:pt>
                <c:pt idx="1713" formatCode="#,##0.000">
                  <c:v>#N/A</c:v>
                </c:pt>
                <c:pt idx="1714" formatCode="#,##0.000">
                  <c:v>#N/A</c:v>
                </c:pt>
                <c:pt idx="1715" formatCode="#,##0.000">
                  <c:v>#N/A</c:v>
                </c:pt>
                <c:pt idx="1716" formatCode="#,##0.000">
                  <c:v>#N/A</c:v>
                </c:pt>
                <c:pt idx="1717" formatCode="#,##0.000">
                  <c:v>#N/A</c:v>
                </c:pt>
                <c:pt idx="1718" formatCode="#,##0.000">
                  <c:v>#N/A</c:v>
                </c:pt>
                <c:pt idx="1719" formatCode="#,##0.000">
                  <c:v>#N/A</c:v>
                </c:pt>
                <c:pt idx="1720" formatCode="#,##0.000">
                  <c:v>#N/A</c:v>
                </c:pt>
                <c:pt idx="1721" formatCode="#,##0.000">
                  <c:v>#N/A</c:v>
                </c:pt>
                <c:pt idx="1722" formatCode="#,##0.000">
                  <c:v>#N/A</c:v>
                </c:pt>
                <c:pt idx="1723" formatCode="#,##0.000">
                  <c:v>#N/A</c:v>
                </c:pt>
                <c:pt idx="1724" formatCode="#,##0.000">
                  <c:v>#N/A</c:v>
                </c:pt>
                <c:pt idx="1725" formatCode="#,##0.000">
                  <c:v>#N/A</c:v>
                </c:pt>
                <c:pt idx="1726" formatCode="#,##0.000">
                  <c:v>#N/A</c:v>
                </c:pt>
                <c:pt idx="1727" formatCode="#,##0.000">
                  <c:v>#N/A</c:v>
                </c:pt>
                <c:pt idx="1728" formatCode="#,##0.000">
                  <c:v>#N/A</c:v>
                </c:pt>
                <c:pt idx="1729" formatCode="#,##0.000">
                  <c:v>#N/A</c:v>
                </c:pt>
                <c:pt idx="1730" formatCode="#,##0.000">
                  <c:v>#N/A</c:v>
                </c:pt>
                <c:pt idx="1731" formatCode="#,##0.000">
                  <c:v>#N/A</c:v>
                </c:pt>
                <c:pt idx="1732" formatCode="#,##0.000">
                  <c:v>#N/A</c:v>
                </c:pt>
                <c:pt idx="1733" formatCode="#,##0.000">
                  <c:v>#N/A</c:v>
                </c:pt>
                <c:pt idx="1734" formatCode="#,##0.000">
                  <c:v>#N/A</c:v>
                </c:pt>
                <c:pt idx="1735" formatCode="#,##0.000">
                  <c:v>#N/A</c:v>
                </c:pt>
                <c:pt idx="1736" formatCode="#,##0.000">
                  <c:v>#N/A</c:v>
                </c:pt>
                <c:pt idx="1737" formatCode="#,##0.000">
                  <c:v>#N/A</c:v>
                </c:pt>
                <c:pt idx="1738" formatCode="#,##0.000">
                  <c:v>#N/A</c:v>
                </c:pt>
                <c:pt idx="1739" formatCode="#,##0.000">
                  <c:v>#N/A</c:v>
                </c:pt>
                <c:pt idx="1740" formatCode="#,##0.000">
                  <c:v>#N/A</c:v>
                </c:pt>
                <c:pt idx="1741" formatCode="#,##0.000">
                  <c:v>#N/A</c:v>
                </c:pt>
                <c:pt idx="1742" formatCode="#,##0.000">
                  <c:v>#N/A</c:v>
                </c:pt>
                <c:pt idx="1743" formatCode="#,##0.000">
                  <c:v>#N/A</c:v>
                </c:pt>
                <c:pt idx="1744" formatCode="#,##0.000">
                  <c:v>#N/A</c:v>
                </c:pt>
                <c:pt idx="1745" formatCode="#,##0.000">
                  <c:v>#N/A</c:v>
                </c:pt>
                <c:pt idx="1746" formatCode="#,##0.000">
                  <c:v>#N/A</c:v>
                </c:pt>
                <c:pt idx="1747" formatCode="#,##0.000">
                  <c:v>#N/A</c:v>
                </c:pt>
                <c:pt idx="1748" formatCode="#,##0.000">
                  <c:v>#N/A</c:v>
                </c:pt>
                <c:pt idx="1749" formatCode="#,##0.000">
                  <c:v>#N/A</c:v>
                </c:pt>
                <c:pt idx="1750" formatCode="#,##0.000">
                  <c:v>#N/A</c:v>
                </c:pt>
                <c:pt idx="1751" formatCode="#,##0.000">
                  <c:v>#N/A</c:v>
                </c:pt>
                <c:pt idx="1752" formatCode="#,##0.000">
                  <c:v>#N/A</c:v>
                </c:pt>
                <c:pt idx="1753" formatCode="#,##0.000">
                  <c:v>#N/A</c:v>
                </c:pt>
                <c:pt idx="1754" formatCode="#,##0.000">
                  <c:v>#N/A</c:v>
                </c:pt>
                <c:pt idx="1755" formatCode="#,##0.000">
                  <c:v>#N/A</c:v>
                </c:pt>
                <c:pt idx="1756" formatCode="#,##0.000">
                  <c:v>#N/A</c:v>
                </c:pt>
                <c:pt idx="1757" formatCode="#,##0.000">
                  <c:v>#N/A</c:v>
                </c:pt>
                <c:pt idx="1758" formatCode="#,##0.000">
                  <c:v>#N/A</c:v>
                </c:pt>
                <c:pt idx="1759" formatCode="#,##0.000">
                  <c:v>#N/A</c:v>
                </c:pt>
                <c:pt idx="1760" formatCode="#,##0.000">
                  <c:v>#N/A</c:v>
                </c:pt>
                <c:pt idx="1761" formatCode="#,##0.000">
                  <c:v>#N/A</c:v>
                </c:pt>
                <c:pt idx="1762" formatCode="#,##0.000">
                  <c:v>#N/A</c:v>
                </c:pt>
                <c:pt idx="1763" formatCode="#,##0.000">
                  <c:v>#N/A</c:v>
                </c:pt>
                <c:pt idx="1764" formatCode="#,##0.000">
                  <c:v>#N/A</c:v>
                </c:pt>
                <c:pt idx="1765" formatCode="#,##0.000">
                  <c:v>#N/A</c:v>
                </c:pt>
                <c:pt idx="1766" formatCode="#,##0.000">
                  <c:v>#N/A</c:v>
                </c:pt>
                <c:pt idx="1767" formatCode="#,##0.000">
                  <c:v>#N/A</c:v>
                </c:pt>
                <c:pt idx="1768" formatCode="#,##0.000">
                  <c:v>#N/A</c:v>
                </c:pt>
                <c:pt idx="1769" formatCode="#,##0.000">
                  <c:v>#N/A</c:v>
                </c:pt>
                <c:pt idx="1770" formatCode="#,##0.000">
                  <c:v>#N/A</c:v>
                </c:pt>
                <c:pt idx="1771" formatCode="#,##0.000">
                  <c:v>#N/A</c:v>
                </c:pt>
                <c:pt idx="1772" formatCode="#,##0.000">
                  <c:v>#N/A</c:v>
                </c:pt>
                <c:pt idx="1773" formatCode="#,##0.000">
                  <c:v>#N/A</c:v>
                </c:pt>
                <c:pt idx="1774" formatCode="#,##0.000">
                  <c:v>#N/A</c:v>
                </c:pt>
                <c:pt idx="1775" formatCode="#,##0.000">
                  <c:v>#N/A</c:v>
                </c:pt>
                <c:pt idx="1776" formatCode="#,##0.000">
                  <c:v>#N/A</c:v>
                </c:pt>
                <c:pt idx="1777" formatCode="#,##0.000">
                  <c:v>#N/A</c:v>
                </c:pt>
                <c:pt idx="1778" formatCode="#,##0.000">
                  <c:v>#N/A</c:v>
                </c:pt>
                <c:pt idx="1779" formatCode="#,##0.000">
                  <c:v>#N/A</c:v>
                </c:pt>
                <c:pt idx="1780" formatCode="#,##0.000">
                  <c:v>#N/A</c:v>
                </c:pt>
                <c:pt idx="1781" formatCode="#,##0.000">
                  <c:v>#N/A</c:v>
                </c:pt>
                <c:pt idx="1782" formatCode="#,##0.000">
                  <c:v>#N/A</c:v>
                </c:pt>
                <c:pt idx="1783" formatCode="#,##0.000">
                  <c:v>#N/A</c:v>
                </c:pt>
                <c:pt idx="1784" formatCode="#,##0.000">
                  <c:v>#N/A</c:v>
                </c:pt>
                <c:pt idx="1785" formatCode="#,##0.000">
                  <c:v>#N/A</c:v>
                </c:pt>
                <c:pt idx="1786" formatCode="#,##0.000">
                  <c:v>#N/A</c:v>
                </c:pt>
                <c:pt idx="1787" formatCode="#,##0.000">
                  <c:v>#N/A</c:v>
                </c:pt>
                <c:pt idx="1788" formatCode="#,##0.000">
                  <c:v>#N/A</c:v>
                </c:pt>
                <c:pt idx="1789" formatCode="#,##0.000">
                  <c:v>#N/A</c:v>
                </c:pt>
                <c:pt idx="1790" formatCode="#,##0.000">
                  <c:v>#N/A</c:v>
                </c:pt>
                <c:pt idx="1791" formatCode="#,##0.000">
                  <c:v>#N/A</c:v>
                </c:pt>
                <c:pt idx="1792" formatCode="#,##0.000">
                  <c:v>#N/A</c:v>
                </c:pt>
                <c:pt idx="1793" formatCode="#,##0.000">
                  <c:v>#N/A</c:v>
                </c:pt>
                <c:pt idx="1794" formatCode="#,##0.000">
                  <c:v>#N/A</c:v>
                </c:pt>
                <c:pt idx="1795" formatCode="#,##0.000">
                  <c:v>#N/A</c:v>
                </c:pt>
                <c:pt idx="1796" formatCode="#,##0.000">
                  <c:v>#N/A</c:v>
                </c:pt>
                <c:pt idx="1797" formatCode="#,##0.000">
                  <c:v>#N/A</c:v>
                </c:pt>
                <c:pt idx="1798" formatCode="#,##0.000">
                  <c:v>#N/A</c:v>
                </c:pt>
                <c:pt idx="1799" formatCode="#,##0.000">
                  <c:v>#N/A</c:v>
                </c:pt>
                <c:pt idx="1800" formatCode="#,##0.000">
                  <c:v>#N/A</c:v>
                </c:pt>
                <c:pt idx="1801" formatCode="#,##0.000">
                  <c:v>#N/A</c:v>
                </c:pt>
                <c:pt idx="1802" formatCode="#,##0.000">
                  <c:v>#N/A</c:v>
                </c:pt>
                <c:pt idx="1803" formatCode="#,##0.000">
                  <c:v>#N/A</c:v>
                </c:pt>
                <c:pt idx="1804" formatCode="#,##0.000">
                  <c:v>#N/A</c:v>
                </c:pt>
                <c:pt idx="1805" formatCode="#,##0.000">
                  <c:v>#N/A</c:v>
                </c:pt>
                <c:pt idx="1806" formatCode="#,##0.000">
                  <c:v>#N/A</c:v>
                </c:pt>
                <c:pt idx="1807" formatCode="#,##0.000">
                  <c:v>#N/A</c:v>
                </c:pt>
                <c:pt idx="1808" formatCode="#,##0.000">
                  <c:v>#N/A</c:v>
                </c:pt>
                <c:pt idx="1809" formatCode="#,##0.000">
                  <c:v>#N/A</c:v>
                </c:pt>
                <c:pt idx="1810" formatCode="#,##0.000">
                  <c:v>#N/A</c:v>
                </c:pt>
                <c:pt idx="1811" formatCode="#,##0.000">
                  <c:v>#N/A</c:v>
                </c:pt>
                <c:pt idx="1812" formatCode="#,##0.000">
                  <c:v>#N/A</c:v>
                </c:pt>
                <c:pt idx="1813" formatCode="#,##0.000">
                  <c:v>#N/A</c:v>
                </c:pt>
                <c:pt idx="1814" formatCode="#,##0.000">
                  <c:v>#N/A</c:v>
                </c:pt>
                <c:pt idx="1815" formatCode="#,##0.000">
                  <c:v>#N/A</c:v>
                </c:pt>
                <c:pt idx="1816" formatCode="#,##0.000">
                  <c:v>#N/A</c:v>
                </c:pt>
                <c:pt idx="1817" formatCode="#,##0.000">
                  <c:v>#N/A</c:v>
                </c:pt>
                <c:pt idx="1818" formatCode="#,##0.000">
                  <c:v>#N/A</c:v>
                </c:pt>
                <c:pt idx="1819" formatCode="#,##0.000">
                  <c:v>#N/A</c:v>
                </c:pt>
                <c:pt idx="1820" formatCode="#,##0.000">
                  <c:v>#N/A</c:v>
                </c:pt>
                <c:pt idx="1821" formatCode="#,##0.000">
                  <c:v>#N/A</c:v>
                </c:pt>
                <c:pt idx="1822" formatCode="#,##0.000">
                  <c:v>#N/A</c:v>
                </c:pt>
                <c:pt idx="1823" formatCode="#,##0.000">
                  <c:v>#N/A</c:v>
                </c:pt>
                <c:pt idx="1824" formatCode="#,##0.000">
                  <c:v>#N/A</c:v>
                </c:pt>
                <c:pt idx="1825" formatCode="#,##0.000">
                  <c:v>#N/A</c:v>
                </c:pt>
                <c:pt idx="1826" formatCode="#,##0.000">
                  <c:v>#N/A</c:v>
                </c:pt>
                <c:pt idx="1827" formatCode="#,##0.000">
                  <c:v>#N/A</c:v>
                </c:pt>
                <c:pt idx="1828" formatCode="#,##0.000">
                  <c:v>#N/A</c:v>
                </c:pt>
                <c:pt idx="1829" formatCode="#,##0.000">
                  <c:v>#N/A</c:v>
                </c:pt>
                <c:pt idx="1830" formatCode="#,##0.000">
                  <c:v>#N/A</c:v>
                </c:pt>
                <c:pt idx="1831" formatCode="#,##0.000">
                  <c:v>#N/A</c:v>
                </c:pt>
                <c:pt idx="1832" formatCode="#,##0.000">
                  <c:v>#N/A</c:v>
                </c:pt>
                <c:pt idx="1833" formatCode="#,##0.000">
                  <c:v>#N/A</c:v>
                </c:pt>
                <c:pt idx="1834" formatCode="#,##0.000">
                  <c:v>#N/A</c:v>
                </c:pt>
                <c:pt idx="1835" formatCode="#,##0.000">
                  <c:v>#N/A</c:v>
                </c:pt>
                <c:pt idx="1836" formatCode="#,##0.000">
                  <c:v>#N/A</c:v>
                </c:pt>
                <c:pt idx="1837" formatCode="#,##0.000">
                  <c:v>#N/A</c:v>
                </c:pt>
                <c:pt idx="1838" formatCode="#,##0.000">
                  <c:v>#N/A</c:v>
                </c:pt>
                <c:pt idx="1839" formatCode="#,##0.000">
                  <c:v>#N/A</c:v>
                </c:pt>
                <c:pt idx="1840" formatCode="#,##0.000">
                  <c:v>#N/A</c:v>
                </c:pt>
                <c:pt idx="1841" formatCode="#,##0.000">
                  <c:v>#N/A</c:v>
                </c:pt>
                <c:pt idx="1842" formatCode="#,##0.000">
                  <c:v>#N/A</c:v>
                </c:pt>
                <c:pt idx="1843" formatCode="#,##0.000">
                  <c:v>#N/A</c:v>
                </c:pt>
                <c:pt idx="1844" formatCode="#,##0.000">
                  <c:v>#N/A</c:v>
                </c:pt>
                <c:pt idx="1845" formatCode="#,##0.000">
                  <c:v>#N/A</c:v>
                </c:pt>
                <c:pt idx="1846" formatCode="#,##0.000">
                  <c:v>#N/A</c:v>
                </c:pt>
                <c:pt idx="1847" formatCode="#,##0.000">
                  <c:v>#N/A</c:v>
                </c:pt>
                <c:pt idx="1848" formatCode="#,##0.000">
                  <c:v>#N/A</c:v>
                </c:pt>
                <c:pt idx="1849" formatCode="#,##0.000">
                  <c:v>#N/A</c:v>
                </c:pt>
                <c:pt idx="1850" formatCode="#,##0.000">
                  <c:v>#N/A</c:v>
                </c:pt>
                <c:pt idx="1851" formatCode="#,##0.000">
                  <c:v>#N/A</c:v>
                </c:pt>
                <c:pt idx="1852" formatCode="#,##0.000">
                  <c:v>#N/A</c:v>
                </c:pt>
                <c:pt idx="1853" formatCode="#,##0.000">
                  <c:v>#N/A</c:v>
                </c:pt>
                <c:pt idx="1854" formatCode="#,##0.000">
                  <c:v>#N/A</c:v>
                </c:pt>
                <c:pt idx="1855" formatCode="#,##0.000">
                  <c:v>#N/A</c:v>
                </c:pt>
                <c:pt idx="1856" formatCode="#,##0.000">
                  <c:v>#N/A</c:v>
                </c:pt>
                <c:pt idx="1857" formatCode="#,##0.000">
                  <c:v>#N/A</c:v>
                </c:pt>
                <c:pt idx="1858" formatCode="#,##0.000">
                  <c:v>#N/A</c:v>
                </c:pt>
                <c:pt idx="1859" formatCode="#,##0.000">
                  <c:v>#N/A</c:v>
                </c:pt>
                <c:pt idx="1860" formatCode="#,##0.000">
                  <c:v>#N/A</c:v>
                </c:pt>
                <c:pt idx="1861" formatCode="#,##0.000">
                  <c:v>#N/A</c:v>
                </c:pt>
                <c:pt idx="1862" formatCode="#,##0.000">
                  <c:v>#N/A</c:v>
                </c:pt>
                <c:pt idx="1863" formatCode="#,##0.000">
                  <c:v>#N/A</c:v>
                </c:pt>
                <c:pt idx="1864" formatCode="#,##0.000">
                  <c:v>#N/A</c:v>
                </c:pt>
                <c:pt idx="1865" formatCode="#,##0.000">
                  <c:v>#N/A</c:v>
                </c:pt>
                <c:pt idx="1866" formatCode="#,##0.000">
                  <c:v>#N/A</c:v>
                </c:pt>
                <c:pt idx="1867" formatCode="#,##0.000">
                  <c:v>#N/A</c:v>
                </c:pt>
                <c:pt idx="1868" formatCode="#,##0.000">
                  <c:v>#N/A</c:v>
                </c:pt>
                <c:pt idx="1869" formatCode="#,##0.000">
                  <c:v>#N/A</c:v>
                </c:pt>
                <c:pt idx="1870" formatCode="#,##0.000">
                  <c:v>#N/A</c:v>
                </c:pt>
                <c:pt idx="1871" formatCode="#,##0.000">
                  <c:v>#N/A</c:v>
                </c:pt>
                <c:pt idx="1872" formatCode="#,##0.000">
                  <c:v>#N/A</c:v>
                </c:pt>
                <c:pt idx="1873" formatCode="#,##0.000">
                  <c:v>#N/A</c:v>
                </c:pt>
                <c:pt idx="1874" formatCode="#,##0.000">
                  <c:v>#N/A</c:v>
                </c:pt>
                <c:pt idx="1875" formatCode="#,##0.000">
                  <c:v>#N/A</c:v>
                </c:pt>
                <c:pt idx="1876" formatCode="#,##0.000">
                  <c:v>#N/A</c:v>
                </c:pt>
                <c:pt idx="1877" formatCode="#,##0.000">
                  <c:v>#N/A</c:v>
                </c:pt>
                <c:pt idx="1878" formatCode="#,##0.000">
                  <c:v>#N/A</c:v>
                </c:pt>
                <c:pt idx="1879" formatCode="#,##0.000">
                  <c:v>#N/A</c:v>
                </c:pt>
                <c:pt idx="1880" formatCode="#,##0.000">
                  <c:v>#N/A</c:v>
                </c:pt>
                <c:pt idx="1881" formatCode="#,##0.000">
                  <c:v>#N/A</c:v>
                </c:pt>
                <c:pt idx="1882" formatCode="#,##0.000">
                  <c:v>#N/A</c:v>
                </c:pt>
                <c:pt idx="1883" formatCode="#,##0.000">
                  <c:v>#N/A</c:v>
                </c:pt>
                <c:pt idx="1884" formatCode="#,##0.000">
                  <c:v>#N/A</c:v>
                </c:pt>
                <c:pt idx="1885" formatCode="#,##0.000">
                  <c:v>#N/A</c:v>
                </c:pt>
                <c:pt idx="1886" formatCode="#,##0.000">
                  <c:v>#N/A</c:v>
                </c:pt>
                <c:pt idx="1887" formatCode="#,##0.000">
                  <c:v>#N/A</c:v>
                </c:pt>
                <c:pt idx="1888" formatCode="#,##0.000">
                  <c:v>#N/A</c:v>
                </c:pt>
                <c:pt idx="1889" formatCode="#,##0.000">
                  <c:v>#N/A</c:v>
                </c:pt>
                <c:pt idx="1890" formatCode="#,##0.000">
                  <c:v>#N/A</c:v>
                </c:pt>
                <c:pt idx="1891" formatCode="#,##0.000">
                  <c:v>#N/A</c:v>
                </c:pt>
                <c:pt idx="1892" formatCode="#,##0.000">
                  <c:v>#N/A</c:v>
                </c:pt>
                <c:pt idx="1893" formatCode="#,##0.000">
                  <c:v>#N/A</c:v>
                </c:pt>
                <c:pt idx="1894" formatCode="#,##0.000">
                  <c:v>#N/A</c:v>
                </c:pt>
                <c:pt idx="1895" formatCode="#,##0.000">
                  <c:v>#N/A</c:v>
                </c:pt>
                <c:pt idx="1896" formatCode="#,##0.000">
                  <c:v>#N/A</c:v>
                </c:pt>
                <c:pt idx="1897" formatCode="#,##0.000">
                  <c:v>#N/A</c:v>
                </c:pt>
                <c:pt idx="1898" formatCode="#,##0.000">
                  <c:v>#N/A</c:v>
                </c:pt>
                <c:pt idx="1899" formatCode="#,##0.000">
                  <c:v>#N/A</c:v>
                </c:pt>
                <c:pt idx="1900" formatCode="#,##0.000">
                  <c:v>#N/A</c:v>
                </c:pt>
                <c:pt idx="1901" formatCode="#,##0.000">
                  <c:v>#N/A</c:v>
                </c:pt>
                <c:pt idx="1902" formatCode="#,##0.000">
                  <c:v>#N/A</c:v>
                </c:pt>
                <c:pt idx="1903" formatCode="#,##0.000">
                  <c:v>#N/A</c:v>
                </c:pt>
                <c:pt idx="1904" formatCode="#,##0.000">
                  <c:v>#N/A</c:v>
                </c:pt>
                <c:pt idx="1905" formatCode="#,##0.000">
                  <c:v>#N/A</c:v>
                </c:pt>
                <c:pt idx="1906" formatCode="#,##0.000">
                  <c:v>#N/A</c:v>
                </c:pt>
                <c:pt idx="1907" formatCode="#,##0.000">
                  <c:v>#N/A</c:v>
                </c:pt>
                <c:pt idx="1908" formatCode="#,##0.000">
                  <c:v>#N/A</c:v>
                </c:pt>
                <c:pt idx="1909" formatCode="#,##0.000">
                  <c:v>#N/A</c:v>
                </c:pt>
                <c:pt idx="1910" formatCode="#,##0.000">
                  <c:v>#N/A</c:v>
                </c:pt>
                <c:pt idx="1911" formatCode="#,##0.000">
                  <c:v>#N/A</c:v>
                </c:pt>
                <c:pt idx="1912" formatCode="#,##0.000">
                  <c:v>#N/A</c:v>
                </c:pt>
                <c:pt idx="1913" formatCode="#,##0.000">
                  <c:v>#N/A</c:v>
                </c:pt>
                <c:pt idx="1914" formatCode="#,##0.000">
                  <c:v>#N/A</c:v>
                </c:pt>
                <c:pt idx="1915" formatCode="#,##0.000">
                  <c:v>#N/A</c:v>
                </c:pt>
                <c:pt idx="1916" formatCode="#,##0.000">
                  <c:v>#N/A</c:v>
                </c:pt>
                <c:pt idx="1917" formatCode="#,##0.000">
                  <c:v>#N/A</c:v>
                </c:pt>
                <c:pt idx="1918" formatCode="#,##0.000">
                  <c:v>#N/A</c:v>
                </c:pt>
                <c:pt idx="1919" formatCode="#,##0.000">
                  <c:v>#N/A</c:v>
                </c:pt>
                <c:pt idx="1920" formatCode="#,##0.000">
                  <c:v>#N/A</c:v>
                </c:pt>
                <c:pt idx="1921" formatCode="#,##0.000">
                  <c:v>#N/A</c:v>
                </c:pt>
                <c:pt idx="1922" formatCode="#,##0.000">
                  <c:v>#N/A</c:v>
                </c:pt>
                <c:pt idx="1923" formatCode="#,##0.000">
                  <c:v>#N/A</c:v>
                </c:pt>
                <c:pt idx="1924" formatCode="#,##0.000">
                  <c:v>#N/A</c:v>
                </c:pt>
                <c:pt idx="1925" formatCode="#,##0.000">
                  <c:v>#N/A</c:v>
                </c:pt>
                <c:pt idx="1926" formatCode="#,##0.000">
                  <c:v>#N/A</c:v>
                </c:pt>
                <c:pt idx="1927" formatCode="#,##0.000">
                  <c:v>#N/A</c:v>
                </c:pt>
                <c:pt idx="1928" formatCode="#,##0.000">
                  <c:v>#N/A</c:v>
                </c:pt>
                <c:pt idx="1929" formatCode="#,##0.000">
                  <c:v>#N/A</c:v>
                </c:pt>
                <c:pt idx="1930" formatCode="#,##0.000">
                  <c:v>#N/A</c:v>
                </c:pt>
                <c:pt idx="1931" formatCode="#,##0.000">
                  <c:v>#N/A</c:v>
                </c:pt>
                <c:pt idx="1932" formatCode="#,##0.000">
                  <c:v>#N/A</c:v>
                </c:pt>
                <c:pt idx="1933" formatCode="#,##0.000">
                  <c:v>#N/A</c:v>
                </c:pt>
                <c:pt idx="1934" formatCode="#,##0.000">
                  <c:v>#N/A</c:v>
                </c:pt>
                <c:pt idx="1935" formatCode="#,##0.000">
                  <c:v>#N/A</c:v>
                </c:pt>
                <c:pt idx="1936" formatCode="#,##0.000">
                  <c:v>#N/A</c:v>
                </c:pt>
                <c:pt idx="1937" formatCode="#,##0.000">
                  <c:v>#N/A</c:v>
                </c:pt>
                <c:pt idx="1938" formatCode="#,##0.000">
                  <c:v>#N/A</c:v>
                </c:pt>
                <c:pt idx="1939" formatCode="#,##0.000">
                  <c:v>#N/A</c:v>
                </c:pt>
                <c:pt idx="1940" formatCode="#,##0.000">
                  <c:v>#N/A</c:v>
                </c:pt>
                <c:pt idx="1941" formatCode="#,##0.000">
                  <c:v>#N/A</c:v>
                </c:pt>
                <c:pt idx="1942" formatCode="#,##0.000">
                  <c:v>#N/A</c:v>
                </c:pt>
                <c:pt idx="1943" formatCode="#,##0.000">
                  <c:v>#N/A</c:v>
                </c:pt>
                <c:pt idx="1944" formatCode="#,##0.000">
                  <c:v>#N/A</c:v>
                </c:pt>
                <c:pt idx="1945" formatCode="#,##0.000">
                  <c:v>#N/A</c:v>
                </c:pt>
                <c:pt idx="1946" formatCode="#,##0.000">
                  <c:v>#N/A</c:v>
                </c:pt>
                <c:pt idx="1947" formatCode="#,##0.000">
                  <c:v>#N/A</c:v>
                </c:pt>
                <c:pt idx="1948" formatCode="#,##0.000">
                  <c:v>#N/A</c:v>
                </c:pt>
                <c:pt idx="1949" formatCode="#,##0.000">
                  <c:v>#N/A</c:v>
                </c:pt>
                <c:pt idx="1950" formatCode="#,##0.000">
                  <c:v>#N/A</c:v>
                </c:pt>
                <c:pt idx="1951" formatCode="#,##0.000">
                  <c:v>#N/A</c:v>
                </c:pt>
                <c:pt idx="1952" formatCode="#,##0.000">
                  <c:v>#N/A</c:v>
                </c:pt>
                <c:pt idx="1953" formatCode="#,##0.000">
                  <c:v>#N/A</c:v>
                </c:pt>
                <c:pt idx="1954" formatCode="#,##0.000">
                  <c:v>#N/A</c:v>
                </c:pt>
                <c:pt idx="1955" formatCode="#,##0.000">
                  <c:v>#N/A</c:v>
                </c:pt>
                <c:pt idx="1956" formatCode="#,##0.000">
                  <c:v>#N/A</c:v>
                </c:pt>
                <c:pt idx="1957" formatCode="#,##0.000">
                  <c:v>#N/A</c:v>
                </c:pt>
                <c:pt idx="1958" formatCode="#,##0.000">
                  <c:v>#N/A</c:v>
                </c:pt>
                <c:pt idx="1959" formatCode="#,##0.000">
                  <c:v>#N/A</c:v>
                </c:pt>
                <c:pt idx="1960" formatCode="#,##0.000">
                  <c:v>#N/A</c:v>
                </c:pt>
                <c:pt idx="1961" formatCode="#,##0.000">
                  <c:v>#N/A</c:v>
                </c:pt>
                <c:pt idx="1962" formatCode="#,##0.000">
                  <c:v>#N/A</c:v>
                </c:pt>
                <c:pt idx="1963" formatCode="#,##0.000">
                  <c:v>#N/A</c:v>
                </c:pt>
                <c:pt idx="1964" formatCode="#,##0.000">
                  <c:v>#N/A</c:v>
                </c:pt>
                <c:pt idx="1965" formatCode="#,##0.000">
                  <c:v>#N/A</c:v>
                </c:pt>
                <c:pt idx="1966" formatCode="#,##0.000">
                  <c:v>#N/A</c:v>
                </c:pt>
                <c:pt idx="1967" formatCode="#,##0.000">
                  <c:v>#N/A</c:v>
                </c:pt>
                <c:pt idx="1968" formatCode="#,##0.000">
                  <c:v>#N/A</c:v>
                </c:pt>
                <c:pt idx="1969" formatCode="#,##0.000">
                  <c:v>#N/A</c:v>
                </c:pt>
                <c:pt idx="1970" formatCode="#,##0.000">
                  <c:v>#N/A</c:v>
                </c:pt>
                <c:pt idx="1971" formatCode="#,##0.000">
                  <c:v>#N/A</c:v>
                </c:pt>
                <c:pt idx="1972" formatCode="#,##0.000">
                  <c:v>#N/A</c:v>
                </c:pt>
                <c:pt idx="1973" formatCode="#,##0.000">
                  <c:v>#N/A</c:v>
                </c:pt>
                <c:pt idx="1974" formatCode="#,##0.000">
                  <c:v>#N/A</c:v>
                </c:pt>
                <c:pt idx="1975" formatCode="#,##0.000">
                  <c:v>#N/A</c:v>
                </c:pt>
                <c:pt idx="1976" formatCode="#,##0.000">
                  <c:v>#N/A</c:v>
                </c:pt>
                <c:pt idx="1977" formatCode="#,##0.000">
                  <c:v>#N/A</c:v>
                </c:pt>
                <c:pt idx="1978" formatCode="#,##0.000">
                  <c:v>#N/A</c:v>
                </c:pt>
                <c:pt idx="1979" formatCode="#,##0.000">
                  <c:v>#N/A</c:v>
                </c:pt>
                <c:pt idx="1980" formatCode="#,##0.000">
                  <c:v>#N/A</c:v>
                </c:pt>
                <c:pt idx="1981" formatCode="#,##0.000">
                  <c:v>#N/A</c:v>
                </c:pt>
                <c:pt idx="1982" formatCode="#,##0.000">
                  <c:v>#N/A</c:v>
                </c:pt>
                <c:pt idx="1983" formatCode="#,##0.000">
                  <c:v>#N/A</c:v>
                </c:pt>
                <c:pt idx="1984" formatCode="#,##0.000">
                  <c:v>#N/A</c:v>
                </c:pt>
                <c:pt idx="1985" formatCode="#,##0.000">
                  <c:v>#N/A</c:v>
                </c:pt>
                <c:pt idx="1986" formatCode="#,##0.000">
                  <c:v>#N/A</c:v>
                </c:pt>
                <c:pt idx="1987" formatCode="#,##0.000">
                  <c:v>#N/A</c:v>
                </c:pt>
                <c:pt idx="1988" formatCode="#,##0.000">
                  <c:v>#N/A</c:v>
                </c:pt>
                <c:pt idx="1989" formatCode="#,##0.000">
                  <c:v>#N/A</c:v>
                </c:pt>
                <c:pt idx="1990" formatCode="#,##0.000">
                  <c:v>#N/A</c:v>
                </c:pt>
                <c:pt idx="1991" formatCode="#,##0.000">
                  <c:v>#N/A</c:v>
                </c:pt>
                <c:pt idx="1992" formatCode="#,##0.000">
                  <c:v>#N/A</c:v>
                </c:pt>
                <c:pt idx="1993" formatCode="#,##0.000">
                  <c:v>#N/A</c:v>
                </c:pt>
                <c:pt idx="1994" formatCode="#,##0.000">
                  <c:v>#N/A</c:v>
                </c:pt>
                <c:pt idx="1995" formatCode="#,##0.000">
                  <c:v>#N/A</c:v>
                </c:pt>
                <c:pt idx="1996" formatCode="#,##0.000">
                  <c:v>#N/A</c:v>
                </c:pt>
                <c:pt idx="1997" formatCode="#,##0.000">
                  <c:v>#N/A</c:v>
                </c:pt>
                <c:pt idx="1998" formatCode="#,##0.000">
                  <c:v>#N/A</c:v>
                </c:pt>
                <c:pt idx="1999" formatCode="#,##0.000">
                  <c:v>#N/A</c:v>
                </c:pt>
                <c:pt idx="2000" formatCode="#,##0.000">
                  <c:v>#N/A</c:v>
                </c:pt>
                <c:pt idx="2001" formatCode="#,##0.000">
                  <c:v>#N/A</c:v>
                </c:pt>
                <c:pt idx="2002" formatCode="#,##0.000">
                  <c:v>#N/A</c:v>
                </c:pt>
                <c:pt idx="2003" formatCode="#,##0.000">
                  <c:v>#N/A</c:v>
                </c:pt>
                <c:pt idx="2004" formatCode="#,##0.000">
                  <c:v>#N/A</c:v>
                </c:pt>
                <c:pt idx="2005" formatCode="#,##0.000">
                  <c:v>#N/A</c:v>
                </c:pt>
                <c:pt idx="2006" formatCode="#,##0.000">
                  <c:v>#N/A</c:v>
                </c:pt>
                <c:pt idx="2007" formatCode="#,##0.000">
                  <c:v>#N/A</c:v>
                </c:pt>
                <c:pt idx="2008" formatCode="#,##0.000">
                  <c:v>#N/A</c:v>
                </c:pt>
                <c:pt idx="2009" formatCode="#,##0.000">
                  <c:v>#N/A</c:v>
                </c:pt>
                <c:pt idx="2010" formatCode="#,##0.000">
                  <c:v>#N/A</c:v>
                </c:pt>
                <c:pt idx="2011" formatCode="#,##0.000">
                  <c:v>#N/A</c:v>
                </c:pt>
                <c:pt idx="2012" formatCode="#,##0.000">
                  <c:v>#N/A</c:v>
                </c:pt>
                <c:pt idx="2013" formatCode="#,##0.000">
                  <c:v>#N/A</c:v>
                </c:pt>
                <c:pt idx="2014" formatCode="#,##0.000">
                  <c:v>#N/A</c:v>
                </c:pt>
                <c:pt idx="2015" formatCode="#,##0.000">
                  <c:v>#N/A</c:v>
                </c:pt>
                <c:pt idx="2016" formatCode="#,##0.000">
                  <c:v>#N/A</c:v>
                </c:pt>
                <c:pt idx="2017" formatCode="#,##0.000">
                  <c:v>#N/A</c:v>
                </c:pt>
                <c:pt idx="2018" formatCode="#,##0.000">
                  <c:v>#N/A</c:v>
                </c:pt>
                <c:pt idx="2019" formatCode="#,##0.000">
                  <c:v>#N/A</c:v>
                </c:pt>
                <c:pt idx="2020" formatCode="#,##0.000">
                  <c:v>#N/A</c:v>
                </c:pt>
                <c:pt idx="2021" formatCode="#,##0.000">
                  <c:v>#N/A</c:v>
                </c:pt>
                <c:pt idx="2022" formatCode="#,##0.000">
                  <c:v>#N/A</c:v>
                </c:pt>
                <c:pt idx="2023" formatCode="#,##0.000">
                  <c:v>#N/A</c:v>
                </c:pt>
                <c:pt idx="2024" formatCode="#,##0.000">
                  <c:v>#N/A</c:v>
                </c:pt>
                <c:pt idx="2025" formatCode="#,##0.000">
                  <c:v>#N/A</c:v>
                </c:pt>
                <c:pt idx="2026" formatCode="#,##0.000">
                  <c:v>#N/A</c:v>
                </c:pt>
                <c:pt idx="2027" formatCode="#,##0.000">
                  <c:v>#N/A</c:v>
                </c:pt>
                <c:pt idx="2028" formatCode="#,##0.000">
                  <c:v>#N/A</c:v>
                </c:pt>
                <c:pt idx="2029" formatCode="#,##0.000">
                  <c:v>#N/A</c:v>
                </c:pt>
                <c:pt idx="2030" formatCode="#,##0.000">
                  <c:v>#N/A</c:v>
                </c:pt>
                <c:pt idx="2031" formatCode="#,##0.000">
                  <c:v>#N/A</c:v>
                </c:pt>
                <c:pt idx="2032" formatCode="#,##0.000">
                  <c:v>#N/A</c:v>
                </c:pt>
                <c:pt idx="2033" formatCode="#,##0.000">
                  <c:v>#N/A</c:v>
                </c:pt>
                <c:pt idx="2034" formatCode="#,##0.000">
                  <c:v>#N/A</c:v>
                </c:pt>
                <c:pt idx="2035" formatCode="#,##0.000">
                  <c:v>#N/A</c:v>
                </c:pt>
                <c:pt idx="2036" formatCode="#,##0.000">
                  <c:v>#N/A</c:v>
                </c:pt>
                <c:pt idx="2037" formatCode="#,##0.000">
                  <c:v>#N/A</c:v>
                </c:pt>
                <c:pt idx="2038" formatCode="#,##0.000">
                  <c:v>#N/A</c:v>
                </c:pt>
                <c:pt idx="2039" formatCode="#,##0.000">
                  <c:v>#N/A</c:v>
                </c:pt>
                <c:pt idx="2040" formatCode="#,##0.000">
                  <c:v>#N/A</c:v>
                </c:pt>
                <c:pt idx="2041" formatCode="#,##0.000">
                  <c:v>#N/A</c:v>
                </c:pt>
                <c:pt idx="2042" formatCode="#,##0.000">
                  <c:v>#N/A</c:v>
                </c:pt>
                <c:pt idx="2043" formatCode="#,##0.000">
                  <c:v>#N/A</c:v>
                </c:pt>
                <c:pt idx="2044" formatCode="#,##0.000">
                  <c:v>#N/A</c:v>
                </c:pt>
                <c:pt idx="2045" formatCode="#,##0.000">
                  <c:v>#N/A</c:v>
                </c:pt>
                <c:pt idx="2046" formatCode="#,##0.000">
                  <c:v>#N/A</c:v>
                </c:pt>
                <c:pt idx="2047" formatCode="#,##0.000">
                  <c:v>#N/A</c:v>
                </c:pt>
                <c:pt idx="2048" formatCode="#,##0.000">
                  <c:v>#N/A</c:v>
                </c:pt>
                <c:pt idx="2049" formatCode="#,##0.000">
                  <c:v>#N/A</c:v>
                </c:pt>
                <c:pt idx="2050" formatCode="#,##0.000">
                  <c:v>#N/A</c:v>
                </c:pt>
                <c:pt idx="2051" formatCode="#,##0.000">
                  <c:v>#N/A</c:v>
                </c:pt>
                <c:pt idx="2052" formatCode="#,##0.000">
                  <c:v>#N/A</c:v>
                </c:pt>
                <c:pt idx="2053" formatCode="#,##0.000">
                  <c:v>#N/A</c:v>
                </c:pt>
                <c:pt idx="2054" formatCode="#,##0.000">
                  <c:v>#N/A</c:v>
                </c:pt>
                <c:pt idx="2055" formatCode="#,##0.000">
                  <c:v>#N/A</c:v>
                </c:pt>
                <c:pt idx="2056" formatCode="#,##0.000">
                  <c:v>#N/A</c:v>
                </c:pt>
                <c:pt idx="2057" formatCode="#,##0.000">
                  <c:v>#N/A</c:v>
                </c:pt>
                <c:pt idx="2058" formatCode="#,##0.000">
                  <c:v>#N/A</c:v>
                </c:pt>
                <c:pt idx="2059" formatCode="#,##0.000">
                  <c:v>#N/A</c:v>
                </c:pt>
                <c:pt idx="2060" formatCode="#,##0.000">
                  <c:v>#N/A</c:v>
                </c:pt>
                <c:pt idx="2061" formatCode="#,##0.000">
                  <c:v>#N/A</c:v>
                </c:pt>
                <c:pt idx="2062" formatCode="#,##0.000">
                  <c:v>#N/A</c:v>
                </c:pt>
                <c:pt idx="2063" formatCode="#,##0.000">
                  <c:v>#N/A</c:v>
                </c:pt>
                <c:pt idx="2064" formatCode="#,##0.000">
                  <c:v>#N/A</c:v>
                </c:pt>
                <c:pt idx="2065" formatCode="#,##0.000">
                  <c:v>#N/A</c:v>
                </c:pt>
                <c:pt idx="2066" formatCode="#,##0.000">
                  <c:v>#N/A</c:v>
                </c:pt>
                <c:pt idx="2067" formatCode="#,##0.000">
                  <c:v>#N/A</c:v>
                </c:pt>
                <c:pt idx="2068" formatCode="#,##0.000">
                  <c:v>#N/A</c:v>
                </c:pt>
                <c:pt idx="2069" formatCode="#,##0.000">
                  <c:v>#N/A</c:v>
                </c:pt>
                <c:pt idx="2070" formatCode="#,##0.000">
                  <c:v>#N/A</c:v>
                </c:pt>
                <c:pt idx="2071" formatCode="#,##0.000">
                  <c:v>#N/A</c:v>
                </c:pt>
                <c:pt idx="2072" formatCode="#,##0.000">
                  <c:v>#N/A</c:v>
                </c:pt>
                <c:pt idx="2073" formatCode="#,##0.000">
                  <c:v>#N/A</c:v>
                </c:pt>
                <c:pt idx="2074" formatCode="#,##0.000">
                  <c:v>#N/A</c:v>
                </c:pt>
                <c:pt idx="2075" formatCode="#,##0.000">
                  <c:v>#N/A</c:v>
                </c:pt>
                <c:pt idx="2076" formatCode="#,##0.000">
                  <c:v>#N/A</c:v>
                </c:pt>
                <c:pt idx="2077" formatCode="#,##0.000">
                  <c:v>#N/A</c:v>
                </c:pt>
                <c:pt idx="2078" formatCode="#,##0.000">
                  <c:v>#N/A</c:v>
                </c:pt>
                <c:pt idx="2079" formatCode="#,##0.000">
                  <c:v>#N/A</c:v>
                </c:pt>
                <c:pt idx="2080" formatCode="#,##0.000">
                  <c:v>#N/A</c:v>
                </c:pt>
                <c:pt idx="2081" formatCode="#,##0.000">
                  <c:v>#N/A</c:v>
                </c:pt>
                <c:pt idx="2082" formatCode="#,##0.000">
                  <c:v>#N/A</c:v>
                </c:pt>
                <c:pt idx="2083" formatCode="#,##0.000">
                  <c:v>#N/A</c:v>
                </c:pt>
                <c:pt idx="2084" formatCode="#,##0.000">
                  <c:v>#N/A</c:v>
                </c:pt>
                <c:pt idx="2085" formatCode="#,##0.000">
                  <c:v>#N/A</c:v>
                </c:pt>
                <c:pt idx="2086" formatCode="#,##0.000">
                  <c:v>#N/A</c:v>
                </c:pt>
                <c:pt idx="2087" formatCode="#,##0.000">
                  <c:v>#N/A</c:v>
                </c:pt>
                <c:pt idx="2088" formatCode="#,##0.000">
                  <c:v>#N/A</c:v>
                </c:pt>
                <c:pt idx="2089" formatCode="#,##0.000">
                  <c:v>#N/A</c:v>
                </c:pt>
                <c:pt idx="2090" formatCode="#,##0.000">
                  <c:v>#N/A</c:v>
                </c:pt>
                <c:pt idx="2091" formatCode="#,##0.000">
                  <c:v>#N/A</c:v>
                </c:pt>
                <c:pt idx="2092" formatCode="#,##0.000">
                  <c:v>#N/A</c:v>
                </c:pt>
                <c:pt idx="2093" formatCode="#,##0.000">
                  <c:v>#N/A</c:v>
                </c:pt>
                <c:pt idx="2094" formatCode="#,##0.000">
                  <c:v>#N/A</c:v>
                </c:pt>
                <c:pt idx="2095" formatCode="#,##0.000">
                  <c:v>#N/A</c:v>
                </c:pt>
                <c:pt idx="2096" formatCode="#,##0.000">
                  <c:v>#N/A</c:v>
                </c:pt>
                <c:pt idx="2097" formatCode="#,##0.000">
                  <c:v>#N/A</c:v>
                </c:pt>
                <c:pt idx="2098" formatCode="#,##0.000">
                  <c:v>#N/A</c:v>
                </c:pt>
                <c:pt idx="2099" formatCode="#,##0.000">
                  <c:v>#N/A</c:v>
                </c:pt>
                <c:pt idx="2100" formatCode="#,##0.000">
                  <c:v>#N/A</c:v>
                </c:pt>
                <c:pt idx="2101" formatCode="#,##0.000">
                  <c:v>#N/A</c:v>
                </c:pt>
                <c:pt idx="2102" formatCode="#,##0.000">
                  <c:v>#N/A</c:v>
                </c:pt>
                <c:pt idx="2103" formatCode="#,##0.000">
                  <c:v>#N/A</c:v>
                </c:pt>
                <c:pt idx="2104" formatCode="#,##0.000">
                  <c:v>#N/A</c:v>
                </c:pt>
                <c:pt idx="2105" formatCode="#,##0.000">
                  <c:v>#N/A</c:v>
                </c:pt>
                <c:pt idx="2106" formatCode="#,##0.000">
                  <c:v>#N/A</c:v>
                </c:pt>
                <c:pt idx="2107" formatCode="#,##0.000">
                  <c:v>#N/A</c:v>
                </c:pt>
                <c:pt idx="2108" formatCode="#,##0.000">
                  <c:v>#N/A</c:v>
                </c:pt>
                <c:pt idx="2109" formatCode="#,##0.000">
                  <c:v>#N/A</c:v>
                </c:pt>
                <c:pt idx="2110" formatCode="#,##0.000">
                  <c:v>#N/A</c:v>
                </c:pt>
                <c:pt idx="2111" formatCode="#,##0.000">
                  <c:v>#N/A</c:v>
                </c:pt>
                <c:pt idx="2112" formatCode="#,##0.000">
                  <c:v>#N/A</c:v>
                </c:pt>
                <c:pt idx="2113" formatCode="#,##0.000">
                  <c:v>#N/A</c:v>
                </c:pt>
                <c:pt idx="2114" formatCode="#,##0.000">
                  <c:v>#N/A</c:v>
                </c:pt>
                <c:pt idx="2115" formatCode="#,##0.000">
                  <c:v>#N/A</c:v>
                </c:pt>
                <c:pt idx="2116" formatCode="#,##0.000">
                  <c:v>#N/A</c:v>
                </c:pt>
                <c:pt idx="2117" formatCode="#,##0.000">
                  <c:v>#N/A</c:v>
                </c:pt>
                <c:pt idx="2118" formatCode="#,##0.000">
                  <c:v>#N/A</c:v>
                </c:pt>
                <c:pt idx="2119" formatCode="#,##0.000">
                  <c:v>#N/A</c:v>
                </c:pt>
                <c:pt idx="2120" formatCode="#,##0.000">
                  <c:v>#N/A</c:v>
                </c:pt>
                <c:pt idx="2121" formatCode="#,##0.000">
                  <c:v>#N/A</c:v>
                </c:pt>
                <c:pt idx="2122" formatCode="#,##0.000">
                  <c:v>#N/A</c:v>
                </c:pt>
                <c:pt idx="2123" formatCode="#,##0.000">
                  <c:v>#N/A</c:v>
                </c:pt>
                <c:pt idx="2124" formatCode="#,##0.000">
                  <c:v>#N/A</c:v>
                </c:pt>
                <c:pt idx="2125" formatCode="#,##0.000">
                  <c:v>#N/A</c:v>
                </c:pt>
                <c:pt idx="2126" formatCode="#,##0.000">
                  <c:v>#N/A</c:v>
                </c:pt>
                <c:pt idx="2127" formatCode="#,##0.000">
                  <c:v>#N/A</c:v>
                </c:pt>
                <c:pt idx="2128" formatCode="#,##0.000">
                  <c:v>#N/A</c:v>
                </c:pt>
                <c:pt idx="2129" formatCode="#,##0.000">
                  <c:v>#N/A</c:v>
                </c:pt>
                <c:pt idx="2130" formatCode="#,##0.000">
                  <c:v>#N/A</c:v>
                </c:pt>
                <c:pt idx="2131" formatCode="#,##0.000">
                  <c:v>#N/A</c:v>
                </c:pt>
                <c:pt idx="2132" formatCode="#,##0.000">
                  <c:v>#N/A</c:v>
                </c:pt>
                <c:pt idx="2133" formatCode="#,##0.000">
                  <c:v>#N/A</c:v>
                </c:pt>
                <c:pt idx="2134" formatCode="#,##0.000">
                  <c:v>#N/A</c:v>
                </c:pt>
                <c:pt idx="2135" formatCode="#,##0.000">
                  <c:v>#N/A</c:v>
                </c:pt>
                <c:pt idx="2136" formatCode="#,##0.000">
                  <c:v>#N/A</c:v>
                </c:pt>
                <c:pt idx="2137" formatCode="#,##0.000">
                  <c:v>#N/A</c:v>
                </c:pt>
                <c:pt idx="2138" formatCode="#,##0.000">
                  <c:v>#N/A</c:v>
                </c:pt>
                <c:pt idx="2139" formatCode="#,##0.000">
                  <c:v>#N/A</c:v>
                </c:pt>
                <c:pt idx="2140" formatCode="#,##0.000">
                  <c:v>#N/A</c:v>
                </c:pt>
                <c:pt idx="2141" formatCode="#,##0.000">
                  <c:v>#N/A</c:v>
                </c:pt>
                <c:pt idx="2142" formatCode="#,##0.000">
                  <c:v>#N/A</c:v>
                </c:pt>
                <c:pt idx="2143" formatCode="#,##0.000">
                  <c:v>#N/A</c:v>
                </c:pt>
                <c:pt idx="2144" formatCode="#,##0.000">
                  <c:v>#N/A</c:v>
                </c:pt>
                <c:pt idx="2145" formatCode="#,##0.000">
                  <c:v>#N/A</c:v>
                </c:pt>
                <c:pt idx="2146" formatCode="#,##0.000">
                  <c:v>#N/A</c:v>
                </c:pt>
                <c:pt idx="2147" formatCode="#,##0.000">
                  <c:v>#N/A</c:v>
                </c:pt>
                <c:pt idx="2148" formatCode="#,##0.000">
                  <c:v>#N/A</c:v>
                </c:pt>
                <c:pt idx="2149" formatCode="#,##0.000">
                  <c:v>#N/A</c:v>
                </c:pt>
                <c:pt idx="2150" formatCode="#,##0.000">
                  <c:v>#N/A</c:v>
                </c:pt>
                <c:pt idx="2151" formatCode="#,##0.000">
                  <c:v>#N/A</c:v>
                </c:pt>
                <c:pt idx="2152" formatCode="#,##0.000">
                  <c:v>#N/A</c:v>
                </c:pt>
                <c:pt idx="2153" formatCode="#,##0.000">
                  <c:v>#N/A</c:v>
                </c:pt>
                <c:pt idx="2154" formatCode="#,##0.000">
                  <c:v>#N/A</c:v>
                </c:pt>
                <c:pt idx="2155" formatCode="#,##0.000">
                  <c:v>#N/A</c:v>
                </c:pt>
                <c:pt idx="2156" formatCode="#,##0.000">
                  <c:v>#N/A</c:v>
                </c:pt>
                <c:pt idx="2157" formatCode="#,##0.000">
                  <c:v>#N/A</c:v>
                </c:pt>
                <c:pt idx="2158" formatCode="#,##0.000">
                  <c:v>#N/A</c:v>
                </c:pt>
                <c:pt idx="2159" formatCode="#,##0.000">
                  <c:v>#N/A</c:v>
                </c:pt>
                <c:pt idx="2160" formatCode="#,##0.000">
                  <c:v>#N/A</c:v>
                </c:pt>
                <c:pt idx="2161" formatCode="#,##0.000">
                  <c:v>#N/A</c:v>
                </c:pt>
                <c:pt idx="2162" formatCode="#,##0.000">
                  <c:v>#N/A</c:v>
                </c:pt>
                <c:pt idx="2163" formatCode="#,##0.000">
                  <c:v>#N/A</c:v>
                </c:pt>
                <c:pt idx="2164" formatCode="#,##0.000">
                  <c:v>#N/A</c:v>
                </c:pt>
                <c:pt idx="2165" formatCode="#,##0.000">
                  <c:v>#N/A</c:v>
                </c:pt>
                <c:pt idx="2166" formatCode="#,##0.000">
                  <c:v>#N/A</c:v>
                </c:pt>
                <c:pt idx="2167" formatCode="#,##0.000">
                  <c:v>#N/A</c:v>
                </c:pt>
                <c:pt idx="2168" formatCode="#,##0.000">
                  <c:v>#N/A</c:v>
                </c:pt>
                <c:pt idx="2169" formatCode="#,##0.000">
                  <c:v>#N/A</c:v>
                </c:pt>
                <c:pt idx="2170" formatCode="#,##0.000">
                  <c:v>#N/A</c:v>
                </c:pt>
                <c:pt idx="2171" formatCode="#,##0.000">
                  <c:v>#N/A</c:v>
                </c:pt>
                <c:pt idx="2172" formatCode="#,##0.000">
                  <c:v>#N/A</c:v>
                </c:pt>
                <c:pt idx="2173" formatCode="#,##0.000">
                  <c:v>#N/A</c:v>
                </c:pt>
                <c:pt idx="2174" formatCode="#,##0.000">
                  <c:v>#N/A</c:v>
                </c:pt>
                <c:pt idx="2175" formatCode="#,##0.000">
                  <c:v>#N/A</c:v>
                </c:pt>
                <c:pt idx="2176" formatCode="#,##0.000">
                  <c:v>#N/A</c:v>
                </c:pt>
                <c:pt idx="2177" formatCode="#,##0.000">
                  <c:v>#N/A</c:v>
                </c:pt>
                <c:pt idx="2178" formatCode="#,##0.000">
                  <c:v>#N/A</c:v>
                </c:pt>
                <c:pt idx="2179" formatCode="#,##0.000">
                  <c:v>#N/A</c:v>
                </c:pt>
                <c:pt idx="2180" formatCode="#,##0.000">
                  <c:v>#N/A</c:v>
                </c:pt>
                <c:pt idx="2181" formatCode="#,##0.000">
                  <c:v>#N/A</c:v>
                </c:pt>
                <c:pt idx="2182" formatCode="#,##0.000">
                  <c:v>#N/A</c:v>
                </c:pt>
                <c:pt idx="2183" formatCode="#,##0.000">
                  <c:v>#N/A</c:v>
                </c:pt>
                <c:pt idx="2184" formatCode="#,##0.000">
                  <c:v>#N/A</c:v>
                </c:pt>
                <c:pt idx="2185" formatCode="#,##0.000">
                  <c:v>#N/A</c:v>
                </c:pt>
                <c:pt idx="2186" formatCode="#,##0.000">
                  <c:v>#N/A</c:v>
                </c:pt>
                <c:pt idx="2187" formatCode="#,##0.000">
                  <c:v>#N/A</c:v>
                </c:pt>
                <c:pt idx="2188" formatCode="#,##0.000">
                  <c:v>#N/A</c:v>
                </c:pt>
                <c:pt idx="2189" formatCode="#,##0.000">
                  <c:v>#N/A</c:v>
                </c:pt>
                <c:pt idx="2190" formatCode="#,##0.000">
                  <c:v>#N/A</c:v>
                </c:pt>
                <c:pt idx="2191" formatCode="#,##0.000">
                  <c:v>#N/A</c:v>
                </c:pt>
                <c:pt idx="2192" formatCode="#,##0.000">
                  <c:v>#N/A</c:v>
                </c:pt>
                <c:pt idx="2193" formatCode="#,##0.000">
                  <c:v>#N/A</c:v>
                </c:pt>
                <c:pt idx="2194" formatCode="#,##0.000">
                  <c:v>#N/A</c:v>
                </c:pt>
                <c:pt idx="2195" formatCode="#,##0.000">
                  <c:v>#N/A</c:v>
                </c:pt>
                <c:pt idx="2196" formatCode="#,##0.000">
                  <c:v>#N/A</c:v>
                </c:pt>
                <c:pt idx="2197" formatCode="#,##0.000">
                  <c:v>#N/A</c:v>
                </c:pt>
                <c:pt idx="2198" formatCode="#,##0.000">
                  <c:v>#N/A</c:v>
                </c:pt>
                <c:pt idx="2199" formatCode="#,##0.000">
                  <c:v>#N/A</c:v>
                </c:pt>
                <c:pt idx="2200" formatCode="#,##0.000">
                  <c:v>#N/A</c:v>
                </c:pt>
                <c:pt idx="2201" formatCode="#,##0.000">
                  <c:v>#N/A</c:v>
                </c:pt>
                <c:pt idx="2202" formatCode="#,##0.000">
                  <c:v>#N/A</c:v>
                </c:pt>
                <c:pt idx="2203" formatCode="#,##0.000">
                  <c:v>#N/A</c:v>
                </c:pt>
                <c:pt idx="2204" formatCode="#,##0.000">
                  <c:v>#N/A</c:v>
                </c:pt>
                <c:pt idx="2205" formatCode="#,##0.000">
                  <c:v>#N/A</c:v>
                </c:pt>
                <c:pt idx="2206" formatCode="#,##0.000">
                  <c:v>#N/A</c:v>
                </c:pt>
                <c:pt idx="2207" formatCode="#,##0.000">
                  <c:v>#N/A</c:v>
                </c:pt>
                <c:pt idx="2208" formatCode="#,##0.000">
                  <c:v>#N/A</c:v>
                </c:pt>
                <c:pt idx="2209" formatCode="#,##0.000">
                  <c:v>#N/A</c:v>
                </c:pt>
                <c:pt idx="2210" formatCode="#,##0.000">
                  <c:v>#N/A</c:v>
                </c:pt>
                <c:pt idx="2211" formatCode="#,##0.000">
                  <c:v>#N/A</c:v>
                </c:pt>
                <c:pt idx="2212" formatCode="#,##0.000">
                  <c:v>#N/A</c:v>
                </c:pt>
                <c:pt idx="2213" formatCode="#,##0.000">
                  <c:v>#N/A</c:v>
                </c:pt>
                <c:pt idx="2214" formatCode="#,##0.000">
                  <c:v>#N/A</c:v>
                </c:pt>
                <c:pt idx="2215" formatCode="#,##0.000">
                  <c:v>#N/A</c:v>
                </c:pt>
                <c:pt idx="2216" formatCode="#,##0.000">
                  <c:v>#N/A</c:v>
                </c:pt>
                <c:pt idx="2217" formatCode="#,##0.000">
                  <c:v>#N/A</c:v>
                </c:pt>
                <c:pt idx="2218" formatCode="#,##0.000">
                  <c:v>#N/A</c:v>
                </c:pt>
                <c:pt idx="2219" formatCode="#,##0.000">
                  <c:v>#N/A</c:v>
                </c:pt>
                <c:pt idx="2220" formatCode="#,##0.000">
                  <c:v>#N/A</c:v>
                </c:pt>
                <c:pt idx="2221" formatCode="#,##0.000">
                  <c:v>#N/A</c:v>
                </c:pt>
                <c:pt idx="2222" formatCode="#,##0.000">
                  <c:v>#N/A</c:v>
                </c:pt>
                <c:pt idx="2223" formatCode="#,##0.000">
                  <c:v>#N/A</c:v>
                </c:pt>
                <c:pt idx="2224" formatCode="#,##0.000">
                  <c:v>#N/A</c:v>
                </c:pt>
                <c:pt idx="2225" formatCode="#,##0.000">
                  <c:v>#N/A</c:v>
                </c:pt>
                <c:pt idx="2226" formatCode="#,##0.000">
                  <c:v>#N/A</c:v>
                </c:pt>
                <c:pt idx="2227" formatCode="#,##0.000">
                  <c:v>#N/A</c:v>
                </c:pt>
                <c:pt idx="2228" formatCode="#,##0.000">
                  <c:v>#N/A</c:v>
                </c:pt>
                <c:pt idx="2229" formatCode="#,##0.000">
                  <c:v>#N/A</c:v>
                </c:pt>
                <c:pt idx="2230" formatCode="#,##0.000">
                  <c:v>#N/A</c:v>
                </c:pt>
                <c:pt idx="2231" formatCode="#,##0.000">
                  <c:v>#N/A</c:v>
                </c:pt>
                <c:pt idx="2232" formatCode="#,##0.000">
                  <c:v>#N/A</c:v>
                </c:pt>
                <c:pt idx="2233" formatCode="#,##0.000">
                  <c:v>#N/A</c:v>
                </c:pt>
                <c:pt idx="2234" formatCode="#,##0.000">
                  <c:v>#N/A</c:v>
                </c:pt>
                <c:pt idx="2235" formatCode="#,##0.000">
                  <c:v>#N/A</c:v>
                </c:pt>
                <c:pt idx="2236" formatCode="#,##0.000">
                  <c:v>#N/A</c:v>
                </c:pt>
                <c:pt idx="2237" formatCode="#,##0.000">
                  <c:v>#N/A</c:v>
                </c:pt>
                <c:pt idx="2238" formatCode="#,##0.000">
                  <c:v>#N/A</c:v>
                </c:pt>
                <c:pt idx="2239" formatCode="#,##0.000">
                  <c:v>#N/A</c:v>
                </c:pt>
                <c:pt idx="2240" formatCode="#,##0.000">
                  <c:v>#N/A</c:v>
                </c:pt>
                <c:pt idx="2241" formatCode="#,##0.000">
                  <c:v>#N/A</c:v>
                </c:pt>
                <c:pt idx="2242" formatCode="#,##0.000">
                  <c:v>#N/A</c:v>
                </c:pt>
                <c:pt idx="2243" formatCode="#,##0.000">
                  <c:v>#N/A</c:v>
                </c:pt>
                <c:pt idx="2244" formatCode="#,##0.000">
                  <c:v>#N/A</c:v>
                </c:pt>
                <c:pt idx="2245" formatCode="#,##0.000">
                  <c:v>#N/A</c:v>
                </c:pt>
                <c:pt idx="2246" formatCode="#,##0.000">
                  <c:v>#N/A</c:v>
                </c:pt>
                <c:pt idx="2247" formatCode="#,##0.000">
                  <c:v>#N/A</c:v>
                </c:pt>
                <c:pt idx="2248" formatCode="#,##0.000">
                  <c:v>#N/A</c:v>
                </c:pt>
                <c:pt idx="2249" formatCode="#,##0.000">
                  <c:v>#N/A</c:v>
                </c:pt>
                <c:pt idx="2250" formatCode="#,##0.000">
                  <c:v>#N/A</c:v>
                </c:pt>
                <c:pt idx="2251" formatCode="#,##0.000">
                  <c:v>#N/A</c:v>
                </c:pt>
                <c:pt idx="2252" formatCode="#,##0.000">
                  <c:v>#N/A</c:v>
                </c:pt>
                <c:pt idx="2253" formatCode="#,##0.000">
                  <c:v>#N/A</c:v>
                </c:pt>
                <c:pt idx="2254" formatCode="#,##0.000">
                  <c:v>#N/A</c:v>
                </c:pt>
                <c:pt idx="2255" formatCode="#,##0.000">
                  <c:v>#N/A</c:v>
                </c:pt>
                <c:pt idx="2256" formatCode="#,##0.000">
                  <c:v>#N/A</c:v>
                </c:pt>
                <c:pt idx="2257" formatCode="#,##0.000">
                  <c:v>#N/A</c:v>
                </c:pt>
                <c:pt idx="2258" formatCode="#,##0.000">
                  <c:v>#N/A</c:v>
                </c:pt>
                <c:pt idx="2259" formatCode="#,##0.000">
                  <c:v>#N/A</c:v>
                </c:pt>
                <c:pt idx="2260" formatCode="#,##0.000">
                  <c:v>#N/A</c:v>
                </c:pt>
                <c:pt idx="2261" formatCode="#,##0.000">
                  <c:v>#N/A</c:v>
                </c:pt>
                <c:pt idx="2262" formatCode="#,##0.000">
                  <c:v>#N/A</c:v>
                </c:pt>
                <c:pt idx="2263" formatCode="#,##0.000">
                  <c:v>#N/A</c:v>
                </c:pt>
                <c:pt idx="2264" formatCode="#,##0.000">
                  <c:v>#N/A</c:v>
                </c:pt>
                <c:pt idx="2265" formatCode="#,##0.000">
                  <c:v>#N/A</c:v>
                </c:pt>
                <c:pt idx="2266" formatCode="#,##0.000">
                  <c:v>#N/A</c:v>
                </c:pt>
                <c:pt idx="2267" formatCode="#,##0.000">
                  <c:v>#N/A</c:v>
                </c:pt>
                <c:pt idx="2268" formatCode="#,##0.000">
                  <c:v>#N/A</c:v>
                </c:pt>
                <c:pt idx="2269" formatCode="#,##0.000">
                  <c:v>#N/A</c:v>
                </c:pt>
                <c:pt idx="2270" formatCode="#,##0.000">
                  <c:v>#N/A</c:v>
                </c:pt>
                <c:pt idx="2271" formatCode="#,##0.000">
                  <c:v>#N/A</c:v>
                </c:pt>
                <c:pt idx="2272" formatCode="#,##0.000">
                  <c:v>#N/A</c:v>
                </c:pt>
                <c:pt idx="2273" formatCode="#,##0.000">
                  <c:v>#N/A</c:v>
                </c:pt>
                <c:pt idx="2274" formatCode="#,##0.000">
                  <c:v>#N/A</c:v>
                </c:pt>
                <c:pt idx="2275" formatCode="#,##0.000">
                  <c:v>#N/A</c:v>
                </c:pt>
                <c:pt idx="2276" formatCode="#,##0.000">
                  <c:v>#N/A</c:v>
                </c:pt>
                <c:pt idx="2277" formatCode="#,##0.000">
                  <c:v>#N/A</c:v>
                </c:pt>
                <c:pt idx="2278" formatCode="#,##0.000">
                  <c:v>#N/A</c:v>
                </c:pt>
                <c:pt idx="2279" formatCode="#,##0.000">
                  <c:v>#N/A</c:v>
                </c:pt>
                <c:pt idx="2280" formatCode="#,##0.000">
                  <c:v>#N/A</c:v>
                </c:pt>
                <c:pt idx="2281" formatCode="#,##0.000">
                  <c:v>#N/A</c:v>
                </c:pt>
                <c:pt idx="2282" formatCode="#,##0.000">
                  <c:v>#N/A</c:v>
                </c:pt>
                <c:pt idx="2283" formatCode="#,##0.000">
                  <c:v>#N/A</c:v>
                </c:pt>
                <c:pt idx="2284" formatCode="#,##0.000">
                  <c:v>#N/A</c:v>
                </c:pt>
                <c:pt idx="2285" formatCode="#,##0.000">
                  <c:v>#N/A</c:v>
                </c:pt>
                <c:pt idx="2286" formatCode="#,##0.000">
                  <c:v>#N/A</c:v>
                </c:pt>
                <c:pt idx="2287" formatCode="#,##0.000">
                  <c:v>#N/A</c:v>
                </c:pt>
                <c:pt idx="2288" formatCode="#,##0.000">
                  <c:v>#N/A</c:v>
                </c:pt>
                <c:pt idx="2289" formatCode="#,##0.000">
                  <c:v>#N/A</c:v>
                </c:pt>
                <c:pt idx="2290" formatCode="#,##0.000">
                  <c:v>#N/A</c:v>
                </c:pt>
                <c:pt idx="2291" formatCode="#,##0.000">
                  <c:v>#N/A</c:v>
                </c:pt>
                <c:pt idx="2292" formatCode="#,##0.000">
                  <c:v>#N/A</c:v>
                </c:pt>
                <c:pt idx="2293" formatCode="#,##0.000">
                  <c:v>#N/A</c:v>
                </c:pt>
                <c:pt idx="2294" formatCode="#,##0.000">
                  <c:v>#N/A</c:v>
                </c:pt>
                <c:pt idx="2295" formatCode="#,##0.000">
                  <c:v>#N/A</c:v>
                </c:pt>
                <c:pt idx="2296" formatCode="#,##0.000">
                  <c:v>#N/A</c:v>
                </c:pt>
                <c:pt idx="2297" formatCode="#,##0.000">
                  <c:v>#N/A</c:v>
                </c:pt>
                <c:pt idx="2298" formatCode="#,##0.000">
                  <c:v>#N/A</c:v>
                </c:pt>
                <c:pt idx="2299" formatCode="#,##0.000">
                  <c:v>#N/A</c:v>
                </c:pt>
                <c:pt idx="2300" formatCode="#,##0.000">
                  <c:v>#N/A</c:v>
                </c:pt>
                <c:pt idx="2301" formatCode="#,##0.000">
                  <c:v>#N/A</c:v>
                </c:pt>
                <c:pt idx="2302" formatCode="#,##0.000">
                  <c:v>#N/A</c:v>
                </c:pt>
                <c:pt idx="2303" formatCode="#,##0.000">
                  <c:v>#N/A</c:v>
                </c:pt>
                <c:pt idx="2304" formatCode="#,##0.000">
                  <c:v>#N/A</c:v>
                </c:pt>
                <c:pt idx="2305" formatCode="#,##0.000">
                  <c:v>#N/A</c:v>
                </c:pt>
                <c:pt idx="2306" formatCode="#,##0.000">
                  <c:v>#N/A</c:v>
                </c:pt>
                <c:pt idx="2307" formatCode="#,##0.000">
                  <c:v>#N/A</c:v>
                </c:pt>
                <c:pt idx="2308" formatCode="#,##0.000">
                  <c:v>#N/A</c:v>
                </c:pt>
                <c:pt idx="2309" formatCode="#,##0.000">
                  <c:v>#N/A</c:v>
                </c:pt>
                <c:pt idx="2310" formatCode="#,##0.000">
                  <c:v>#N/A</c:v>
                </c:pt>
                <c:pt idx="2311" formatCode="#,##0.000">
                  <c:v>#N/A</c:v>
                </c:pt>
                <c:pt idx="2312" formatCode="#,##0.000">
                  <c:v>#N/A</c:v>
                </c:pt>
                <c:pt idx="2313" formatCode="#,##0.000">
                  <c:v>#N/A</c:v>
                </c:pt>
                <c:pt idx="2314" formatCode="#,##0.000">
                  <c:v>#N/A</c:v>
                </c:pt>
                <c:pt idx="2315" formatCode="#,##0.000">
                  <c:v>#N/A</c:v>
                </c:pt>
                <c:pt idx="2316" formatCode="#,##0.000">
                  <c:v>#N/A</c:v>
                </c:pt>
                <c:pt idx="2317" formatCode="#,##0.000">
                  <c:v>#N/A</c:v>
                </c:pt>
                <c:pt idx="2318" formatCode="#,##0.000">
                  <c:v>#N/A</c:v>
                </c:pt>
                <c:pt idx="2319" formatCode="#,##0.000">
                  <c:v>#N/A</c:v>
                </c:pt>
                <c:pt idx="2320" formatCode="#,##0.000">
                  <c:v>#N/A</c:v>
                </c:pt>
                <c:pt idx="2321" formatCode="#,##0.000">
                  <c:v>#N/A</c:v>
                </c:pt>
                <c:pt idx="2322" formatCode="#,##0.000">
                  <c:v>#N/A</c:v>
                </c:pt>
                <c:pt idx="2323" formatCode="#,##0.000">
                  <c:v>#N/A</c:v>
                </c:pt>
                <c:pt idx="2324" formatCode="#,##0.000">
                  <c:v>#N/A</c:v>
                </c:pt>
                <c:pt idx="2325" formatCode="#,##0.000">
                  <c:v>#N/A</c:v>
                </c:pt>
                <c:pt idx="2326" formatCode="#,##0.000">
                  <c:v>#N/A</c:v>
                </c:pt>
                <c:pt idx="2327" formatCode="#,##0.000">
                  <c:v>#N/A</c:v>
                </c:pt>
                <c:pt idx="2328" formatCode="#,##0.000">
                  <c:v>#N/A</c:v>
                </c:pt>
                <c:pt idx="2329" formatCode="#,##0.000">
                  <c:v>#N/A</c:v>
                </c:pt>
                <c:pt idx="2330" formatCode="#,##0.000">
                  <c:v>#N/A</c:v>
                </c:pt>
                <c:pt idx="2331" formatCode="#,##0.000">
                  <c:v>#N/A</c:v>
                </c:pt>
                <c:pt idx="2332" formatCode="#,##0.000">
                  <c:v>#N/A</c:v>
                </c:pt>
                <c:pt idx="2333" formatCode="#,##0.000">
                  <c:v>#N/A</c:v>
                </c:pt>
                <c:pt idx="2334" formatCode="#,##0.000">
                  <c:v>#N/A</c:v>
                </c:pt>
                <c:pt idx="2335" formatCode="#,##0.000">
                  <c:v>#N/A</c:v>
                </c:pt>
                <c:pt idx="2336" formatCode="#,##0.000">
                  <c:v>#N/A</c:v>
                </c:pt>
                <c:pt idx="2337" formatCode="#,##0.000">
                  <c:v>#N/A</c:v>
                </c:pt>
                <c:pt idx="2338" formatCode="#,##0.000">
                  <c:v>#N/A</c:v>
                </c:pt>
                <c:pt idx="2339" formatCode="#,##0.000">
                  <c:v>#N/A</c:v>
                </c:pt>
                <c:pt idx="2340" formatCode="#,##0.000">
                  <c:v>#N/A</c:v>
                </c:pt>
                <c:pt idx="2341" formatCode="#,##0.000">
                  <c:v>#N/A</c:v>
                </c:pt>
                <c:pt idx="2342" formatCode="#,##0.000">
                  <c:v>#N/A</c:v>
                </c:pt>
                <c:pt idx="2343" formatCode="#,##0.000">
                  <c:v>#N/A</c:v>
                </c:pt>
                <c:pt idx="2344" formatCode="#,##0.000">
                  <c:v>#N/A</c:v>
                </c:pt>
                <c:pt idx="2345" formatCode="#,##0.000">
                  <c:v>#N/A</c:v>
                </c:pt>
                <c:pt idx="2346" formatCode="#,##0.000">
                  <c:v>#N/A</c:v>
                </c:pt>
                <c:pt idx="2347" formatCode="#,##0.000">
                  <c:v>#N/A</c:v>
                </c:pt>
                <c:pt idx="2348" formatCode="#,##0.000">
                  <c:v>#N/A</c:v>
                </c:pt>
                <c:pt idx="2349" formatCode="#,##0.000">
                  <c:v>#N/A</c:v>
                </c:pt>
                <c:pt idx="2350" formatCode="#,##0.000">
                  <c:v>#N/A</c:v>
                </c:pt>
                <c:pt idx="2351" formatCode="#,##0.000">
                  <c:v>#N/A</c:v>
                </c:pt>
                <c:pt idx="2352" formatCode="#,##0.000">
                  <c:v>#N/A</c:v>
                </c:pt>
                <c:pt idx="2353" formatCode="#,##0.000">
                  <c:v>#N/A</c:v>
                </c:pt>
                <c:pt idx="2354" formatCode="#,##0.000">
                  <c:v>#N/A</c:v>
                </c:pt>
                <c:pt idx="2355" formatCode="#,##0.000">
                  <c:v>#N/A</c:v>
                </c:pt>
                <c:pt idx="2356" formatCode="#,##0.000">
                  <c:v>#N/A</c:v>
                </c:pt>
                <c:pt idx="2357" formatCode="#,##0.000">
                  <c:v>#N/A</c:v>
                </c:pt>
                <c:pt idx="2358" formatCode="#,##0.000">
                  <c:v>#N/A</c:v>
                </c:pt>
                <c:pt idx="2359" formatCode="#,##0.000">
                  <c:v>#N/A</c:v>
                </c:pt>
                <c:pt idx="2360" formatCode="#,##0.000">
                  <c:v>#N/A</c:v>
                </c:pt>
                <c:pt idx="2361" formatCode="#,##0.000">
                  <c:v>#N/A</c:v>
                </c:pt>
                <c:pt idx="2362" formatCode="#,##0.000">
                  <c:v>#N/A</c:v>
                </c:pt>
                <c:pt idx="2363" formatCode="#,##0.000">
                  <c:v>#N/A</c:v>
                </c:pt>
                <c:pt idx="2364" formatCode="#,##0.000">
                  <c:v>#N/A</c:v>
                </c:pt>
                <c:pt idx="2365" formatCode="#,##0.000">
                  <c:v>#N/A</c:v>
                </c:pt>
                <c:pt idx="2366" formatCode="#,##0.000">
                  <c:v>#N/A</c:v>
                </c:pt>
                <c:pt idx="2367" formatCode="#,##0.000">
                  <c:v>#N/A</c:v>
                </c:pt>
                <c:pt idx="2368" formatCode="#,##0.000">
                  <c:v>#N/A</c:v>
                </c:pt>
                <c:pt idx="2369" formatCode="#,##0.000">
                  <c:v>#N/A</c:v>
                </c:pt>
                <c:pt idx="2370" formatCode="#,##0.000">
                  <c:v>#N/A</c:v>
                </c:pt>
                <c:pt idx="2371" formatCode="#,##0.000">
                  <c:v>#N/A</c:v>
                </c:pt>
                <c:pt idx="2372" formatCode="#,##0.000">
                  <c:v>#N/A</c:v>
                </c:pt>
                <c:pt idx="2373" formatCode="#,##0.000">
                  <c:v>#N/A</c:v>
                </c:pt>
                <c:pt idx="2374" formatCode="#,##0.000">
                  <c:v>#N/A</c:v>
                </c:pt>
                <c:pt idx="2375" formatCode="#,##0.000">
                  <c:v>#N/A</c:v>
                </c:pt>
                <c:pt idx="2376" formatCode="#,##0.000">
                  <c:v>#N/A</c:v>
                </c:pt>
                <c:pt idx="2377" formatCode="#,##0.000">
                  <c:v>#N/A</c:v>
                </c:pt>
                <c:pt idx="2378" formatCode="#,##0.000">
                  <c:v>#N/A</c:v>
                </c:pt>
                <c:pt idx="2379" formatCode="#,##0.000">
                  <c:v>#N/A</c:v>
                </c:pt>
                <c:pt idx="2380" formatCode="#,##0.000">
                  <c:v>#N/A</c:v>
                </c:pt>
                <c:pt idx="2381" formatCode="#,##0.000">
                  <c:v>#N/A</c:v>
                </c:pt>
                <c:pt idx="2382" formatCode="#,##0.000">
                  <c:v>#N/A</c:v>
                </c:pt>
                <c:pt idx="2383" formatCode="#,##0.000">
                  <c:v>#N/A</c:v>
                </c:pt>
                <c:pt idx="2384" formatCode="#,##0.000">
                  <c:v>#N/A</c:v>
                </c:pt>
                <c:pt idx="2385" formatCode="#,##0.000">
                  <c:v>#N/A</c:v>
                </c:pt>
                <c:pt idx="2386" formatCode="#,##0.000">
                  <c:v>#N/A</c:v>
                </c:pt>
                <c:pt idx="2387" formatCode="#,##0.000">
                  <c:v>#N/A</c:v>
                </c:pt>
                <c:pt idx="2388" formatCode="#,##0.000">
                  <c:v>#N/A</c:v>
                </c:pt>
                <c:pt idx="2389" formatCode="#,##0.000">
                  <c:v>#N/A</c:v>
                </c:pt>
                <c:pt idx="2390" formatCode="#,##0.000">
                  <c:v>#N/A</c:v>
                </c:pt>
                <c:pt idx="2391" formatCode="#,##0.000">
                  <c:v>#N/A</c:v>
                </c:pt>
                <c:pt idx="2392" formatCode="#,##0.000">
                  <c:v>#N/A</c:v>
                </c:pt>
                <c:pt idx="2393" formatCode="#,##0.000">
                  <c:v>#N/A</c:v>
                </c:pt>
                <c:pt idx="2394" formatCode="#,##0.000">
                  <c:v>#N/A</c:v>
                </c:pt>
                <c:pt idx="2395" formatCode="#,##0.000">
                  <c:v>#N/A</c:v>
                </c:pt>
                <c:pt idx="2396" formatCode="#,##0.000">
                  <c:v>#N/A</c:v>
                </c:pt>
                <c:pt idx="2397" formatCode="#,##0.000">
                  <c:v>#N/A</c:v>
                </c:pt>
                <c:pt idx="2398" formatCode="#,##0.000">
                  <c:v>#N/A</c:v>
                </c:pt>
                <c:pt idx="2399" formatCode="#,##0.000">
                  <c:v>#N/A</c:v>
                </c:pt>
                <c:pt idx="2400" formatCode="#,##0.000">
                  <c:v>#N/A</c:v>
                </c:pt>
                <c:pt idx="2401" formatCode="#,##0.000">
                  <c:v>#N/A</c:v>
                </c:pt>
                <c:pt idx="2402" formatCode="#,##0.000">
                  <c:v>#N/A</c:v>
                </c:pt>
                <c:pt idx="2403" formatCode="#,##0.000">
                  <c:v>#N/A</c:v>
                </c:pt>
                <c:pt idx="2404" formatCode="#,##0.000">
                  <c:v>#N/A</c:v>
                </c:pt>
                <c:pt idx="2405" formatCode="#,##0.000">
                  <c:v>#N/A</c:v>
                </c:pt>
                <c:pt idx="2406" formatCode="#,##0.000">
                  <c:v>#N/A</c:v>
                </c:pt>
                <c:pt idx="2407" formatCode="#,##0.000">
                  <c:v>#N/A</c:v>
                </c:pt>
                <c:pt idx="2408" formatCode="#,##0.000">
                  <c:v>#N/A</c:v>
                </c:pt>
                <c:pt idx="2409" formatCode="#,##0.000">
                  <c:v>#N/A</c:v>
                </c:pt>
                <c:pt idx="2410" formatCode="#,##0.000">
                  <c:v>#N/A</c:v>
                </c:pt>
                <c:pt idx="2411" formatCode="#,##0.000">
                  <c:v>#N/A</c:v>
                </c:pt>
                <c:pt idx="2412" formatCode="#,##0.000">
                  <c:v>#N/A</c:v>
                </c:pt>
                <c:pt idx="2413" formatCode="#,##0.000">
                  <c:v>#N/A</c:v>
                </c:pt>
                <c:pt idx="2414" formatCode="#,##0.000">
                  <c:v>#N/A</c:v>
                </c:pt>
                <c:pt idx="2415" formatCode="#,##0.000">
                  <c:v>#N/A</c:v>
                </c:pt>
                <c:pt idx="2416" formatCode="#,##0.000">
                  <c:v>#N/A</c:v>
                </c:pt>
                <c:pt idx="2417" formatCode="#,##0.000">
                  <c:v>#N/A</c:v>
                </c:pt>
                <c:pt idx="2418" formatCode="#,##0.000">
                  <c:v>#N/A</c:v>
                </c:pt>
                <c:pt idx="2419" formatCode="#,##0.000">
                  <c:v>#N/A</c:v>
                </c:pt>
                <c:pt idx="2420" formatCode="#,##0.000">
                  <c:v>#N/A</c:v>
                </c:pt>
                <c:pt idx="2421" formatCode="#,##0.000">
                  <c:v>#N/A</c:v>
                </c:pt>
                <c:pt idx="2422" formatCode="#,##0.000">
                  <c:v>#N/A</c:v>
                </c:pt>
                <c:pt idx="2423" formatCode="#,##0.000">
                  <c:v>#N/A</c:v>
                </c:pt>
                <c:pt idx="2424" formatCode="#,##0.000">
                  <c:v>#N/A</c:v>
                </c:pt>
                <c:pt idx="2425" formatCode="#,##0.000">
                  <c:v>#N/A</c:v>
                </c:pt>
                <c:pt idx="2426" formatCode="#,##0.000">
                  <c:v>#N/A</c:v>
                </c:pt>
                <c:pt idx="2427" formatCode="#,##0.000">
                  <c:v>#N/A</c:v>
                </c:pt>
                <c:pt idx="2428" formatCode="#,##0.000">
                  <c:v>#N/A</c:v>
                </c:pt>
                <c:pt idx="2429" formatCode="#,##0.000">
                  <c:v>#N/A</c:v>
                </c:pt>
                <c:pt idx="2430" formatCode="#,##0.000">
                  <c:v>#N/A</c:v>
                </c:pt>
                <c:pt idx="2431" formatCode="#,##0.000">
                  <c:v>#N/A</c:v>
                </c:pt>
                <c:pt idx="2432" formatCode="#,##0.000">
                  <c:v>#N/A</c:v>
                </c:pt>
                <c:pt idx="2433" formatCode="#,##0.000">
                  <c:v>#N/A</c:v>
                </c:pt>
                <c:pt idx="2434" formatCode="#,##0.000">
                  <c:v>#N/A</c:v>
                </c:pt>
                <c:pt idx="2435" formatCode="#,##0.000">
                  <c:v>#N/A</c:v>
                </c:pt>
                <c:pt idx="2436" formatCode="#,##0.000">
                  <c:v>#N/A</c:v>
                </c:pt>
                <c:pt idx="2437" formatCode="#,##0.000">
                  <c:v>#N/A</c:v>
                </c:pt>
                <c:pt idx="2438" formatCode="#,##0.000">
                  <c:v>#N/A</c:v>
                </c:pt>
                <c:pt idx="2439" formatCode="#,##0.000">
                  <c:v>#N/A</c:v>
                </c:pt>
                <c:pt idx="2440" formatCode="#,##0.000">
                  <c:v>#N/A</c:v>
                </c:pt>
                <c:pt idx="2441" formatCode="#,##0.000">
                  <c:v>#N/A</c:v>
                </c:pt>
                <c:pt idx="2442" formatCode="#,##0.000">
                  <c:v>#N/A</c:v>
                </c:pt>
                <c:pt idx="2443" formatCode="#,##0.000">
                  <c:v>#N/A</c:v>
                </c:pt>
                <c:pt idx="2444" formatCode="#,##0.000">
                  <c:v>#N/A</c:v>
                </c:pt>
                <c:pt idx="2445" formatCode="#,##0.000">
                  <c:v>#N/A</c:v>
                </c:pt>
                <c:pt idx="2446" formatCode="#,##0.000">
                  <c:v>#N/A</c:v>
                </c:pt>
                <c:pt idx="2447" formatCode="#,##0.000">
                  <c:v>#N/A</c:v>
                </c:pt>
                <c:pt idx="2448" formatCode="#,##0.000">
                  <c:v>#N/A</c:v>
                </c:pt>
                <c:pt idx="2449" formatCode="#,##0.000">
                  <c:v>#N/A</c:v>
                </c:pt>
                <c:pt idx="2450" formatCode="#,##0.000">
                  <c:v>#N/A</c:v>
                </c:pt>
                <c:pt idx="2451" formatCode="#,##0.000">
                  <c:v>#N/A</c:v>
                </c:pt>
                <c:pt idx="2452" formatCode="#,##0.000">
                  <c:v>#N/A</c:v>
                </c:pt>
                <c:pt idx="2453" formatCode="#,##0.000">
                  <c:v>#N/A</c:v>
                </c:pt>
                <c:pt idx="2454" formatCode="#,##0.000">
                  <c:v>#N/A</c:v>
                </c:pt>
                <c:pt idx="2455" formatCode="#,##0.000">
                  <c:v>#N/A</c:v>
                </c:pt>
                <c:pt idx="2456" formatCode="#,##0.000">
                  <c:v>#N/A</c:v>
                </c:pt>
                <c:pt idx="2457" formatCode="#,##0.000">
                  <c:v>#N/A</c:v>
                </c:pt>
                <c:pt idx="2458" formatCode="#,##0.000">
                  <c:v>#N/A</c:v>
                </c:pt>
                <c:pt idx="2459" formatCode="#,##0.000">
                  <c:v>#N/A</c:v>
                </c:pt>
                <c:pt idx="2460" formatCode="#,##0.000">
                  <c:v>#N/A</c:v>
                </c:pt>
                <c:pt idx="2461" formatCode="#,##0.000">
                  <c:v>#N/A</c:v>
                </c:pt>
                <c:pt idx="2462" formatCode="#,##0.000">
                  <c:v>#N/A</c:v>
                </c:pt>
                <c:pt idx="2463" formatCode="#,##0.000">
                  <c:v>#N/A</c:v>
                </c:pt>
                <c:pt idx="2464" formatCode="#,##0.000">
                  <c:v>#N/A</c:v>
                </c:pt>
                <c:pt idx="2465" formatCode="#,##0.000">
                  <c:v>#N/A</c:v>
                </c:pt>
                <c:pt idx="2466" formatCode="#,##0.000">
                  <c:v>#N/A</c:v>
                </c:pt>
                <c:pt idx="2467" formatCode="#,##0.000">
                  <c:v>#N/A</c:v>
                </c:pt>
                <c:pt idx="2468" formatCode="#,##0.000">
                  <c:v>#N/A</c:v>
                </c:pt>
                <c:pt idx="2469" formatCode="#,##0.000">
                  <c:v>#N/A</c:v>
                </c:pt>
                <c:pt idx="2470" formatCode="#,##0.000">
                  <c:v>#N/A</c:v>
                </c:pt>
                <c:pt idx="2471" formatCode="#,##0.000">
                  <c:v>#N/A</c:v>
                </c:pt>
                <c:pt idx="2472" formatCode="#,##0.000">
                  <c:v>#N/A</c:v>
                </c:pt>
                <c:pt idx="2473" formatCode="#,##0.000">
                  <c:v>#N/A</c:v>
                </c:pt>
                <c:pt idx="2474" formatCode="#,##0.000">
                  <c:v>#N/A</c:v>
                </c:pt>
                <c:pt idx="2475" formatCode="#,##0.000">
                  <c:v>#N/A</c:v>
                </c:pt>
                <c:pt idx="2476" formatCode="#,##0.000">
                  <c:v>#N/A</c:v>
                </c:pt>
                <c:pt idx="2477" formatCode="#,##0.000">
                  <c:v>#N/A</c:v>
                </c:pt>
                <c:pt idx="2478" formatCode="#,##0.000">
                  <c:v>#N/A</c:v>
                </c:pt>
                <c:pt idx="2479" formatCode="#,##0.000">
                  <c:v>#N/A</c:v>
                </c:pt>
                <c:pt idx="2480" formatCode="#,##0.000">
                  <c:v>#N/A</c:v>
                </c:pt>
                <c:pt idx="2481" formatCode="#,##0.000">
                  <c:v>#N/A</c:v>
                </c:pt>
                <c:pt idx="2482" formatCode="#,##0.000">
                  <c:v>#N/A</c:v>
                </c:pt>
                <c:pt idx="2483" formatCode="#,##0.000">
                  <c:v>#N/A</c:v>
                </c:pt>
                <c:pt idx="2484" formatCode="#,##0.000">
                  <c:v>#N/A</c:v>
                </c:pt>
                <c:pt idx="2485" formatCode="#,##0.000">
                  <c:v>#N/A</c:v>
                </c:pt>
                <c:pt idx="2486" formatCode="#,##0.000">
                  <c:v>#N/A</c:v>
                </c:pt>
                <c:pt idx="2487" formatCode="#,##0.000">
                  <c:v>#N/A</c:v>
                </c:pt>
                <c:pt idx="2488" formatCode="#,##0.000">
                  <c:v>#N/A</c:v>
                </c:pt>
                <c:pt idx="2489" formatCode="#,##0.000">
                  <c:v>#N/A</c:v>
                </c:pt>
                <c:pt idx="2490" formatCode="#,##0.000">
                  <c:v>#N/A</c:v>
                </c:pt>
                <c:pt idx="2491" formatCode="#,##0.000">
                  <c:v>#N/A</c:v>
                </c:pt>
                <c:pt idx="2492" formatCode="#,##0.000">
                  <c:v>#N/A</c:v>
                </c:pt>
                <c:pt idx="2493" formatCode="#,##0.000">
                  <c:v>#N/A</c:v>
                </c:pt>
                <c:pt idx="2494" formatCode="#,##0.000">
                  <c:v>#N/A</c:v>
                </c:pt>
                <c:pt idx="2495" formatCode="#,##0.000">
                  <c:v>#N/A</c:v>
                </c:pt>
                <c:pt idx="2496" formatCode="#,##0.000">
                  <c:v>#N/A</c:v>
                </c:pt>
                <c:pt idx="2497" formatCode="#,##0.000">
                  <c:v>#N/A</c:v>
                </c:pt>
                <c:pt idx="2498" formatCode="#,##0.000">
                  <c:v>#N/A</c:v>
                </c:pt>
                <c:pt idx="2499" formatCode="#,##0.000">
                  <c:v>#N/A</c:v>
                </c:pt>
                <c:pt idx="2500" formatCode="#,##0.000">
                  <c:v>#N/A</c:v>
                </c:pt>
                <c:pt idx="2501" formatCode="#,##0.000">
                  <c:v>#N/A</c:v>
                </c:pt>
                <c:pt idx="2502" formatCode="#,##0.000">
                  <c:v>#N/A</c:v>
                </c:pt>
                <c:pt idx="2503" formatCode="#,##0.000">
                  <c:v>#N/A</c:v>
                </c:pt>
                <c:pt idx="2504" formatCode="#,##0.000">
                  <c:v>#N/A</c:v>
                </c:pt>
                <c:pt idx="2505" formatCode="#,##0.000">
                  <c:v>#N/A</c:v>
                </c:pt>
                <c:pt idx="2506" formatCode="#,##0.000">
                  <c:v>#N/A</c:v>
                </c:pt>
                <c:pt idx="2507" formatCode="#,##0.000">
                  <c:v>#N/A</c:v>
                </c:pt>
                <c:pt idx="2508" formatCode="#,##0.000">
                  <c:v>#N/A</c:v>
                </c:pt>
                <c:pt idx="2509" formatCode="#,##0.000">
                  <c:v>#N/A</c:v>
                </c:pt>
                <c:pt idx="2510" formatCode="#,##0.000">
                  <c:v>#N/A</c:v>
                </c:pt>
                <c:pt idx="2511" formatCode="#,##0.000">
                  <c:v>#N/A</c:v>
                </c:pt>
                <c:pt idx="2512" formatCode="#,##0.000">
                  <c:v>#N/A</c:v>
                </c:pt>
                <c:pt idx="2513" formatCode="#,##0.000">
                  <c:v>#N/A</c:v>
                </c:pt>
                <c:pt idx="2514" formatCode="#,##0.000">
                  <c:v>#N/A</c:v>
                </c:pt>
                <c:pt idx="2515" formatCode="#,##0.000">
                  <c:v>#N/A</c:v>
                </c:pt>
                <c:pt idx="2516" formatCode="#,##0.000">
                  <c:v>#N/A</c:v>
                </c:pt>
                <c:pt idx="2517" formatCode="#,##0.000">
                  <c:v>#N/A</c:v>
                </c:pt>
                <c:pt idx="2518" formatCode="#,##0.000">
                  <c:v>#N/A</c:v>
                </c:pt>
                <c:pt idx="2519" formatCode="#,##0.000">
                  <c:v>#N/A</c:v>
                </c:pt>
                <c:pt idx="2520" formatCode="#,##0.000">
                  <c:v>#N/A</c:v>
                </c:pt>
                <c:pt idx="2521" formatCode="#,##0.000">
                  <c:v>#N/A</c:v>
                </c:pt>
                <c:pt idx="2522" formatCode="#,##0.000">
                  <c:v>#N/A</c:v>
                </c:pt>
                <c:pt idx="2523" formatCode="#,##0.000">
                  <c:v>#N/A</c:v>
                </c:pt>
                <c:pt idx="2524" formatCode="#,##0.000">
                  <c:v>#N/A</c:v>
                </c:pt>
                <c:pt idx="2525" formatCode="#,##0.000">
                  <c:v>#N/A</c:v>
                </c:pt>
                <c:pt idx="2526" formatCode="#,##0.000">
                  <c:v>#N/A</c:v>
                </c:pt>
                <c:pt idx="2527" formatCode="#,##0.000">
                  <c:v>#N/A</c:v>
                </c:pt>
                <c:pt idx="2528" formatCode="#,##0.000">
                  <c:v>#N/A</c:v>
                </c:pt>
                <c:pt idx="2529" formatCode="#,##0.000">
                  <c:v>#N/A</c:v>
                </c:pt>
                <c:pt idx="2530" formatCode="#,##0.000">
                  <c:v>#N/A</c:v>
                </c:pt>
                <c:pt idx="2531" formatCode="#,##0.000">
                  <c:v>#N/A</c:v>
                </c:pt>
                <c:pt idx="2532" formatCode="#,##0.000">
                  <c:v>#N/A</c:v>
                </c:pt>
                <c:pt idx="2533" formatCode="#,##0.000">
                  <c:v>#N/A</c:v>
                </c:pt>
                <c:pt idx="2534" formatCode="#,##0.000">
                  <c:v>#N/A</c:v>
                </c:pt>
                <c:pt idx="2535" formatCode="#,##0.000">
                  <c:v>#N/A</c:v>
                </c:pt>
                <c:pt idx="2536" formatCode="#,##0.000">
                  <c:v>#N/A</c:v>
                </c:pt>
                <c:pt idx="2537" formatCode="#,##0.000">
                  <c:v>#N/A</c:v>
                </c:pt>
                <c:pt idx="2538" formatCode="#,##0.000">
                  <c:v>#N/A</c:v>
                </c:pt>
                <c:pt idx="2539" formatCode="#,##0.000">
                  <c:v>#N/A</c:v>
                </c:pt>
                <c:pt idx="2540" formatCode="#,##0.000">
                  <c:v>#N/A</c:v>
                </c:pt>
                <c:pt idx="2541" formatCode="#,##0.000">
                  <c:v>#N/A</c:v>
                </c:pt>
                <c:pt idx="2542" formatCode="#,##0.000">
                  <c:v>#N/A</c:v>
                </c:pt>
                <c:pt idx="2543" formatCode="#,##0.000">
                  <c:v>#N/A</c:v>
                </c:pt>
                <c:pt idx="2544" formatCode="#,##0.000">
                  <c:v>#N/A</c:v>
                </c:pt>
                <c:pt idx="2545" formatCode="#,##0.000">
                  <c:v>#N/A</c:v>
                </c:pt>
                <c:pt idx="2546" formatCode="#,##0.000">
                  <c:v>#N/A</c:v>
                </c:pt>
                <c:pt idx="2547" formatCode="#,##0.000">
                  <c:v>#N/A</c:v>
                </c:pt>
                <c:pt idx="2548" formatCode="#,##0.000">
                  <c:v>#N/A</c:v>
                </c:pt>
                <c:pt idx="2549" formatCode="#,##0.000">
                  <c:v>#N/A</c:v>
                </c:pt>
                <c:pt idx="2550" formatCode="#,##0.000">
                  <c:v>#N/A</c:v>
                </c:pt>
                <c:pt idx="2551" formatCode="#,##0.000">
                  <c:v>#N/A</c:v>
                </c:pt>
                <c:pt idx="2552" formatCode="#,##0.000">
                  <c:v>#N/A</c:v>
                </c:pt>
                <c:pt idx="2553" formatCode="#,##0.000">
                  <c:v>#N/A</c:v>
                </c:pt>
                <c:pt idx="2554" formatCode="#,##0.000">
                  <c:v>#N/A</c:v>
                </c:pt>
                <c:pt idx="2555" formatCode="#,##0.000">
                  <c:v>#N/A</c:v>
                </c:pt>
                <c:pt idx="2556" formatCode="#,##0.000">
                  <c:v>#N/A</c:v>
                </c:pt>
                <c:pt idx="2557" formatCode="#,##0.000">
                  <c:v>#N/A</c:v>
                </c:pt>
                <c:pt idx="2558" formatCode="#,##0.000">
                  <c:v>#N/A</c:v>
                </c:pt>
                <c:pt idx="2559" formatCode="#,##0.000">
                  <c:v>#N/A</c:v>
                </c:pt>
                <c:pt idx="2560" formatCode="#,##0.000">
                  <c:v>#N/A</c:v>
                </c:pt>
                <c:pt idx="2561" formatCode="#,##0.000">
                  <c:v>#N/A</c:v>
                </c:pt>
                <c:pt idx="2562" formatCode="#,##0.000">
                  <c:v>#N/A</c:v>
                </c:pt>
                <c:pt idx="2563" formatCode="#,##0.000">
                  <c:v>#N/A</c:v>
                </c:pt>
                <c:pt idx="2564" formatCode="#,##0.000">
                  <c:v>#N/A</c:v>
                </c:pt>
                <c:pt idx="2565" formatCode="#,##0.000">
                  <c:v>#N/A</c:v>
                </c:pt>
                <c:pt idx="2566" formatCode="#,##0.000">
                  <c:v>#N/A</c:v>
                </c:pt>
                <c:pt idx="2567" formatCode="#,##0.000">
                  <c:v>#N/A</c:v>
                </c:pt>
                <c:pt idx="2568" formatCode="#,##0.000">
                  <c:v>#N/A</c:v>
                </c:pt>
                <c:pt idx="2569" formatCode="#,##0.000">
                  <c:v>#N/A</c:v>
                </c:pt>
                <c:pt idx="2570" formatCode="#,##0.000">
                  <c:v>#N/A</c:v>
                </c:pt>
                <c:pt idx="2571" formatCode="#,##0.000">
                  <c:v>#N/A</c:v>
                </c:pt>
                <c:pt idx="2572" formatCode="#,##0.000">
                  <c:v>#N/A</c:v>
                </c:pt>
                <c:pt idx="2573" formatCode="#,##0.000">
                  <c:v>#N/A</c:v>
                </c:pt>
                <c:pt idx="2574" formatCode="#,##0.000">
                  <c:v>#N/A</c:v>
                </c:pt>
                <c:pt idx="2575" formatCode="#,##0.000">
                  <c:v>#N/A</c:v>
                </c:pt>
                <c:pt idx="2576" formatCode="#,##0.000">
                  <c:v>#N/A</c:v>
                </c:pt>
                <c:pt idx="2577" formatCode="#,##0.000">
                  <c:v>#N/A</c:v>
                </c:pt>
                <c:pt idx="2578" formatCode="#,##0.000">
                  <c:v>#N/A</c:v>
                </c:pt>
                <c:pt idx="2579" formatCode="#,##0.000">
                  <c:v>#N/A</c:v>
                </c:pt>
                <c:pt idx="2580" formatCode="#,##0.000">
                  <c:v>#N/A</c:v>
                </c:pt>
                <c:pt idx="2581" formatCode="#,##0.000">
                  <c:v>#N/A</c:v>
                </c:pt>
                <c:pt idx="2582" formatCode="#,##0.000">
                  <c:v>#N/A</c:v>
                </c:pt>
                <c:pt idx="2583" formatCode="#,##0.000">
                  <c:v>#N/A</c:v>
                </c:pt>
                <c:pt idx="2584" formatCode="#,##0.000">
                  <c:v>#N/A</c:v>
                </c:pt>
                <c:pt idx="2585" formatCode="#,##0.000">
                  <c:v>#N/A</c:v>
                </c:pt>
                <c:pt idx="2586" formatCode="#,##0.000">
                  <c:v>#N/A</c:v>
                </c:pt>
                <c:pt idx="2587" formatCode="#,##0.000">
                  <c:v>#N/A</c:v>
                </c:pt>
                <c:pt idx="2588" formatCode="#,##0.000">
                  <c:v>#N/A</c:v>
                </c:pt>
                <c:pt idx="2589" formatCode="#,##0.000">
                  <c:v>#N/A</c:v>
                </c:pt>
                <c:pt idx="2590" formatCode="#,##0.000">
                  <c:v>#N/A</c:v>
                </c:pt>
                <c:pt idx="2591" formatCode="#,##0.000">
                  <c:v>#N/A</c:v>
                </c:pt>
                <c:pt idx="2592" formatCode="#,##0.000">
                  <c:v>#N/A</c:v>
                </c:pt>
                <c:pt idx="2593" formatCode="#,##0.000">
                  <c:v>#N/A</c:v>
                </c:pt>
                <c:pt idx="2594" formatCode="#,##0.000">
                  <c:v>#N/A</c:v>
                </c:pt>
                <c:pt idx="2595" formatCode="#,##0.000">
                  <c:v>#N/A</c:v>
                </c:pt>
                <c:pt idx="2596" formatCode="#,##0.000">
                  <c:v>#N/A</c:v>
                </c:pt>
                <c:pt idx="2597" formatCode="#,##0.000">
                  <c:v>#N/A</c:v>
                </c:pt>
                <c:pt idx="2598" formatCode="#,##0.000">
                  <c:v>#N/A</c:v>
                </c:pt>
                <c:pt idx="2599" formatCode="#,##0.000">
                  <c:v>#N/A</c:v>
                </c:pt>
                <c:pt idx="2600" formatCode="#,##0.000">
                  <c:v>#N/A</c:v>
                </c:pt>
                <c:pt idx="2601" formatCode="#,##0.000">
                  <c:v>#N/A</c:v>
                </c:pt>
                <c:pt idx="2602" formatCode="#,##0.000">
                  <c:v>#N/A</c:v>
                </c:pt>
                <c:pt idx="2603" formatCode="#,##0.000">
                  <c:v>#N/A</c:v>
                </c:pt>
                <c:pt idx="2604" formatCode="#,##0.000">
                  <c:v>#N/A</c:v>
                </c:pt>
                <c:pt idx="2605" formatCode="#,##0.000">
                  <c:v>#N/A</c:v>
                </c:pt>
                <c:pt idx="2606" formatCode="#,##0.000">
                  <c:v>#N/A</c:v>
                </c:pt>
                <c:pt idx="2607" formatCode="#,##0.000">
                  <c:v>#N/A</c:v>
                </c:pt>
                <c:pt idx="2608" formatCode="#,##0.000">
                  <c:v>#N/A</c:v>
                </c:pt>
                <c:pt idx="2609" formatCode="#,##0.000">
                  <c:v>#N/A</c:v>
                </c:pt>
                <c:pt idx="2610" formatCode="#,##0.000">
                  <c:v>#N/A</c:v>
                </c:pt>
                <c:pt idx="2611" formatCode="#,##0.000">
                  <c:v>#N/A</c:v>
                </c:pt>
                <c:pt idx="2612" formatCode="#,##0.000">
                  <c:v>#N/A</c:v>
                </c:pt>
                <c:pt idx="2613" formatCode="#,##0.000">
                  <c:v>#N/A</c:v>
                </c:pt>
                <c:pt idx="2614" formatCode="#,##0.000">
                  <c:v>#N/A</c:v>
                </c:pt>
                <c:pt idx="2615" formatCode="#,##0.000">
                  <c:v>#N/A</c:v>
                </c:pt>
                <c:pt idx="2616" formatCode="#,##0.000">
                  <c:v>#N/A</c:v>
                </c:pt>
                <c:pt idx="2617" formatCode="#,##0.000">
                  <c:v>#N/A</c:v>
                </c:pt>
                <c:pt idx="2618" formatCode="#,##0.000">
                  <c:v>#N/A</c:v>
                </c:pt>
                <c:pt idx="2619" formatCode="#,##0.000">
                  <c:v>#N/A</c:v>
                </c:pt>
                <c:pt idx="2620" formatCode="#,##0.000">
                  <c:v>#N/A</c:v>
                </c:pt>
                <c:pt idx="2621" formatCode="#,##0.000">
                  <c:v>#N/A</c:v>
                </c:pt>
                <c:pt idx="2622" formatCode="#,##0.000">
                  <c:v>#N/A</c:v>
                </c:pt>
                <c:pt idx="2623" formatCode="#,##0.000">
                  <c:v>#N/A</c:v>
                </c:pt>
                <c:pt idx="2624" formatCode="#,##0.000">
                  <c:v>#N/A</c:v>
                </c:pt>
                <c:pt idx="2625" formatCode="#,##0.000">
                  <c:v>#N/A</c:v>
                </c:pt>
                <c:pt idx="2626" formatCode="#,##0.000">
                  <c:v>#N/A</c:v>
                </c:pt>
                <c:pt idx="2627" formatCode="#,##0.000">
                  <c:v>#N/A</c:v>
                </c:pt>
                <c:pt idx="2628" formatCode="#,##0.000">
                  <c:v>#N/A</c:v>
                </c:pt>
                <c:pt idx="2629" formatCode="#,##0.000">
                  <c:v>#N/A</c:v>
                </c:pt>
                <c:pt idx="2630" formatCode="#,##0.000">
                  <c:v>#N/A</c:v>
                </c:pt>
                <c:pt idx="2631" formatCode="#,##0.000">
                  <c:v>#N/A</c:v>
                </c:pt>
                <c:pt idx="2632" formatCode="#,##0.000">
                  <c:v>#N/A</c:v>
                </c:pt>
                <c:pt idx="2633" formatCode="#,##0.000">
                  <c:v>#N/A</c:v>
                </c:pt>
                <c:pt idx="2634" formatCode="#,##0.000">
                  <c:v>#N/A</c:v>
                </c:pt>
                <c:pt idx="2635" formatCode="#,##0.000">
                  <c:v>#N/A</c:v>
                </c:pt>
                <c:pt idx="2636" formatCode="#,##0.000">
                  <c:v>#N/A</c:v>
                </c:pt>
                <c:pt idx="2637" formatCode="#,##0.000">
                  <c:v>#N/A</c:v>
                </c:pt>
                <c:pt idx="2638" formatCode="#,##0.000">
                  <c:v>#N/A</c:v>
                </c:pt>
                <c:pt idx="2639" formatCode="#,##0.000">
                  <c:v>#N/A</c:v>
                </c:pt>
                <c:pt idx="2640" formatCode="#,##0.000">
                  <c:v>#N/A</c:v>
                </c:pt>
                <c:pt idx="2641" formatCode="#,##0.000">
                  <c:v>#N/A</c:v>
                </c:pt>
                <c:pt idx="2642" formatCode="#,##0.000">
                  <c:v>#N/A</c:v>
                </c:pt>
                <c:pt idx="2643" formatCode="#,##0.000">
                  <c:v>#N/A</c:v>
                </c:pt>
                <c:pt idx="2644" formatCode="#,##0.000">
                  <c:v>#N/A</c:v>
                </c:pt>
                <c:pt idx="2645" formatCode="#,##0.000">
                  <c:v>#N/A</c:v>
                </c:pt>
                <c:pt idx="2646" formatCode="#,##0.000">
                  <c:v>#N/A</c:v>
                </c:pt>
                <c:pt idx="2647" formatCode="#,##0.000">
                  <c:v>#N/A</c:v>
                </c:pt>
                <c:pt idx="2648" formatCode="#,##0.000">
                  <c:v>#N/A</c:v>
                </c:pt>
                <c:pt idx="2649" formatCode="#,##0.000">
                  <c:v>#N/A</c:v>
                </c:pt>
                <c:pt idx="2650" formatCode="#,##0.000">
                  <c:v>#N/A</c:v>
                </c:pt>
                <c:pt idx="2651" formatCode="#,##0.000">
                  <c:v>#N/A</c:v>
                </c:pt>
                <c:pt idx="2652" formatCode="#,##0.000">
                  <c:v>#N/A</c:v>
                </c:pt>
                <c:pt idx="2653" formatCode="#,##0.000">
                  <c:v>#N/A</c:v>
                </c:pt>
                <c:pt idx="2654" formatCode="#,##0.000">
                  <c:v>#N/A</c:v>
                </c:pt>
                <c:pt idx="2655" formatCode="#,##0.000">
                  <c:v>#N/A</c:v>
                </c:pt>
                <c:pt idx="2656" formatCode="#,##0.000">
                  <c:v>#N/A</c:v>
                </c:pt>
                <c:pt idx="2657" formatCode="#,##0.000">
                  <c:v>#N/A</c:v>
                </c:pt>
                <c:pt idx="2658" formatCode="#,##0.000">
                  <c:v>#N/A</c:v>
                </c:pt>
                <c:pt idx="2659" formatCode="#,##0.000">
                  <c:v>#N/A</c:v>
                </c:pt>
                <c:pt idx="2660" formatCode="#,##0.000">
                  <c:v>#N/A</c:v>
                </c:pt>
                <c:pt idx="2661" formatCode="#,##0.000">
                  <c:v>#N/A</c:v>
                </c:pt>
                <c:pt idx="2662" formatCode="#,##0.000">
                  <c:v>#N/A</c:v>
                </c:pt>
                <c:pt idx="2663" formatCode="#,##0.000">
                  <c:v>#N/A</c:v>
                </c:pt>
                <c:pt idx="2664" formatCode="#,##0.000">
                  <c:v>#N/A</c:v>
                </c:pt>
                <c:pt idx="2665" formatCode="#,##0.000">
                  <c:v>#N/A</c:v>
                </c:pt>
                <c:pt idx="2666" formatCode="#,##0.000">
                  <c:v>#N/A</c:v>
                </c:pt>
                <c:pt idx="2667" formatCode="#,##0.000">
                  <c:v>#N/A</c:v>
                </c:pt>
                <c:pt idx="2668" formatCode="#,##0.000">
                  <c:v>#N/A</c:v>
                </c:pt>
                <c:pt idx="2669" formatCode="#,##0.000">
                  <c:v>#N/A</c:v>
                </c:pt>
                <c:pt idx="2670" formatCode="#,##0.000">
                  <c:v>#N/A</c:v>
                </c:pt>
                <c:pt idx="2671" formatCode="#,##0.000">
                  <c:v>#N/A</c:v>
                </c:pt>
                <c:pt idx="2672" formatCode="#,##0.000">
                  <c:v>#N/A</c:v>
                </c:pt>
                <c:pt idx="2673" formatCode="#,##0.000">
                  <c:v>#N/A</c:v>
                </c:pt>
                <c:pt idx="2674" formatCode="#,##0.000">
                  <c:v>#N/A</c:v>
                </c:pt>
                <c:pt idx="2675" formatCode="#,##0.000">
                  <c:v>#N/A</c:v>
                </c:pt>
                <c:pt idx="2676" formatCode="#,##0.000">
                  <c:v>#N/A</c:v>
                </c:pt>
                <c:pt idx="2677" formatCode="#,##0.000">
                  <c:v>#N/A</c:v>
                </c:pt>
                <c:pt idx="2678" formatCode="#,##0.000">
                  <c:v>#N/A</c:v>
                </c:pt>
                <c:pt idx="2679" formatCode="#,##0.000">
                  <c:v>#N/A</c:v>
                </c:pt>
                <c:pt idx="2680" formatCode="#,##0.000">
                  <c:v>#N/A</c:v>
                </c:pt>
                <c:pt idx="2681" formatCode="#,##0.000">
                  <c:v>#N/A</c:v>
                </c:pt>
                <c:pt idx="2682" formatCode="#,##0.000">
                  <c:v>#N/A</c:v>
                </c:pt>
                <c:pt idx="2683" formatCode="#,##0.000">
                  <c:v>#N/A</c:v>
                </c:pt>
                <c:pt idx="2684" formatCode="#,##0.000">
                  <c:v>#N/A</c:v>
                </c:pt>
                <c:pt idx="2685" formatCode="#,##0.000">
                  <c:v>#N/A</c:v>
                </c:pt>
                <c:pt idx="2686" formatCode="#,##0.000">
                  <c:v>#N/A</c:v>
                </c:pt>
                <c:pt idx="2687" formatCode="#,##0.000">
                  <c:v>#N/A</c:v>
                </c:pt>
                <c:pt idx="2688" formatCode="#,##0.000">
                  <c:v>#N/A</c:v>
                </c:pt>
                <c:pt idx="2689" formatCode="#,##0.000">
                  <c:v>#N/A</c:v>
                </c:pt>
                <c:pt idx="2690" formatCode="#,##0.000">
                  <c:v>#N/A</c:v>
                </c:pt>
                <c:pt idx="2691" formatCode="#,##0.000">
                  <c:v>#N/A</c:v>
                </c:pt>
                <c:pt idx="2692" formatCode="#,##0.000">
                  <c:v>#N/A</c:v>
                </c:pt>
                <c:pt idx="2693" formatCode="#,##0.000">
                  <c:v>#N/A</c:v>
                </c:pt>
                <c:pt idx="2694" formatCode="#,##0.000">
                  <c:v>#N/A</c:v>
                </c:pt>
                <c:pt idx="2695" formatCode="#,##0.000">
                  <c:v>#N/A</c:v>
                </c:pt>
                <c:pt idx="2696" formatCode="#,##0.000">
                  <c:v>#N/A</c:v>
                </c:pt>
                <c:pt idx="2697" formatCode="#,##0.000">
                  <c:v>#N/A</c:v>
                </c:pt>
                <c:pt idx="2698" formatCode="#,##0.000">
                  <c:v>#N/A</c:v>
                </c:pt>
                <c:pt idx="2699" formatCode="#,##0.000">
                  <c:v>#N/A</c:v>
                </c:pt>
                <c:pt idx="2700" formatCode="#,##0.000">
                  <c:v>#N/A</c:v>
                </c:pt>
                <c:pt idx="2701" formatCode="#,##0.000">
                  <c:v>#N/A</c:v>
                </c:pt>
                <c:pt idx="2702" formatCode="#,##0.000">
                  <c:v>#N/A</c:v>
                </c:pt>
                <c:pt idx="2703" formatCode="#,##0.000">
                  <c:v>#N/A</c:v>
                </c:pt>
                <c:pt idx="2704" formatCode="#,##0.000">
                  <c:v>#N/A</c:v>
                </c:pt>
                <c:pt idx="2705" formatCode="#,##0.000">
                  <c:v>#N/A</c:v>
                </c:pt>
                <c:pt idx="2706" formatCode="#,##0.000">
                  <c:v>#N/A</c:v>
                </c:pt>
                <c:pt idx="2707" formatCode="#,##0.000">
                  <c:v>#N/A</c:v>
                </c:pt>
                <c:pt idx="2708" formatCode="#,##0.000">
                  <c:v>#N/A</c:v>
                </c:pt>
                <c:pt idx="2709" formatCode="#,##0.000">
                  <c:v>#N/A</c:v>
                </c:pt>
                <c:pt idx="2710" formatCode="#,##0.000">
                  <c:v>#N/A</c:v>
                </c:pt>
                <c:pt idx="2711" formatCode="#,##0.000">
                  <c:v>#N/A</c:v>
                </c:pt>
                <c:pt idx="2712" formatCode="#,##0.000">
                  <c:v>#N/A</c:v>
                </c:pt>
                <c:pt idx="2713" formatCode="#,##0.000">
                  <c:v>#N/A</c:v>
                </c:pt>
                <c:pt idx="2714" formatCode="#,##0.000">
                  <c:v>#N/A</c:v>
                </c:pt>
                <c:pt idx="2715" formatCode="#,##0.000">
                  <c:v>#N/A</c:v>
                </c:pt>
                <c:pt idx="2716" formatCode="#,##0.000">
                  <c:v>#N/A</c:v>
                </c:pt>
                <c:pt idx="2717" formatCode="#,##0.000">
                  <c:v>#N/A</c:v>
                </c:pt>
                <c:pt idx="2718" formatCode="#,##0.000">
                  <c:v>#N/A</c:v>
                </c:pt>
                <c:pt idx="2719" formatCode="#,##0.000">
                  <c:v>#N/A</c:v>
                </c:pt>
                <c:pt idx="2720" formatCode="#,##0.000">
                  <c:v>#N/A</c:v>
                </c:pt>
                <c:pt idx="2721" formatCode="#,##0.000">
                  <c:v>#N/A</c:v>
                </c:pt>
                <c:pt idx="2722" formatCode="#,##0.000">
                  <c:v>#N/A</c:v>
                </c:pt>
                <c:pt idx="2723" formatCode="#,##0.000">
                  <c:v>#N/A</c:v>
                </c:pt>
                <c:pt idx="2724" formatCode="#,##0.000">
                  <c:v>#N/A</c:v>
                </c:pt>
                <c:pt idx="2725" formatCode="#,##0.000">
                  <c:v>#N/A</c:v>
                </c:pt>
                <c:pt idx="2726" formatCode="#,##0.000">
                  <c:v>#N/A</c:v>
                </c:pt>
                <c:pt idx="2727" formatCode="#,##0.000">
                  <c:v>#N/A</c:v>
                </c:pt>
                <c:pt idx="2728" formatCode="#,##0.000">
                  <c:v>#N/A</c:v>
                </c:pt>
                <c:pt idx="2729" formatCode="#,##0.000">
                  <c:v>#N/A</c:v>
                </c:pt>
                <c:pt idx="2730" formatCode="#,##0.000">
                  <c:v>#N/A</c:v>
                </c:pt>
                <c:pt idx="2731" formatCode="#,##0.000">
                  <c:v>#N/A</c:v>
                </c:pt>
                <c:pt idx="2732" formatCode="#,##0.000">
                  <c:v>#N/A</c:v>
                </c:pt>
                <c:pt idx="2733" formatCode="#,##0.000">
                  <c:v>#N/A</c:v>
                </c:pt>
                <c:pt idx="2734" formatCode="#,##0.000">
                  <c:v>#N/A</c:v>
                </c:pt>
                <c:pt idx="2735" formatCode="#,##0.000">
                  <c:v>#N/A</c:v>
                </c:pt>
                <c:pt idx="2736" formatCode="#,##0.000">
                  <c:v>#N/A</c:v>
                </c:pt>
                <c:pt idx="2737" formatCode="#,##0.000">
                  <c:v>#N/A</c:v>
                </c:pt>
                <c:pt idx="2738" formatCode="#,##0.000">
                  <c:v>#N/A</c:v>
                </c:pt>
                <c:pt idx="2739" formatCode="#,##0.000">
                  <c:v>#N/A</c:v>
                </c:pt>
                <c:pt idx="2740" formatCode="#,##0.000">
                  <c:v>#N/A</c:v>
                </c:pt>
                <c:pt idx="2741" formatCode="#,##0.000">
                  <c:v>#N/A</c:v>
                </c:pt>
                <c:pt idx="2742" formatCode="#,##0.000">
                  <c:v>#N/A</c:v>
                </c:pt>
                <c:pt idx="2743" formatCode="#,##0.000">
                  <c:v>#N/A</c:v>
                </c:pt>
                <c:pt idx="2744" formatCode="#,##0.000">
                  <c:v>#N/A</c:v>
                </c:pt>
                <c:pt idx="2745" formatCode="#,##0.000">
                  <c:v>#N/A</c:v>
                </c:pt>
                <c:pt idx="2746" formatCode="#,##0.000">
                  <c:v>#N/A</c:v>
                </c:pt>
                <c:pt idx="2747" formatCode="#,##0.000">
                  <c:v>#N/A</c:v>
                </c:pt>
                <c:pt idx="2748" formatCode="#,##0.000">
                  <c:v>#N/A</c:v>
                </c:pt>
                <c:pt idx="2749" formatCode="#,##0.000">
                  <c:v>#N/A</c:v>
                </c:pt>
                <c:pt idx="2750" formatCode="#,##0.000">
                  <c:v>#N/A</c:v>
                </c:pt>
                <c:pt idx="2751" formatCode="#,##0.000">
                  <c:v>#N/A</c:v>
                </c:pt>
                <c:pt idx="2752" formatCode="#,##0.000">
                  <c:v>#N/A</c:v>
                </c:pt>
                <c:pt idx="2753" formatCode="#,##0.000">
                  <c:v>#N/A</c:v>
                </c:pt>
                <c:pt idx="2754" formatCode="#,##0.000">
                  <c:v>#N/A</c:v>
                </c:pt>
                <c:pt idx="2755" formatCode="#,##0.000">
                  <c:v>#N/A</c:v>
                </c:pt>
                <c:pt idx="2756" formatCode="#,##0.000">
                  <c:v>#N/A</c:v>
                </c:pt>
                <c:pt idx="2757" formatCode="#,##0.000">
                  <c:v>#N/A</c:v>
                </c:pt>
                <c:pt idx="2758" formatCode="#,##0.000">
                  <c:v>#N/A</c:v>
                </c:pt>
                <c:pt idx="2759" formatCode="#,##0.000">
                  <c:v>#N/A</c:v>
                </c:pt>
                <c:pt idx="2760" formatCode="#,##0.000">
                  <c:v>#N/A</c:v>
                </c:pt>
                <c:pt idx="2761" formatCode="#,##0.000">
                  <c:v>#N/A</c:v>
                </c:pt>
                <c:pt idx="2762" formatCode="#,##0.000">
                  <c:v>#N/A</c:v>
                </c:pt>
                <c:pt idx="2763" formatCode="#,##0.000">
                  <c:v>#N/A</c:v>
                </c:pt>
                <c:pt idx="2764" formatCode="#,##0.000">
                  <c:v>#N/A</c:v>
                </c:pt>
                <c:pt idx="2765" formatCode="#,##0.000">
                  <c:v>#N/A</c:v>
                </c:pt>
                <c:pt idx="2766" formatCode="#,##0.000">
                  <c:v>#N/A</c:v>
                </c:pt>
                <c:pt idx="2767" formatCode="#,##0.000">
                  <c:v>#N/A</c:v>
                </c:pt>
                <c:pt idx="2768" formatCode="#,##0.000">
                  <c:v>#N/A</c:v>
                </c:pt>
                <c:pt idx="2769" formatCode="#,##0.000">
                  <c:v>#N/A</c:v>
                </c:pt>
                <c:pt idx="2770" formatCode="#,##0.000">
                  <c:v>#N/A</c:v>
                </c:pt>
                <c:pt idx="2771" formatCode="#,##0.000">
                  <c:v>#N/A</c:v>
                </c:pt>
                <c:pt idx="2772" formatCode="#,##0.000">
                  <c:v>#N/A</c:v>
                </c:pt>
                <c:pt idx="2773" formatCode="#,##0.000">
                  <c:v>#N/A</c:v>
                </c:pt>
                <c:pt idx="2774" formatCode="#,##0.000">
                  <c:v>#N/A</c:v>
                </c:pt>
                <c:pt idx="2775" formatCode="#,##0.000">
                  <c:v>#N/A</c:v>
                </c:pt>
                <c:pt idx="2776" formatCode="#,##0.000">
                  <c:v>#N/A</c:v>
                </c:pt>
                <c:pt idx="2777" formatCode="#,##0.000">
                  <c:v>#N/A</c:v>
                </c:pt>
                <c:pt idx="2778" formatCode="#,##0.000">
                  <c:v>#N/A</c:v>
                </c:pt>
                <c:pt idx="2779" formatCode="#,##0.000">
                  <c:v>#N/A</c:v>
                </c:pt>
                <c:pt idx="2780" formatCode="#,##0.000">
                  <c:v>#N/A</c:v>
                </c:pt>
                <c:pt idx="2781" formatCode="#,##0.000">
                  <c:v>#N/A</c:v>
                </c:pt>
                <c:pt idx="2782" formatCode="#,##0.000">
                  <c:v>#N/A</c:v>
                </c:pt>
                <c:pt idx="2783" formatCode="#,##0.000">
                  <c:v>#N/A</c:v>
                </c:pt>
                <c:pt idx="2784" formatCode="#,##0.000">
                  <c:v>#N/A</c:v>
                </c:pt>
                <c:pt idx="2785" formatCode="#,##0.000">
                  <c:v>#N/A</c:v>
                </c:pt>
                <c:pt idx="2786" formatCode="#,##0.000">
                  <c:v>#N/A</c:v>
                </c:pt>
                <c:pt idx="2787" formatCode="#,##0.000">
                  <c:v>#N/A</c:v>
                </c:pt>
                <c:pt idx="2788" formatCode="#,##0.000">
                  <c:v>#N/A</c:v>
                </c:pt>
                <c:pt idx="2789" formatCode="#,##0.000">
                  <c:v>#N/A</c:v>
                </c:pt>
                <c:pt idx="2790" formatCode="#,##0.000">
                  <c:v>#N/A</c:v>
                </c:pt>
                <c:pt idx="2791" formatCode="#,##0.000">
                  <c:v>#N/A</c:v>
                </c:pt>
                <c:pt idx="2792" formatCode="#,##0.000">
                  <c:v>#N/A</c:v>
                </c:pt>
                <c:pt idx="2793" formatCode="#,##0.000">
                  <c:v>#N/A</c:v>
                </c:pt>
                <c:pt idx="2794" formatCode="#,##0.000">
                  <c:v>#N/A</c:v>
                </c:pt>
                <c:pt idx="2795" formatCode="#,##0.000">
                  <c:v>#N/A</c:v>
                </c:pt>
                <c:pt idx="2796" formatCode="#,##0.000">
                  <c:v>#N/A</c:v>
                </c:pt>
                <c:pt idx="2797" formatCode="#,##0.000">
                  <c:v>#N/A</c:v>
                </c:pt>
                <c:pt idx="2798" formatCode="#,##0.000">
                  <c:v>#N/A</c:v>
                </c:pt>
                <c:pt idx="2799" formatCode="#,##0.000">
                  <c:v>#N/A</c:v>
                </c:pt>
                <c:pt idx="2800" formatCode="#,##0.000">
                  <c:v>#N/A</c:v>
                </c:pt>
                <c:pt idx="2801" formatCode="#,##0.000">
                  <c:v>#N/A</c:v>
                </c:pt>
                <c:pt idx="2802" formatCode="#,##0.000">
                  <c:v>#N/A</c:v>
                </c:pt>
                <c:pt idx="2803" formatCode="#,##0.000">
                  <c:v>#N/A</c:v>
                </c:pt>
                <c:pt idx="2804" formatCode="#,##0.000">
                  <c:v>#N/A</c:v>
                </c:pt>
                <c:pt idx="2805" formatCode="#,##0.000">
                  <c:v>#N/A</c:v>
                </c:pt>
                <c:pt idx="2806" formatCode="#,##0.000">
                  <c:v>#N/A</c:v>
                </c:pt>
                <c:pt idx="2807" formatCode="#,##0.000">
                  <c:v>#N/A</c:v>
                </c:pt>
                <c:pt idx="2808" formatCode="#,##0.000">
                  <c:v>#N/A</c:v>
                </c:pt>
                <c:pt idx="2809" formatCode="#,##0.000">
                  <c:v>#N/A</c:v>
                </c:pt>
                <c:pt idx="2810" formatCode="#,##0.000">
                  <c:v>#N/A</c:v>
                </c:pt>
                <c:pt idx="2811" formatCode="#,##0.000">
                  <c:v>#N/A</c:v>
                </c:pt>
                <c:pt idx="2812" formatCode="#,##0.000">
                  <c:v>#N/A</c:v>
                </c:pt>
                <c:pt idx="2813" formatCode="#,##0.000">
                  <c:v>#N/A</c:v>
                </c:pt>
                <c:pt idx="2814" formatCode="#,##0.000">
                  <c:v>#N/A</c:v>
                </c:pt>
                <c:pt idx="2815" formatCode="#,##0.000">
                  <c:v>#N/A</c:v>
                </c:pt>
                <c:pt idx="2816" formatCode="#,##0.000">
                  <c:v>#N/A</c:v>
                </c:pt>
                <c:pt idx="2817" formatCode="#,##0.000">
                  <c:v>#N/A</c:v>
                </c:pt>
                <c:pt idx="2818" formatCode="#,##0.000">
                  <c:v>#N/A</c:v>
                </c:pt>
                <c:pt idx="2819" formatCode="#,##0.000">
                  <c:v>#N/A</c:v>
                </c:pt>
                <c:pt idx="2820" formatCode="#,##0.000">
                  <c:v>#N/A</c:v>
                </c:pt>
                <c:pt idx="2821" formatCode="#,##0.000">
                  <c:v>#N/A</c:v>
                </c:pt>
                <c:pt idx="2822" formatCode="#,##0.000">
                  <c:v>#N/A</c:v>
                </c:pt>
                <c:pt idx="2823" formatCode="#,##0.000">
                  <c:v>#N/A</c:v>
                </c:pt>
                <c:pt idx="2824" formatCode="#,##0.000">
                  <c:v>#N/A</c:v>
                </c:pt>
                <c:pt idx="2825" formatCode="#,##0.000">
                  <c:v>#N/A</c:v>
                </c:pt>
                <c:pt idx="2826" formatCode="#,##0.000">
                  <c:v>#N/A</c:v>
                </c:pt>
                <c:pt idx="2827" formatCode="#,##0.000">
                  <c:v>#N/A</c:v>
                </c:pt>
                <c:pt idx="2828" formatCode="#,##0.000">
                  <c:v>#N/A</c:v>
                </c:pt>
                <c:pt idx="2829" formatCode="#,##0.000">
                  <c:v>#N/A</c:v>
                </c:pt>
                <c:pt idx="2830" formatCode="#,##0.000">
                  <c:v>#N/A</c:v>
                </c:pt>
                <c:pt idx="2831" formatCode="#,##0.000">
                  <c:v>#N/A</c:v>
                </c:pt>
                <c:pt idx="2832" formatCode="#,##0.000">
                  <c:v>#N/A</c:v>
                </c:pt>
                <c:pt idx="2833" formatCode="#,##0.000">
                  <c:v>#N/A</c:v>
                </c:pt>
                <c:pt idx="2834" formatCode="#,##0.000">
                  <c:v>#N/A</c:v>
                </c:pt>
                <c:pt idx="2835" formatCode="#,##0.000">
                  <c:v>#N/A</c:v>
                </c:pt>
                <c:pt idx="2836" formatCode="#,##0.000">
                  <c:v>#N/A</c:v>
                </c:pt>
                <c:pt idx="2837" formatCode="#,##0.000">
                  <c:v>#N/A</c:v>
                </c:pt>
                <c:pt idx="2838" formatCode="#,##0.000">
                  <c:v>#N/A</c:v>
                </c:pt>
                <c:pt idx="2839" formatCode="#,##0.000">
                  <c:v>#N/A</c:v>
                </c:pt>
                <c:pt idx="2840" formatCode="#,##0.000">
                  <c:v>#N/A</c:v>
                </c:pt>
                <c:pt idx="2841" formatCode="#,##0.000">
                  <c:v>#N/A</c:v>
                </c:pt>
                <c:pt idx="2842" formatCode="#,##0.000">
                  <c:v>#N/A</c:v>
                </c:pt>
                <c:pt idx="2843" formatCode="#,##0.000">
                  <c:v>#N/A</c:v>
                </c:pt>
                <c:pt idx="2844" formatCode="#,##0.000">
                  <c:v>#N/A</c:v>
                </c:pt>
                <c:pt idx="2845" formatCode="#,##0.000">
                  <c:v>#N/A</c:v>
                </c:pt>
                <c:pt idx="2846" formatCode="#,##0.000">
                  <c:v>#N/A</c:v>
                </c:pt>
                <c:pt idx="2847" formatCode="#,##0.000">
                  <c:v>#N/A</c:v>
                </c:pt>
                <c:pt idx="2848" formatCode="#,##0.000">
                  <c:v>#N/A</c:v>
                </c:pt>
                <c:pt idx="2849" formatCode="#,##0.000">
                  <c:v>#N/A</c:v>
                </c:pt>
                <c:pt idx="2850" formatCode="#,##0.000">
                  <c:v>#N/A</c:v>
                </c:pt>
                <c:pt idx="2851" formatCode="#,##0.000">
                  <c:v>#N/A</c:v>
                </c:pt>
                <c:pt idx="2852" formatCode="#,##0.000">
                  <c:v>#N/A</c:v>
                </c:pt>
                <c:pt idx="2853" formatCode="#,##0.000">
                  <c:v>#N/A</c:v>
                </c:pt>
                <c:pt idx="2854" formatCode="#,##0.000">
                  <c:v>#N/A</c:v>
                </c:pt>
                <c:pt idx="2855" formatCode="#,##0.000">
                  <c:v>#N/A</c:v>
                </c:pt>
                <c:pt idx="2856" formatCode="#,##0.000">
                  <c:v>#N/A</c:v>
                </c:pt>
                <c:pt idx="2857" formatCode="#,##0.000">
                  <c:v>#N/A</c:v>
                </c:pt>
                <c:pt idx="2858" formatCode="#,##0.000">
                  <c:v>#N/A</c:v>
                </c:pt>
                <c:pt idx="2859" formatCode="#,##0.000">
                  <c:v>#N/A</c:v>
                </c:pt>
                <c:pt idx="2860" formatCode="#,##0.000">
                  <c:v>#N/A</c:v>
                </c:pt>
                <c:pt idx="2861" formatCode="#,##0.000">
                  <c:v>#N/A</c:v>
                </c:pt>
                <c:pt idx="2862" formatCode="#,##0.000">
                  <c:v>#N/A</c:v>
                </c:pt>
                <c:pt idx="2863" formatCode="#,##0.000">
                  <c:v>#N/A</c:v>
                </c:pt>
                <c:pt idx="2864" formatCode="#,##0.000">
                  <c:v>#N/A</c:v>
                </c:pt>
                <c:pt idx="2865" formatCode="#,##0.000">
                  <c:v>#N/A</c:v>
                </c:pt>
                <c:pt idx="2866" formatCode="#,##0.000">
                  <c:v>#N/A</c:v>
                </c:pt>
                <c:pt idx="2867" formatCode="#,##0.000">
                  <c:v>#N/A</c:v>
                </c:pt>
                <c:pt idx="2868" formatCode="#,##0.000">
                  <c:v>#N/A</c:v>
                </c:pt>
                <c:pt idx="2869" formatCode="#,##0.000">
                  <c:v>#N/A</c:v>
                </c:pt>
                <c:pt idx="2870" formatCode="#,##0.000">
                  <c:v>#N/A</c:v>
                </c:pt>
                <c:pt idx="2871" formatCode="#,##0.000">
                  <c:v>#N/A</c:v>
                </c:pt>
                <c:pt idx="2872" formatCode="#,##0.000">
                  <c:v>#N/A</c:v>
                </c:pt>
                <c:pt idx="2873" formatCode="#,##0.000">
                  <c:v>#N/A</c:v>
                </c:pt>
                <c:pt idx="2874" formatCode="#,##0.000">
                  <c:v>#N/A</c:v>
                </c:pt>
                <c:pt idx="2875" formatCode="#,##0.000">
                  <c:v>#N/A</c:v>
                </c:pt>
                <c:pt idx="2876" formatCode="#,##0.000">
                  <c:v>#N/A</c:v>
                </c:pt>
                <c:pt idx="2877" formatCode="#,##0.000">
                  <c:v>#N/A</c:v>
                </c:pt>
                <c:pt idx="2878" formatCode="#,##0.000">
                  <c:v>#N/A</c:v>
                </c:pt>
                <c:pt idx="2879" formatCode="#,##0.000">
                  <c:v>#N/A</c:v>
                </c:pt>
                <c:pt idx="2880" formatCode="#,##0.000">
                  <c:v>#N/A</c:v>
                </c:pt>
                <c:pt idx="2881" formatCode="#,##0.000">
                  <c:v>#N/A</c:v>
                </c:pt>
                <c:pt idx="2882" formatCode="#,##0.000">
                  <c:v>#N/A</c:v>
                </c:pt>
                <c:pt idx="2883" formatCode="#,##0.000">
                  <c:v>#N/A</c:v>
                </c:pt>
                <c:pt idx="2884" formatCode="#,##0.000">
                  <c:v>#N/A</c:v>
                </c:pt>
                <c:pt idx="2885" formatCode="#,##0.000">
                  <c:v>#N/A</c:v>
                </c:pt>
                <c:pt idx="2886" formatCode="#,##0.000">
                  <c:v>#N/A</c:v>
                </c:pt>
                <c:pt idx="2887" formatCode="#,##0.000">
                  <c:v>#N/A</c:v>
                </c:pt>
                <c:pt idx="2888" formatCode="#,##0.000">
                  <c:v>#N/A</c:v>
                </c:pt>
                <c:pt idx="2889" formatCode="#,##0.000">
                  <c:v>#N/A</c:v>
                </c:pt>
                <c:pt idx="2890" formatCode="#,##0.000">
                  <c:v>#N/A</c:v>
                </c:pt>
                <c:pt idx="2891" formatCode="#,##0.000">
                  <c:v>#N/A</c:v>
                </c:pt>
                <c:pt idx="2892" formatCode="#,##0.000">
                  <c:v>#N/A</c:v>
                </c:pt>
                <c:pt idx="2893" formatCode="#,##0.000">
                  <c:v>#N/A</c:v>
                </c:pt>
                <c:pt idx="2894" formatCode="#,##0.000">
                  <c:v>#N/A</c:v>
                </c:pt>
                <c:pt idx="2895" formatCode="#,##0.000">
                  <c:v>#N/A</c:v>
                </c:pt>
                <c:pt idx="2896" formatCode="#,##0.000">
                  <c:v>#N/A</c:v>
                </c:pt>
                <c:pt idx="2897" formatCode="#,##0.000">
                  <c:v>#N/A</c:v>
                </c:pt>
                <c:pt idx="2898" formatCode="#,##0.000">
                  <c:v>#N/A</c:v>
                </c:pt>
                <c:pt idx="2899" formatCode="#,##0.000">
                  <c:v>#N/A</c:v>
                </c:pt>
                <c:pt idx="2900" formatCode="#,##0.000">
                  <c:v>#N/A</c:v>
                </c:pt>
                <c:pt idx="2901" formatCode="#,##0.000">
                  <c:v>#N/A</c:v>
                </c:pt>
                <c:pt idx="2902" formatCode="#,##0.000">
                  <c:v>#N/A</c:v>
                </c:pt>
                <c:pt idx="2903" formatCode="#,##0.000">
                  <c:v>#N/A</c:v>
                </c:pt>
                <c:pt idx="2904" formatCode="#,##0.000">
                  <c:v>#N/A</c:v>
                </c:pt>
                <c:pt idx="2905" formatCode="#,##0.000">
                  <c:v>#N/A</c:v>
                </c:pt>
                <c:pt idx="2906" formatCode="#,##0.000">
                  <c:v>#N/A</c:v>
                </c:pt>
                <c:pt idx="2907" formatCode="#,##0.000">
                  <c:v>#N/A</c:v>
                </c:pt>
                <c:pt idx="2908" formatCode="#,##0.000">
                  <c:v>#N/A</c:v>
                </c:pt>
                <c:pt idx="2909" formatCode="#,##0.000">
                  <c:v>#N/A</c:v>
                </c:pt>
                <c:pt idx="2910" formatCode="#,##0.000">
                  <c:v>#N/A</c:v>
                </c:pt>
                <c:pt idx="2911" formatCode="#,##0.000">
                  <c:v>#N/A</c:v>
                </c:pt>
                <c:pt idx="2912" formatCode="#,##0.000">
                  <c:v>#N/A</c:v>
                </c:pt>
                <c:pt idx="2913" formatCode="#,##0.000">
                  <c:v>#N/A</c:v>
                </c:pt>
                <c:pt idx="2914" formatCode="#,##0.000">
                  <c:v>#N/A</c:v>
                </c:pt>
                <c:pt idx="2915" formatCode="#,##0.000">
                  <c:v>#N/A</c:v>
                </c:pt>
                <c:pt idx="2916" formatCode="#,##0.000">
                  <c:v>#N/A</c:v>
                </c:pt>
                <c:pt idx="2917" formatCode="#,##0.000">
                  <c:v>#N/A</c:v>
                </c:pt>
                <c:pt idx="2918" formatCode="#,##0.000">
                  <c:v>#N/A</c:v>
                </c:pt>
                <c:pt idx="2919" formatCode="#,##0.000">
                  <c:v>#N/A</c:v>
                </c:pt>
                <c:pt idx="2920" formatCode="#,##0.000">
                  <c:v>#N/A</c:v>
                </c:pt>
                <c:pt idx="2921" formatCode="#,##0.000">
                  <c:v>#N/A</c:v>
                </c:pt>
                <c:pt idx="2922" formatCode="#,##0.000">
                  <c:v>#N/A</c:v>
                </c:pt>
                <c:pt idx="2923" formatCode="#,##0.000">
                  <c:v>#N/A</c:v>
                </c:pt>
                <c:pt idx="2924" formatCode="#,##0.000">
                  <c:v>#N/A</c:v>
                </c:pt>
                <c:pt idx="2925" formatCode="#,##0.000">
                  <c:v>#N/A</c:v>
                </c:pt>
                <c:pt idx="2926" formatCode="#,##0.000">
                  <c:v>#N/A</c:v>
                </c:pt>
                <c:pt idx="2927" formatCode="#,##0.000">
                  <c:v>#N/A</c:v>
                </c:pt>
                <c:pt idx="2928" formatCode="#,##0.000">
                  <c:v>#N/A</c:v>
                </c:pt>
                <c:pt idx="2929" formatCode="#,##0.000">
                  <c:v>#N/A</c:v>
                </c:pt>
                <c:pt idx="2930" formatCode="#,##0.000">
                  <c:v>#N/A</c:v>
                </c:pt>
                <c:pt idx="2931" formatCode="#,##0.000">
                  <c:v>#N/A</c:v>
                </c:pt>
                <c:pt idx="2932" formatCode="#,##0.000">
                  <c:v>#N/A</c:v>
                </c:pt>
                <c:pt idx="2933" formatCode="#,##0.000">
                  <c:v>#N/A</c:v>
                </c:pt>
                <c:pt idx="2934" formatCode="#,##0.000">
                  <c:v>#N/A</c:v>
                </c:pt>
                <c:pt idx="2935" formatCode="#,##0.000">
                  <c:v>#N/A</c:v>
                </c:pt>
                <c:pt idx="2936" formatCode="#,##0.000">
                  <c:v>#N/A</c:v>
                </c:pt>
                <c:pt idx="2937" formatCode="#,##0.000">
                  <c:v>#N/A</c:v>
                </c:pt>
                <c:pt idx="2938" formatCode="#,##0.000">
                  <c:v>#N/A</c:v>
                </c:pt>
                <c:pt idx="2939" formatCode="#,##0.000">
                  <c:v>#N/A</c:v>
                </c:pt>
                <c:pt idx="2940" formatCode="#,##0.000">
                  <c:v>#N/A</c:v>
                </c:pt>
                <c:pt idx="2941" formatCode="#,##0.000">
                  <c:v>#N/A</c:v>
                </c:pt>
                <c:pt idx="2942" formatCode="#,##0.000">
                  <c:v>#N/A</c:v>
                </c:pt>
                <c:pt idx="2943" formatCode="#,##0.000">
                  <c:v>#N/A</c:v>
                </c:pt>
                <c:pt idx="2944" formatCode="#,##0.000">
                  <c:v>#N/A</c:v>
                </c:pt>
                <c:pt idx="2945" formatCode="#,##0.000">
                  <c:v>#N/A</c:v>
                </c:pt>
                <c:pt idx="2946" formatCode="#,##0.000">
                  <c:v>#N/A</c:v>
                </c:pt>
                <c:pt idx="2947" formatCode="#,##0.000">
                  <c:v>#N/A</c:v>
                </c:pt>
                <c:pt idx="2948" formatCode="#,##0.000">
                  <c:v>#N/A</c:v>
                </c:pt>
                <c:pt idx="2949" formatCode="#,##0.000">
                  <c:v>#N/A</c:v>
                </c:pt>
                <c:pt idx="2950" formatCode="#,##0.000">
                  <c:v>#N/A</c:v>
                </c:pt>
                <c:pt idx="2951" formatCode="#,##0.000">
                  <c:v>#N/A</c:v>
                </c:pt>
                <c:pt idx="2952" formatCode="#,##0.000">
                  <c:v>#N/A</c:v>
                </c:pt>
                <c:pt idx="2953" formatCode="#,##0.000">
                  <c:v>#N/A</c:v>
                </c:pt>
                <c:pt idx="2954" formatCode="#,##0.000">
                  <c:v>#N/A</c:v>
                </c:pt>
                <c:pt idx="2955" formatCode="#,##0.000">
                  <c:v>#N/A</c:v>
                </c:pt>
                <c:pt idx="2956" formatCode="#,##0.000">
                  <c:v>#N/A</c:v>
                </c:pt>
                <c:pt idx="2957" formatCode="#,##0.000">
                  <c:v>#N/A</c:v>
                </c:pt>
                <c:pt idx="2958" formatCode="#,##0.000">
                  <c:v>#N/A</c:v>
                </c:pt>
                <c:pt idx="2959" formatCode="#,##0.000">
                  <c:v>#N/A</c:v>
                </c:pt>
                <c:pt idx="2960" formatCode="#,##0.000">
                  <c:v>#N/A</c:v>
                </c:pt>
                <c:pt idx="2961" formatCode="#,##0.000">
                  <c:v>#N/A</c:v>
                </c:pt>
                <c:pt idx="2962" formatCode="#,##0.000">
                  <c:v>#N/A</c:v>
                </c:pt>
                <c:pt idx="2963" formatCode="#,##0.000">
                  <c:v>#N/A</c:v>
                </c:pt>
                <c:pt idx="2964" formatCode="#,##0.000">
                  <c:v>#N/A</c:v>
                </c:pt>
                <c:pt idx="2965" formatCode="#,##0.000">
                  <c:v>#N/A</c:v>
                </c:pt>
                <c:pt idx="2966" formatCode="#,##0.000">
                  <c:v>#N/A</c:v>
                </c:pt>
                <c:pt idx="2967" formatCode="#,##0.000">
                  <c:v>#N/A</c:v>
                </c:pt>
                <c:pt idx="2968" formatCode="#,##0.000">
                  <c:v>#N/A</c:v>
                </c:pt>
                <c:pt idx="2969" formatCode="#,##0.000">
                  <c:v>#N/A</c:v>
                </c:pt>
                <c:pt idx="2970" formatCode="#,##0.000">
                  <c:v>#N/A</c:v>
                </c:pt>
                <c:pt idx="2971" formatCode="#,##0.000">
                  <c:v>#N/A</c:v>
                </c:pt>
                <c:pt idx="2972" formatCode="#,##0.000">
                  <c:v>#N/A</c:v>
                </c:pt>
                <c:pt idx="2973" formatCode="#,##0.000">
                  <c:v>#N/A</c:v>
                </c:pt>
                <c:pt idx="2974" formatCode="#,##0.000">
                  <c:v>#N/A</c:v>
                </c:pt>
                <c:pt idx="2975" formatCode="#,##0.000">
                  <c:v>#N/A</c:v>
                </c:pt>
                <c:pt idx="2976" formatCode="#,##0.000">
                  <c:v>#N/A</c:v>
                </c:pt>
                <c:pt idx="2977" formatCode="#,##0.000">
                  <c:v>#N/A</c:v>
                </c:pt>
                <c:pt idx="2978" formatCode="#,##0.000">
                  <c:v>#N/A</c:v>
                </c:pt>
                <c:pt idx="2979" formatCode="#,##0.000">
                  <c:v>#N/A</c:v>
                </c:pt>
                <c:pt idx="2980" formatCode="#,##0.000">
                  <c:v>#N/A</c:v>
                </c:pt>
                <c:pt idx="2981" formatCode="#,##0.000">
                  <c:v>#N/A</c:v>
                </c:pt>
                <c:pt idx="2982" formatCode="#,##0.000">
                  <c:v>#N/A</c:v>
                </c:pt>
                <c:pt idx="2983" formatCode="#,##0.000">
                  <c:v>#N/A</c:v>
                </c:pt>
                <c:pt idx="2984" formatCode="#,##0.000">
                  <c:v>#N/A</c:v>
                </c:pt>
                <c:pt idx="2985" formatCode="#,##0.000">
                  <c:v>#N/A</c:v>
                </c:pt>
                <c:pt idx="2986" formatCode="#,##0.000">
                  <c:v>#N/A</c:v>
                </c:pt>
                <c:pt idx="2987" formatCode="#,##0.000">
                  <c:v>#N/A</c:v>
                </c:pt>
                <c:pt idx="2988" formatCode="#,##0.000">
                  <c:v>#N/A</c:v>
                </c:pt>
                <c:pt idx="2989" formatCode="#,##0.000">
                  <c:v>#N/A</c:v>
                </c:pt>
                <c:pt idx="2990" formatCode="#,##0.000">
                  <c:v>#N/A</c:v>
                </c:pt>
                <c:pt idx="2991" formatCode="#,##0.000">
                  <c:v>#N/A</c:v>
                </c:pt>
                <c:pt idx="2992" formatCode="#,##0.000">
                  <c:v>#N/A</c:v>
                </c:pt>
                <c:pt idx="2993" formatCode="#,##0.000">
                  <c:v>#N/A</c:v>
                </c:pt>
                <c:pt idx="2994" formatCode="#,##0.000">
                  <c:v>#N/A</c:v>
                </c:pt>
                <c:pt idx="2995" formatCode="#,##0.000">
                  <c:v>#N/A</c:v>
                </c:pt>
                <c:pt idx="2996" formatCode="#,##0.000">
                  <c:v>#N/A</c:v>
                </c:pt>
                <c:pt idx="2997" formatCode="#,##0.000">
                  <c:v>#N/A</c:v>
                </c:pt>
                <c:pt idx="2998" formatCode="#,##0.000">
                  <c:v>#N/A</c:v>
                </c:pt>
                <c:pt idx="2999" formatCode="#,##0.000">
                  <c:v>#N/A</c:v>
                </c:pt>
                <c:pt idx="3000" formatCode="#,##0.000">
                  <c:v>#N/A</c:v>
                </c:pt>
                <c:pt idx="3001" formatCode="#,##0.000">
                  <c:v>#N/A</c:v>
                </c:pt>
                <c:pt idx="3002" formatCode="#,##0.000">
                  <c:v>#N/A</c:v>
                </c:pt>
                <c:pt idx="3003" formatCode="#,##0.000">
                  <c:v>#N/A</c:v>
                </c:pt>
                <c:pt idx="3004" formatCode="#,##0.000">
                  <c:v>#N/A</c:v>
                </c:pt>
                <c:pt idx="3005" formatCode="#,##0.000">
                  <c:v>#N/A</c:v>
                </c:pt>
                <c:pt idx="3006" formatCode="#,##0.000">
                  <c:v>#N/A</c:v>
                </c:pt>
                <c:pt idx="3007" formatCode="#,##0.000">
                  <c:v>#N/A</c:v>
                </c:pt>
                <c:pt idx="3008" formatCode="#,##0.000">
                  <c:v>#N/A</c:v>
                </c:pt>
                <c:pt idx="3009" formatCode="#,##0.000">
                  <c:v>#N/A</c:v>
                </c:pt>
                <c:pt idx="3010" formatCode="#,##0.000">
                  <c:v>#N/A</c:v>
                </c:pt>
                <c:pt idx="3011" formatCode="#,##0.000">
                  <c:v>#N/A</c:v>
                </c:pt>
                <c:pt idx="3012" formatCode="#,##0.000">
                  <c:v>#N/A</c:v>
                </c:pt>
                <c:pt idx="3013" formatCode="#,##0.000">
                  <c:v>#N/A</c:v>
                </c:pt>
                <c:pt idx="3014" formatCode="#,##0.000">
                  <c:v>#N/A</c:v>
                </c:pt>
                <c:pt idx="3015" formatCode="#,##0.000">
                  <c:v>#N/A</c:v>
                </c:pt>
                <c:pt idx="3016" formatCode="#,##0.000">
                  <c:v>#N/A</c:v>
                </c:pt>
                <c:pt idx="3017" formatCode="#,##0.000">
                  <c:v>#N/A</c:v>
                </c:pt>
                <c:pt idx="3018" formatCode="#,##0.000">
                  <c:v>#N/A</c:v>
                </c:pt>
                <c:pt idx="3019" formatCode="#,##0.000">
                  <c:v>#N/A</c:v>
                </c:pt>
                <c:pt idx="3020" formatCode="#,##0.000">
                  <c:v>#N/A</c:v>
                </c:pt>
                <c:pt idx="3021" formatCode="#,##0.000">
                  <c:v>#N/A</c:v>
                </c:pt>
                <c:pt idx="3022" formatCode="#,##0.000">
                  <c:v>#N/A</c:v>
                </c:pt>
                <c:pt idx="3023" formatCode="#,##0.000">
                  <c:v>#N/A</c:v>
                </c:pt>
                <c:pt idx="3024" formatCode="#,##0.000">
                  <c:v>#N/A</c:v>
                </c:pt>
                <c:pt idx="3025" formatCode="#,##0.000">
                  <c:v>#N/A</c:v>
                </c:pt>
                <c:pt idx="3026" formatCode="#,##0.000">
                  <c:v>#N/A</c:v>
                </c:pt>
                <c:pt idx="3027" formatCode="#,##0.000">
                  <c:v>#N/A</c:v>
                </c:pt>
                <c:pt idx="3028" formatCode="#,##0.000">
                  <c:v>#N/A</c:v>
                </c:pt>
                <c:pt idx="3029" formatCode="#,##0.000">
                  <c:v>#N/A</c:v>
                </c:pt>
                <c:pt idx="3030" formatCode="#,##0.000">
                  <c:v>#N/A</c:v>
                </c:pt>
                <c:pt idx="3031" formatCode="#,##0.000">
                  <c:v>#N/A</c:v>
                </c:pt>
                <c:pt idx="3032" formatCode="#,##0.000">
                  <c:v>#N/A</c:v>
                </c:pt>
                <c:pt idx="3033" formatCode="#,##0.000">
                  <c:v>#N/A</c:v>
                </c:pt>
                <c:pt idx="3034" formatCode="#,##0.000">
                  <c:v>#N/A</c:v>
                </c:pt>
                <c:pt idx="3035" formatCode="#,##0.000">
                  <c:v>#N/A</c:v>
                </c:pt>
                <c:pt idx="3036" formatCode="#,##0.000">
                  <c:v>#N/A</c:v>
                </c:pt>
                <c:pt idx="3037" formatCode="#,##0.000">
                  <c:v>#N/A</c:v>
                </c:pt>
                <c:pt idx="3038" formatCode="#,##0.000">
                  <c:v>#N/A</c:v>
                </c:pt>
                <c:pt idx="3039" formatCode="#,##0.000">
                  <c:v>#N/A</c:v>
                </c:pt>
                <c:pt idx="3040" formatCode="#,##0.000">
                  <c:v>#N/A</c:v>
                </c:pt>
                <c:pt idx="3041" formatCode="#,##0.000">
                  <c:v>#N/A</c:v>
                </c:pt>
                <c:pt idx="3042" formatCode="#,##0.000">
                  <c:v>#N/A</c:v>
                </c:pt>
                <c:pt idx="3043" formatCode="#,##0.000">
                  <c:v>#N/A</c:v>
                </c:pt>
                <c:pt idx="3044" formatCode="#,##0.000">
                  <c:v>#N/A</c:v>
                </c:pt>
                <c:pt idx="3045" formatCode="#,##0.000">
                  <c:v>#N/A</c:v>
                </c:pt>
                <c:pt idx="3046" formatCode="#,##0.000">
                  <c:v>#N/A</c:v>
                </c:pt>
                <c:pt idx="3047" formatCode="#,##0.000">
                  <c:v>#N/A</c:v>
                </c:pt>
                <c:pt idx="3048" formatCode="#,##0.000">
                  <c:v>#N/A</c:v>
                </c:pt>
                <c:pt idx="3049" formatCode="#,##0.000">
                  <c:v>#N/A</c:v>
                </c:pt>
                <c:pt idx="3050" formatCode="#,##0.000">
                  <c:v>#N/A</c:v>
                </c:pt>
                <c:pt idx="3051" formatCode="#,##0.000">
                  <c:v>#N/A</c:v>
                </c:pt>
                <c:pt idx="3052" formatCode="#,##0.000">
                  <c:v>#N/A</c:v>
                </c:pt>
                <c:pt idx="3053" formatCode="#,##0.000">
                  <c:v>#N/A</c:v>
                </c:pt>
                <c:pt idx="3054" formatCode="#,##0.000">
                  <c:v>#N/A</c:v>
                </c:pt>
                <c:pt idx="3055" formatCode="#,##0.000">
                  <c:v>#N/A</c:v>
                </c:pt>
                <c:pt idx="3056" formatCode="#,##0.000">
                  <c:v>#N/A</c:v>
                </c:pt>
                <c:pt idx="3057" formatCode="#,##0.000">
                  <c:v>#N/A</c:v>
                </c:pt>
                <c:pt idx="3058" formatCode="#,##0.000">
                  <c:v>#N/A</c:v>
                </c:pt>
                <c:pt idx="3059" formatCode="#,##0.000">
                  <c:v>#N/A</c:v>
                </c:pt>
                <c:pt idx="3060" formatCode="#,##0.000">
                  <c:v>#N/A</c:v>
                </c:pt>
                <c:pt idx="3061" formatCode="#,##0.000">
                  <c:v>#N/A</c:v>
                </c:pt>
                <c:pt idx="3062" formatCode="#,##0.000">
                  <c:v>#N/A</c:v>
                </c:pt>
                <c:pt idx="3063" formatCode="#,##0.000">
                  <c:v>#N/A</c:v>
                </c:pt>
                <c:pt idx="3064" formatCode="#,##0.000">
                  <c:v>#N/A</c:v>
                </c:pt>
                <c:pt idx="3065" formatCode="#,##0.000">
                  <c:v>#N/A</c:v>
                </c:pt>
                <c:pt idx="3066" formatCode="#,##0.000">
                  <c:v>#N/A</c:v>
                </c:pt>
                <c:pt idx="3067" formatCode="#,##0.000">
                  <c:v>#N/A</c:v>
                </c:pt>
                <c:pt idx="3068" formatCode="#,##0.000">
                  <c:v>#N/A</c:v>
                </c:pt>
                <c:pt idx="3069" formatCode="#,##0.000">
                  <c:v>#N/A</c:v>
                </c:pt>
                <c:pt idx="3070" formatCode="#,##0.000">
                  <c:v>#N/A</c:v>
                </c:pt>
                <c:pt idx="3071" formatCode="#,##0.000">
                  <c:v>#N/A</c:v>
                </c:pt>
                <c:pt idx="3072" formatCode="#,##0.000">
                  <c:v>#N/A</c:v>
                </c:pt>
                <c:pt idx="3073" formatCode="#,##0.000">
                  <c:v>#N/A</c:v>
                </c:pt>
                <c:pt idx="3074" formatCode="#,##0.000">
                  <c:v>#N/A</c:v>
                </c:pt>
                <c:pt idx="3075" formatCode="#,##0.000">
                  <c:v>#N/A</c:v>
                </c:pt>
                <c:pt idx="3076" formatCode="#,##0.000">
                  <c:v>#N/A</c:v>
                </c:pt>
                <c:pt idx="3077" formatCode="#,##0.000">
                  <c:v>#N/A</c:v>
                </c:pt>
                <c:pt idx="3078" formatCode="#,##0.000">
                  <c:v>#N/A</c:v>
                </c:pt>
                <c:pt idx="3079" formatCode="#,##0.000">
                  <c:v>#N/A</c:v>
                </c:pt>
                <c:pt idx="3080" formatCode="#,##0.000">
                  <c:v>#N/A</c:v>
                </c:pt>
                <c:pt idx="3081" formatCode="#,##0.000">
                  <c:v>#N/A</c:v>
                </c:pt>
                <c:pt idx="3082" formatCode="#,##0.000">
                  <c:v>#N/A</c:v>
                </c:pt>
                <c:pt idx="3083" formatCode="#,##0.000">
                  <c:v>#N/A</c:v>
                </c:pt>
                <c:pt idx="3084" formatCode="#,##0.000">
                  <c:v>#N/A</c:v>
                </c:pt>
                <c:pt idx="3085" formatCode="#,##0.000">
                  <c:v>#N/A</c:v>
                </c:pt>
                <c:pt idx="3086" formatCode="#,##0.000">
                  <c:v>#N/A</c:v>
                </c:pt>
                <c:pt idx="3087" formatCode="#,##0.000">
                  <c:v>#N/A</c:v>
                </c:pt>
                <c:pt idx="3088" formatCode="#,##0.000">
                  <c:v>#N/A</c:v>
                </c:pt>
                <c:pt idx="3089" formatCode="#,##0.000">
                  <c:v>#N/A</c:v>
                </c:pt>
                <c:pt idx="3090" formatCode="#,##0.000">
                  <c:v>#N/A</c:v>
                </c:pt>
                <c:pt idx="3091" formatCode="#,##0.000">
                  <c:v>#N/A</c:v>
                </c:pt>
                <c:pt idx="3092" formatCode="#,##0.000">
                  <c:v>#N/A</c:v>
                </c:pt>
                <c:pt idx="3093" formatCode="#,##0.000">
                  <c:v>#N/A</c:v>
                </c:pt>
                <c:pt idx="3094" formatCode="#,##0.000">
                  <c:v>#N/A</c:v>
                </c:pt>
                <c:pt idx="3095" formatCode="#,##0.000">
                  <c:v>#N/A</c:v>
                </c:pt>
                <c:pt idx="3096" formatCode="#,##0.000">
                  <c:v>#N/A</c:v>
                </c:pt>
                <c:pt idx="3097" formatCode="#,##0.000">
                  <c:v>#N/A</c:v>
                </c:pt>
                <c:pt idx="3098" formatCode="#,##0.000">
                  <c:v>#N/A</c:v>
                </c:pt>
                <c:pt idx="3099" formatCode="#,##0.000">
                  <c:v>#N/A</c:v>
                </c:pt>
                <c:pt idx="3100" formatCode="#,##0.000">
                  <c:v>#N/A</c:v>
                </c:pt>
                <c:pt idx="3101" formatCode="#,##0.000">
                  <c:v>#N/A</c:v>
                </c:pt>
                <c:pt idx="3102" formatCode="#,##0.000">
                  <c:v>#N/A</c:v>
                </c:pt>
                <c:pt idx="3103" formatCode="#,##0.000">
                  <c:v>#N/A</c:v>
                </c:pt>
                <c:pt idx="3104" formatCode="#,##0.000">
                  <c:v>#N/A</c:v>
                </c:pt>
                <c:pt idx="3105" formatCode="#,##0.000">
                  <c:v>#N/A</c:v>
                </c:pt>
                <c:pt idx="3106" formatCode="#,##0.000">
                  <c:v>#N/A</c:v>
                </c:pt>
                <c:pt idx="3107" formatCode="#,##0.000">
                  <c:v>#N/A</c:v>
                </c:pt>
                <c:pt idx="3108" formatCode="#,##0.000">
                  <c:v>#N/A</c:v>
                </c:pt>
                <c:pt idx="3109" formatCode="#,##0.000">
                  <c:v>#N/A</c:v>
                </c:pt>
                <c:pt idx="3110" formatCode="#,##0.000">
                  <c:v>#N/A</c:v>
                </c:pt>
                <c:pt idx="3111" formatCode="#,##0.000">
                  <c:v>#N/A</c:v>
                </c:pt>
                <c:pt idx="3112" formatCode="#,##0.000">
                  <c:v>#N/A</c:v>
                </c:pt>
                <c:pt idx="3113" formatCode="#,##0.000">
                  <c:v>#N/A</c:v>
                </c:pt>
                <c:pt idx="3114" formatCode="#,##0.000">
                  <c:v>#N/A</c:v>
                </c:pt>
                <c:pt idx="3115" formatCode="#,##0.000">
                  <c:v>#N/A</c:v>
                </c:pt>
                <c:pt idx="3116" formatCode="#,##0.000">
                  <c:v>#N/A</c:v>
                </c:pt>
                <c:pt idx="3117" formatCode="#,##0.000">
                  <c:v>#N/A</c:v>
                </c:pt>
                <c:pt idx="3118" formatCode="#,##0.000">
                  <c:v>#N/A</c:v>
                </c:pt>
                <c:pt idx="3119" formatCode="#,##0.000">
                  <c:v>#N/A</c:v>
                </c:pt>
                <c:pt idx="3120" formatCode="#,##0.000">
                  <c:v>#N/A</c:v>
                </c:pt>
                <c:pt idx="3121" formatCode="#,##0.000">
                  <c:v>#N/A</c:v>
                </c:pt>
                <c:pt idx="3122" formatCode="#,##0.000">
                  <c:v>#N/A</c:v>
                </c:pt>
                <c:pt idx="3123" formatCode="#,##0.000">
                  <c:v>#N/A</c:v>
                </c:pt>
                <c:pt idx="3124" formatCode="#,##0.000">
                  <c:v>#N/A</c:v>
                </c:pt>
                <c:pt idx="3125" formatCode="#,##0.000">
                  <c:v>#N/A</c:v>
                </c:pt>
                <c:pt idx="3126" formatCode="#,##0.000">
                  <c:v>#N/A</c:v>
                </c:pt>
                <c:pt idx="3127" formatCode="#,##0.000">
                  <c:v>#N/A</c:v>
                </c:pt>
                <c:pt idx="3128" formatCode="#,##0.000">
                  <c:v>#N/A</c:v>
                </c:pt>
                <c:pt idx="3129" formatCode="#,##0.000">
                  <c:v>#N/A</c:v>
                </c:pt>
                <c:pt idx="3130" formatCode="#,##0.000">
                  <c:v>#N/A</c:v>
                </c:pt>
                <c:pt idx="3131" formatCode="#,##0.000">
                  <c:v>#N/A</c:v>
                </c:pt>
                <c:pt idx="3132" formatCode="#,##0.000">
                  <c:v>#N/A</c:v>
                </c:pt>
                <c:pt idx="3133" formatCode="#,##0.000">
                  <c:v>#N/A</c:v>
                </c:pt>
                <c:pt idx="3134" formatCode="#,##0.000">
                  <c:v>#N/A</c:v>
                </c:pt>
                <c:pt idx="3135" formatCode="#,##0.000">
                  <c:v>#N/A</c:v>
                </c:pt>
                <c:pt idx="3136" formatCode="#,##0.000">
                  <c:v>#N/A</c:v>
                </c:pt>
                <c:pt idx="3137" formatCode="#,##0.000">
                  <c:v>#N/A</c:v>
                </c:pt>
                <c:pt idx="3138" formatCode="#,##0.000">
                  <c:v>#N/A</c:v>
                </c:pt>
                <c:pt idx="3139" formatCode="#,##0.000">
                  <c:v>#N/A</c:v>
                </c:pt>
                <c:pt idx="3140" formatCode="#,##0.000">
                  <c:v>#N/A</c:v>
                </c:pt>
                <c:pt idx="3141" formatCode="#,##0.000">
                  <c:v>#N/A</c:v>
                </c:pt>
                <c:pt idx="3142" formatCode="#,##0.000">
                  <c:v>#N/A</c:v>
                </c:pt>
                <c:pt idx="3143" formatCode="#,##0.000">
                  <c:v>#N/A</c:v>
                </c:pt>
                <c:pt idx="3144" formatCode="#,##0.000">
                  <c:v>#N/A</c:v>
                </c:pt>
                <c:pt idx="3145" formatCode="#,##0.000">
                  <c:v>#N/A</c:v>
                </c:pt>
                <c:pt idx="3146" formatCode="#,##0.000">
                  <c:v>#N/A</c:v>
                </c:pt>
                <c:pt idx="3147" formatCode="#,##0.000">
                  <c:v>#N/A</c:v>
                </c:pt>
                <c:pt idx="3148" formatCode="#,##0.000">
                  <c:v>#N/A</c:v>
                </c:pt>
                <c:pt idx="3149" formatCode="#,##0.000">
                  <c:v>#N/A</c:v>
                </c:pt>
                <c:pt idx="3150" formatCode="#,##0.000">
                  <c:v>#N/A</c:v>
                </c:pt>
                <c:pt idx="3151" formatCode="#,##0.000">
                  <c:v>#N/A</c:v>
                </c:pt>
                <c:pt idx="3152" formatCode="#,##0.000">
                  <c:v>#N/A</c:v>
                </c:pt>
                <c:pt idx="3153" formatCode="#,##0.000">
                  <c:v>#N/A</c:v>
                </c:pt>
                <c:pt idx="3154" formatCode="#,##0.000">
                  <c:v>#N/A</c:v>
                </c:pt>
                <c:pt idx="3155" formatCode="#,##0.000">
                  <c:v>#N/A</c:v>
                </c:pt>
                <c:pt idx="3156" formatCode="#,##0.000">
                  <c:v>#N/A</c:v>
                </c:pt>
                <c:pt idx="3157" formatCode="#,##0.000">
                  <c:v>#N/A</c:v>
                </c:pt>
                <c:pt idx="3158" formatCode="#,##0.000">
                  <c:v>#N/A</c:v>
                </c:pt>
                <c:pt idx="3159" formatCode="#,##0.000">
                  <c:v>#N/A</c:v>
                </c:pt>
                <c:pt idx="3160" formatCode="#,##0.000">
                  <c:v>#N/A</c:v>
                </c:pt>
                <c:pt idx="3161" formatCode="#,##0.000">
                  <c:v>#N/A</c:v>
                </c:pt>
                <c:pt idx="3162" formatCode="#,##0.000">
                  <c:v>#N/A</c:v>
                </c:pt>
                <c:pt idx="3163" formatCode="#,##0.000">
                  <c:v>#N/A</c:v>
                </c:pt>
                <c:pt idx="3164" formatCode="#,##0.000">
                  <c:v>#N/A</c:v>
                </c:pt>
                <c:pt idx="3165" formatCode="#,##0.000">
                  <c:v>#N/A</c:v>
                </c:pt>
                <c:pt idx="3166" formatCode="#,##0.000">
                  <c:v>#N/A</c:v>
                </c:pt>
                <c:pt idx="3167" formatCode="#,##0.000">
                  <c:v>#N/A</c:v>
                </c:pt>
                <c:pt idx="3168" formatCode="#,##0.000">
                  <c:v>#N/A</c:v>
                </c:pt>
                <c:pt idx="3169" formatCode="#,##0.000">
                  <c:v>#N/A</c:v>
                </c:pt>
                <c:pt idx="3170" formatCode="#,##0.000">
                  <c:v>#N/A</c:v>
                </c:pt>
                <c:pt idx="3171" formatCode="#,##0.000">
                  <c:v>#N/A</c:v>
                </c:pt>
                <c:pt idx="3172" formatCode="#,##0.000">
                  <c:v>#N/A</c:v>
                </c:pt>
                <c:pt idx="3173" formatCode="#,##0.000">
                  <c:v>#N/A</c:v>
                </c:pt>
                <c:pt idx="3174" formatCode="#,##0.000">
                  <c:v>#N/A</c:v>
                </c:pt>
                <c:pt idx="3175" formatCode="#,##0.000">
                  <c:v>#N/A</c:v>
                </c:pt>
                <c:pt idx="3176" formatCode="#,##0.000">
                  <c:v>#N/A</c:v>
                </c:pt>
                <c:pt idx="3177" formatCode="#,##0.000">
                  <c:v>#N/A</c:v>
                </c:pt>
                <c:pt idx="3178" formatCode="#,##0.000">
                  <c:v>#N/A</c:v>
                </c:pt>
                <c:pt idx="3179" formatCode="#,##0.000">
                  <c:v>#N/A</c:v>
                </c:pt>
                <c:pt idx="3180" formatCode="#,##0.000">
                  <c:v>#N/A</c:v>
                </c:pt>
                <c:pt idx="3181" formatCode="#,##0.000">
                  <c:v>#N/A</c:v>
                </c:pt>
                <c:pt idx="3182" formatCode="#,##0.000">
                  <c:v>#N/A</c:v>
                </c:pt>
                <c:pt idx="3183" formatCode="#,##0.000">
                  <c:v>#N/A</c:v>
                </c:pt>
                <c:pt idx="3184" formatCode="#,##0.000">
                  <c:v>#N/A</c:v>
                </c:pt>
                <c:pt idx="3185" formatCode="#,##0.000">
                  <c:v>#N/A</c:v>
                </c:pt>
                <c:pt idx="3186" formatCode="#,##0.000">
                  <c:v>#N/A</c:v>
                </c:pt>
                <c:pt idx="3187" formatCode="#,##0.000">
                  <c:v>#N/A</c:v>
                </c:pt>
                <c:pt idx="3188" formatCode="#,##0.000">
                  <c:v>#N/A</c:v>
                </c:pt>
                <c:pt idx="3189" formatCode="#,##0.000">
                  <c:v>#N/A</c:v>
                </c:pt>
                <c:pt idx="3190" formatCode="#,##0.000">
                  <c:v>#N/A</c:v>
                </c:pt>
                <c:pt idx="3191" formatCode="#,##0.000">
                  <c:v>#N/A</c:v>
                </c:pt>
                <c:pt idx="3192" formatCode="#,##0.000">
                  <c:v>#N/A</c:v>
                </c:pt>
                <c:pt idx="3193" formatCode="#,##0.000">
                  <c:v>#N/A</c:v>
                </c:pt>
                <c:pt idx="3194" formatCode="#,##0.000">
                  <c:v>#N/A</c:v>
                </c:pt>
                <c:pt idx="3195" formatCode="#,##0.000">
                  <c:v>#N/A</c:v>
                </c:pt>
                <c:pt idx="3196" formatCode="#,##0.000">
                  <c:v>#N/A</c:v>
                </c:pt>
                <c:pt idx="3197" formatCode="#,##0.000">
                  <c:v>#N/A</c:v>
                </c:pt>
                <c:pt idx="3198" formatCode="#,##0.000">
                  <c:v>#N/A</c:v>
                </c:pt>
                <c:pt idx="3199" formatCode="#,##0.000">
                  <c:v>#N/A</c:v>
                </c:pt>
                <c:pt idx="3200" formatCode="#,##0.000">
                  <c:v>#N/A</c:v>
                </c:pt>
                <c:pt idx="3201" formatCode="#,##0.000">
                  <c:v>#N/A</c:v>
                </c:pt>
                <c:pt idx="3202" formatCode="#,##0.000">
                  <c:v>#N/A</c:v>
                </c:pt>
                <c:pt idx="3203" formatCode="#,##0.000">
                  <c:v>#N/A</c:v>
                </c:pt>
                <c:pt idx="3204" formatCode="#,##0.000">
                  <c:v>#N/A</c:v>
                </c:pt>
                <c:pt idx="3205" formatCode="#,##0.000">
                  <c:v>#N/A</c:v>
                </c:pt>
                <c:pt idx="3206" formatCode="#,##0.000">
                  <c:v>#N/A</c:v>
                </c:pt>
                <c:pt idx="3207" formatCode="#,##0.000">
                  <c:v>#N/A</c:v>
                </c:pt>
                <c:pt idx="3208" formatCode="#,##0.000">
                  <c:v>#N/A</c:v>
                </c:pt>
                <c:pt idx="3209" formatCode="#,##0.000">
                  <c:v>#N/A</c:v>
                </c:pt>
                <c:pt idx="3210" formatCode="#,##0.000">
                  <c:v>#N/A</c:v>
                </c:pt>
                <c:pt idx="3211" formatCode="#,##0.000">
                  <c:v>#N/A</c:v>
                </c:pt>
                <c:pt idx="3212" formatCode="#,##0.000">
                  <c:v>#N/A</c:v>
                </c:pt>
                <c:pt idx="3213" formatCode="#,##0.000">
                  <c:v>#N/A</c:v>
                </c:pt>
                <c:pt idx="3214" formatCode="#,##0.000">
                  <c:v>#N/A</c:v>
                </c:pt>
                <c:pt idx="3215" formatCode="#,##0.000">
                  <c:v>#N/A</c:v>
                </c:pt>
                <c:pt idx="3216" formatCode="#,##0.000">
                  <c:v>#N/A</c:v>
                </c:pt>
                <c:pt idx="3217" formatCode="#,##0.000">
                  <c:v>#N/A</c:v>
                </c:pt>
                <c:pt idx="3218" formatCode="#,##0.000">
                  <c:v>#N/A</c:v>
                </c:pt>
                <c:pt idx="3219" formatCode="#,##0.000">
                  <c:v>#N/A</c:v>
                </c:pt>
                <c:pt idx="3220" formatCode="#,##0.000">
                  <c:v>#N/A</c:v>
                </c:pt>
                <c:pt idx="3221" formatCode="#,##0.000">
                  <c:v>#N/A</c:v>
                </c:pt>
                <c:pt idx="3222" formatCode="#,##0.000">
                  <c:v>#N/A</c:v>
                </c:pt>
                <c:pt idx="3223" formatCode="#,##0.000">
                  <c:v>#N/A</c:v>
                </c:pt>
                <c:pt idx="3224" formatCode="#,##0.000">
                  <c:v>#N/A</c:v>
                </c:pt>
                <c:pt idx="3225" formatCode="#,##0.000">
                  <c:v>#N/A</c:v>
                </c:pt>
                <c:pt idx="3226" formatCode="#,##0.000">
                  <c:v>#N/A</c:v>
                </c:pt>
                <c:pt idx="3227" formatCode="#,##0.000">
                  <c:v>#N/A</c:v>
                </c:pt>
                <c:pt idx="3228" formatCode="#,##0.000">
                  <c:v>#N/A</c:v>
                </c:pt>
                <c:pt idx="3229" formatCode="#,##0.000">
                  <c:v>#N/A</c:v>
                </c:pt>
                <c:pt idx="3230" formatCode="#,##0.000">
                  <c:v>#N/A</c:v>
                </c:pt>
                <c:pt idx="3231" formatCode="#,##0.000">
                  <c:v>#N/A</c:v>
                </c:pt>
                <c:pt idx="3232" formatCode="#,##0.000">
                  <c:v>#N/A</c:v>
                </c:pt>
                <c:pt idx="3233" formatCode="#,##0.000">
                  <c:v>#N/A</c:v>
                </c:pt>
                <c:pt idx="3234" formatCode="#,##0.000">
                  <c:v>#N/A</c:v>
                </c:pt>
                <c:pt idx="3235" formatCode="#,##0.000">
                  <c:v>#N/A</c:v>
                </c:pt>
                <c:pt idx="3236" formatCode="#,##0.000">
                  <c:v>#N/A</c:v>
                </c:pt>
                <c:pt idx="3237" formatCode="#,##0.000">
                  <c:v>#N/A</c:v>
                </c:pt>
                <c:pt idx="3238" formatCode="#,##0.000">
                  <c:v>#N/A</c:v>
                </c:pt>
                <c:pt idx="3239" formatCode="#,##0.000">
                  <c:v>#N/A</c:v>
                </c:pt>
                <c:pt idx="3240" formatCode="#,##0.000">
                  <c:v>#N/A</c:v>
                </c:pt>
                <c:pt idx="3241" formatCode="#,##0.000">
                  <c:v>#N/A</c:v>
                </c:pt>
                <c:pt idx="3242" formatCode="#,##0.000">
                  <c:v>#N/A</c:v>
                </c:pt>
                <c:pt idx="3243" formatCode="#,##0.000">
                  <c:v>#N/A</c:v>
                </c:pt>
                <c:pt idx="3244" formatCode="#,##0.000">
                  <c:v>#N/A</c:v>
                </c:pt>
                <c:pt idx="3245" formatCode="#,##0.000">
                  <c:v>#N/A</c:v>
                </c:pt>
                <c:pt idx="3246" formatCode="#,##0.000">
                  <c:v>#N/A</c:v>
                </c:pt>
                <c:pt idx="3247" formatCode="#,##0.000">
                  <c:v>#N/A</c:v>
                </c:pt>
                <c:pt idx="3248" formatCode="#,##0.000">
                  <c:v>#N/A</c:v>
                </c:pt>
                <c:pt idx="3249" formatCode="#,##0.000">
                  <c:v>#N/A</c:v>
                </c:pt>
                <c:pt idx="3250" formatCode="#,##0.000">
                  <c:v>#N/A</c:v>
                </c:pt>
                <c:pt idx="3251" formatCode="#,##0.000">
                  <c:v>#N/A</c:v>
                </c:pt>
                <c:pt idx="3252" formatCode="#,##0.000">
                  <c:v>#N/A</c:v>
                </c:pt>
                <c:pt idx="3253" formatCode="#,##0.000">
                  <c:v>#N/A</c:v>
                </c:pt>
                <c:pt idx="3254" formatCode="#,##0.000">
                  <c:v>#N/A</c:v>
                </c:pt>
                <c:pt idx="3255" formatCode="#,##0.000">
                  <c:v>#N/A</c:v>
                </c:pt>
                <c:pt idx="3256" formatCode="#,##0.000">
                  <c:v>#N/A</c:v>
                </c:pt>
                <c:pt idx="3257" formatCode="#,##0.000">
                  <c:v>#N/A</c:v>
                </c:pt>
                <c:pt idx="3258" formatCode="#,##0.000">
                  <c:v>#N/A</c:v>
                </c:pt>
                <c:pt idx="3259" formatCode="#,##0.000">
                  <c:v>#N/A</c:v>
                </c:pt>
                <c:pt idx="3260" formatCode="#,##0.000">
                  <c:v>#N/A</c:v>
                </c:pt>
                <c:pt idx="3261" formatCode="#,##0.000">
                  <c:v>#N/A</c:v>
                </c:pt>
                <c:pt idx="3262" formatCode="#,##0.000">
                  <c:v>#N/A</c:v>
                </c:pt>
                <c:pt idx="3263" formatCode="#,##0.000">
                  <c:v>#N/A</c:v>
                </c:pt>
                <c:pt idx="3264" formatCode="#,##0.000">
                  <c:v>#N/A</c:v>
                </c:pt>
                <c:pt idx="3265" formatCode="#,##0.000">
                  <c:v>#N/A</c:v>
                </c:pt>
                <c:pt idx="3266" formatCode="#,##0.000">
                  <c:v>#N/A</c:v>
                </c:pt>
                <c:pt idx="3267" formatCode="#,##0.000">
                  <c:v>#N/A</c:v>
                </c:pt>
                <c:pt idx="3268" formatCode="#,##0.000">
                  <c:v>#N/A</c:v>
                </c:pt>
                <c:pt idx="3269" formatCode="#,##0.000">
                  <c:v>#N/A</c:v>
                </c:pt>
                <c:pt idx="3270" formatCode="#,##0.000">
                  <c:v>#N/A</c:v>
                </c:pt>
                <c:pt idx="3271" formatCode="#,##0.000">
                  <c:v>#N/A</c:v>
                </c:pt>
                <c:pt idx="3272" formatCode="#,##0.000">
                  <c:v>#N/A</c:v>
                </c:pt>
                <c:pt idx="3273" formatCode="#,##0.000">
                  <c:v>#N/A</c:v>
                </c:pt>
                <c:pt idx="3274" formatCode="#,##0.000">
                  <c:v>#N/A</c:v>
                </c:pt>
                <c:pt idx="3275" formatCode="#,##0.000">
                  <c:v>#N/A</c:v>
                </c:pt>
                <c:pt idx="3276" formatCode="#,##0.000">
                  <c:v>#N/A</c:v>
                </c:pt>
                <c:pt idx="3277" formatCode="#,##0.000">
                  <c:v>#N/A</c:v>
                </c:pt>
                <c:pt idx="3278" formatCode="#,##0.000">
                  <c:v>#N/A</c:v>
                </c:pt>
                <c:pt idx="3279" formatCode="#,##0.000">
                  <c:v>#N/A</c:v>
                </c:pt>
                <c:pt idx="3280" formatCode="#,##0.000">
                  <c:v>#N/A</c:v>
                </c:pt>
                <c:pt idx="3281" formatCode="#,##0.000">
                  <c:v>#N/A</c:v>
                </c:pt>
                <c:pt idx="3282" formatCode="#,##0.000">
                  <c:v>#N/A</c:v>
                </c:pt>
                <c:pt idx="3283" formatCode="#,##0.000">
                  <c:v>#N/A</c:v>
                </c:pt>
                <c:pt idx="3284" formatCode="#,##0.000">
                  <c:v>#N/A</c:v>
                </c:pt>
                <c:pt idx="3285" formatCode="#,##0.000">
                  <c:v>#N/A</c:v>
                </c:pt>
                <c:pt idx="3286" formatCode="#,##0.000">
                  <c:v>#N/A</c:v>
                </c:pt>
                <c:pt idx="3287" formatCode="#,##0.000">
                  <c:v>#N/A</c:v>
                </c:pt>
                <c:pt idx="3288" formatCode="#,##0.000">
                  <c:v>#N/A</c:v>
                </c:pt>
                <c:pt idx="3289" formatCode="#,##0.000">
                  <c:v>#N/A</c:v>
                </c:pt>
                <c:pt idx="3290" formatCode="#,##0.000">
                  <c:v>#N/A</c:v>
                </c:pt>
                <c:pt idx="3291" formatCode="#,##0.000">
                  <c:v>#N/A</c:v>
                </c:pt>
                <c:pt idx="3292" formatCode="#,##0.000">
                  <c:v>#N/A</c:v>
                </c:pt>
                <c:pt idx="3293" formatCode="#,##0.000">
                  <c:v>#N/A</c:v>
                </c:pt>
                <c:pt idx="3294" formatCode="#,##0.000">
                  <c:v>#N/A</c:v>
                </c:pt>
                <c:pt idx="3295" formatCode="#,##0.000">
                  <c:v>#N/A</c:v>
                </c:pt>
                <c:pt idx="3296" formatCode="#,##0.000">
                  <c:v>#N/A</c:v>
                </c:pt>
                <c:pt idx="3297" formatCode="#,##0.000">
                  <c:v>#N/A</c:v>
                </c:pt>
                <c:pt idx="3298" formatCode="#,##0.000">
                  <c:v>#N/A</c:v>
                </c:pt>
                <c:pt idx="3299" formatCode="#,##0.000">
                  <c:v>#N/A</c:v>
                </c:pt>
                <c:pt idx="3300" formatCode="#,##0.000">
                  <c:v>#N/A</c:v>
                </c:pt>
                <c:pt idx="3301" formatCode="#,##0.000">
                  <c:v>#N/A</c:v>
                </c:pt>
                <c:pt idx="3302" formatCode="#,##0.000">
                  <c:v>#N/A</c:v>
                </c:pt>
                <c:pt idx="3303" formatCode="#,##0.000">
                  <c:v>#N/A</c:v>
                </c:pt>
                <c:pt idx="3304" formatCode="#,##0.000">
                  <c:v>#N/A</c:v>
                </c:pt>
                <c:pt idx="3305" formatCode="#,##0.000">
                  <c:v>#N/A</c:v>
                </c:pt>
                <c:pt idx="3306" formatCode="#,##0.000">
                  <c:v>#N/A</c:v>
                </c:pt>
                <c:pt idx="3307" formatCode="#,##0.000">
                  <c:v>#N/A</c:v>
                </c:pt>
                <c:pt idx="3308" formatCode="#,##0.000">
                  <c:v>#N/A</c:v>
                </c:pt>
                <c:pt idx="3309" formatCode="#,##0.000">
                  <c:v>#N/A</c:v>
                </c:pt>
                <c:pt idx="3310" formatCode="#,##0.000">
                  <c:v>#N/A</c:v>
                </c:pt>
                <c:pt idx="3311" formatCode="#,##0.000">
                  <c:v>#N/A</c:v>
                </c:pt>
                <c:pt idx="3312" formatCode="#,##0.000">
                  <c:v>#N/A</c:v>
                </c:pt>
                <c:pt idx="3313" formatCode="#,##0.000">
                  <c:v>#N/A</c:v>
                </c:pt>
                <c:pt idx="3314" formatCode="#,##0.000">
                  <c:v>#N/A</c:v>
                </c:pt>
                <c:pt idx="3315" formatCode="#,##0.000">
                  <c:v>#N/A</c:v>
                </c:pt>
                <c:pt idx="3316" formatCode="#,##0.000">
                  <c:v>#N/A</c:v>
                </c:pt>
                <c:pt idx="3317" formatCode="#,##0.000">
                  <c:v>#N/A</c:v>
                </c:pt>
                <c:pt idx="3318" formatCode="#,##0.000">
                  <c:v>#N/A</c:v>
                </c:pt>
                <c:pt idx="3319" formatCode="#,##0.000">
                  <c:v>#N/A</c:v>
                </c:pt>
                <c:pt idx="3320" formatCode="#,##0.000">
                  <c:v>#N/A</c:v>
                </c:pt>
                <c:pt idx="3321" formatCode="#,##0.000">
                  <c:v>#N/A</c:v>
                </c:pt>
                <c:pt idx="3322" formatCode="#,##0.000">
                  <c:v>#N/A</c:v>
                </c:pt>
                <c:pt idx="3323" formatCode="#,##0.000">
                  <c:v>#N/A</c:v>
                </c:pt>
                <c:pt idx="3324" formatCode="#,##0.000">
                  <c:v>#N/A</c:v>
                </c:pt>
                <c:pt idx="3325" formatCode="#,##0.000">
                  <c:v>#N/A</c:v>
                </c:pt>
                <c:pt idx="3326" formatCode="#,##0.000">
                  <c:v>#N/A</c:v>
                </c:pt>
                <c:pt idx="3327" formatCode="#,##0.000">
                  <c:v>#N/A</c:v>
                </c:pt>
                <c:pt idx="3328" formatCode="#,##0.000">
                  <c:v>#N/A</c:v>
                </c:pt>
                <c:pt idx="3329" formatCode="#,##0.000">
                  <c:v>#N/A</c:v>
                </c:pt>
                <c:pt idx="3330" formatCode="#,##0.000">
                  <c:v>#N/A</c:v>
                </c:pt>
                <c:pt idx="3331" formatCode="#,##0.000">
                  <c:v>#N/A</c:v>
                </c:pt>
                <c:pt idx="3332" formatCode="#,##0.000">
                  <c:v>#N/A</c:v>
                </c:pt>
                <c:pt idx="3333" formatCode="#,##0.000">
                  <c:v>#N/A</c:v>
                </c:pt>
                <c:pt idx="3334" formatCode="#,##0.000">
                  <c:v>#N/A</c:v>
                </c:pt>
                <c:pt idx="3335" formatCode="#,##0.000">
                  <c:v>#N/A</c:v>
                </c:pt>
                <c:pt idx="3336" formatCode="#,##0.000">
                  <c:v>#N/A</c:v>
                </c:pt>
                <c:pt idx="3337" formatCode="#,##0.000">
                  <c:v>#N/A</c:v>
                </c:pt>
                <c:pt idx="3338" formatCode="#,##0.000">
                  <c:v>#N/A</c:v>
                </c:pt>
                <c:pt idx="3339" formatCode="#,##0.000">
                  <c:v>#N/A</c:v>
                </c:pt>
                <c:pt idx="3340" formatCode="#,##0.000">
                  <c:v>#N/A</c:v>
                </c:pt>
                <c:pt idx="3341" formatCode="#,##0.000">
                  <c:v>#N/A</c:v>
                </c:pt>
                <c:pt idx="3342" formatCode="#,##0.000">
                  <c:v>#N/A</c:v>
                </c:pt>
                <c:pt idx="3343" formatCode="#,##0.000">
                  <c:v>#N/A</c:v>
                </c:pt>
                <c:pt idx="3344" formatCode="#,##0.000">
                  <c:v>#N/A</c:v>
                </c:pt>
                <c:pt idx="3345" formatCode="#,##0.000">
                  <c:v>#N/A</c:v>
                </c:pt>
                <c:pt idx="3346" formatCode="#,##0.000">
                  <c:v>#N/A</c:v>
                </c:pt>
                <c:pt idx="3347" formatCode="#,##0.000">
                  <c:v>#N/A</c:v>
                </c:pt>
                <c:pt idx="3348" formatCode="#,##0.000">
                  <c:v>#N/A</c:v>
                </c:pt>
                <c:pt idx="3349" formatCode="#,##0.000">
                  <c:v>#N/A</c:v>
                </c:pt>
                <c:pt idx="3350" formatCode="#,##0.000">
                  <c:v>#N/A</c:v>
                </c:pt>
                <c:pt idx="3351" formatCode="#,##0.000">
                  <c:v>#N/A</c:v>
                </c:pt>
                <c:pt idx="3352" formatCode="#,##0.000">
                  <c:v>#N/A</c:v>
                </c:pt>
                <c:pt idx="3353" formatCode="#,##0.000">
                  <c:v>#N/A</c:v>
                </c:pt>
                <c:pt idx="3354" formatCode="#,##0.000">
                  <c:v>#N/A</c:v>
                </c:pt>
                <c:pt idx="3355" formatCode="#,##0.000">
                  <c:v>#N/A</c:v>
                </c:pt>
                <c:pt idx="3356" formatCode="#,##0.000">
                  <c:v>#N/A</c:v>
                </c:pt>
                <c:pt idx="3357" formatCode="#,##0.000">
                  <c:v>#N/A</c:v>
                </c:pt>
                <c:pt idx="3358" formatCode="#,##0.000">
                  <c:v>#N/A</c:v>
                </c:pt>
                <c:pt idx="3359" formatCode="#,##0.000">
                  <c:v>#N/A</c:v>
                </c:pt>
                <c:pt idx="3360" formatCode="#,##0.000">
                  <c:v>#N/A</c:v>
                </c:pt>
                <c:pt idx="3361" formatCode="#,##0.000">
                  <c:v>#N/A</c:v>
                </c:pt>
                <c:pt idx="3362" formatCode="#,##0.000">
                  <c:v>#N/A</c:v>
                </c:pt>
                <c:pt idx="3363" formatCode="#,##0.000">
                  <c:v>#N/A</c:v>
                </c:pt>
                <c:pt idx="3364" formatCode="#,##0.000">
                  <c:v>#N/A</c:v>
                </c:pt>
                <c:pt idx="3365" formatCode="#,##0.000">
                  <c:v>#N/A</c:v>
                </c:pt>
                <c:pt idx="3366" formatCode="#,##0.000">
                  <c:v>#N/A</c:v>
                </c:pt>
                <c:pt idx="3367" formatCode="#,##0.000">
                  <c:v>#N/A</c:v>
                </c:pt>
                <c:pt idx="3368" formatCode="#,##0.000">
                  <c:v>#N/A</c:v>
                </c:pt>
                <c:pt idx="3369" formatCode="#,##0.000">
                  <c:v>#N/A</c:v>
                </c:pt>
                <c:pt idx="3370" formatCode="#,##0.000">
                  <c:v>#N/A</c:v>
                </c:pt>
                <c:pt idx="3371" formatCode="#,##0.000">
                  <c:v>#N/A</c:v>
                </c:pt>
                <c:pt idx="3372" formatCode="#,##0.000">
                  <c:v>#N/A</c:v>
                </c:pt>
                <c:pt idx="3373" formatCode="#,##0.000">
                  <c:v>#N/A</c:v>
                </c:pt>
                <c:pt idx="3374" formatCode="#,##0.000">
                  <c:v>#N/A</c:v>
                </c:pt>
                <c:pt idx="3375" formatCode="#,##0.000">
                  <c:v>#N/A</c:v>
                </c:pt>
                <c:pt idx="3376" formatCode="#,##0.000">
                  <c:v>#N/A</c:v>
                </c:pt>
                <c:pt idx="3377" formatCode="#,##0.000">
                  <c:v>#N/A</c:v>
                </c:pt>
                <c:pt idx="3378" formatCode="#,##0.000">
                  <c:v>#N/A</c:v>
                </c:pt>
                <c:pt idx="3379" formatCode="#,##0.000">
                  <c:v>#N/A</c:v>
                </c:pt>
                <c:pt idx="3380" formatCode="#,##0.000">
                  <c:v>#N/A</c:v>
                </c:pt>
                <c:pt idx="3381" formatCode="#,##0.000">
                  <c:v>#N/A</c:v>
                </c:pt>
                <c:pt idx="3382" formatCode="#,##0.000">
                  <c:v>#N/A</c:v>
                </c:pt>
                <c:pt idx="3383" formatCode="#,##0.000">
                  <c:v>#N/A</c:v>
                </c:pt>
                <c:pt idx="3384" formatCode="#,##0.000">
                  <c:v>#N/A</c:v>
                </c:pt>
                <c:pt idx="3385" formatCode="#,##0.000">
                  <c:v>#N/A</c:v>
                </c:pt>
                <c:pt idx="3386" formatCode="#,##0.000">
                  <c:v>#N/A</c:v>
                </c:pt>
                <c:pt idx="3387" formatCode="#,##0.000">
                  <c:v>#N/A</c:v>
                </c:pt>
                <c:pt idx="3388" formatCode="#,##0.000">
                  <c:v>#N/A</c:v>
                </c:pt>
                <c:pt idx="3389" formatCode="#,##0.000">
                  <c:v>#N/A</c:v>
                </c:pt>
                <c:pt idx="3390" formatCode="#,##0.000">
                  <c:v>#N/A</c:v>
                </c:pt>
                <c:pt idx="3391" formatCode="#,##0.000">
                  <c:v>#N/A</c:v>
                </c:pt>
                <c:pt idx="3392" formatCode="#,##0.000">
                  <c:v>#N/A</c:v>
                </c:pt>
                <c:pt idx="3393" formatCode="#,##0.000">
                  <c:v>#N/A</c:v>
                </c:pt>
                <c:pt idx="3394" formatCode="#,##0.000">
                  <c:v>#N/A</c:v>
                </c:pt>
                <c:pt idx="3395" formatCode="#,##0.000">
                  <c:v>#N/A</c:v>
                </c:pt>
                <c:pt idx="3396" formatCode="#,##0.000">
                  <c:v>#N/A</c:v>
                </c:pt>
                <c:pt idx="3397" formatCode="#,##0.000">
                  <c:v>#N/A</c:v>
                </c:pt>
                <c:pt idx="3398" formatCode="#,##0.000">
                  <c:v>#N/A</c:v>
                </c:pt>
                <c:pt idx="3399" formatCode="#,##0.000">
                  <c:v>#N/A</c:v>
                </c:pt>
                <c:pt idx="3400" formatCode="#,##0.000">
                  <c:v>#N/A</c:v>
                </c:pt>
                <c:pt idx="3401" formatCode="#,##0.000">
                  <c:v>#N/A</c:v>
                </c:pt>
                <c:pt idx="3402" formatCode="#,##0.000">
                  <c:v>#N/A</c:v>
                </c:pt>
                <c:pt idx="3403" formatCode="#,##0.000">
                  <c:v>#N/A</c:v>
                </c:pt>
                <c:pt idx="3404" formatCode="#,##0.000">
                  <c:v>#N/A</c:v>
                </c:pt>
                <c:pt idx="3405" formatCode="#,##0.000">
                  <c:v>#N/A</c:v>
                </c:pt>
                <c:pt idx="3406" formatCode="#,##0.000">
                  <c:v>#N/A</c:v>
                </c:pt>
                <c:pt idx="3407" formatCode="#,##0.000">
                  <c:v>#N/A</c:v>
                </c:pt>
                <c:pt idx="3408" formatCode="#,##0.000">
                  <c:v>#N/A</c:v>
                </c:pt>
                <c:pt idx="3409" formatCode="#,##0.000">
                  <c:v>#N/A</c:v>
                </c:pt>
                <c:pt idx="3410" formatCode="#,##0.000">
                  <c:v>#N/A</c:v>
                </c:pt>
                <c:pt idx="3411" formatCode="#,##0.000">
                  <c:v>#N/A</c:v>
                </c:pt>
                <c:pt idx="3412" formatCode="#,##0.000">
                  <c:v>#N/A</c:v>
                </c:pt>
                <c:pt idx="3413" formatCode="#,##0.000">
                  <c:v>#N/A</c:v>
                </c:pt>
                <c:pt idx="3414" formatCode="#,##0.000">
                  <c:v>#N/A</c:v>
                </c:pt>
                <c:pt idx="3415" formatCode="#,##0.000">
                  <c:v>#N/A</c:v>
                </c:pt>
                <c:pt idx="3416" formatCode="#,##0.000">
                  <c:v>#N/A</c:v>
                </c:pt>
                <c:pt idx="3417" formatCode="#,##0.000">
                  <c:v>#N/A</c:v>
                </c:pt>
                <c:pt idx="3418" formatCode="#,##0.000">
                  <c:v>#N/A</c:v>
                </c:pt>
                <c:pt idx="3419" formatCode="#,##0.000">
                  <c:v>#N/A</c:v>
                </c:pt>
                <c:pt idx="3420" formatCode="#,##0.000">
                  <c:v>#N/A</c:v>
                </c:pt>
                <c:pt idx="3421" formatCode="#,##0.000">
                  <c:v>#N/A</c:v>
                </c:pt>
                <c:pt idx="3422" formatCode="#,##0.000">
                  <c:v>#N/A</c:v>
                </c:pt>
                <c:pt idx="3423" formatCode="#,##0.000">
                  <c:v>#N/A</c:v>
                </c:pt>
                <c:pt idx="3424" formatCode="#,##0.000">
                  <c:v>#N/A</c:v>
                </c:pt>
                <c:pt idx="3425" formatCode="#,##0.000">
                  <c:v>#N/A</c:v>
                </c:pt>
                <c:pt idx="3426" formatCode="#,##0.000">
                  <c:v>#N/A</c:v>
                </c:pt>
                <c:pt idx="3427" formatCode="#,##0.000">
                  <c:v>#N/A</c:v>
                </c:pt>
                <c:pt idx="3428" formatCode="#,##0.000">
                  <c:v>#N/A</c:v>
                </c:pt>
                <c:pt idx="3429" formatCode="#,##0.000">
                  <c:v>#N/A</c:v>
                </c:pt>
                <c:pt idx="3430" formatCode="#,##0.000">
                  <c:v>#N/A</c:v>
                </c:pt>
                <c:pt idx="3431" formatCode="#,##0.000">
                  <c:v>#N/A</c:v>
                </c:pt>
                <c:pt idx="3432" formatCode="#,##0.000">
                  <c:v>#N/A</c:v>
                </c:pt>
                <c:pt idx="3433" formatCode="#,##0.000">
                  <c:v>#N/A</c:v>
                </c:pt>
                <c:pt idx="3434" formatCode="#,##0.000">
                  <c:v>#N/A</c:v>
                </c:pt>
                <c:pt idx="3435" formatCode="#,##0.000">
                  <c:v>#N/A</c:v>
                </c:pt>
                <c:pt idx="3436" formatCode="#,##0.000">
                  <c:v>#N/A</c:v>
                </c:pt>
                <c:pt idx="3437" formatCode="#,##0.000">
                  <c:v>#N/A</c:v>
                </c:pt>
                <c:pt idx="3438" formatCode="#,##0.000">
                  <c:v>#N/A</c:v>
                </c:pt>
                <c:pt idx="3439" formatCode="#,##0.000">
                  <c:v>#N/A</c:v>
                </c:pt>
                <c:pt idx="3440" formatCode="#,##0.000">
                  <c:v>#N/A</c:v>
                </c:pt>
                <c:pt idx="3441" formatCode="#,##0.000">
                  <c:v>#N/A</c:v>
                </c:pt>
                <c:pt idx="3442" formatCode="#,##0.000">
                  <c:v>#N/A</c:v>
                </c:pt>
                <c:pt idx="3443" formatCode="#,##0.000">
                  <c:v>#N/A</c:v>
                </c:pt>
                <c:pt idx="3444" formatCode="#,##0.000">
                  <c:v>#N/A</c:v>
                </c:pt>
                <c:pt idx="3445" formatCode="#,##0.000">
                  <c:v>#N/A</c:v>
                </c:pt>
                <c:pt idx="3446" formatCode="#,##0.000">
                  <c:v>#N/A</c:v>
                </c:pt>
                <c:pt idx="3447" formatCode="#,##0.000">
                  <c:v>#N/A</c:v>
                </c:pt>
                <c:pt idx="3448" formatCode="#,##0.000">
                  <c:v>#N/A</c:v>
                </c:pt>
                <c:pt idx="3449" formatCode="#,##0.000">
                  <c:v>#N/A</c:v>
                </c:pt>
                <c:pt idx="3450" formatCode="#,##0.000">
                  <c:v>#N/A</c:v>
                </c:pt>
                <c:pt idx="3451" formatCode="#,##0.000">
                  <c:v>#N/A</c:v>
                </c:pt>
                <c:pt idx="3452" formatCode="#,##0.000">
                  <c:v>#N/A</c:v>
                </c:pt>
                <c:pt idx="3453" formatCode="#,##0.000">
                  <c:v>#N/A</c:v>
                </c:pt>
                <c:pt idx="3454" formatCode="#,##0.000">
                  <c:v>#N/A</c:v>
                </c:pt>
                <c:pt idx="3455" formatCode="#,##0.000">
                  <c:v>#N/A</c:v>
                </c:pt>
                <c:pt idx="3456" formatCode="#,##0.000">
                  <c:v>#N/A</c:v>
                </c:pt>
                <c:pt idx="3457" formatCode="#,##0.000">
                  <c:v>#N/A</c:v>
                </c:pt>
                <c:pt idx="3458" formatCode="#,##0.000">
                  <c:v>#N/A</c:v>
                </c:pt>
                <c:pt idx="3459" formatCode="#,##0.000">
                  <c:v>#N/A</c:v>
                </c:pt>
                <c:pt idx="3460" formatCode="#,##0.000">
                  <c:v>#N/A</c:v>
                </c:pt>
                <c:pt idx="3461" formatCode="#,##0.000">
                  <c:v>#N/A</c:v>
                </c:pt>
                <c:pt idx="3462" formatCode="#,##0.000">
                  <c:v>#N/A</c:v>
                </c:pt>
                <c:pt idx="3463" formatCode="#,##0.000">
                  <c:v>#N/A</c:v>
                </c:pt>
                <c:pt idx="3464" formatCode="#,##0.000">
                  <c:v>#N/A</c:v>
                </c:pt>
                <c:pt idx="3465" formatCode="#,##0.000">
                  <c:v>#N/A</c:v>
                </c:pt>
                <c:pt idx="3466" formatCode="#,##0.000">
                  <c:v>#N/A</c:v>
                </c:pt>
                <c:pt idx="3467" formatCode="#,##0.000">
                  <c:v>#N/A</c:v>
                </c:pt>
                <c:pt idx="3468" formatCode="#,##0.000">
                  <c:v>#N/A</c:v>
                </c:pt>
                <c:pt idx="3469" formatCode="#,##0.000">
                  <c:v>#N/A</c:v>
                </c:pt>
                <c:pt idx="3470" formatCode="#,##0.000">
                  <c:v>#N/A</c:v>
                </c:pt>
                <c:pt idx="3471" formatCode="#,##0.000">
                  <c:v>#N/A</c:v>
                </c:pt>
                <c:pt idx="3472" formatCode="#,##0.000">
                  <c:v>#N/A</c:v>
                </c:pt>
                <c:pt idx="3473" formatCode="#,##0.000">
                  <c:v>#N/A</c:v>
                </c:pt>
                <c:pt idx="3474" formatCode="#,##0.000">
                  <c:v>#N/A</c:v>
                </c:pt>
                <c:pt idx="3475" formatCode="#,##0.000">
                  <c:v>#N/A</c:v>
                </c:pt>
                <c:pt idx="3476" formatCode="#,##0.000">
                  <c:v>#N/A</c:v>
                </c:pt>
                <c:pt idx="3477" formatCode="#,##0.000">
                  <c:v>#N/A</c:v>
                </c:pt>
                <c:pt idx="3478" formatCode="#,##0.000">
                  <c:v>#N/A</c:v>
                </c:pt>
                <c:pt idx="3479" formatCode="#,##0.000">
                  <c:v>#N/A</c:v>
                </c:pt>
                <c:pt idx="3480" formatCode="#,##0.000">
                  <c:v>#N/A</c:v>
                </c:pt>
                <c:pt idx="3481" formatCode="#,##0.000">
                  <c:v>#N/A</c:v>
                </c:pt>
                <c:pt idx="3482" formatCode="#,##0.000">
                  <c:v>#N/A</c:v>
                </c:pt>
                <c:pt idx="3483" formatCode="#,##0.000">
                  <c:v>#N/A</c:v>
                </c:pt>
                <c:pt idx="3484" formatCode="#,##0.000">
                  <c:v>#N/A</c:v>
                </c:pt>
                <c:pt idx="3485" formatCode="#,##0.000">
                  <c:v>#N/A</c:v>
                </c:pt>
                <c:pt idx="3486" formatCode="#,##0.000">
                  <c:v>#N/A</c:v>
                </c:pt>
                <c:pt idx="3487" formatCode="#,##0.000">
                  <c:v>#N/A</c:v>
                </c:pt>
                <c:pt idx="3488" formatCode="#,##0.000">
                  <c:v>#N/A</c:v>
                </c:pt>
                <c:pt idx="3489" formatCode="#,##0.000">
                  <c:v>#N/A</c:v>
                </c:pt>
                <c:pt idx="3490" formatCode="#,##0.000">
                  <c:v>#N/A</c:v>
                </c:pt>
                <c:pt idx="3491" formatCode="#,##0.000">
                  <c:v>#N/A</c:v>
                </c:pt>
                <c:pt idx="3492" formatCode="#,##0.000">
                  <c:v>#N/A</c:v>
                </c:pt>
                <c:pt idx="3493" formatCode="#,##0.000">
                  <c:v>#N/A</c:v>
                </c:pt>
                <c:pt idx="3494" formatCode="#,##0.000">
                  <c:v>#N/A</c:v>
                </c:pt>
                <c:pt idx="3495" formatCode="#,##0.000">
                  <c:v>#N/A</c:v>
                </c:pt>
                <c:pt idx="3496" formatCode="#,##0.000">
                  <c:v>#N/A</c:v>
                </c:pt>
                <c:pt idx="3497" formatCode="#,##0.000">
                  <c:v>#N/A</c:v>
                </c:pt>
                <c:pt idx="3498" formatCode="#,##0.000">
                  <c:v>#N/A</c:v>
                </c:pt>
                <c:pt idx="3499" formatCode="#,##0.000">
                  <c:v>#N/A</c:v>
                </c:pt>
                <c:pt idx="3500" formatCode="#,##0.000">
                  <c:v>#N/A</c:v>
                </c:pt>
                <c:pt idx="3501" formatCode="#,##0.000">
                  <c:v>#N/A</c:v>
                </c:pt>
                <c:pt idx="3502" formatCode="#,##0.000">
                  <c:v>#N/A</c:v>
                </c:pt>
                <c:pt idx="3503" formatCode="#,##0.000">
                  <c:v>#N/A</c:v>
                </c:pt>
                <c:pt idx="3504" formatCode="#,##0.000">
                  <c:v>#N/A</c:v>
                </c:pt>
                <c:pt idx="3505" formatCode="#,##0.000">
                  <c:v>#N/A</c:v>
                </c:pt>
                <c:pt idx="3506" formatCode="#,##0.000">
                  <c:v>#N/A</c:v>
                </c:pt>
                <c:pt idx="3507" formatCode="#,##0.000">
                  <c:v>#N/A</c:v>
                </c:pt>
                <c:pt idx="3508" formatCode="#,##0.000">
                  <c:v>#N/A</c:v>
                </c:pt>
                <c:pt idx="3509" formatCode="#,##0.000">
                  <c:v>#N/A</c:v>
                </c:pt>
                <c:pt idx="3510" formatCode="#,##0.000">
                  <c:v>#N/A</c:v>
                </c:pt>
                <c:pt idx="3511" formatCode="#,##0.000">
                  <c:v>#N/A</c:v>
                </c:pt>
                <c:pt idx="3512" formatCode="#,##0.000">
                  <c:v>#N/A</c:v>
                </c:pt>
                <c:pt idx="3513" formatCode="#,##0.000">
                  <c:v>#N/A</c:v>
                </c:pt>
                <c:pt idx="3514" formatCode="#,##0.000">
                  <c:v>#N/A</c:v>
                </c:pt>
                <c:pt idx="3515" formatCode="#,##0.000">
                  <c:v>#N/A</c:v>
                </c:pt>
                <c:pt idx="3516" formatCode="#,##0.000">
                  <c:v>#N/A</c:v>
                </c:pt>
                <c:pt idx="3517" formatCode="#,##0.000">
                  <c:v>#N/A</c:v>
                </c:pt>
                <c:pt idx="3518" formatCode="#,##0.000">
                  <c:v>#N/A</c:v>
                </c:pt>
                <c:pt idx="3519" formatCode="#,##0.000">
                  <c:v>#N/A</c:v>
                </c:pt>
                <c:pt idx="3520" formatCode="#,##0.000">
                  <c:v>#N/A</c:v>
                </c:pt>
                <c:pt idx="3521" formatCode="#,##0.000">
                  <c:v>#N/A</c:v>
                </c:pt>
                <c:pt idx="3522" formatCode="#,##0.000">
                  <c:v>#N/A</c:v>
                </c:pt>
                <c:pt idx="3523" formatCode="#,##0.000">
                  <c:v>#N/A</c:v>
                </c:pt>
                <c:pt idx="3524" formatCode="#,##0.000">
                  <c:v>#N/A</c:v>
                </c:pt>
                <c:pt idx="3525" formatCode="#,##0.000">
                  <c:v>#N/A</c:v>
                </c:pt>
                <c:pt idx="3526" formatCode="#,##0.000">
                  <c:v>#N/A</c:v>
                </c:pt>
                <c:pt idx="3527" formatCode="#,##0.000">
                  <c:v>#N/A</c:v>
                </c:pt>
                <c:pt idx="3528" formatCode="#,##0.000">
                  <c:v>#N/A</c:v>
                </c:pt>
                <c:pt idx="3529" formatCode="#,##0.000">
                  <c:v>#N/A</c:v>
                </c:pt>
                <c:pt idx="3530" formatCode="#,##0.000">
                  <c:v>#N/A</c:v>
                </c:pt>
                <c:pt idx="3531" formatCode="#,##0.000">
                  <c:v>#N/A</c:v>
                </c:pt>
                <c:pt idx="3532" formatCode="#,##0.000">
                  <c:v>#N/A</c:v>
                </c:pt>
                <c:pt idx="3533" formatCode="#,##0.000">
                  <c:v>#N/A</c:v>
                </c:pt>
                <c:pt idx="3534" formatCode="#,##0.000">
                  <c:v>#N/A</c:v>
                </c:pt>
                <c:pt idx="3535" formatCode="#,##0.000">
                  <c:v>#N/A</c:v>
                </c:pt>
                <c:pt idx="3536" formatCode="#,##0.000">
                  <c:v>#N/A</c:v>
                </c:pt>
                <c:pt idx="3537" formatCode="#,##0.000">
                  <c:v>#N/A</c:v>
                </c:pt>
                <c:pt idx="3538" formatCode="#,##0.000">
                  <c:v>#N/A</c:v>
                </c:pt>
                <c:pt idx="3539" formatCode="#,##0.000">
                  <c:v>#N/A</c:v>
                </c:pt>
                <c:pt idx="3540" formatCode="#,##0.000">
                  <c:v>#N/A</c:v>
                </c:pt>
                <c:pt idx="3541" formatCode="#,##0.000">
                  <c:v>#N/A</c:v>
                </c:pt>
                <c:pt idx="3542" formatCode="#,##0.000">
                  <c:v>#N/A</c:v>
                </c:pt>
                <c:pt idx="3543" formatCode="#,##0.000">
                  <c:v>#N/A</c:v>
                </c:pt>
                <c:pt idx="3544" formatCode="#,##0.000">
                  <c:v>#N/A</c:v>
                </c:pt>
                <c:pt idx="3545" formatCode="#,##0.000">
                  <c:v>#N/A</c:v>
                </c:pt>
                <c:pt idx="3546" formatCode="#,##0.000">
                  <c:v>#N/A</c:v>
                </c:pt>
                <c:pt idx="3547" formatCode="#,##0.000">
                  <c:v>#N/A</c:v>
                </c:pt>
                <c:pt idx="3548" formatCode="#,##0.000">
                  <c:v>#N/A</c:v>
                </c:pt>
                <c:pt idx="3549" formatCode="#,##0.000">
                  <c:v>#N/A</c:v>
                </c:pt>
                <c:pt idx="3550" formatCode="#,##0.000">
                  <c:v>#N/A</c:v>
                </c:pt>
                <c:pt idx="3551" formatCode="#,##0.000">
                  <c:v>#N/A</c:v>
                </c:pt>
                <c:pt idx="3552" formatCode="#,##0.000">
                  <c:v>#N/A</c:v>
                </c:pt>
                <c:pt idx="3553" formatCode="#,##0.000">
                  <c:v>#N/A</c:v>
                </c:pt>
                <c:pt idx="3554" formatCode="#,##0.000">
                  <c:v>#N/A</c:v>
                </c:pt>
                <c:pt idx="3555" formatCode="#,##0.000">
                  <c:v>#N/A</c:v>
                </c:pt>
                <c:pt idx="3556" formatCode="#,##0.000">
                  <c:v>#N/A</c:v>
                </c:pt>
                <c:pt idx="3557" formatCode="#,##0.000">
                  <c:v>#N/A</c:v>
                </c:pt>
                <c:pt idx="3558" formatCode="#,##0.000">
                  <c:v>#N/A</c:v>
                </c:pt>
                <c:pt idx="3559" formatCode="#,##0.000">
                  <c:v>#N/A</c:v>
                </c:pt>
                <c:pt idx="3560" formatCode="#,##0.000">
                  <c:v>#N/A</c:v>
                </c:pt>
                <c:pt idx="3561" formatCode="#,##0.000">
                  <c:v>#N/A</c:v>
                </c:pt>
                <c:pt idx="3562" formatCode="#,##0.000">
                  <c:v>#N/A</c:v>
                </c:pt>
                <c:pt idx="3563" formatCode="#,##0.000">
                  <c:v>#N/A</c:v>
                </c:pt>
                <c:pt idx="3564" formatCode="#,##0.000">
                  <c:v>#N/A</c:v>
                </c:pt>
                <c:pt idx="3565" formatCode="#,##0.000">
                  <c:v>#N/A</c:v>
                </c:pt>
                <c:pt idx="3566" formatCode="#,##0.000">
                  <c:v>#N/A</c:v>
                </c:pt>
                <c:pt idx="3567" formatCode="#,##0.000">
                  <c:v>#N/A</c:v>
                </c:pt>
                <c:pt idx="3568" formatCode="#,##0.000">
                  <c:v>#N/A</c:v>
                </c:pt>
                <c:pt idx="3569" formatCode="#,##0.000">
                  <c:v>#N/A</c:v>
                </c:pt>
                <c:pt idx="3570" formatCode="#,##0.000">
                  <c:v>#N/A</c:v>
                </c:pt>
                <c:pt idx="3571" formatCode="#,##0.000">
                  <c:v>#N/A</c:v>
                </c:pt>
                <c:pt idx="3572" formatCode="#,##0.000">
                  <c:v>#N/A</c:v>
                </c:pt>
                <c:pt idx="3573" formatCode="#,##0.000">
                  <c:v>#N/A</c:v>
                </c:pt>
                <c:pt idx="3574" formatCode="#,##0.000">
                  <c:v>#N/A</c:v>
                </c:pt>
                <c:pt idx="3575" formatCode="#,##0.000">
                  <c:v>#N/A</c:v>
                </c:pt>
                <c:pt idx="3576" formatCode="#,##0.000">
                  <c:v>#N/A</c:v>
                </c:pt>
                <c:pt idx="3577" formatCode="#,##0.000">
                  <c:v>#N/A</c:v>
                </c:pt>
                <c:pt idx="3578" formatCode="#,##0.000">
                  <c:v>#N/A</c:v>
                </c:pt>
                <c:pt idx="3579" formatCode="#,##0.000">
                  <c:v>#N/A</c:v>
                </c:pt>
                <c:pt idx="3580" formatCode="#,##0.000">
                  <c:v>#N/A</c:v>
                </c:pt>
                <c:pt idx="3581" formatCode="#,##0.000">
                  <c:v>#N/A</c:v>
                </c:pt>
                <c:pt idx="3582" formatCode="#,##0.000">
                  <c:v>#N/A</c:v>
                </c:pt>
                <c:pt idx="3583" formatCode="#,##0.000">
                  <c:v>#N/A</c:v>
                </c:pt>
                <c:pt idx="3584" formatCode="#,##0.000">
                  <c:v>#N/A</c:v>
                </c:pt>
                <c:pt idx="3585" formatCode="#,##0.000">
                  <c:v>#N/A</c:v>
                </c:pt>
                <c:pt idx="3586" formatCode="#,##0.000">
                  <c:v>#N/A</c:v>
                </c:pt>
                <c:pt idx="3587" formatCode="#,##0.000">
                  <c:v>#N/A</c:v>
                </c:pt>
                <c:pt idx="3588" formatCode="#,##0.000">
                  <c:v>#N/A</c:v>
                </c:pt>
                <c:pt idx="3589" formatCode="#,##0.000">
                  <c:v>#N/A</c:v>
                </c:pt>
                <c:pt idx="3590" formatCode="#,##0.000">
                  <c:v>#N/A</c:v>
                </c:pt>
                <c:pt idx="3591" formatCode="#,##0.000">
                  <c:v>#N/A</c:v>
                </c:pt>
                <c:pt idx="3592" formatCode="#,##0.000">
                  <c:v>#N/A</c:v>
                </c:pt>
                <c:pt idx="3593" formatCode="#,##0.000">
                  <c:v>#N/A</c:v>
                </c:pt>
                <c:pt idx="3594" formatCode="#,##0.000">
                  <c:v>#N/A</c:v>
                </c:pt>
                <c:pt idx="3595" formatCode="#,##0.000">
                  <c:v>#N/A</c:v>
                </c:pt>
                <c:pt idx="3596" formatCode="#,##0.000">
                  <c:v>#N/A</c:v>
                </c:pt>
                <c:pt idx="3597" formatCode="#,##0.000">
                  <c:v>#N/A</c:v>
                </c:pt>
                <c:pt idx="3598" formatCode="#,##0.000">
                  <c:v>#N/A</c:v>
                </c:pt>
                <c:pt idx="3599" formatCode="#,##0.000">
                  <c:v>#N/A</c:v>
                </c:pt>
                <c:pt idx="3600" formatCode="#,##0.000">
                  <c:v>#N/A</c:v>
                </c:pt>
                <c:pt idx="3601" formatCode="#,##0.000">
                  <c:v>#N/A</c:v>
                </c:pt>
                <c:pt idx="3602" formatCode="#,##0.000">
                  <c:v>#N/A</c:v>
                </c:pt>
                <c:pt idx="3603" formatCode="#,##0.000">
                  <c:v>#N/A</c:v>
                </c:pt>
                <c:pt idx="3604" formatCode="#,##0.000">
                  <c:v>#N/A</c:v>
                </c:pt>
                <c:pt idx="3605" formatCode="#,##0.000">
                  <c:v>#N/A</c:v>
                </c:pt>
                <c:pt idx="3606" formatCode="#,##0.000">
                  <c:v>#N/A</c:v>
                </c:pt>
                <c:pt idx="3607" formatCode="#,##0.000">
                  <c:v>#N/A</c:v>
                </c:pt>
                <c:pt idx="3608" formatCode="#,##0.000">
                  <c:v>#N/A</c:v>
                </c:pt>
                <c:pt idx="3609" formatCode="#,##0.000">
                  <c:v>#N/A</c:v>
                </c:pt>
                <c:pt idx="3610" formatCode="#,##0.000">
                  <c:v>#N/A</c:v>
                </c:pt>
                <c:pt idx="3611" formatCode="#,##0.000">
                  <c:v>#N/A</c:v>
                </c:pt>
                <c:pt idx="3612" formatCode="#,##0.000">
                  <c:v>#N/A</c:v>
                </c:pt>
                <c:pt idx="3613" formatCode="#,##0.000">
                  <c:v>#N/A</c:v>
                </c:pt>
                <c:pt idx="3614" formatCode="#,##0.000">
                  <c:v>#N/A</c:v>
                </c:pt>
                <c:pt idx="3615" formatCode="#,##0.000">
                  <c:v>#N/A</c:v>
                </c:pt>
                <c:pt idx="3616" formatCode="#,##0.000">
                  <c:v>#N/A</c:v>
                </c:pt>
                <c:pt idx="3617" formatCode="#,##0.000">
                  <c:v>#N/A</c:v>
                </c:pt>
                <c:pt idx="3618" formatCode="#,##0.000">
                  <c:v>#N/A</c:v>
                </c:pt>
                <c:pt idx="3619" formatCode="#,##0.000">
                  <c:v>#N/A</c:v>
                </c:pt>
                <c:pt idx="3620" formatCode="#,##0.000">
                  <c:v>#N/A</c:v>
                </c:pt>
                <c:pt idx="3621" formatCode="#,##0.000">
                  <c:v>#N/A</c:v>
                </c:pt>
                <c:pt idx="3622" formatCode="#,##0.000">
                  <c:v>#N/A</c:v>
                </c:pt>
                <c:pt idx="3623" formatCode="#,##0.000">
                  <c:v>#N/A</c:v>
                </c:pt>
                <c:pt idx="3624" formatCode="#,##0.000">
                  <c:v>#N/A</c:v>
                </c:pt>
                <c:pt idx="3625" formatCode="#,##0.000">
                  <c:v>#N/A</c:v>
                </c:pt>
                <c:pt idx="3626" formatCode="#,##0.000">
                  <c:v>#N/A</c:v>
                </c:pt>
                <c:pt idx="3627" formatCode="#,##0.000">
                  <c:v>#N/A</c:v>
                </c:pt>
                <c:pt idx="3628" formatCode="#,##0.000">
                  <c:v>#N/A</c:v>
                </c:pt>
                <c:pt idx="3629" formatCode="#,##0.000">
                  <c:v>#N/A</c:v>
                </c:pt>
                <c:pt idx="3630" formatCode="#,##0.000">
                  <c:v>#N/A</c:v>
                </c:pt>
                <c:pt idx="3631" formatCode="#,##0.000">
                  <c:v>#N/A</c:v>
                </c:pt>
                <c:pt idx="3632" formatCode="#,##0.000">
                  <c:v>#N/A</c:v>
                </c:pt>
                <c:pt idx="3633" formatCode="#,##0.000">
                  <c:v>#N/A</c:v>
                </c:pt>
                <c:pt idx="3634" formatCode="#,##0.000">
                  <c:v>#N/A</c:v>
                </c:pt>
                <c:pt idx="3635" formatCode="#,##0.000">
                  <c:v>#N/A</c:v>
                </c:pt>
                <c:pt idx="3636" formatCode="#,##0.000">
                  <c:v>#N/A</c:v>
                </c:pt>
                <c:pt idx="3637" formatCode="#,##0.000">
                  <c:v>#N/A</c:v>
                </c:pt>
                <c:pt idx="3638" formatCode="#,##0.000">
                  <c:v>#N/A</c:v>
                </c:pt>
                <c:pt idx="3639" formatCode="#,##0.000">
                  <c:v>#N/A</c:v>
                </c:pt>
                <c:pt idx="3640" formatCode="#,##0.000">
                  <c:v>#N/A</c:v>
                </c:pt>
                <c:pt idx="3641" formatCode="#,##0.000">
                  <c:v>#N/A</c:v>
                </c:pt>
                <c:pt idx="3642" formatCode="#,##0.000">
                  <c:v>#N/A</c:v>
                </c:pt>
                <c:pt idx="3643" formatCode="#,##0.000">
                  <c:v>#N/A</c:v>
                </c:pt>
                <c:pt idx="3644" formatCode="#,##0.000">
                  <c:v>#N/A</c:v>
                </c:pt>
                <c:pt idx="3645" formatCode="#,##0.000">
                  <c:v>#N/A</c:v>
                </c:pt>
                <c:pt idx="3646" formatCode="#,##0.000">
                  <c:v>#N/A</c:v>
                </c:pt>
                <c:pt idx="3647" formatCode="#,##0.000">
                  <c:v>#N/A</c:v>
                </c:pt>
                <c:pt idx="3648" formatCode="#,##0.000">
                  <c:v>#N/A</c:v>
                </c:pt>
                <c:pt idx="3649" formatCode="#,##0.000">
                  <c:v>#N/A</c:v>
                </c:pt>
                <c:pt idx="3650" formatCode="#,##0.000">
                  <c:v>#N/A</c:v>
                </c:pt>
                <c:pt idx="3651" formatCode="#,##0.000">
                  <c:v>#N/A</c:v>
                </c:pt>
                <c:pt idx="3652" formatCode="#,##0.000">
                  <c:v>#N/A</c:v>
                </c:pt>
                <c:pt idx="3653" formatCode="#,##0.000">
                  <c:v>#N/A</c:v>
                </c:pt>
                <c:pt idx="3654" formatCode="#,##0.000">
                  <c:v>#N/A</c:v>
                </c:pt>
                <c:pt idx="3655" formatCode="#,##0.000">
                  <c:v>#N/A</c:v>
                </c:pt>
                <c:pt idx="3656" formatCode="#,##0.000">
                  <c:v>#N/A</c:v>
                </c:pt>
                <c:pt idx="3657" formatCode="#,##0.000">
                  <c:v>#N/A</c:v>
                </c:pt>
                <c:pt idx="3658" formatCode="#,##0.000">
                  <c:v>#N/A</c:v>
                </c:pt>
                <c:pt idx="3659" formatCode="#,##0.000">
                  <c:v>#N/A</c:v>
                </c:pt>
                <c:pt idx="3660" formatCode="#,##0.000">
                  <c:v>#N/A</c:v>
                </c:pt>
                <c:pt idx="3661" formatCode="#,##0.000">
                  <c:v>#N/A</c:v>
                </c:pt>
                <c:pt idx="3662" formatCode="#,##0.000">
                  <c:v>#N/A</c:v>
                </c:pt>
                <c:pt idx="3663" formatCode="#,##0.000">
                  <c:v>#N/A</c:v>
                </c:pt>
                <c:pt idx="3664" formatCode="#,##0.000">
                  <c:v>#N/A</c:v>
                </c:pt>
                <c:pt idx="3665" formatCode="#,##0.000">
                  <c:v>#N/A</c:v>
                </c:pt>
                <c:pt idx="3666" formatCode="#,##0.000">
                  <c:v>#N/A</c:v>
                </c:pt>
                <c:pt idx="3667" formatCode="#,##0.000">
                  <c:v>#N/A</c:v>
                </c:pt>
                <c:pt idx="3668" formatCode="#,##0.000">
                  <c:v>#N/A</c:v>
                </c:pt>
                <c:pt idx="3669" formatCode="#,##0.000">
                  <c:v>#N/A</c:v>
                </c:pt>
                <c:pt idx="3670" formatCode="#,##0.000">
                  <c:v>#N/A</c:v>
                </c:pt>
                <c:pt idx="3671" formatCode="#,##0.000">
                  <c:v>#N/A</c:v>
                </c:pt>
                <c:pt idx="3672" formatCode="#,##0.000">
                  <c:v>#N/A</c:v>
                </c:pt>
                <c:pt idx="3673" formatCode="#,##0.000">
                  <c:v>#N/A</c:v>
                </c:pt>
                <c:pt idx="3674" formatCode="#,##0.000">
                  <c:v>#N/A</c:v>
                </c:pt>
                <c:pt idx="3675" formatCode="#,##0.000">
                  <c:v>#N/A</c:v>
                </c:pt>
                <c:pt idx="3676" formatCode="#,##0.000">
                  <c:v>#N/A</c:v>
                </c:pt>
                <c:pt idx="3677" formatCode="#,##0.000">
                  <c:v>#N/A</c:v>
                </c:pt>
                <c:pt idx="3678" formatCode="#,##0.000">
                  <c:v>#N/A</c:v>
                </c:pt>
                <c:pt idx="3679" formatCode="#,##0.000">
                  <c:v>#N/A</c:v>
                </c:pt>
                <c:pt idx="3680" formatCode="#,##0.000">
                  <c:v>#N/A</c:v>
                </c:pt>
                <c:pt idx="3681" formatCode="#,##0.000">
                  <c:v>#N/A</c:v>
                </c:pt>
                <c:pt idx="3682" formatCode="#,##0.000">
                  <c:v>#N/A</c:v>
                </c:pt>
                <c:pt idx="3683" formatCode="#,##0.000">
                  <c:v>#N/A</c:v>
                </c:pt>
                <c:pt idx="3684" formatCode="#,##0.000">
                  <c:v>#N/A</c:v>
                </c:pt>
                <c:pt idx="3685" formatCode="#,##0.000">
                  <c:v>#N/A</c:v>
                </c:pt>
                <c:pt idx="3686" formatCode="#,##0.000">
                  <c:v>#N/A</c:v>
                </c:pt>
                <c:pt idx="3687" formatCode="#,##0.000">
                  <c:v>#N/A</c:v>
                </c:pt>
                <c:pt idx="3688" formatCode="#,##0.000">
                  <c:v>#N/A</c:v>
                </c:pt>
                <c:pt idx="3689" formatCode="#,##0.000">
                  <c:v>#N/A</c:v>
                </c:pt>
                <c:pt idx="3690" formatCode="#,##0.000">
                  <c:v>#N/A</c:v>
                </c:pt>
                <c:pt idx="3691" formatCode="#,##0.000">
                  <c:v>#N/A</c:v>
                </c:pt>
                <c:pt idx="3692" formatCode="#,##0.000">
                  <c:v>#N/A</c:v>
                </c:pt>
                <c:pt idx="3693" formatCode="#,##0.000">
                  <c:v>#N/A</c:v>
                </c:pt>
                <c:pt idx="3694" formatCode="#,##0.000">
                  <c:v>#N/A</c:v>
                </c:pt>
                <c:pt idx="3695" formatCode="#,##0.000">
                  <c:v>#N/A</c:v>
                </c:pt>
                <c:pt idx="3696" formatCode="#,##0.000">
                  <c:v>#N/A</c:v>
                </c:pt>
                <c:pt idx="3697" formatCode="#,##0.000">
                  <c:v>#N/A</c:v>
                </c:pt>
                <c:pt idx="3698" formatCode="#,##0.000">
                  <c:v>#N/A</c:v>
                </c:pt>
                <c:pt idx="3699" formatCode="#,##0.000">
                  <c:v>#N/A</c:v>
                </c:pt>
                <c:pt idx="3700" formatCode="#,##0.000">
                  <c:v>#N/A</c:v>
                </c:pt>
                <c:pt idx="3701" formatCode="#,##0.000">
                  <c:v>#N/A</c:v>
                </c:pt>
                <c:pt idx="3702" formatCode="#,##0.000">
                  <c:v>#N/A</c:v>
                </c:pt>
                <c:pt idx="3703" formatCode="#,##0.000">
                  <c:v>#N/A</c:v>
                </c:pt>
                <c:pt idx="3704" formatCode="#,##0.000">
                  <c:v>#N/A</c:v>
                </c:pt>
                <c:pt idx="3705" formatCode="#,##0.000">
                  <c:v>#N/A</c:v>
                </c:pt>
                <c:pt idx="3706" formatCode="#,##0.000">
                  <c:v>#N/A</c:v>
                </c:pt>
                <c:pt idx="3707" formatCode="#,##0.000">
                  <c:v>#N/A</c:v>
                </c:pt>
                <c:pt idx="3708" formatCode="#,##0.000">
                  <c:v>#N/A</c:v>
                </c:pt>
                <c:pt idx="3709" formatCode="#,##0.000">
                  <c:v>#N/A</c:v>
                </c:pt>
                <c:pt idx="3710" formatCode="#,##0.000">
                  <c:v>#N/A</c:v>
                </c:pt>
                <c:pt idx="3711" formatCode="#,##0.000">
                  <c:v>#N/A</c:v>
                </c:pt>
                <c:pt idx="3712" formatCode="#,##0.000">
                  <c:v>#N/A</c:v>
                </c:pt>
                <c:pt idx="3713" formatCode="#,##0.000">
                  <c:v>#N/A</c:v>
                </c:pt>
                <c:pt idx="3714" formatCode="#,##0.000">
                  <c:v>#N/A</c:v>
                </c:pt>
                <c:pt idx="3715" formatCode="#,##0.000">
                  <c:v>#N/A</c:v>
                </c:pt>
                <c:pt idx="3716" formatCode="#,##0.000">
                  <c:v>#N/A</c:v>
                </c:pt>
                <c:pt idx="3717" formatCode="#,##0.000">
                  <c:v>#N/A</c:v>
                </c:pt>
                <c:pt idx="3718" formatCode="#,##0.000">
                  <c:v>#N/A</c:v>
                </c:pt>
                <c:pt idx="3719" formatCode="#,##0.000">
                  <c:v>#N/A</c:v>
                </c:pt>
                <c:pt idx="3720" formatCode="#,##0.000">
                  <c:v>#N/A</c:v>
                </c:pt>
                <c:pt idx="3721" formatCode="#,##0.000">
                  <c:v>#N/A</c:v>
                </c:pt>
                <c:pt idx="3722" formatCode="#,##0.000">
                  <c:v>#N/A</c:v>
                </c:pt>
                <c:pt idx="3723" formatCode="#,##0.000">
                  <c:v>#N/A</c:v>
                </c:pt>
                <c:pt idx="3724" formatCode="#,##0.000">
                  <c:v>#N/A</c:v>
                </c:pt>
                <c:pt idx="3725" formatCode="#,##0.000">
                  <c:v>#N/A</c:v>
                </c:pt>
                <c:pt idx="3726" formatCode="#,##0.000">
                  <c:v>#N/A</c:v>
                </c:pt>
                <c:pt idx="3727" formatCode="#,##0.000">
                  <c:v>#N/A</c:v>
                </c:pt>
                <c:pt idx="3728" formatCode="#,##0.000">
                  <c:v>#N/A</c:v>
                </c:pt>
                <c:pt idx="3729" formatCode="#,##0.000">
                  <c:v>#N/A</c:v>
                </c:pt>
                <c:pt idx="3730" formatCode="#,##0.000">
                  <c:v>#N/A</c:v>
                </c:pt>
                <c:pt idx="3731" formatCode="#,##0.000">
                  <c:v>#N/A</c:v>
                </c:pt>
                <c:pt idx="3732" formatCode="#,##0.000">
                  <c:v>#N/A</c:v>
                </c:pt>
                <c:pt idx="3733" formatCode="#,##0.000">
                  <c:v>#N/A</c:v>
                </c:pt>
                <c:pt idx="3734" formatCode="#,##0.000">
                  <c:v>#N/A</c:v>
                </c:pt>
                <c:pt idx="3735" formatCode="#,##0.000">
                  <c:v>#N/A</c:v>
                </c:pt>
                <c:pt idx="3736" formatCode="#,##0.000">
                  <c:v>#N/A</c:v>
                </c:pt>
                <c:pt idx="3737" formatCode="#,##0.000">
                  <c:v>#N/A</c:v>
                </c:pt>
                <c:pt idx="3738" formatCode="#,##0.000">
                  <c:v>#N/A</c:v>
                </c:pt>
                <c:pt idx="3739" formatCode="#,##0.000">
                  <c:v>#N/A</c:v>
                </c:pt>
                <c:pt idx="3740" formatCode="#,##0.000">
                  <c:v>#N/A</c:v>
                </c:pt>
                <c:pt idx="3741" formatCode="#,##0.000">
                  <c:v>#N/A</c:v>
                </c:pt>
                <c:pt idx="3742" formatCode="#,##0.000">
                  <c:v>#N/A</c:v>
                </c:pt>
                <c:pt idx="3743" formatCode="#,##0.000">
                  <c:v>#N/A</c:v>
                </c:pt>
                <c:pt idx="3744" formatCode="#,##0.000">
                  <c:v>#N/A</c:v>
                </c:pt>
                <c:pt idx="3745" formatCode="#,##0.000">
                  <c:v>#N/A</c:v>
                </c:pt>
                <c:pt idx="3746" formatCode="#,##0.000">
                  <c:v>#N/A</c:v>
                </c:pt>
                <c:pt idx="3747" formatCode="#,##0.000">
                  <c:v>#N/A</c:v>
                </c:pt>
                <c:pt idx="3748" formatCode="#,##0.000">
                  <c:v>#N/A</c:v>
                </c:pt>
                <c:pt idx="3749" formatCode="#,##0.000">
                  <c:v>#N/A</c:v>
                </c:pt>
                <c:pt idx="3750" formatCode="#,##0.000">
                  <c:v>#N/A</c:v>
                </c:pt>
                <c:pt idx="3751" formatCode="#,##0.000">
                  <c:v>#N/A</c:v>
                </c:pt>
                <c:pt idx="3752" formatCode="#,##0.000">
                  <c:v>#N/A</c:v>
                </c:pt>
                <c:pt idx="3753" formatCode="#,##0.000">
                  <c:v>#N/A</c:v>
                </c:pt>
                <c:pt idx="3754" formatCode="#,##0.000">
                  <c:v>#N/A</c:v>
                </c:pt>
                <c:pt idx="3755" formatCode="#,##0.000">
                  <c:v>#N/A</c:v>
                </c:pt>
                <c:pt idx="3756" formatCode="#,##0.000">
                  <c:v>#N/A</c:v>
                </c:pt>
                <c:pt idx="3757" formatCode="#,##0.000">
                  <c:v>#N/A</c:v>
                </c:pt>
                <c:pt idx="3758" formatCode="#,##0.000">
                  <c:v>#N/A</c:v>
                </c:pt>
                <c:pt idx="3759" formatCode="#,##0.000">
                  <c:v>#N/A</c:v>
                </c:pt>
                <c:pt idx="3760" formatCode="#,##0.000">
                  <c:v>#N/A</c:v>
                </c:pt>
                <c:pt idx="3761" formatCode="#,##0.000">
                  <c:v>#N/A</c:v>
                </c:pt>
                <c:pt idx="3762" formatCode="#,##0.000">
                  <c:v>#N/A</c:v>
                </c:pt>
                <c:pt idx="3763" formatCode="#,##0.000">
                  <c:v>#N/A</c:v>
                </c:pt>
                <c:pt idx="3764" formatCode="#,##0.000">
                  <c:v>#N/A</c:v>
                </c:pt>
                <c:pt idx="3765" formatCode="#,##0.000">
                  <c:v>#N/A</c:v>
                </c:pt>
                <c:pt idx="3766" formatCode="#,##0.000">
                  <c:v>#N/A</c:v>
                </c:pt>
                <c:pt idx="3767" formatCode="#,##0.000">
                  <c:v>#N/A</c:v>
                </c:pt>
                <c:pt idx="3768" formatCode="#,##0.000">
                  <c:v>#N/A</c:v>
                </c:pt>
                <c:pt idx="3769" formatCode="#,##0.000">
                  <c:v>#N/A</c:v>
                </c:pt>
                <c:pt idx="3770" formatCode="#,##0.000">
                  <c:v>#N/A</c:v>
                </c:pt>
                <c:pt idx="3771" formatCode="#,##0.000">
                  <c:v>#N/A</c:v>
                </c:pt>
                <c:pt idx="3772" formatCode="#,##0.000">
                  <c:v>#N/A</c:v>
                </c:pt>
                <c:pt idx="3773" formatCode="#,##0.000">
                  <c:v>#N/A</c:v>
                </c:pt>
                <c:pt idx="3774" formatCode="#,##0.000">
                  <c:v>#N/A</c:v>
                </c:pt>
                <c:pt idx="3775" formatCode="#,##0.000">
                  <c:v>#N/A</c:v>
                </c:pt>
                <c:pt idx="3776" formatCode="#,##0.000">
                  <c:v>#N/A</c:v>
                </c:pt>
                <c:pt idx="3777" formatCode="#,##0.000">
                  <c:v>#N/A</c:v>
                </c:pt>
                <c:pt idx="3778" formatCode="#,##0.000">
                  <c:v>#N/A</c:v>
                </c:pt>
                <c:pt idx="3779" formatCode="#,##0.000">
                  <c:v>#N/A</c:v>
                </c:pt>
                <c:pt idx="3780" formatCode="#,##0.000">
                  <c:v>#N/A</c:v>
                </c:pt>
                <c:pt idx="3781" formatCode="#,##0.000">
                  <c:v>#N/A</c:v>
                </c:pt>
                <c:pt idx="3782" formatCode="#,##0.000">
                  <c:v>#N/A</c:v>
                </c:pt>
                <c:pt idx="3783" formatCode="#,##0.000">
                  <c:v>#N/A</c:v>
                </c:pt>
                <c:pt idx="3784" formatCode="#,##0.000">
                  <c:v>#N/A</c:v>
                </c:pt>
                <c:pt idx="3785" formatCode="#,##0.000">
                  <c:v>#N/A</c:v>
                </c:pt>
                <c:pt idx="3786" formatCode="#,##0.000">
                  <c:v>#N/A</c:v>
                </c:pt>
                <c:pt idx="3787" formatCode="#,##0.000">
                  <c:v>#N/A</c:v>
                </c:pt>
                <c:pt idx="3788" formatCode="#,##0.000">
                  <c:v>#N/A</c:v>
                </c:pt>
                <c:pt idx="3789" formatCode="#,##0.000">
                  <c:v>#N/A</c:v>
                </c:pt>
                <c:pt idx="3790" formatCode="#,##0.000">
                  <c:v>#N/A</c:v>
                </c:pt>
                <c:pt idx="3791" formatCode="#,##0.000">
                  <c:v>#N/A</c:v>
                </c:pt>
                <c:pt idx="3792" formatCode="#,##0.000">
                  <c:v>#N/A</c:v>
                </c:pt>
                <c:pt idx="3793" formatCode="#,##0.000">
                  <c:v>#N/A</c:v>
                </c:pt>
                <c:pt idx="3794" formatCode="#,##0.000">
                  <c:v>#N/A</c:v>
                </c:pt>
                <c:pt idx="3795" formatCode="#,##0.000">
                  <c:v>#N/A</c:v>
                </c:pt>
                <c:pt idx="3796" formatCode="#,##0.000">
                  <c:v>#N/A</c:v>
                </c:pt>
                <c:pt idx="3797" formatCode="#,##0.000">
                  <c:v>#N/A</c:v>
                </c:pt>
                <c:pt idx="3798" formatCode="#,##0.000">
                  <c:v>#N/A</c:v>
                </c:pt>
                <c:pt idx="3799" formatCode="#,##0.000">
                  <c:v>#N/A</c:v>
                </c:pt>
                <c:pt idx="3800" formatCode="#,##0.000">
                  <c:v>#N/A</c:v>
                </c:pt>
                <c:pt idx="3801" formatCode="#,##0.000">
                  <c:v>#N/A</c:v>
                </c:pt>
                <c:pt idx="3802" formatCode="#,##0.000">
                  <c:v>#N/A</c:v>
                </c:pt>
                <c:pt idx="3803" formatCode="#,##0.000">
                  <c:v>#N/A</c:v>
                </c:pt>
                <c:pt idx="3804" formatCode="#,##0.000">
                  <c:v>#N/A</c:v>
                </c:pt>
                <c:pt idx="3805" formatCode="#,##0.000">
                  <c:v>#N/A</c:v>
                </c:pt>
                <c:pt idx="3806" formatCode="#,##0.000">
                  <c:v>#N/A</c:v>
                </c:pt>
                <c:pt idx="3807" formatCode="#,##0.000">
                  <c:v>#N/A</c:v>
                </c:pt>
                <c:pt idx="3808" formatCode="#,##0.000">
                  <c:v>#N/A</c:v>
                </c:pt>
                <c:pt idx="3809" formatCode="#,##0.000">
                  <c:v>#N/A</c:v>
                </c:pt>
                <c:pt idx="3810" formatCode="#,##0.000">
                  <c:v>#N/A</c:v>
                </c:pt>
                <c:pt idx="3811" formatCode="#,##0.000">
                  <c:v>#N/A</c:v>
                </c:pt>
                <c:pt idx="3812" formatCode="#,##0.000">
                  <c:v>#N/A</c:v>
                </c:pt>
                <c:pt idx="3813" formatCode="#,##0.000">
                  <c:v>#N/A</c:v>
                </c:pt>
                <c:pt idx="3814" formatCode="#,##0.000">
                  <c:v>#N/A</c:v>
                </c:pt>
                <c:pt idx="3815" formatCode="#,##0.000">
                  <c:v>#N/A</c:v>
                </c:pt>
                <c:pt idx="3816" formatCode="#,##0.000">
                  <c:v>#N/A</c:v>
                </c:pt>
                <c:pt idx="3817" formatCode="#,##0.000">
                  <c:v>#N/A</c:v>
                </c:pt>
                <c:pt idx="3818" formatCode="#,##0.000">
                  <c:v>#N/A</c:v>
                </c:pt>
                <c:pt idx="3819" formatCode="#,##0.000">
                  <c:v>#N/A</c:v>
                </c:pt>
                <c:pt idx="3820" formatCode="#,##0.000">
                  <c:v>#N/A</c:v>
                </c:pt>
                <c:pt idx="3821" formatCode="#,##0.000">
                  <c:v>#N/A</c:v>
                </c:pt>
                <c:pt idx="3822" formatCode="#,##0.000">
                  <c:v>#N/A</c:v>
                </c:pt>
                <c:pt idx="3823" formatCode="#,##0.000">
                  <c:v>#N/A</c:v>
                </c:pt>
                <c:pt idx="3824" formatCode="#,##0.000">
                  <c:v>#N/A</c:v>
                </c:pt>
                <c:pt idx="3825" formatCode="#,##0.000">
                  <c:v>#N/A</c:v>
                </c:pt>
                <c:pt idx="3826" formatCode="#,##0.000">
                  <c:v>#N/A</c:v>
                </c:pt>
                <c:pt idx="3827" formatCode="#,##0.000">
                  <c:v>#N/A</c:v>
                </c:pt>
                <c:pt idx="3828" formatCode="#,##0.000">
                  <c:v>#N/A</c:v>
                </c:pt>
                <c:pt idx="3829" formatCode="#,##0.000">
                  <c:v>#N/A</c:v>
                </c:pt>
                <c:pt idx="3830" formatCode="#,##0.000">
                  <c:v>#N/A</c:v>
                </c:pt>
                <c:pt idx="3831" formatCode="#,##0.000">
                  <c:v>#N/A</c:v>
                </c:pt>
                <c:pt idx="3832" formatCode="#,##0.000">
                  <c:v>#N/A</c:v>
                </c:pt>
                <c:pt idx="3833" formatCode="#,##0.000">
                  <c:v>#N/A</c:v>
                </c:pt>
                <c:pt idx="3834" formatCode="#,##0.000">
                  <c:v>#N/A</c:v>
                </c:pt>
                <c:pt idx="3835" formatCode="#,##0.000">
                  <c:v>#N/A</c:v>
                </c:pt>
                <c:pt idx="3836" formatCode="#,##0.000">
                  <c:v>#N/A</c:v>
                </c:pt>
                <c:pt idx="3837" formatCode="#,##0.000">
                  <c:v>#N/A</c:v>
                </c:pt>
                <c:pt idx="3838" formatCode="#,##0.000">
                  <c:v>#N/A</c:v>
                </c:pt>
                <c:pt idx="3839" formatCode="#,##0.000">
                  <c:v>#N/A</c:v>
                </c:pt>
                <c:pt idx="3840" formatCode="#,##0.000">
                  <c:v>#N/A</c:v>
                </c:pt>
                <c:pt idx="3841" formatCode="#,##0.000">
                  <c:v>#N/A</c:v>
                </c:pt>
                <c:pt idx="3842" formatCode="#,##0.000">
                  <c:v>#N/A</c:v>
                </c:pt>
                <c:pt idx="3843" formatCode="#,##0.000">
                  <c:v>#N/A</c:v>
                </c:pt>
                <c:pt idx="3844" formatCode="#,##0.000">
                  <c:v>#N/A</c:v>
                </c:pt>
                <c:pt idx="3845" formatCode="#,##0.000">
                  <c:v>#N/A</c:v>
                </c:pt>
                <c:pt idx="3846" formatCode="#,##0.000">
                  <c:v>#N/A</c:v>
                </c:pt>
                <c:pt idx="3847" formatCode="#,##0.000">
                  <c:v>#N/A</c:v>
                </c:pt>
                <c:pt idx="3848" formatCode="#,##0.000">
                  <c:v>#N/A</c:v>
                </c:pt>
                <c:pt idx="3849" formatCode="#,##0.000">
                  <c:v>#N/A</c:v>
                </c:pt>
                <c:pt idx="3850" formatCode="#,##0.000">
                  <c:v>#N/A</c:v>
                </c:pt>
                <c:pt idx="3851" formatCode="#,##0.000">
                  <c:v>#N/A</c:v>
                </c:pt>
                <c:pt idx="3852" formatCode="#,##0.000">
                  <c:v>#N/A</c:v>
                </c:pt>
                <c:pt idx="3853" formatCode="#,##0.000">
                  <c:v>#N/A</c:v>
                </c:pt>
                <c:pt idx="3854" formatCode="#,##0.000">
                  <c:v>#N/A</c:v>
                </c:pt>
                <c:pt idx="3855" formatCode="#,##0.000">
                  <c:v>#N/A</c:v>
                </c:pt>
                <c:pt idx="3856" formatCode="#,##0.000">
                  <c:v>#N/A</c:v>
                </c:pt>
                <c:pt idx="3857" formatCode="#,##0.000">
                  <c:v>#N/A</c:v>
                </c:pt>
                <c:pt idx="3858" formatCode="#,##0.000">
                  <c:v>#N/A</c:v>
                </c:pt>
                <c:pt idx="3859" formatCode="#,##0.000">
                  <c:v>#N/A</c:v>
                </c:pt>
                <c:pt idx="3860" formatCode="#,##0.000">
                  <c:v>#N/A</c:v>
                </c:pt>
                <c:pt idx="3861" formatCode="#,##0.000">
                  <c:v>#N/A</c:v>
                </c:pt>
                <c:pt idx="3862" formatCode="#,##0.000">
                  <c:v>#N/A</c:v>
                </c:pt>
                <c:pt idx="3863" formatCode="#,##0.000">
                  <c:v>#N/A</c:v>
                </c:pt>
                <c:pt idx="3864" formatCode="#,##0.000">
                  <c:v>#N/A</c:v>
                </c:pt>
                <c:pt idx="3865" formatCode="#,##0.000">
                  <c:v>#N/A</c:v>
                </c:pt>
                <c:pt idx="3866" formatCode="#,##0.000">
                  <c:v>#N/A</c:v>
                </c:pt>
                <c:pt idx="3867" formatCode="#,##0.000">
                  <c:v>#N/A</c:v>
                </c:pt>
                <c:pt idx="3868" formatCode="#,##0.000">
                  <c:v>#N/A</c:v>
                </c:pt>
                <c:pt idx="3869" formatCode="#,##0.000">
                  <c:v>#N/A</c:v>
                </c:pt>
                <c:pt idx="3870" formatCode="#,##0.000">
                  <c:v>#N/A</c:v>
                </c:pt>
                <c:pt idx="3871" formatCode="#,##0.000">
                  <c:v>#N/A</c:v>
                </c:pt>
                <c:pt idx="3872" formatCode="#,##0.000">
                  <c:v>#N/A</c:v>
                </c:pt>
                <c:pt idx="3873" formatCode="#,##0.000">
                  <c:v>#N/A</c:v>
                </c:pt>
                <c:pt idx="3874" formatCode="#,##0.000">
                  <c:v>#N/A</c:v>
                </c:pt>
                <c:pt idx="3875" formatCode="#,##0.000">
                  <c:v>#N/A</c:v>
                </c:pt>
                <c:pt idx="3876" formatCode="#,##0.000">
                  <c:v>#N/A</c:v>
                </c:pt>
                <c:pt idx="3877" formatCode="#,##0.000">
                  <c:v>#N/A</c:v>
                </c:pt>
                <c:pt idx="3878" formatCode="#,##0.000">
                  <c:v>#N/A</c:v>
                </c:pt>
                <c:pt idx="3879" formatCode="#,##0.000">
                  <c:v>#N/A</c:v>
                </c:pt>
                <c:pt idx="3880" formatCode="#,##0.000">
                  <c:v>#N/A</c:v>
                </c:pt>
                <c:pt idx="3881" formatCode="#,##0.000">
                  <c:v>#N/A</c:v>
                </c:pt>
                <c:pt idx="3882" formatCode="#,##0.000">
                  <c:v>#N/A</c:v>
                </c:pt>
                <c:pt idx="3883" formatCode="#,##0.000">
                  <c:v>#N/A</c:v>
                </c:pt>
                <c:pt idx="3884" formatCode="#,##0.000">
                  <c:v>#N/A</c:v>
                </c:pt>
                <c:pt idx="3885" formatCode="#,##0.000">
                  <c:v>#N/A</c:v>
                </c:pt>
                <c:pt idx="3886" formatCode="#,##0.000">
                  <c:v>#N/A</c:v>
                </c:pt>
                <c:pt idx="3887" formatCode="#,##0.000">
                  <c:v>#N/A</c:v>
                </c:pt>
                <c:pt idx="3888" formatCode="#,##0.000">
                  <c:v>#N/A</c:v>
                </c:pt>
                <c:pt idx="3889" formatCode="#,##0.000">
                  <c:v>#N/A</c:v>
                </c:pt>
                <c:pt idx="3890" formatCode="#,##0.000">
                  <c:v>#N/A</c:v>
                </c:pt>
                <c:pt idx="3891" formatCode="#,##0.000">
                  <c:v>#N/A</c:v>
                </c:pt>
                <c:pt idx="3892" formatCode="#,##0.000">
                  <c:v>#N/A</c:v>
                </c:pt>
                <c:pt idx="3893" formatCode="#,##0.000">
                  <c:v>#N/A</c:v>
                </c:pt>
                <c:pt idx="3894" formatCode="#,##0.000">
                  <c:v>#N/A</c:v>
                </c:pt>
                <c:pt idx="3895" formatCode="#,##0.000">
                  <c:v>#N/A</c:v>
                </c:pt>
                <c:pt idx="3896" formatCode="#,##0.000">
                  <c:v>#N/A</c:v>
                </c:pt>
                <c:pt idx="3897" formatCode="#,##0.000">
                  <c:v>#N/A</c:v>
                </c:pt>
                <c:pt idx="3898" formatCode="#,##0.000">
                  <c:v>#N/A</c:v>
                </c:pt>
                <c:pt idx="3899" formatCode="#,##0.000">
                  <c:v>#N/A</c:v>
                </c:pt>
                <c:pt idx="3900" formatCode="#,##0.000">
                  <c:v>#N/A</c:v>
                </c:pt>
                <c:pt idx="3901" formatCode="#,##0.000">
                  <c:v>#N/A</c:v>
                </c:pt>
                <c:pt idx="3902" formatCode="#,##0.000">
                  <c:v>#N/A</c:v>
                </c:pt>
                <c:pt idx="3903" formatCode="#,##0.000">
                  <c:v>#N/A</c:v>
                </c:pt>
                <c:pt idx="3904" formatCode="#,##0.000">
                  <c:v>#N/A</c:v>
                </c:pt>
                <c:pt idx="3905" formatCode="#,##0.000">
                  <c:v>#N/A</c:v>
                </c:pt>
                <c:pt idx="3906" formatCode="#,##0.000">
                  <c:v>#N/A</c:v>
                </c:pt>
                <c:pt idx="3907" formatCode="#,##0.000">
                  <c:v>#N/A</c:v>
                </c:pt>
                <c:pt idx="3908" formatCode="#,##0.000">
                  <c:v>#N/A</c:v>
                </c:pt>
                <c:pt idx="3909" formatCode="#,##0.000">
                  <c:v>#N/A</c:v>
                </c:pt>
                <c:pt idx="3910" formatCode="#,##0.000">
                  <c:v>#N/A</c:v>
                </c:pt>
                <c:pt idx="3911" formatCode="#,##0.000">
                  <c:v>#N/A</c:v>
                </c:pt>
                <c:pt idx="3912" formatCode="#,##0.000">
                  <c:v>#N/A</c:v>
                </c:pt>
                <c:pt idx="3913" formatCode="#,##0.000">
                  <c:v>#N/A</c:v>
                </c:pt>
                <c:pt idx="3914" formatCode="#,##0.000">
                  <c:v>#N/A</c:v>
                </c:pt>
                <c:pt idx="3915" formatCode="#,##0.000">
                  <c:v>#N/A</c:v>
                </c:pt>
                <c:pt idx="3916" formatCode="#,##0.000">
                  <c:v>#N/A</c:v>
                </c:pt>
                <c:pt idx="3917" formatCode="#,##0.000">
                  <c:v>#N/A</c:v>
                </c:pt>
                <c:pt idx="3918" formatCode="#,##0.000">
                  <c:v>#N/A</c:v>
                </c:pt>
                <c:pt idx="3919" formatCode="#,##0.000">
                  <c:v>#N/A</c:v>
                </c:pt>
                <c:pt idx="3920" formatCode="#,##0.000">
                  <c:v>#N/A</c:v>
                </c:pt>
                <c:pt idx="3921" formatCode="#,##0.000">
                  <c:v>#N/A</c:v>
                </c:pt>
                <c:pt idx="3922" formatCode="#,##0.000">
                  <c:v>#N/A</c:v>
                </c:pt>
                <c:pt idx="3923" formatCode="#,##0.000">
                  <c:v>#N/A</c:v>
                </c:pt>
                <c:pt idx="3924" formatCode="#,##0.000">
                  <c:v>#N/A</c:v>
                </c:pt>
                <c:pt idx="3925" formatCode="#,##0.000">
                  <c:v>#N/A</c:v>
                </c:pt>
                <c:pt idx="3926" formatCode="#,##0.000">
                  <c:v>#N/A</c:v>
                </c:pt>
                <c:pt idx="3927" formatCode="#,##0.000">
                  <c:v>#N/A</c:v>
                </c:pt>
                <c:pt idx="3928" formatCode="#,##0.000">
                  <c:v>#N/A</c:v>
                </c:pt>
                <c:pt idx="3929" formatCode="#,##0.000">
                  <c:v>#N/A</c:v>
                </c:pt>
                <c:pt idx="3930" formatCode="#,##0.000">
                  <c:v>#N/A</c:v>
                </c:pt>
                <c:pt idx="3931" formatCode="#,##0.000">
                  <c:v>#N/A</c:v>
                </c:pt>
                <c:pt idx="3932" formatCode="#,##0.000">
                  <c:v>#N/A</c:v>
                </c:pt>
                <c:pt idx="3933" formatCode="#,##0.000">
                  <c:v>#N/A</c:v>
                </c:pt>
                <c:pt idx="3934" formatCode="#,##0.000">
                  <c:v>#N/A</c:v>
                </c:pt>
                <c:pt idx="3935" formatCode="#,##0.000">
                  <c:v>#N/A</c:v>
                </c:pt>
                <c:pt idx="3936" formatCode="#,##0.000">
                  <c:v>#N/A</c:v>
                </c:pt>
                <c:pt idx="3937" formatCode="#,##0.000">
                  <c:v>#N/A</c:v>
                </c:pt>
                <c:pt idx="3938" formatCode="#,##0.000">
                  <c:v>#N/A</c:v>
                </c:pt>
                <c:pt idx="3939" formatCode="#,##0.000">
                  <c:v>#N/A</c:v>
                </c:pt>
                <c:pt idx="3940" formatCode="#,##0.000">
                  <c:v>#N/A</c:v>
                </c:pt>
                <c:pt idx="3941" formatCode="#,##0.000">
                  <c:v>#N/A</c:v>
                </c:pt>
                <c:pt idx="3942" formatCode="#,##0.000">
                  <c:v>#N/A</c:v>
                </c:pt>
                <c:pt idx="3943" formatCode="#,##0.000">
                  <c:v>#N/A</c:v>
                </c:pt>
                <c:pt idx="3944" formatCode="#,##0.000">
                  <c:v>#N/A</c:v>
                </c:pt>
                <c:pt idx="3945" formatCode="#,##0.000">
                  <c:v>#N/A</c:v>
                </c:pt>
                <c:pt idx="3946" formatCode="#,##0.000">
                  <c:v>#N/A</c:v>
                </c:pt>
                <c:pt idx="3947" formatCode="#,##0.000">
                  <c:v>#N/A</c:v>
                </c:pt>
                <c:pt idx="3948" formatCode="#,##0.000">
                  <c:v>#N/A</c:v>
                </c:pt>
                <c:pt idx="3949" formatCode="#,##0.000">
                  <c:v>#N/A</c:v>
                </c:pt>
                <c:pt idx="3950" formatCode="#,##0.000">
                  <c:v>#N/A</c:v>
                </c:pt>
                <c:pt idx="3951" formatCode="#,##0.000">
                  <c:v>#N/A</c:v>
                </c:pt>
                <c:pt idx="3952" formatCode="#,##0.000">
                  <c:v>#N/A</c:v>
                </c:pt>
                <c:pt idx="3953" formatCode="#,##0.000">
                  <c:v>#N/A</c:v>
                </c:pt>
                <c:pt idx="3954" formatCode="#,##0.000">
                  <c:v>#N/A</c:v>
                </c:pt>
                <c:pt idx="3955" formatCode="#,##0.000">
                  <c:v>#N/A</c:v>
                </c:pt>
                <c:pt idx="3956" formatCode="#,##0.000">
                  <c:v>#N/A</c:v>
                </c:pt>
                <c:pt idx="3957" formatCode="#,##0.000">
                  <c:v>#N/A</c:v>
                </c:pt>
                <c:pt idx="3958" formatCode="#,##0.000">
                  <c:v>#N/A</c:v>
                </c:pt>
                <c:pt idx="3959" formatCode="#,##0.000">
                  <c:v>#N/A</c:v>
                </c:pt>
                <c:pt idx="3960" formatCode="#,##0.000">
                  <c:v>#N/A</c:v>
                </c:pt>
                <c:pt idx="3961" formatCode="#,##0.000">
                  <c:v>#N/A</c:v>
                </c:pt>
                <c:pt idx="3962" formatCode="#,##0.000">
                  <c:v>#N/A</c:v>
                </c:pt>
                <c:pt idx="3963" formatCode="#,##0.000">
                  <c:v>#N/A</c:v>
                </c:pt>
                <c:pt idx="3964" formatCode="#,##0.000">
                  <c:v>#N/A</c:v>
                </c:pt>
                <c:pt idx="3965" formatCode="#,##0.000">
                  <c:v>#N/A</c:v>
                </c:pt>
                <c:pt idx="3966" formatCode="#,##0.000">
                  <c:v>#N/A</c:v>
                </c:pt>
                <c:pt idx="3967" formatCode="#,##0.000">
                  <c:v>#N/A</c:v>
                </c:pt>
                <c:pt idx="3968" formatCode="#,##0.000">
                  <c:v>#N/A</c:v>
                </c:pt>
                <c:pt idx="3969" formatCode="#,##0.000">
                  <c:v>#N/A</c:v>
                </c:pt>
                <c:pt idx="3970" formatCode="#,##0.000">
                  <c:v>#N/A</c:v>
                </c:pt>
                <c:pt idx="3971" formatCode="#,##0.000">
                  <c:v>#N/A</c:v>
                </c:pt>
                <c:pt idx="3972" formatCode="#,##0.000">
                  <c:v>#N/A</c:v>
                </c:pt>
                <c:pt idx="3973" formatCode="#,##0.000">
                  <c:v>#N/A</c:v>
                </c:pt>
                <c:pt idx="3974" formatCode="#,##0.000">
                  <c:v>#N/A</c:v>
                </c:pt>
                <c:pt idx="3975" formatCode="#,##0.000">
                  <c:v>#N/A</c:v>
                </c:pt>
                <c:pt idx="3976" formatCode="#,##0.000">
                  <c:v>#N/A</c:v>
                </c:pt>
                <c:pt idx="3977" formatCode="#,##0.000">
                  <c:v>#N/A</c:v>
                </c:pt>
                <c:pt idx="3978" formatCode="#,##0.000">
                  <c:v>#N/A</c:v>
                </c:pt>
                <c:pt idx="3979" formatCode="#,##0.000">
                  <c:v>#N/A</c:v>
                </c:pt>
                <c:pt idx="3980" formatCode="#,##0.000">
                  <c:v>#N/A</c:v>
                </c:pt>
                <c:pt idx="3981" formatCode="#,##0.000">
                  <c:v>#N/A</c:v>
                </c:pt>
                <c:pt idx="3982" formatCode="#,##0.000">
                  <c:v>#N/A</c:v>
                </c:pt>
                <c:pt idx="3983" formatCode="#,##0.000">
                  <c:v>#N/A</c:v>
                </c:pt>
                <c:pt idx="3984" formatCode="#,##0.000">
                  <c:v>#N/A</c:v>
                </c:pt>
                <c:pt idx="3985" formatCode="#,##0.000">
                  <c:v>#N/A</c:v>
                </c:pt>
                <c:pt idx="3986" formatCode="#,##0.000">
                  <c:v>#N/A</c:v>
                </c:pt>
                <c:pt idx="3987" formatCode="#,##0.000">
                  <c:v>#N/A</c:v>
                </c:pt>
                <c:pt idx="3988" formatCode="#,##0.000">
                  <c:v>#N/A</c:v>
                </c:pt>
                <c:pt idx="3989" formatCode="#,##0.000">
                  <c:v>#N/A</c:v>
                </c:pt>
                <c:pt idx="3990" formatCode="#,##0.000">
                  <c:v>#N/A</c:v>
                </c:pt>
                <c:pt idx="3991" formatCode="#,##0.000">
                  <c:v>#N/A</c:v>
                </c:pt>
                <c:pt idx="3992" formatCode="#,##0.000">
                  <c:v>#N/A</c:v>
                </c:pt>
                <c:pt idx="3993" formatCode="#,##0.000">
                  <c:v>#N/A</c:v>
                </c:pt>
                <c:pt idx="3994" formatCode="#,##0.000">
                  <c:v>#N/A</c:v>
                </c:pt>
                <c:pt idx="3995" formatCode="#,##0.000">
                  <c:v>#N/A</c:v>
                </c:pt>
                <c:pt idx="3996" formatCode="#,##0.000">
                  <c:v>#N/A</c:v>
                </c:pt>
                <c:pt idx="3997" formatCode="#,##0.000">
                  <c:v>#N/A</c:v>
                </c:pt>
                <c:pt idx="3998" formatCode="#,##0.000">
                  <c:v>#N/A</c:v>
                </c:pt>
                <c:pt idx="3999" formatCode="#,##0.000">
                  <c:v>#N/A</c:v>
                </c:pt>
                <c:pt idx="4000" formatCode="#,##0.000">
                  <c:v>#N/A</c:v>
                </c:pt>
                <c:pt idx="4001" formatCode="#,##0.000">
                  <c:v>#N/A</c:v>
                </c:pt>
                <c:pt idx="4002" formatCode="#,##0.000">
                  <c:v>#N/A</c:v>
                </c:pt>
                <c:pt idx="4003" formatCode="#,##0.000">
                  <c:v>#N/A</c:v>
                </c:pt>
                <c:pt idx="4004" formatCode="#,##0.000">
                  <c:v>#N/A</c:v>
                </c:pt>
                <c:pt idx="4005" formatCode="#,##0.000">
                  <c:v>#N/A</c:v>
                </c:pt>
                <c:pt idx="4006" formatCode="#,##0.000">
                  <c:v>#N/A</c:v>
                </c:pt>
                <c:pt idx="4007" formatCode="#,##0.000">
                  <c:v>#N/A</c:v>
                </c:pt>
                <c:pt idx="4008" formatCode="#,##0.000">
                  <c:v>#N/A</c:v>
                </c:pt>
                <c:pt idx="4009" formatCode="#,##0.000">
                  <c:v>#N/A</c:v>
                </c:pt>
                <c:pt idx="4010" formatCode="#,##0.000">
                  <c:v>#N/A</c:v>
                </c:pt>
                <c:pt idx="4011" formatCode="#,##0.000">
                  <c:v>#N/A</c:v>
                </c:pt>
                <c:pt idx="4012" formatCode="#,##0.000">
                  <c:v>#N/A</c:v>
                </c:pt>
                <c:pt idx="4013" formatCode="#,##0.000">
                  <c:v>#N/A</c:v>
                </c:pt>
                <c:pt idx="4014" formatCode="#,##0.000">
                  <c:v>#N/A</c:v>
                </c:pt>
                <c:pt idx="4015" formatCode="#,##0.000">
                  <c:v>#N/A</c:v>
                </c:pt>
                <c:pt idx="4016" formatCode="#,##0.000">
                  <c:v>#N/A</c:v>
                </c:pt>
                <c:pt idx="4017" formatCode="#,##0.000">
                  <c:v>#N/A</c:v>
                </c:pt>
                <c:pt idx="4018" formatCode="#,##0.000">
                  <c:v>#N/A</c:v>
                </c:pt>
                <c:pt idx="4019" formatCode="#,##0.000">
                  <c:v>#N/A</c:v>
                </c:pt>
                <c:pt idx="4020" formatCode="#,##0.000">
                  <c:v>#N/A</c:v>
                </c:pt>
                <c:pt idx="4021" formatCode="#,##0.000">
                  <c:v>#N/A</c:v>
                </c:pt>
                <c:pt idx="4022" formatCode="#,##0.000">
                  <c:v>#N/A</c:v>
                </c:pt>
                <c:pt idx="4023" formatCode="#,##0.000">
                  <c:v>#N/A</c:v>
                </c:pt>
                <c:pt idx="4024" formatCode="#,##0.000">
                  <c:v>#N/A</c:v>
                </c:pt>
                <c:pt idx="4025" formatCode="#,##0.000">
                  <c:v>#N/A</c:v>
                </c:pt>
                <c:pt idx="4026" formatCode="#,##0.000">
                  <c:v>#N/A</c:v>
                </c:pt>
                <c:pt idx="4027" formatCode="#,##0.000">
                  <c:v>#N/A</c:v>
                </c:pt>
                <c:pt idx="4028" formatCode="#,##0.000">
                  <c:v>#N/A</c:v>
                </c:pt>
                <c:pt idx="4029" formatCode="#,##0.000">
                  <c:v>#N/A</c:v>
                </c:pt>
                <c:pt idx="4030" formatCode="#,##0.000">
                  <c:v>#N/A</c:v>
                </c:pt>
                <c:pt idx="4031" formatCode="#,##0.000">
                  <c:v>#N/A</c:v>
                </c:pt>
                <c:pt idx="4032" formatCode="#,##0.000">
                  <c:v>#N/A</c:v>
                </c:pt>
                <c:pt idx="4033" formatCode="#,##0.000">
                  <c:v>#N/A</c:v>
                </c:pt>
                <c:pt idx="4034" formatCode="#,##0.000">
                  <c:v>#N/A</c:v>
                </c:pt>
                <c:pt idx="4035" formatCode="#,##0.000">
                  <c:v>#N/A</c:v>
                </c:pt>
                <c:pt idx="4036" formatCode="#,##0.000">
                  <c:v>#N/A</c:v>
                </c:pt>
                <c:pt idx="4037" formatCode="#,##0.000">
                  <c:v>#N/A</c:v>
                </c:pt>
                <c:pt idx="4038" formatCode="#,##0.000">
                  <c:v>#N/A</c:v>
                </c:pt>
                <c:pt idx="4039" formatCode="#,##0.000">
                  <c:v>#N/A</c:v>
                </c:pt>
                <c:pt idx="4040" formatCode="#,##0.000">
                  <c:v>#N/A</c:v>
                </c:pt>
                <c:pt idx="4041" formatCode="#,##0.000">
                  <c:v>#N/A</c:v>
                </c:pt>
                <c:pt idx="4042" formatCode="#,##0.000">
                  <c:v>#N/A</c:v>
                </c:pt>
                <c:pt idx="4043" formatCode="#,##0.000">
                  <c:v>#N/A</c:v>
                </c:pt>
                <c:pt idx="4044" formatCode="#,##0.000">
                  <c:v>#N/A</c:v>
                </c:pt>
                <c:pt idx="4045" formatCode="#,##0.000">
                  <c:v>#N/A</c:v>
                </c:pt>
                <c:pt idx="4046" formatCode="#,##0.000">
                  <c:v>#N/A</c:v>
                </c:pt>
                <c:pt idx="4047" formatCode="#,##0.000">
                  <c:v>#N/A</c:v>
                </c:pt>
                <c:pt idx="4048" formatCode="#,##0.000">
                  <c:v>#N/A</c:v>
                </c:pt>
                <c:pt idx="4049" formatCode="#,##0.000">
                  <c:v>#N/A</c:v>
                </c:pt>
                <c:pt idx="4050" formatCode="#,##0.000">
                  <c:v>#N/A</c:v>
                </c:pt>
                <c:pt idx="4051" formatCode="#,##0.000">
                  <c:v>#N/A</c:v>
                </c:pt>
                <c:pt idx="4052" formatCode="#,##0.000">
                  <c:v>#N/A</c:v>
                </c:pt>
                <c:pt idx="4053" formatCode="#,##0.000">
                  <c:v>#N/A</c:v>
                </c:pt>
                <c:pt idx="4054" formatCode="#,##0.000">
                  <c:v>#N/A</c:v>
                </c:pt>
                <c:pt idx="4055" formatCode="#,##0.000">
                  <c:v>#N/A</c:v>
                </c:pt>
                <c:pt idx="4056" formatCode="#,##0.000">
                  <c:v>#N/A</c:v>
                </c:pt>
                <c:pt idx="4057" formatCode="#,##0.000">
                  <c:v>#N/A</c:v>
                </c:pt>
                <c:pt idx="4058" formatCode="#,##0.000">
                  <c:v>#N/A</c:v>
                </c:pt>
                <c:pt idx="4059" formatCode="#,##0.000">
                  <c:v>#N/A</c:v>
                </c:pt>
                <c:pt idx="4060" formatCode="#,##0.000">
                  <c:v>#N/A</c:v>
                </c:pt>
                <c:pt idx="4061" formatCode="#,##0.000">
                  <c:v>#N/A</c:v>
                </c:pt>
                <c:pt idx="4062" formatCode="#,##0.000">
                  <c:v>#N/A</c:v>
                </c:pt>
                <c:pt idx="4063" formatCode="#,##0.000">
                  <c:v>#N/A</c:v>
                </c:pt>
                <c:pt idx="4064" formatCode="#,##0.000">
                  <c:v>#N/A</c:v>
                </c:pt>
                <c:pt idx="4065" formatCode="#,##0.000">
                  <c:v>#N/A</c:v>
                </c:pt>
                <c:pt idx="4066" formatCode="#,##0.000">
                  <c:v>#N/A</c:v>
                </c:pt>
                <c:pt idx="4067" formatCode="#,##0.000">
                  <c:v>#N/A</c:v>
                </c:pt>
                <c:pt idx="4068" formatCode="#,##0.000">
                  <c:v>#N/A</c:v>
                </c:pt>
                <c:pt idx="4069" formatCode="#,##0.000">
                  <c:v>#N/A</c:v>
                </c:pt>
                <c:pt idx="4070" formatCode="#,##0.000">
                  <c:v>#N/A</c:v>
                </c:pt>
                <c:pt idx="4071" formatCode="#,##0.000">
                  <c:v>#N/A</c:v>
                </c:pt>
                <c:pt idx="4072" formatCode="#,##0.000">
                  <c:v>#N/A</c:v>
                </c:pt>
                <c:pt idx="4073" formatCode="#,##0.000">
                  <c:v>#N/A</c:v>
                </c:pt>
                <c:pt idx="4074" formatCode="#,##0.000">
                  <c:v>#N/A</c:v>
                </c:pt>
                <c:pt idx="4075" formatCode="#,##0.000">
                  <c:v>#N/A</c:v>
                </c:pt>
                <c:pt idx="4076" formatCode="#,##0.000">
                  <c:v>#N/A</c:v>
                </c:pt>
                <c:pt idx="4077" formatCode="#,##0.000">
                  <c:v>#N/A</c:v>
                </c:pt>
                <c:pt idx="4078" formatCode="#,##0.000">
                  <c:v>#N/A</c:v>
                </c:pt>
                <c:pt idx="4079" formatCode="#,##0.000">
                  <c:v>#N/A</c:v>
                </c:pt>
                <c:pt idx="4080" formatCode="#,##0.000">
                  <c:v>#N/A</c:v>
                </c:pt>
                <c:pt idx="4081" formatCode="#,##0.000">
                  <c:v>#N/A</c:v>
                </c:pt>
                <c:pt idx="4082" formatCode="#,##0.000">
                  <c:v>#N/A</c:v>
                </c:pt>
                <c:pt idx="4083" formatCode="#,##0.000">
                  <c:v>#N/A</c:v>
                </c:pt>
                <c:pt idx="4084" formatCode="#,##0.000">
                  <c:v>#N/A</c:v>
                </c:pt>
                <c:pt idx="4085" formatCode="#,##0.000">
                  <c:v>#N/A</c:v>
                </c:pt>
                <c:pt idx="4086" formatCode="#,##0.000">
                  <c:v>#N/A</c:v>
                </c:pt>
                <c:pt idx="4087" formatCode="#,##0.000">
                  <c:v>#N/A</c:v>
                </c:pt>
                <c:pt idx="4088" formatCode="#,##0.000">
                  <c:v>#N/A</c:v>
                </c:pt>
                <c:pt idx="4089" formatCode="#,##0.000">
                  <c:v>#N/A</c:v>
                </c:pt>
                <c:pt idx="4090" formatCode="#,##0.000">
                  <c:v>#N/A</c:v>
                </c:pt>
                <c:pt idx="4091" formatCode="#,##0.000">
                  <c:v>#N/A</c:v>
                </c:pt>
                <c:pt idx="4092" formatCode="#,##0.000">
                  <c:v>#N/A</c:v>
                </c:pt>
                <c:pt idx="4093" formatCode="#,##0.000">
                  <c:v>#N/A</c:v>
                </c:pt>
                <c:pt idx="4094" formatCode="#,##0.000">
                  <c:v>#N/A</c:v>
                </c:pt>
                <c:pt idx="4095" formatCode="#,##0.000">
                  <c:v>#N/A</c:v>
                </c:pt>
                <c:pt idx="4096" formatCode="#,##0.000">
                  <c:v>#N/A</c:v>
                </c:pt>
                <c:pt idx="4097" formatCode="#,##0.000">
                  <c:v>#N/A</c:v>
                </c:pt>
                <c:pt idx="4098" formatCode="#,##0.000">
                  <c:v>#N/A</c:v>
                </c:pt>
                <c:pt idx="4099" formatCode="#,##0.000">
                  <c:v>#N/A</c:v>
                </c:pt>
                <c:pt idx="4100" formatCode="#,##0.000">
                  <c:v>#N/A</c:v>
                </c:pt>
                <c:pt idx="4101" formatCode="#,##0.000">
                  <c:v>#N/A</c:v>
                </c:pt>
                <c:pt idx="4102" formatCode="#,##0.000">
                  <c:v>#N/A</c:v>
                </c:pt>
                <c:pt idx="4103" formatCode="#,##0.000">
                  <c:v>#N/A</c:v>
                </c:pt>
                <c:pt idx="4104" formatCode="#,##0.000">
                  <c:v>#N/A</c:v>
                </c:pt>
                <c:pt idx="4105" formatCode="#,##0.000">
                  <c:v>#N/A</c:v>
                </c:pt>
                <c:pt idx="4106" formatCode="#,##0.000">
                  <c:v>#N/A</c:v>
                </c:pt>
                <c:pt idx="4107" formatCode="#,##0.000">
                  <c:v>#N/A</c:v>
                </c:pt>
                <c:pt idx="4108" formatCode="#,##0.000">
                  <c:v>#N/A</c:v>
                </c:pt>
                <c:pt idx="4109" formatCode="#,##0.000">
                  <c:v>#N/A</c:v>
                </c:pt>
                <c:pt idx="4110" formatCode="#,##0.000">
                  <c:v>#N/A</c:v>
                </c:pt>
                <c:pt idx="4111" formatCode="#,##0.000">
                  <c:v>#N/A</c:v>
                </c:pt>
                <c:pt idx="4112" formatCode="#,##0.000">
                  <c:v>#N/A</c:v>
                </c:pt>
                <c:pt idx="4113" formatCode="#,##0.000">
                  <c:v>#N/A</c:v>
                </c:pt>
                <c:pt idx="4114" formatCode="#,##0.000">
                  <c:v>#N/A</c:v>
                </c:pt>
                <c:pt idx="4115" formatCode="#,##0.000">
                  <c:v>#N/A</c:v>
                </c:pt>
                <c:pt idx="4116" formatCode="#,##0.000">
                  <c:v>#N/A</c:v>
                </c:pt>
                <c:pt idx="4117" formatCode="#,##0.000">
                  <c:v>#N/A</c:v>
                </c:pt>
                <c:pt idx="4118" formatCode="#,##0.000">
                  <c:v>#N/A</c:v>
                </c:pt>
                <c:pt idx="4119" formatCode="#,##0.000">
                  <c:v>#N/A</c:v>
                </c:pt>
                <c:pt idx="4120" formatCode="#,##0.000">
                  <c:v>#N/A</c:v>
                </c:pt>
                <c:pt idx="4121" formatCode="#,##0.000">
                  <c:v>#N/A</c:v>
                </c:pt>
                <c:pt idx="4122" formatCode="#,##0.000">
                  <c:v>#N/A</c:v>
                </c:pt>
                <c:pt idx="4123" formatCode="#,##0.000">
                  <c:v>#N/A</c:v>
                </c:pt>
                <c:pt idx="4124" formatCode="#,##0.000">
                  <c:v>#N/A</c:v>
                </c:pt>
                <c:pt idx="4125" formatCode="#,##0.000">
                  <c:v>#N/A</c:v>
                </c:pt>
                <c:pt idx="4126" formatCode="#,##0.000">
                  <c:v>#N/A</c:v>
                </c:pt>
                <c:pt idx="4127" formatCode="#,##0.000">
                  <c:v>#N/A</c:v>
                </c:pt>
                <c:pt idx="4128" formatCode="#,##0.000">
                  <c:v>#N/A</c:v>
                </c:pt>
                <c:pt idx="4129" formatCode="#,##0.000">
                  <c:v>#N/A</c:v>
                </c:pt>
                <c:pt idx="4130" formatCode="#,##0.000">
                  <c:v>#N/A</c:v>
                </c:pt>
                <c:pt idx="4131" formatCode="#,##0.000">
                  <c:v>#N/A</c:v>
                </c:pt>
                <c:pt idx="4132" formatCode="#,##0.000">
                  <c:v>#N/A</c:v>
                </c:pt>
                <c:pt idx="4133" formatCode="#,##0.000">
                  <c:v>#N/A</c:v>
                </c:pt>
                <c:pt idx="4134" formatCode="#,##0.000">
                  <c:v>#N/A</c:v>
                </c:pt>
                <c:pt idx="4135" formatCode="#,##0.000">
                  <c:v>#N/A</c:v>
                </c:pt>
                <c:pt idx="4136" formatCode="#,##0.000">
                  <c:v>#N/A</c:v>
                </c:pt>
                <c:pt idx="4137" formatCode="#,##0.000">
                  <c:v>#N/A</c:v>
                </c:pt>
                <c:pt idx="4138" formatCode="#,##0.000">
                  <c:v>#N/A</c:v>
                </c:pt>
                <c:pt idx="4139" formatCode="#,##0.000">
                  <c:v>#N/A</c:v>
                </c:pt>
                <c:pt idx="4140" formatCode="#,##0.000">
                  <c:v>#N/A</c:v>
                </c:pt>
                <c:pt idx="4141" formatCode="#,##0.000">
                  <c:v>#N/A</c:v>
                </c:pt>
                <c:pt idx="4142" formatCode="#,##0.000">
                  <c:v>#N/A</c:v>
                </c:pt>
                <c:pt idx="4143" formatCode="#,##0.000">
                  <c:v>#N/A</c:v>
                </c:pt>
                <c:pt idx="4144" formatCode="#,##0.000">
                  <c:v>#N/A</c:v>
                </c:pt>
                <c:pt idx="4145" formatCode="#,##0.000">
                  <c:v>#N/A</c:v>
                </c:pt>
                <c:pt idx="4146" formatCode="#,##0.000">
                  <c:v>#N/A</c:v>
                </c:pt>
                <c:pt idx="4147" formatCode="#,##0.000">
                  <c:v>#N/A</c:v>
                </c:pt>
                <c:pt idx="4148" formatCode="#,##0.000">
                  <c:v>#N/A</c:v>
                </c:pt>
                <c:pt idx="4149" formatCode="#,##0.000">
                  <c:v>#N/A</c:v>
                </c:pt>
                <c:pt idx="4150" formatCode="#,##0.000">
                  <c:v>#N/A</c:v>
                </c:pt>
                <c:pt idx="4151" formatCode="#,##0.000">
                  <c:v>#N/A</c:v>
                </c:pt>
                <c:pt idx="4152" formatCode="#,##0.000">
                  <c:v>#N/A</c:v>
                </c:pt>
                <c:pt idx="4153" formatCode="#,##0.000">
                  <c:v>#N/A</c:v>
                </c:pt>
                <c:pt idx="4154" formatCode="#,##0.000">
                  <c:v>#N/A</c:v>
                </c:pt>
                <c:pt idx="4155" formatCode="#,##0.000">
                  <c:v>#N/A</c:v>
                </c:pt>
                <c:pt idx="4156" formatCode="#,##0.000">
                  <c:v>#N/A</c:v>
                </c:pt>
                <c:pt idx="4157" formatCode="#,##0.000">
                  <c:v>#N/A</c:v>
                </c:pt>
                <c:pt idx="4158" formatCode="#,##0.000">
                  <c:v>#N/A</c:v>
                </c:pt>
                <c:pt idx="4159" formatCode="#,##0.000">
                  <c:v>#N/A</c:v>
                </c:pt>
                <c:pt idx="4160" formatCode="#,##0.000">
                  <c:v>#N/A</c:v>
                </c:pt>
                <c:pt idx="4161" formatCode="#,##0.000">
                  <c:v>#N/A</c:v>
                </c:pt>
                <c:pt idx="4162" formatCode="#,##0.000">
                  <c:v>#N/A</c:v>
                </c:pt>
                <c:pt idx="4163" formatCode="#,##0.000">
                  <c:v>#N/A</c:v>
                </c:pt>
                <c:pt idx="4164" formatCode="#,##0.000">
                  <c:v>#N/A</c:v>
                </c:pt>
                <c:pt idx="4165" formatCode="#,##0.000">
                  <c:v>#N/A</c:v>
                </c:pt>
                <c:pt idx="4166" formatCode="#,##0.000">
                  <c:v>#N/A</c:v>
                </c:pt>
                <c:pt idx="4167" formatCode="#,##0.000">
                  <c:v>#N/A</c:v>
                </c:pt>
                <c:pt idx="4168" formatCode="#,##0.000">
                  <c:v>#N/A</c:v>
                </c:pt>
                <c:pt idx="4169" formatCode="#,##0.000">
                  <c:v>#N/A</c:v>
                </c:pt>
                <c:pt idx="4170" formatCode="#,##0.000">
                  <c:v>#N/A</c:v>
                </c:pt>
                <c:pt idx="4171" formatCode="#,##0.000">
                  <c:v>#N/A</c:v>
                </c:pt>
                <c:pt idx="4172" formatCode="#,##0.000">
                  <c:v>#N/A</c:v>
                </c:pt>
                <c:pt idx="4173" formatCode="#,##0.000">
                  <c:v>#N/A</c:v>
                </c:pt>
                <c:pt idx="4174" formatCode="#,##0.000">
                  <c:v>#N/A</c:v>
                </c:pt>
                <c:pt idx="4175" formatCode="#,##0.000">
                  <c:v>#N/A</c:v>
                </c:pt>
                <c:pt idx="4176" formatCode="#,##0.000">
                  <c:v>#N/A</c:v>
                </c:pt>
                <c:pt idx="4177" formatCode="#,##0.000">
                  <c:v>#N/A</c:v>
                </c:pt>
                <c:pt idx="4178" formatCode="#,##0.000">
                  <c:v>#N/A</c:v>
                </c:pt>
                <c:pt idx="4179" formatCode="#,##0.000">
                  <c:v>#N/A</c:v>
                </c:pt>
                <c:pt idx="4180" formatCode="#,##0.000">
                  <c:v>#N/A</c:v>
                </c:pt>
                <c:pt idx="4181" formatCode="#,##0.000">
                  <c:v>#N/A</c:v>
                </c:pt>
                <c:pt idx="4182" formatCode="#,##0.000">
                  <c:v>#N/A</c:v>
                </c:pt>
                <c:pt idx="4183" formatCode="#,##0.000">
                  <c:v>#N/A</c:v>
                </c:pt>
                <c:pt idx="4184" formatCode="#,##0.000">
                  <c:v>#N/A</c:v>
                </c:pt>
                <c:pt idx="4185" formatCode="#,##0.000">
                  <c:v>#N/A</c:v>
                </c:pt>
                <c:pt idx="4186" formatCode="#,##0.000">
                  <c:v>#N/A</c:v>
                </c:pt>
                <c:pt idx="4187" formatCode="#,##0.000">
                  <c:v>#N/A</c:v>
                </c:pt>
                <c:pt idx="4188" formatCode="#,##0.000">
                  <c:v>#N/A</c:v>
                </c:pt>
                <c:pt idx="4189" formatCode="#,##0.000">
                  <c:v>#N/A</c:v>
                </c:pt>
                <c:pt idx="4190" formatCode="#,##0.000">
                  <c:v>#N/A</c:v>
                </c:pt>
                <c:pt idx="4191" formatCode="#,##0.000">
                  <c:v>#N/A</c:v>
                </c:pt>
                <c:pt idx="4192" formatCode="#,##0.000">
                  <c:v>#N/A</c:v>
                </c:pt>
                <c:pt idx="4193" formatCode="#,##0.000">
                  <c:v>#N/A</c:v>
                </c:pt>
                <c:pt idx="4194" formatCode="#,##0.000">
                  <c:v>#N/A</c:v>
                </c:pt>
                <c:pt idx="4195" formatCode="#,##0.000">
                  <c:v>#N/A</c:v>
                </c:pt>
                <c:pt idx="4196" formatCode="#,##0.000">
                  <c:v>#N/A</c:v>
                </c:pt>
                <c:pt idx="4197" formatCode="#,##0.000">
                  <c:v>#N/A</c:v>
                </c:pt>
                <c:pt idx="4198" formatCode="#,##0.000">
                  <c:v>#N/A</c:v>
                </c:pt>
                <c:pt idx="4199" formatCode="#,##0.000">
                  <c:v>#N/A</c:v>
                </c:pt>
                <c:pt idx="4200" formatCode="#,##0.000">
                  <c:v>#N/A</c:v>
                </c:pt>
                <c:pt idx="4201" formatCode="#,##0.000">
                  <c:v>#N/A</c:v>
                </c:pt>
                <c:pt idx="4202" formatCode="#,##0.000">
                  <c:v>#N/A</c:v>
                </c:pt>
                <c:pt idx="4203" formatCode="#,##0.000">
                  <c:v>#N/A</c:v>
                </c:pt>
                <c:pt idx="4204" formatCode="#,##0.000">
                  <c:v>#N/A</c:v>
                </c:pt>
                <c:pt idx="4205" formatCode="#,##0.000">
                  <c:v>#N/A</c:v>
                </c:pt>
                <c:pt idx="4206" formatCode="#,##0.000">
                  <c:v>#N/A</c:v>
                </c:pt>
                <c:pt idx="4207" formatCode="#,##0.000">
                  <c:v>#N/A</c:v>
                </c:pt>
                <c:pt idx="4208" formatCode="#,##0.000">
                  <c:v>#N/A</c:v>
                </c:pt>
                <c:pt idx="4209" formatCode="#,##0.000">
                  <c:v>#N/A</c:v>
                </c:pt>
                <c:pt idx="4210" formatCode="#,##0.000">
                  <c:v>#N/A</c:v>
                </c:pt>
                <c:pt idx="4211" formatCode="#,##0.000">
                  <c:v>#N/A</c:v>
                </c:pt>
                <c:pt idx="4212" formatCode="#,##0.000">
                  <c:v>#N/A</c:v>
                </c:pt>
                <c:pt idx="4213" formatCode="#,##0.000">
                  <c:v>#N/A</c:v>
                </c:pt>
                <c:pt idx="4214" formatCode="#,##0.000">
                  <c:v>#N/A</c:v>
                </c:pt>
                <c:pt idx="4215" formatCode="#,##0.000">
                  <c:v>#N/A</c:v>
                </c:pt>
                <c:pt idx="4216" formatCode="#,##0.000">
                  <c:v>#N/A</c:v>
                </c:pt>
                <c:pt idx="4217" formatCode="#,##0.000">
                  <c:v>#N/A</c:v>
                </c:pt>
                <c:pt idx="4218" formatCode="#,##0.000">
                  <c:v>#N/A</c:v>
                </c:pt>
                <c:pt idx="4219" formatCode="#,##0.000">
                  <c:v>#N/A</c:v>
                </c:pt>
                <c:pt idx="4220" formatCode="#,##0.000">
                  <c:v>#N/A</c:v>
                </c:pt>
                <c:pt idx="4221" formatCode="#,##0.000">
                  <c:v>#N/A</c:v>
                </c:pt>
                <c:pt idx="4222" formatCode="#,##0.000">
                  <c:v>#N/A</c:v>
                </c:pt>
                <c:pt idx="4223" formatCode="#,##0.000">
                  <c:v>#N/A</c:v>
                </c:pt>
                <c:pt idx="4224" formatCode="#,##0.000">
                  <c:v>#N/A</c:v>
                </c:pt>
                <c:pt idx="4225" formatCode="#,##0.000">
                  <c:v>#N/A</c:v>
                </c:pt>
                <c:pt idx="4226" formatCode="#,##0.000">
                  <c:v>#N/A</c:v>
                </c:pt>
                <c:pt idx="4227" formatCode="#,##0.000">
                  <c:v>#N/A</c:v>
                </c:pt>
                <c:pt idx="4228" formatCode="#,##0.000">
                  <c:v>#N/A</c:v>
                </c:pt>
                <c:pt idx="4229" formatCode="#,##0.000">
                  <c:v>#N/A</c:v>
                </c:pt>
                <c:pt idx="4230" formatCode="#,##0.000">
                  <c:v>#N/A</c:v>
                </c:pt>
                <c:pt idx="4231" formatCode="#,##0.000">
                  <c:v>#N/A</c:v>
                </c:pt>
                <c:pt idx="4232" formatCode="#,##0.000">
                  <c:v>#N/A</c:v>
                </c:pt>
                <c:pt idx="4233" formatCode="#,##0.000">
                  <c:v>#N/A</c:v>
                </c:pt>
                <c:pt idx="4234" formatCode="#,##0.000">
                  <c:v>#N/A</c:v>
                </c:pt>
                <c:pt idx="4235" formatCode="#,##0.000">
                  <c:v>#N/A</c:v>
                </c:pt>
                <c:pt idx="4236" formatCode="#,##0.000">
                  <c:v>#N/A</c:v>
                </c:pt>
                <c:pt idx="4237" formatCode="#,##0.000">
                  <c:v>#N/A</c:v>
                </c:pt>
                <c:pt idx="4238" formatCode="#,##0.000">
                  <c:v>#N/A</c:v>
                </c:pt>
                <c:pt idx="4239" formatCode="#,##0.000">
                  <c:v>#N/A</c:v>
                </c:pt>
                <c:pt idx="4240" formatCode="#,##0.000">
                  <c:v>#N/A</c:v>
                </c:pt>
                <c:pt idx="4241" formatCode="#,##0.000">
                  <c:v>#N/A</c:v>
                </c:pt>
                <c:pt idx="4242" formatCode="#,##0.000">
                  <c:v>#N/A</c:v>
                </c:pt>
                <c:pt idx="4243" formatCode="#,##0.000">
                  <c:v>#N/A</c:v>
                </c:pt>
                <c:pt idx="4244" formatCode="#,##0.000">
                  <c:v>#N/A</c:v>
                </c:pt>
                <c:pt idx="4245" formatCode="#,##0.000">
                  <c:v>#N/A</c:v>
                </c:pt>
                <c:pt idx="4246" formatCode="#,##0.000">
                  <c:v>#N/A</c:v>
                </c:pt>
                <c:pt idx="4247" formatCode="#,##0.000">
                  <c:v>#N/A</c:v>
                </c:pt>
                <c:pt idx="4248" formatCode="#,##0.000">
                  <c:v>#N/A</c:v>
                </c:pt>
                <c:pt idx="4249" formatCode="#,##0.000">
                  <c:v>#N/A</c:v>
                </c:pt>
                <c:pt idx="4250" formatCode="#,##0.000">
                  <c:v>#N/A</c:v>
                </c:pt>
                <c:pt idx="4251" formatCode="#,##0.000">
                  <c:v>#N/A</c:v>
                </c:pt>
                <c:pt idx="4252" formatCode="#,##0.000">
                  <c:v>#N/A</c:v>
                </c:pt>
                <c:pt idx="4253" formatCode="#,##0.000">
                  <c:v>#N/A</c:v>
                </c:pt>
                <c:pt idx="4254" formatCode="#,##0.000">
                  <c:v>#N/A</c:v>
                </c:pt>
                <c:pt idx="4255" formatCode="#,##0.000">
                  <c:v>#N/A</c:v>
                </c:pt>
                <c:pt idx="4256" formatCode="#,##0.000">
                  <c:v>#N/A</c:v>
                </c:pt>
                <c:pt idx="4257" formatCode="#,##0.000">
                  <c:v>#N/A</c:v>
                </c:pt>
                <c:pt idx="4258" formatCode="#,##0.000">
                  <c:v>#N/A</c:v>
                </c:pt>
                <c:pt idx="4259" formatCode="#,##0.000">
                  <c:v>#N/A</c:v>
                </c:pt>
                <c:pt idx="4260" formatCode="#,##0.000">
                  <c:v>#N/A</c:v>
                </c:pt>
                <c:pt idx="4261" formatCode="#,##0.000">
                  <c:v>#N/A</c:v>
                </c:pt>
                <c:pt idx="4262" formatCode="#,##0.000">
                  <c:v>#N/A</c:v>
                </c:pt>
                <c:pt idx="4263" formatCode="#,##0.000">
                  <c:v>#N/A</c:v>
                </c:pt>
                <c:pt idx="4264" formatCode="#,##0.000">
                  <c:v>#N/A</c:v>
                </c:pt>
                <c:pt idx="4265" formatCode="#,##0.000">
                  <c:v>#N/A</c:v>
                </c:pt>
                <c:pt idx="4266" formatCode="#,##0.000">
                  <c:v>#N/A</c:v>
                </c:pt>
                <c:pt idx="4267" formatCode="#,##0.000">
                  <c:v>#N/A</c:v>
                </c:pt>
                <c:pt idx="4268" formatCode="#,##0.000">
                  <c:v>#N/A</c:v>
                </c:pt>
                <c:pt idx="4269" formatCode="#,##0.000">
                  <c:v>#N/A</c:v>
                </c:pt>
                <c:pt idx="4270" formatCode="#,##0.000">
                  <c:v>#N/A</c:v>
                </c:pt>
                <c:pt idx="4271" formatCode="#,##0.000">
                  <c:v>#N/A</c:v>
                </c:pt>
                <c:pt idx="4272" formatCode="#,##0.000">
                  <c:v>#N/A</c:v>
                </c:pt>
                <c:pt idx="4273" formatCode="#,##0.000">
                  <c:v>#N/A</c:v>
                </c:pt>
                <c:pt idx="4274" formatCode="#,##0.000">
                  <c:v>#N/A</c:v>
                </c:pt>
                <c:pt idx="4275" formatCode="#,##0.000">
                  <c:v>#N/A</c:v>
                </c:pt>
                <c:pt idx="4276" formatCode="#,##0.000">
                  <c:v>#N/A</c:v>
                </c:pt>
                <c:pt idx="4277" formatCode="#,##0.000">
                  <c:v>#N/A</c:v>
                </c:pt>
                <c:pt idx="4278" formatCode="#,##0.000">
                  <c:v>#N/A</c:v>
                </c:pt>
                <c:pt idx="4279" formatCode="#,##0.000">
                  <c:v>#N/A</c:v>
                </c:pt>
                <c:pt idx="4280" formatCode="#,##0.000">
                  <c:v>#N/A</c:v>
                </c:pt>
                <c:pt idx="4281" formatCode="#,##0.000">
                  <c:v>#N/A</c:v>
                </c:pt>
                <c:pt idx="4282" formatCode="#,##0.000">
                  <c:v>#N/A</c:v>
                </c:pt>
                <c:pt idx="4283" formatCode="#,##0.000">
                  <c:v>#N/A</c:v>
                </c:pt>
                <c:pt idx="4284" formatCode="#,##0.000">
                  <c:v>#N/A</c:v>
                </c:pt>
                <c:pt idx="4285" formatCode="#,##0.000">
                  <c:v>#N/A</c:v>
                </c:pt>
                <c:pt idx="4286" formatCode="#,##0.000">
                  <c:v>#N/A</c:v>
                </c:pt>
                <c:pt idx="4287" formatCode="#,##0.000">
                  <c:v>#N/A</c:v>
                </c:pt>
                <c:pt idx="4288" formatCode="#,##0.000">
                  <c:v>#N/A</c:v>
                </c:pt>
                <c:pt idx="4289" formatCode="#,##0.000">
                  <c:v>#N/A</c:v>
                </c:pt>
                <c:pt idx="4290" formatCode="#,##0.000">
                  <c:v>#N/A</c:v>
                </c:pt>
                <c:pt idx="4291" formatCode="#,##0.000">
                  <c:v>#N/A</c:v>
                </c:pt>
                <c:pt idx="4292" formatCode="#,##0.000">
                  <c:v>#N/A</c:v>
                </c:pt>
                <c:pt idx="4293" formatCode="#,##0.000">
                  <c:v>#N/A</c:v>
                </c:pt>
                <c:pt idx="4294" formatCode="#,##0.000">
                  <c:v>#N/A</c:v>
                </c:pt>
                <c:pt idx="4295" formatCode="#,##0.000">
                  <c:v>#N/A</c:v>
                </c:pt>
                <c:pt idx="4296" formatCode="#,##0.000">
                  <c:v>#N/A</c:v>
                </c:pt>
                <c:pt idx="4297" formatCode="#,##0.000">
                  <c:v>#N/A</c:v>
                </c:pt>
                <c:pt idx="4298" formatCode="#,##0.000">
                  <c:v>#N/A</c:v>
                </c:pt>
                <c:pt idx="4299" formatCode="#,##0.000">
                  <c:v>#N/A</c:v>
                </c:pt>
                <c:pt idx="4300" formatCode="#,##0.000">
                  <c:v>#N/A</c:v>
                </c:pt>
                <c:pt idx="4301" formatCode="#,##0.000">
                  <c:v>#N/A</c:v>
                </c:pt>
                <c:pt idx="4302" formatCode="#,##0.000">
                  <c:v>#N/A</c:v>
                </c:pt>
                <c:pt idx="4303" formatCode="#,##0.000">
                  <c:v>#N/A</c:v>
                </c:pt>
                <c:pt idx="4304" formatCode="#,##0.000">
                  <c:v>#N/A</c:v>
                </c:pt>
                <c:pt idx="4305" formatCode="#,##0.000">
                  <c:v>#N/A</c:v>
                </c:pt>
                <c:pt idx="4306" formatCode="#,##0.000">
                  <c:v>#N/A</c:v>
                </c:pt>
                <c:pt idx="4307" formatCode="#,##0.000">
                  <c:v>#N/A</c:v>
                </c:pt>
                <c:pt idx="4308" formatCode="#,##0.000">
                  <c:v>#N/A</c:v>
                </c:pt>
                <c:pt idx="4309" formatCode="#,##0.000">
                  <c:v>#N/A</c:v>
                </c:pt>
                <c:pt idx="4310" formatCode="#,##0.000">
                  <c:v>#N/A</c:v>
                </c:pt>
                <c:pt idx="4311" formatCode="#,##0.000">
                  <c:v>#N/A</c:v>
                </c:pt>
                <c:pt idx="4312" formatCode="#,##0.000">
                  <c:v>#N/A</c:v>
                </c:pt>
                <c:pt idx="4313" formatCode="#,##0.000">
                  <c:v>#N/A</c:v>
                </c:pt>
                <c:pt idx="4314" formatCode="#,##0.000">
                  <c:v>#N/A</c:v>
                </c:pt>
                <c:pt idx="4315" formatCode="#,##0.000">
                  <c:v>#N/A</c:v>
                </c:pt>
                <c:pt idx="4316" formatCode="#,##0.000">
                  <c:v>#N/A</c:v>
                </c:pt>
                <c:pt idx="4317" formatCode="#,##0.000">
                  <c:v>#N/A</c:v>
                </c:pt>
                <c:pt idx="4318" formatCode="#,##0.000">
                  <c:v>#N/A</c:v>
                </c:pt>
                <c:pt idx="4319" formatCode="#,##0.000">
                  <c:v>#N/A</c:v>
                </c:pt>
                <c:pt idx="4320" formatCode="#,##0.000">
                  <c:v>#N/A</c:v>
                </c:pt>
                <c:pt idx="4321" formatCode="#,##0.000">
                  <c:v>#N/A</c:v>
                </c:pt>
                <c:pt idx="4322" formatCode="#,##0.000">
                  <c:v>#N/A</c:v>
                </c:pt>
                <c:pt idx="4323" formatCode="#,##0.000">
                  <c:v>#N/A</c:v>
                </c:pt>
                <c:pt idx="4324" formatCode="#,##0.000">
                  <c:v>#N/A</c:v>
                </c:pt>
                <c:pt idx="4325" formatCode="#,##0.000">
                  <c:v>#N/A</c:v>
                </c:pt>
                <c:pt idx="4326" formatCode="#,##0.000">
                  <c:v>#N/A</c:v>
                </c:pt>
                <c:pt idx="4327" formatCode="#,##0.000">
                  <c:v>#N/A</c:v>
                </c:pt>
                <c:pt idx="4328" formatCode="#,##0.000">
                  <c:v>#N/A</c:v>
                </c:pt>
                <c:pt idx="4329" formatCode="#,##0.000">
                  <c:v>#N/A</c:v>
                </c:pt>
                <c:pt idx="4330" formatCode="#,##0.000">
                  <c:v>#N/A</c:v>
                </c:pt>
                <c:pt idx="4331" formatCode="#,##0.000">
                  <c:v>#N/A</c:v>
                </c:pt>
                <c:pt idx="4332" formatCode="#,##0.000">
                  <c:v>#N/A</c:v>
                </c:pt>
                <c:pt idx="4333" formatCode="#,##0.000">
                  <c:v>#N/A</c:v>
                </c:pt>
                <c:pt idx="4334" formatCode="#,##0.000">
                  <c:v>#N/A</c:v>
                </c:pt>
                <c:pt idx="4335" formatCode="#,##0.000">
                  <c:v>#N/A</c:v>
                </c:pt>
                <c:pt idx="4336" formatCode="#,##0.000">
                  <c:v>#N/A</c:v>
                </c:pt>
                <c:pt idx="4337" formatCode="#,##0.000">
                  <c:v>#N/A</c:v>
                </c:pt>
                <c:pt idx="4338" formatCode="#,##0.000">
                  <c:v>#N/A</c:v>
                </c:pt>
                <c:pt idx="4339" formatCode="#,##0.000">
                  <c:v>#N/A</c:v>
                </c:pt>
                <c:pt idx="4340" formatCode="#,##0.000">
                  <c:v>#N/A</c:v>
                </c:pt>
                <c:pt idx="4341" formatCode="#,##0.000">
                  <c:v>#N/A</c:v>
                </c:pt>
                <c:pt idx="4342" formatCode="#,##0.000">
                  <c:v>#N/A</c:v>
                </c:pt>
                <c:pt idx="4343" formatCode="#,##0.000">
                  <c:v>#N/A</c:v>
                </c:pt>
                <c:pt idx="4344" formatCode="#,##0.000">
                  <c:v>#N/A</c:v>
                </c:pt>
                <c:pt idx="4345" formatCode="#,##0.000">
                  <c:v>#N/A</c:v>
                </c:pt>
                <c:pt idx="4346" formatCode="#,##0.000">
                  <c:v>#N/A</c:v>
                </c:pt>
                <c:pt idx="4347" formatCode="#,##0.000">
                  <c:v>#N/A</c:v>
                </c:pt>
                <c:pt idx="4348" formatCode="#,##0.000">
                  <c:v>#N/A</c:v>
                </c:pt>
                <c:pt idx="4349" formatCode="#,##0.000">
                  <c:v>#N/A</c:v>
                </c:pt>
                <c:pt idx="4350" formatCode="#,##0.000">
                  <c:v>#N/A</c:v>
                </c:pt>
                <c:pt idx="4351" formatCode="#,##0.000">
                  <c:v>#N/A</c:v>
                </c:pt>
                <c:pt idx="4352" formatCode="#,##0.000">
                  <c:v>#N/A</c:v>
                </c:pt>
                <c:pt idx="4353" formatCode="#,##0.000">
                  <c:v>#N/A</c:v>
                </c:pt>
                <c:pt idx="4354" formatCode="#,##0.000">
                  <c:v>#N/A</c:v>
                </c:pt>
                <c:pt idx="4355" formatCode="#,##0.000">
                  <c:v>#N/A</c:v>
                </c:pt>
                <c:pt idx="4356" formatCode="#,##0.000">
                  <c:v>#N/A</c:v>
                </c:pt>
                <c:pt idx="4357" formatCode="#,##0.000">
                  <c:v>#N/A</c:v>
                </c:pt>
                <c:pt idx="4358" formatCode="#,##0.000">
                  <c:v>#N/A</c:v>
                </c:pt>
                <c:pt idx="4359" formatCode="#,##0.000">
                  <c:v>#N/A</c:v>
                </c:pt>
                <c:pt idx="4360" formatCode="#,##0.000">
                  <c:v>#N/A</c:v>
                </c:pt>
                <c:pt idx="4361" formatCode="#,##0.000">
                  <c:v>#N/A</c:v>
                </c:pt>
                <c:pt idx="4362" formatCode="#,##0.000">
                  <c:v>#N/A</c:v>
                </c:pt>
                <c:pt idx="4363" formatCode="#,##0.000">
                  <c:v>#N/A</c:v>
                </c:pt>
                <c:pt idx="4364" formatCode="#,##0.000">
                  <c:v>#N/A</c:v>
                </c:pt>
                <c:pt idx="4365" formatCode="#,##0.000">
                  <c:v>#N/A</c:v>
                </c:pt>
                <c:pt idx="4366" formatCode="#,##0.000">
                  <c:v>#N/A</c:v>
                </c:pt>
                <c:pt idx="4367" formatCode="#,##0.000">
                  <c:v>#N/A</c:v>
                </c:pt>
                <c:pt idx="4368" formatCode="#,##0.000">
                  <c:v>#N/A</c:v>
                </c:pt>
                <c:pt idx="4369" formatCode="#,##0.000">
                  <c:v>#N/A</c:v>
                </c:pt>
                <c:pt idx="4370" formatCode="#,##0.000">
                  <c:v>#N/A</c:v>
                </c:pt>
                <c:pt idx="4371" formatCode="#,##0.000">
                  <c:v>#N/A</c:v>
                </c:pt>
                <c:pt idx="4372" formatCode="#,##0.000">
                  <c:v>#N/A</c:v>
                </c:pt>
                <c:pt idx="4373" formatCode="#,##0.000">
                  <c:v>#N/A</c:v>
                </c:pt>
                <c:pt idx="4374" formatCode="#,##0.000">
                  <c:v>#N/A</c:v>
                </c:pt>
                <c:pt idx="4375" formatCode="#,##0.000">
                  <c:v>#N/A</c:v>
                </c:pt>
                <c:pt idx="4376" formatCode="#,##0.000">
                  <c:v>#N/A</c:v>
                </c:pt>
                <c:pt idx="4377" formatCode="#,##0.000">
                  <c:v>#N/A</c:v>
                </c:pt>
                <c:pt idx="4378" formatCode="#,##0.000">
                  <c:v>#N/A</c:v>
                </c:pt>
                <c:pt idx="4379" formatCode="#,##0.000">
                  <c:v>#N/A</c:v>
                </c:pt>
                <c:pt idx="4380" formatCode="#,##0.000">
                  <c:v>#N/A</c:v>
                </c:pt>
                <c:pt idx="4381" formatCode="#,##0.000">
                  <c:v>#N/A</c:v>
                </c:pt>
                <c:pt idx="4382" formatCode="#,##0.000">
                  <c:v>#N/A</c:v>
                </c:pt>
                <c:pt idx="4383" formatCode="#,##0.000">
                  <c:v>#N/A</c:v>
                </c:pt>
                <c:pt idx="4384" formatCode="#,##0.000">
                  <c:v>#N/A</c:v>
                </c:pt>
                <c:pt idx="4385" formatCode="#,##0.000">
                  <c:v>#N/A</c:v>
                </c:pt>
                <c:pt idx="4386" formatCode="#,##0.000">
                  <c:v>#N/A</c:v>
                </c:pt>
                <c:pt idx="4387" formatCode="#,##0.000">
                  <c:v>#N/A</c:v>
                </c:pt>
                <c:pt idx="4388" formatCode="#,##0.000">
                  <c:v>#N/A</c:v>
                </c:pt>
                <c:pt idx="4389" formatCode="#,##0.000">
                  <c:v>#N/A</c:v>
                </c:pt>
                <c:pt idx="4390" formatCode="#,##0.000">
                  <c:v>#N/A</c:v>
                </c:pt>
                <c:pt idx="4391" formatCode="#,##0.000">
                  <c:v>#N/A</c:v>
                </c:pt>
                <c:pt idx="4392" formatCode="#,##0.000">
                  <c:v>#N/A</c:v>
                </c:pt>
                <c:pt idx="4393" formatCode="#,##0.000">
                  <c:v>#N/A</c:v>
                </c:pt>
                <c:pt idx="4394" formatCode="#,##0.000">
                  <c:v>#N/A</c:v>
                </c:pt>
                <c:pt idx="4395" formatCode="#,##0.000">
                  <c:v>#N/A</c:v>
                </c:pt>
                <c:pt idx="4396" formatCode="#,##0.000">
                  <c:v>#N/A</c:v>
                </c:pt>
                <c:pt idx="4397" formatCode="#,##0.000">
                  <c:v>#N/A</c:v>
                </c:pt>
                <c:pt idx="4398" formatCode="#,##0.000">
                  <c:v>#N/A</c:v>
                </c:pt>
                <c:pt idx="4399" formatCode="#,##0.000">
                  <c:v>#N/A</c:v>
                </c:pt>
                <c:pt idx="4400" formatCode="#,##0.000">
                  <c:v>#N/A</c:v>
                </c:pt>
                <c:pt idx="4401" formatCode="#,##0.000">
                  <c:v>#N/A</c:v>
                </c:pt>
                <c:pt idx="4402" formatCode="#,##0.000">
                  <c:v>#N/A</c:v>
                </c:pt>
                <c:pt idx="4403" formatCode="#,##0.000">
                  <c:v>#N/A</c:v>
                </c:pt>
                <c:pt idx="4404" formatCode="#,##0.000">
                  <c:v>#N/A</c:v>
                </c:pt>
                <c:pt idx="4405" formatCode="#,##0.000">
                  <c:v>#N/A</c:v>
                </c:pt>
                <c:pt idx="4406" formatCode="#,##0.000">
                  <c:v>#N/A</c:v>
                </c:pt>
                <c:pt idx="4407" formatCode="#,##0.000">
                  <c:v>#N/A</c:v>
                </c:pt>
                <c:pt idx="4408" formatCode="#,##0.000">
                  <c:v>#N/A</c:v>
                </c:pt>
                <c:pt idx="4409" formatCode="#,##0.000">
                  <c:v>#N/A</c:v>
                </c:pt>
                <c:pt idx="4410" formatCode="#,##0.000">
                  <c:v>#N/A</c:v>
                </c:pt>
                <c:pt idx="4411" formatCode="#,##0.000">
                  <c:v>#N/A</c:v>
                </c:pt>
                <c:pt idx="4412" formatCode="#,##0.000">
                  <c:v>#N/A</c:v>
                </c:pt>
                <c:pt idx="4413" formatCode="#,##0.000">
                  <c:v>#N/A</c:v>
                </c:pt>
                <c:pt idx="4414" formatCode="#,##0.000">
                  <c:v>#N/A</c:v>
                </c:pt>
                <c:pt idx="4415" formatCode="#,##0.000">
                  <c:v>#N/A</c:v>
                </c:pt>
                <c:pt idx="4416" formatCode="#,##0.000">
                  <c:v>#N/A</c:v>
                </c:pt>
                <c:pt idx="4417" formatCode="#,##0.000">
                  <c:v>#N/A</c:v>
                </c:pt>
                <c:pt idx="4418" formatCode="#,##0.000">
                  <c:v>#N/A</c:v>
                </c:pt>
                <c:pt idx="4419" formatCode="#,##0.000">
                  <c:v>#N/A</c:v>
                </c:pt>
                <c:pt idx="4420" formatCode="#,##0.000">
                  <c:v>#N/A</c:v>
                </c:pt>
                <c:pt idx="4421" formatCode="#,##0.000">
                  <c:v>#N/A</c:v>
                </c:pt>
                <c:pt idx="4422" formatCode="#,##0.000">
                  <c:v>#N/A</c:v>
                </c:pt>
                <c:pt idx="4423" formatCode="#,##0.000">
                  <c:v>#N/A</c:v>
                </c:pt>
                <c:pt idx="4424" formatCode="#,##0.000">
                  <c:v>#N/A</c:v>
                </c:pt>
                <c:pt idx="4425" formatCode="#,##0.000">
                  <c:v>#N/A</c:v>
                </c:pt>
                <c:pt idx="4426" formatCode="#,##0.000">
                  <c:v>#N/A</c:v>
                </c:pt>
                <c:pt idx="4427" formatCode="#,##0.000">
                  <c:v>#N/A</c:v>
                </c:pt>
                <c:pt idx="4428" formatCode="#,##0.000">
                  <c:v>#N/A</c:v>
                </c:pt>
                <c:pt idx="4429" formatCode="#,##0.000">
                  <c:v>#N/A</c:v>
                </c:pt>
                <c:pt idx="4430" formatCode="#,##0.000">
                  <c:v>#N/A</c:v>
                </c:pt>
                <c:pt idx="4431" formatCode="#,##0.000">
                  <c:v>#N/A</c:v>
                </c:pt>
                <c:pt idx="4432" formatCode="#,##0.000">
                  <c:v>#N/A</c:v>
                </c:pt>
                <c:pt idx="4433" formatCode="#,##0.000">
                  <c:v>#N/A</c:v>
                </c:pt>
                <c:pt idx="4434" formatCode="#,##0.000">
                  <c:v>#N/A</c:v>
                </c:pt>
                <c:pt idx="4435" formatCode="#,##0.000">
                  <c:v>#N/A</c:v>
                </c:pt>
                <c:pt idx="4436" formatCode="#,##0.000">
                  <c:v>#N/A</c:v>
                </c:pt>
                <c:pt idx="4437" formatCode="#,##0.000">
                  <c:v>#N/A</c:v>
                </c:pt>
                <c:pt idx="4438" formatCode="#,##0.000">
                  <c:v>#N/A</c:v>
                </c:pt>
                <c:pt idx="4439" formatCode="#,##0.000">
                  <c:v>#N/A</c:v>
                </c:pt>
                <c:pt idx="4440" formatCode="#,##0.000">
                  <c:v>#N/A</c:v>
                </c:pt>
                <c:pt idx="4441" formatCode="#,##0.000">
                  <c:v>#N/A</c:v>
                </c:pt>
                <c:pt idx="4442" formatCode="#,##0.000">
                  <c:v>#N/A</c:v>
                </c:pt>
                <c:pt idx="4443" formatCode="#,##0.000">
                  <c:v>#N/A</c:v>
                </c:pt>
                <c:pt idx="4444" formatCode="#,##0.000">
                  <c:v>#N/A</c:v>
                </c:pt>
                <c:pt idx="4445" formatCode="#,##0.000">
                  <c:v>#N/A</c:v>
                </c:pt>
                <c:pt idx="4446" formatCode="#,##0.000">
                  <c:v>#N/A</c:v>
                </c:pt>
                <c:pt idx="4447" formatCode="#,##0.000">
                  <c:v>#N/A</c:v>
                </c:pt>
                <c:pt idx="4448" formatCode="#,##0.000">
                  <c:v>#N/A</c:v>
                </c:pt>
                <c:pt idx="4449" formatCode="#,##0.000">
                  <c:v>#N/A</c:v>
                </c:pt>
                <c:pt idx="4450" formatCode="#,##0.000">
                  <c:v>#N/A</c:v>
                </c:pt>
                <c:pt idx="4451" formatCode="#,##0.000">
                  <c:v>#N/A</c:v>
                </c:pt>
                <c:pt idx="4452" formatCode="#,##0.000">
                  <c:v>#N/A</c:v>
                </c:pt>
                <c:pt idx="4453" formatCode="#,##0.000">
                  <c:v>#N/A</c:v>
                </c:pt>
                <c:pt idx="4454" formatCode="#,##0.000">
                  <c:v>#N/A</c:v>
                </c:pt>
                <c:pt idx="4455" formatCode="#,##0.000">
                  <c:v>#N/A</c:v>
                </c:pt>
                <c:pt idx="4456" formatCode="#,##0.000">
                  <c:v>#N/A</c:v>
                </c:pt>
                <c:pt idx="4457" formatCode="#,##0.000">
                  <c:v>#N/A</c:v>
                </c:pt>
                <c:pt idx="4458" formatCode="#,##0.000">
                  <c:v>#N/A</c:v>
                </c:pt>
                <c:pt idx="4459" formatCode="#,##0.000">
                  <c:v>#N/A</c:v>
                </c:pt>
                <c:pt idx="4460" formatCode="#,##0.000">
                  <c:v>#N/A</c:v>
                </c:pt>
                <c:pt idx="4461" formatCode="#,##0.000">
                  <c:v>#N/A</c:v>
                </c:pt>
                <c:pt idx="4462" formatCode="#,##0.000">
                  <c:v>#N/A</c:v>
                </c:pt>
                <c:pt idx="4463" formatCode="#,##0.000">
                  <c:v>#N/A</c:v>
                </c:pt>
                <c:pt idx="4464" formatCode="#,##0.000">
                  <c:v>#N/A</c:v>
                </c:pt>
                <c:pt idx="4465" formatCode="#,##0.000">
                  <c:v>#N/A</c:v>
                </c:pt>
                <c:pt idx="4466" formatCode="#,##0.000">
                  <c:v>#N/A</c:v>
                </c:pt>
                <c:pt idx="4467" formatCode="#,##0.000">
                  <c:v>#N/A</c:v>
                </c:pt>
                <c:pt idx="4468" formatCode="#,##0.000">
                  <c:v>#N/A</c:v>
                </c:pt>
                <c:pt idx="4469" formatCode="#,##0.000">
                  <c:v>#N/A</c:v>
                </c:pt>
                <c:pt idx="4470" formatCode="#,##0.000">
                  <c:v>#N/A</c:v>
                </c:pt>
                <c:pt idx="4471" formatCode="#,##0.000">
                  <c:v>#N/A</c:v>
                </c:pt>
                <c:pt idx="4472" formatCode="#,##0.000">
                  <c:v>#N/A</c:v>
                </c:pt>
                <c:pt idx="4473" formatCode="#,##0.000">
                  <c:v>#N/A</c:v>
                </c:pt>
                <c:pt idx="4474" formatCode="#,##0.000">
                  <c:v>#N/A</c:v>
                </c:pt>
                <c:pt idx="4475" formatCode="#,##0.000">
                  <c:v>#N/A</c:v>
                </c:pt>
                <c:pt idx="4476" formatCode="#,##0.000">
                  <c:v>#N/A</c:v>
                </c:pt>
                <c:pt idx="4477" formatCode="#,##0.000">
                  <c:v>#N/A</c:v>
                </c:pt>
                <c:pt idx="4478" formatCode="#,##0.000">
                  <c:v>#N/A</c:v>
                </c:pt>
                <c:pt idx="4479" formatCode="#,##0.000">
                  <c:v>#N/A</c:v>
                </c:pt>
                <c:pt idx="4480" formatCode="#,##0.000">
                  <c:v>#N/A</c:v>
                </c:pt>
                <c:pt idx="4481" formatCode="#,##0.000">
                  <c:v>#N/A</c:v>
                </c:pt>
                <c:pt idx="4482" formatCode="#,##0.000">
                  <c:v>#N/A</c:v>
                </c:pt>
                <c:pt idx="4483" formatCode="#,##0.000">
                  <c:v>#N/A</c:v>
                </c:pt>
                <c:pt idx="4484" formatCode="#,##0.000">
                  <c:v>#N/A</c:v>
                </c:pt>
                <c:pt idx="4485" formatCode="#,##0.000">
                  <c:v>#N/A</c:v>
                </c:pt>
                <c:pt idx="4486" formatCode="#,##0.000">
                  <c:v>#N/A</c:v>
                </c:pt>
                <c:pt idx="4487" formatCode="#,##0.000">
                  <c:v>#N/A</c:v>
                </c:pt>
                <c:pt idx="4488" formatCode="#,##0.000">
                  <c:v>#N/A</c:v>
                </c:pt>
                <c:pt idx="4489" formatCode="#,##0.000">
                  <c:v>#N/A</c:v>
                </c:pt>
                <c:pt idx="4490" formatCode="#,##0.000">
                  <c:v>#N/A</c:v>
                </c:pt>
                <c:pt idx="4491" formatCode="#,##0.000">
                  <c:v>#N/A</c:v>
                </c:pt>
                <c:pt idx="4492" formatCode="#,##0.000">
                  <c:v>#N/A</c:v>
                </c:pt>
                <c:pt idx="4493" formatCode="#,##0.000">
                  <c:v>#N/A</c:v>
                </c:pt>
                <c:pt idx="4494" formatCode="#,##0.000">
                  <c:v>#N/A</c:v>
                </c:pt>
                <c:pt idx="4495" formatCode="#,##0.000">
                  <c:v>#N/A</c:v>
                </c:pt>
                <c:pt idx="4496" formatCode="#,##0.000">
                  <c:v>#N/A</c:v>
                </c:pt>
                <c:pt idx="4497" formatCode="#,##0.000">
                  <c:v>#N/A</c:v>
                </c:pt>
                <c:pt idx="4498" formatCode="#,##0.000">
                  <c:v>#N/A</c:v>
                </c:pt>
                <c:pt idx="4499" formatCode="#,##0.000">
                  <c:v>#N/A</c:v>
                </c:pt>
                <c:pt idx="4500" formatCode="#,##0.000">
                  <c:v>#N/A</c:v>
                </c:pt>
                <c:pt idx="4501" formatCode="#,##0.000">
                  <c:v>#N/A</c:v>
                </c:pt>
                <c:pt idx="4502" formatCode="#,##0.000">
                  <c:v>#N/A</c:v>
                </c:pt>
                <c:pt idx="4503" formatCode="#,##0.000">
                  <c:v>#N/A</c:v>
                </c:pt>
                <c:pt idx="4504" formatCode="#,##0.000">
                  <c:v>#N/A</c:v>
                </c:pt>
                <c:pt idx="4505" formatCode="#,##0.000">
                  <c:v>#N/A</c:v>
                </c:pt>
                <c:pt idx="4506" formatCode="#,##0.000">
                  <c:v>#N/A</c:v>
                </c:pt>
                <c:pt idx="4507" formatCode="#,##0.000">
                  <c:v>#N/A</c:v>
                </c:pt>
                <c:pt idx="4508" formatCode="#,##0.000">
                  <c:v>#N/A</c:v>
                </c:pt>
                <c:pt idx="4509" formatCode="#,##0.000">
                  <c:v>#N/A</c:v>
                </c:pt>
                <c:pt idx="4510" formatCode="#,##0.000">
                  <c:v>#N/A</c:v>
                </c:pt>
                <c:pt idx="4511" formatCode="#,##0.000">
                  <c:v>#N/A</c:v>
                </c:pt>
                <c:pt idx="4512" formatCode="#,##0.000">
                  <c:v>#N/A</c:v>
                </c:pt>
                <c:pt idx="4513" formatCode="#,##0.000">
                  <c:v>#N/A</c:v>
                </c:pt>
                <c:pt idx="4514" formatCode="#,##0.000">
                  <c:v>#N/A</c:v>
                </c:pt>
                <c:pt idx="4515" formatCode="#,##0.000">
                  <c:v>#N/A</c:v>
                </c:pt>
                <c:pt idx="4516" formatCode="#,##0.000">
                  <c:v>#N/A</c:v>
                </c:pt>
                <c:pt idx="4517" formatCode="#,##0.000">
                  <c:v>#N/A</c:v>
                </c:pt>
                <c:pt idx="4518" formatCode="#,##0.000">
                  <c:v>#N/A</c:v>
                </c:pt>
                <c:pt idx="4519" formatCode="#,##0.000">
                  <c:v>#N/A</c:v>
                </c:pt>
                <c:pt idx="4520" formatCode="#,##0.000">
                  <c:v>#N/A</c:v>
                </c:pt>
                <c:pt idx="4521" formatCode="#,##0.000">
                  <c:v>#N/A</c:v>
                </c:pt>
                <c:pt idx="4522" formatCode="#,##0.000">
                  <c:v>#N/A</c:v>
                </c:pt>
                <c:pt idx="4523" formatCode="#,##0.000">
                  <c:v>#N/A</c:v>
                </c:pt>
                <c:pt idx="4524" formatCode="#,##0.000">
                  <c:v>#N/A</c:v>
                </c:pt>
                <c:pt idx="4525" formatCode="#,##0.000">
                  <c:v>#N/A</c:v>
                </c:pt>
                <c:pt idx="4526" formatCode="#,##0.000">
                  <c:v>#N/A</c:v>
                </c:pt>
                <c:pt idx="4527" formatCode="#,##0.000">
                  <c:v>#N/A</c:v>
                </c:pt>
                <c:pt idx="4528" formatCode="#,##0.000">
                  <c:v>#N/A</c:v>
                </c:pt>
                <c:pt idx="4529" formatCode="#,##0.000">
                  <c:v>#N/A</c:v>
                </c:pt>
                <c:pt idx="4530" formatCode="#,##0.000">
                  <c:v>#N/A</c:v>
                </c:pt>
                <c:pt idx="4531" formatCode="#,##0.000">
                  <c:v>#N/A</c:v>
                </c:pt>
                <c:pt idx="4532" formatCode="#,##0.000">
                  <c:v>#N/A</c:v>
                </c:pt>
                <c:pt idx="4533" formatCode="#,##0.000">
                  <c:v>#N/A</c:v>
                </c:pt>
                <c:pt idx="4534" formatCode="#,##0.000">
                  <c:v>#N/A</c:v>
                </c:pt>
                <c:pt idx="4535" formatCode="#,##0.000">
                  <c:v>#N/A</c:v>
                </c:pt>
                <c:pt idx="4536" formatCode="#,##0.000">
                  <c:v>#N/A</c:v>
                </c:pt>
                <c:pt idx="4537" formatCode="#,##0.000">
                  <c:v>#N/A</c:v>
                </c:pt>
                <c:pt idx="4538" formatCode="#,##0.000">
                  <c:v>#N/A</c:v>
                </c:pt>
                <c:pt idx="4539" formatCode="#,##0.000">
                  <c:v>#N/A</c:v>
                </c:pt>
                <c:pt idx="4540" formatCode="#,##0.000">
                  <c:v>#N/A</c:v>
                </c:pt>
                <c:pt idx="4541" formatCode="#,##0.000">
                  <c:v>#N/A</c:v>
                </c:pt>
                <c:pt idx="4542" formatCode="#,##0.000">
                  <c:v>#N/A</c:v>
                </c:pt>
                <c:pt idx="4543" formatCode="#,##0.000">
                  <c:v>#N/A</c:v>
                </c:pt>
                <c:pt idx="4544" formatCode="#,##0.000">
                  <c:v>#N/A</c:v>
                </c:pt>
                <c:pt idx="4545" formatCode="#,##0.000">
                  <c:v>#N/A</c:v>
                </c:pt>
                <c:pt idx="4546" formatCode="#,##0.000">
                  <c:v>#N/A</c:v>
                </c:pt>
                <c:pt idx="4547" formatCode="#,##0.000">
                  <c:v>#N/A</c:v>
                </c:pt>
                <c:pt idx="4548" formatCode="#,##0.000">
                  <c:v>#N/A</c:v>
                </c:pt>
                <c:pt idx="4549" formatCode="#,##0.000">
                  <c:v>#N/A</c:v>
                </c:pt>
                <c:pt idx="4550" formatCode="#,##0.000">
                  <c:v>#N/A</c:v>
                </c:pt>
                <c:pt idx="4551" formatCode="#,##0.000">
                  <c:v>#N/A</c:v>
                </c:pt>
                <c:pt idx="4552" formatCode="#,##0.000">
                  <c:v>#N/A</c:v>
                </c:pt>
                <c:pt idx="4553" formatCode="#,##0.000">
                  <c:v>#N/A</c:v>
                </c:pt>
                <c:pt idx="4554" formatCode="#,##0.000">
                  <c:v>#N/A</c:v>
                </c:pt>
                <c:pt idx="4555" formatCode="#,##0.000">
                  <c:v>#N/A</c:v>
                </c:pt>
                <c:pt idx="4556" formatCode="#,##0.000">
                  <c:v>#N/A</c:v>
                </c:pt>
                <c:pt idx="4557" formatCode="#,##0.000">
                  <c:v>#N/A</c:v>
                </c:pt>
                <c:pt idx="4558" formatCode="#,##0.000">
                  <c:v>#N/A</c:v>
                </c:pt>
                <c:pt idx="4559" formatCode="#,##0.000">
                  <c:v>#N/A</c:v>
                </c:pt>
                <c:pt idx="4560" formatCode="#,##0.000">
                  <c:v>#N/A</c:v>
                </c:pt>
                <c:pt idx="4561" formatCode="#,##0.000">
                  <c:v>#N/A</c:v>
                </c:pt>
                <c:pt idx="4562" formatCode="#,##0.000">
                  <c:v>#N/A</c:v>
                </c:pt>
                <c:pt idx="4563" formatCode="#,##0.000">
                  <c:v>#N/A</c:v>
                </c:pt>
                <c:pt idx="4564" formatCode="#,##0.000">
                  <c:v>#N/A</c:v>
                </c:pt>
                <c:pt idx="4565" formatCode="#,##0.000">
                  <c:v>#N/A</c:v>
                </c:pt>
                <c:pt idx="4566" formatCode="#,##0.000">
                  <c:v>#N/A</c:v>
                </c:pt>
                <c:pt idx="4567" formatCode="#,##0.000">
                  <c:v>#N/A</c:v>
                </c:pt>
                <c:pt idx="4568" formatCode="#,##0.000">
                  <c:v>#N/A</c:v>
                </c:pt>
                <c:pt idx="4569" formatCode="#,##0.000">
                  <c:v>#N/A</c:v>
                </c:pt>
                <c:pt idx="4570" formatCode="#,##0.000">
                  <c:v>#N/A</c:v>
                </c:pt>
                <c:pt idx="4571" formatCode="#,##0.000">
                  <c:v>#N/A</c:v>
                </c:pt>
                <c:pt idx="4572" formatCode="#,##0.000">
                  <c:v>#N/A</c:v>
                </c:pt>
                <c:pt idx="4573" formatCode="#,##0.000">
                  <c:v>#N/A</c:v>
                </c:pt>
                <c:pt idx="4574" formatCode="#,##0.000">
                  <c:v>#N/A</c:v>
                </c:pt>
                <c:pt idx="4575" formatCode="#,##0.000">
                  <c:v>#N/A</c:v>
                </c:pt>
                <c:pt idx="4576" formatCode="#,##0.000">
                  <c:v>#N/A</c:v>
                </c:pt>
                <c:pt idx="4577" formatCode="#,##0.000">
                  <c:v>#N/A</c:v>
                </c:pt>
                <c:pt idx="4578" formatCode="#,##0.000">
                  <c:v>#N/A</c:v>
                </c:pt>
                <c:pt idx="4579" formatCode="#,##0.000">
                  <c:v>#N/A</c:v>
                </c:pt>
                <c:pt idx="4580" formatCode="#,##0.000">
                  <c:v>#N/A</c:v>
                </c:pt>
                <c:pt idx="4581" formatCode="#,##0.000">
                  <c:v>#N/A</c:v>
                </c:pt>
                <c:pt idx="4582" formatCode="#,##0.000">
                  <c:v>#N/A</c:v>
                </c:pt>
                <c:pt idx="4583" formatCode="#,##0.000">
                  <c:v>#N/A</c:v>
                </c:pt>
                <c:pt idx="4584" formatCode="#,##0.000">
                  <c:v>#N/A</c:v>
                </c:pt>
                <c:pt idx="4585" formatCode="#,##0.000">
                  <c:v>#N/A</c:v>
                </c:pt>
                <c:pt idx="4586" formatCode="#,##0.000">
                  <c:v>#N/A</c:v>
                </c:pt>
                <c:pt idx="4587" formatCode="#,##0.000">
                  <c:v>#N/A</c:v>
                </c:pt>
                <c:pt idx="4588" formatCode="#,##0.000">
                  <c:v>#N/A</c:v>
                </c:pt>
                <c:pt idx="4589" formatCode="#,##0.000">
                  <c:v>#N/A</c:v>
                </c:pt>
                <c:pt idx="4590" formatCode="#,##0.000">
                  <c:v>#N/A</c:v>
                </c:pt>
                <c:pt idx="4591" formatCode="#,##0.000">
                  <c:v>#N/A</c:v>
                </c:pt>
                <c:pt idx="4592" formatCode="#,##0.000">
                  <c:v>#N/A</c:v>
                </c:pt>
                <c:pt idx="4593" formatCode="#,##0.000">
                  <c:v>#N/A</c:v>
                </c:pt>
                <c:pt idx="4594" formatCode="#,##0.000">
                  <c:v>#N/A</c:v>
                </c:pt>
                <c:pt idx="4595" formatCode="#,##0.000">
                  <c:v>#N/A</c:v>
                </c:pt>
                <c:pt idx="4596" formatCode="#,##0.000">
                  <c:v>#N/A</c:v>
                </c:pt>
                <c:pt idx="4597" formatCode="#,##0.000">
                  <c:v>#N/A</c:v>
                </c:pt>
                <c:pt idx="4598" formatCode="#,##0.000">
                  <c:v>#N/A</c:v>
                </c:pt>
                <c:pt idx="4599" formatCode="#,##0.000">
                  <c:v>#N/A</c:v>
                </c:pt>
                <c:pt idx="4600" formatCode="#,##0.000">
                  <c:v>#N/A</c:v>
                </c:pt>
                <c:pt idx="4601" formatCode="#,##0.000">
                  <c:v>#N/A</c:v>
                </c:pt>
                <c:pt idx="4602" formatCode="#,##0.000">
                  <c:v>#N/A</c:v>
                </c:pt>
                <c:pt idx="4603" formatCode="#,##0.000">
                  <c:v>#N/A</c:v>
                </c:pt>
                <c:pt idx="4604" formatCode="#,##0.000">
                  <c:v>#N/A</c:v>
                </c:pt>
                <c:pt idx="4605" formatCode="#,##0.000">
                  <c:v>#N/A</c:v>
                </c:pt>
                <c:pt idx="4606" formatCode="#,##0.000">
                  <c:v>#N/A</c:v>
                </c:pt>
                <c:pt idx="4607" formatCode="#,##0.000">
                  <c:v>#N/A</c:v>
                </c:pt>
                <c:pt idx="4608" formatCode="#,##0.000">
                  <c:v>#N/A</c:v>
                </c:pt>
                <c:pt idx="4609" formatCode="#,##0.000">
                  <c:v>#N/A</c:v>
                </c:pt>
                <c:pt idx="4610" formatCode="#,##0.000">
                  <c:v>#N/A</c:v>
                </c:pt>
                <c:pt idx="4611" formatCode="#,##0.000">
                  <c:v>#N/A</c:v>
                </c:pt>
                <c:pt idx="4612" formatCode="#,##0.000">
                  <c:v>#N/A</c:v>
                </c:pt>
                <c:pt idx="4613" formatCode="#,##0.000">
                  <c:v>#N/A</c:v>
                </c:pt>
                <c:pt idx="4614" formatCode="#,##0.000">
                  <c:v>#N/A</c:v>
                </c:pt>
                <c:pt idx="4615" formatCode="#,##0.000">
                  <c:v>#N/A</c:v>
                </c:pt>
                <c:pt idx="4616" formatCode="#,##0.000">
                  <c:v>#N/A</c:v>
                </c:pt>
                <c:pt idx="4617" formatCode="#,##0.000">
                  <c:v>#N/A</c:v>
                </c:pt>
                <c:pt idx="4618" formatCode="#,##0.000">
                  <c:v>#N/A</c:v>
                </c:pt>
                <c:pt idx="4619" formatCode="#,##0.000">
                  <c:v>#N/A</c:v>
                </c:pt>
                <c:pt idx="4620" formatCode="#,##0.000">
                  <c:v>#N/A</c:v>
                </c:pt>
                <c:pt idx="4621" formatCode="#,##0.000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B8-4A7A-88F9-3FB27C46CC0F}"/>
            </c:ext>
          </c:extLst>
        </c:ser>
        <c:ser>
          <c:idx val="3"/>
          <c:order val="3"/>
          <c:tx>
            <c:strRef>
              <c:f>BeskrivendeStatistik!$CL$11</c:f>
              <c:strCache>
                <c:ptCount val="1"/>
                <c:pt idx="0">
                  <c:v>4. kvartil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[0]!BxK</c:f>
              <c:strCache>
                <c:ptCount val="5000"/>
                <c:pt idx="0">
                  <c:v>-1.48</c:v>
                </c:pt>
                <c:pt idx="243">
                  <c:v>-0.776</c:v>
                </c:pt>
                <c:pt idx="683">
                  <c:v>0.499</c:v>
                </c:pt>
                <c:pt idx="1099">
                  <c:v>1.703</c:v>
                </c:pt>
                <c:pt idx="4999">
                  <c:v>13</c:v>
                </c:pt>
              </c:strCache>
            </c:strRef>
          </c:cat>
          <c:val>
            <c:numRef>
              <c:f>[0]!Bk_4</c:f>
              <c:numCache>
                <c:formatCode>General</c:formatCode>
                <c:ptCount val="5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0.11332468572476186</c:v>
                </c:pt>
                <c:pt idx="1100">
                  <c:v>0.11332468572476186</c:v>
                </c:pt>
                <c:pt idx="1101">
                  <c:v>0.11332468572476186</c:v>
                </c:pt>
                <c:pt idx="1102">
                  <c:v>0.11332468572476186</c:v>
                </c:pt>
                <c:pt idx="1103">
                  <c:v>0.11332468572476186</c:v>
                </c:pt>
                <c:pt idx="1104">
                  <c:v>0.11332468572476186</c:v>
                </c:pt>
                <c:pt idx="1105">
                  <c:v>0.11332468572476186</c:v>
                </c:pt>
                <c:pt idx="1106">
                  <c:v>0.11332468572476186</c:v>
                </c:pt>
                <c:pt idx="1107">
                  <c:v>0.11332468572476186</c:v>
                </c:pt>
                <c:pt idx="1108">
                  <c:v>0.11332468572476186</c:v>
                </c:pt>
                <c:pt idx="1109">
                  <c:v>0.11332468572476186</c:v>
                </c:pt>
                <c:pt idx="1110">
                  <c:v>0.11332468572476186</c:v>
                </c:pt>
                <c:pt idx="1111">
                  <c:v>0.11332468572476186</c:v>
                </c:pt>
                <c:pt idx="1112">
                  <c:v>0.11332468572476186</c:v>
                </c:pt>
                <c:pt idx="1113">
                  <c:v>0.11332468572476186</c:v>
                </c:pt>
                <c:pt idx="1114">
                  <c:v>0.11332468572476186</c:v>
                </c:pt>
                <c:pt idx="1115">
                  <c:v>0.11332468572476186</c:v>
                </c:pt>
                <c:pt idx="1116">
                  <c:v>0.11332468572476186</c:v>
                </c:pt>
                <c:pt idx="1117">
                  <c:v>0.11332468572476186</c:v>
                </c:pt>
                <c:pt idx="1118">
                  <c:v>0.11332468572476186</c:v>
                </c:pt>
                <c:pt idx="1119">
                  <c:v>0.11332468572476186</c:v>
                </c:pt>
                <c:pt idx="1120">
                  <c:v>0.11332468572476186</c:v>
                </c:pt>
                <c:pt idx="1121">
                  <c:v>0.11332468572476186</c:v>
                </c:pt>
                <c:pt idx="1122">
                  <c:v>0.11332468572476186</c:v>
                </c:pt>
                <c:pt idx="1123">
                  <c:v>0.11332468572476186</c:v>
                </c:pt>
                <c:pt idx="1124">
                  <c:v>0.11332468572476186</c:v>
                </c:pt>
                <c:pt idx="1125">
                  <c:v>0.11332468572476186</c:v>
                </c:pt>
                <c:pt idx="1126">
                  <c:v>0.11332468572476186</c:v>
                </c:pt>
                <c:pt idx="1127">
                  <c:v>0.11332468572476186</c:v>
                </c:pt>
                <c:pt idx="1128">
                  <c:v>0.11332468572476186</c:v>
                </c:pt>
                <c:pt idx="1129">
                  <c:v>0.11332468572476186</c:v>
                </c:pt>
                <c:pt idx="1130">
                  <c:v>0.11332468572476186</c:v>
                </c:pt>
                <c:pt idx="1131">
                  <c:v>0.11332468572476186</c:v>
                </c:pt>
                <c:pt idx="1132">
                  <c:v>0.11332468572476186</c:v>
                </c:pt>
                <c:pt idx="1133">
                  <c:v>0.11332468572476186</c:v>
                </c:pt>
                <c:pt idx="1134">
                  <c:v>0.11332468572476186</c:v>
                </c:pt>
                <c:pt idx="1135">
                  <c:v>0.11332468572476186</c:v>
                </c:pt>
                <c:pt idx="1136">
                  <c:v>0.11332468572476186</c:v>
                </c:pt>
                <c:pt idx="1137">
                  <c:v>0.11332468572476186</c:v>
                </c:pt>
                <c:pt idx="1138">
                  <c:v>0.11332468572476186</c:v>
                </c:pt>
                <c:pt idx="1139">
                  <c:v>0.11332468572476186</c:v>
                </c:pt>
                <c:pt idx="1140">
                  <c:v>0.11332468572476186</c:v>
                </c:pt>
                <c:pt idx="1141">
                  <c:v>0.11332468572476186</c:v>
                </c:pt>
                <c:pt idx="1142">
                  <c:v>0.11332468572476186</c:v>
                </c:pt>
                <c:pt idx="1143">
                  <c:v>0.11332468572476186</c:v>
                </c:pt>
                <c:pt idx="1144">
                  <c:v>0.11332468572476186</c:v>
                </c:pt>
                <c:pt idx="1145">
                  <c:v>0.11332468572476186</c:v>
                </c:pt>
                <c:pt idx="1146">
                  <c:v>0.11332468572476186</c:v>
                </c:pt>
                <c:pt idx="1147">
                  <c:v>0.11332468572476186</c:v>
                </c:pt>
                <c:pt idx="1148">
                  <c:v>0.11332468572476186</c:v>
                </c:pt>
                <c:pt idx="1149">
                  <c:v>0.11332468572476186</c:v>
                </c:pt>
                <c:pt idx="1150">
                  <c:v>0.11332468572476186</c:v>
                </c:pt>
                <c:pt idx="1151">
                  <c:v>0.11332468572476186</c:v>
                </c:pt>
                <c:pt idx="1152">
                  <c:v>0.11332468572476186</c:v>
                </c:pt>
                <c:pt idx="1153">
                  <c:v>0.11332468572476186</c:v>
                </c:pt>
                <c:pt idx="1154">
                  <c:v>0.11332468572476186</c:v>
                </c:pt>
                <c:pt idx="1155">
                  <c:v>0.11332468572476186</c:v>
                </c:pt>
                <c:pt idx="1156">
                  <c:v>0.11332468572476186</c:v>
                </c:pt>
                <c:pt idx="1157">
                  <c:v>0.11332468572476186</c:v>
                </c:pt>
                <c:pt idx="1158">
                  <c:v>0.11332468572476186</c:v>
                </c:pt>
                <c:pt idx="1159">
                  <c:v>0.11332468572476186</c:v>
                </c:pt>
                <c:pt idx="1160">
                  <c:v>0.11332468572476186</c:v>
                </c:pt>
                <c:pt idx="1161">
                  <c:v>0.11332468572476186</c:v>
                </c:pt>
                <c:pt idx="1162">
                  <c:v>0.11332468572476186</c:v>
                </c:pt>
                <c:pt idx="1163">
                  <c:v>0.11332468572476186</c:v>
                </c:pt>
                <c:pt idx="1164">
                  <c:v>0.11332468572476186</c:v>
                </c:pt>
                <c:pt idx="1165">
                  <c:v>0.11332468572476186</c:v>
                </c:pt>
                <c:pt idx="1166">
                  <c:v>0.11332468572476186</c:v>
                </c:pt>
                <c:pt idx="1167">
                  <c:v>0.11332468572476186</c:v>
                </c:pt>
                <c:pt idx="1168">
                  <c:v>0.11332468572476186</c:v>
                </c:pt>
                <c:pt idx="1169">
                  <c:v>0.11332468572476186</c:v>
                </c:pt>
                <c:pt idx="1170">
                  <c:v>0.11332468572476186</c:v>
                </c:pt>
                <c:pt idx="1171">
                  <c:v>0.11332468572476186</c:v>
                </c:pt>
                <c:pt idx="1172">
                  <c:v>0.11332468572476186</c:v>
                </c:pt>
                <c:pt idx="1173">
                  <c:v>0.11332468572476186</c:v>
                </c:pt>
                <c:pt idx="1174">
                  <c:v>0.11332468572476186</c:v>
                </c:pt>
                <c:pt idx="1175">
                  <c:v>0.11332468572476186</c:v>
                </c:pt>
                <c:pt idx="1176">
                  <c:v>0.11332468572476186</c:v>
                </c:pt>
                <c:pt idx="1177">
                  <c:v>0.11332468572476186</c:v>
                </c:pt>
                <c:pt idx="1178">
                  <c:v>0.11332468572476186</c:v>
                </c:pt>
                <c:pt idx="1179">
                  <c:v>0.11332468572476186</c:v>
                </c:pt>
                <c:pt idx="1180">
                  <c:v>0.11332468572476186</c:v>
                </c:pt>
                <c:pt idx="1181">
                  <c:v>0.11332468572476186</c:v>
                </c:pt>
                <c:pt idx="1182">
                  <c:v>0.11332468572476186</c:v>
                </c:pt>
                <c:pt idx="1183">
                  <c:v>0.11332468572476186</c:v>
                </c:pt>
                <c:pt idx="1184">
                  <c:v>0.11332468572476186</c:v>
                </c:pt>
                <c:pt idx="1185">
                  <c:v>0.11332468572476186</c:v>
                </c:pt>
                <c:pt idx="1186">
                  <c:v>0.11332468572476186</c:v>
                </c:pt>
                <c:pt idx="1187">
                  <c:v>0.11332468572476186</c:v>
                </c:pt>
                <c:pt idx="1188">
                  <c:v>0.11332468572476186</c:v>
                </c:pt>
                <c:pt idx="1189">
                  <c:v>0.11332468572476186</c:v>
                </c:pt>
                <c:pt idx="1190">
                  <c:v>0.11332468572476186</c:v>
                </c:pt>
                <c:pt idx="1191">
                  <c:v>0.11332468572476186</c:v>
                </c:pt>
                <c:pt idx="1192">
                  <c:v>0.11332468572476186</c:v>
                </c:pt>
                <c:pt idx="1193">
                  <c:v>0.11332468572476186</c:v>
                </c:pt>
                <c:pt idx="1194">
                  <c:v>0.11332468572476186</c:v>
                </c:pt>
                <c:pt idx="1195">
                  <c:v>0.11332468572476186</c:v>
                </c:pt>
                <c:pt idx="1196">
                  <c:v>0.11332468572476186</c:v>
                </c:pt>
                <c:pt idx="1197">
                  <c:v>0.11332468572476186</c:v>
                </c:pt>
                <c:pt idx="1198">
                  <c:v>0.11332468572476186</c:v>
                </c:pt>
                <c:pt idx="1199">
                  <c:v>0.11332468572476186</c:v>
                </c:pt>
                <c:pt idx="1200">
                  <c:v>0.11332468572476186</c:v>
                </c:pt>
                <c:pt idx="1201">
                  <c:v>0.11332468572476186</c:v>
                </c:pt>
                <c:pt idx="1202">
                  <c:v>0.11332468572476186</c:v>
                </c:pt>
                <c:pt idx="1203">
                  <c:v>0.11332468572476186</c:v>
                </c:pt>
                <c:pt idx="1204">
                  <c:v>0.11332468572476186</c:v>
                </c:pt>
                <c:pt idx="1205">
                  <c:v>0.11332468572476186</c:v>
                </c:pt>
                <c:pt idx="1206">
                  <c:v>0.11332468572476186</c:v>
                </c:pt>
                <c:pt idx="1207">
                  <c:v>0.11332468572476186</c:v>
                </c:pt>
                <c:pt idx="1208">
                  <c:v>0.11332468572476186</c:v>
                </c:pt>
                <c:pt idx="1209">
                  <c:v>0.11332468572476186</c:v>
                </c:pt>
                <c:pt idx="1210">
                  <c:v>0.11332468572476186</c:v>
                </c:pt>
                <c:pt idx="1211">
                  <c:v>0.11332468572476186</c:v>
                </c:pt>
                <c:pt idx="1212">
                  <c:v>0.11332468572476186</c:v>
                </c:pt>
                <c:pt idx="1213">
                  <c:v>0.11332468572476186</c:v>
                </c:pt>
                <c:pt idx="1214">
                  <c:v>0.11332468572476186</c:v>
                </c:pt>
                <c:pt idx="1215">
                  <c:v>0.11332468572476186</c:v>
                </c:pt>
                <c:pt idx="1216">
                  <c:v>0.11332468572476186</c:v>
                </c:pt>
                <c:pt idx="1217">
                  <c:v>0.11332468572476186</c:v>
                </c:pt>
                <c:pt idx="1218">
                  <c:v>0.11332468572476186</c:v>
                </c:pt>
                <c:pt idx="1219">
                  <c:v>0.11332468572476186</c:v>
                </c:pt>
                <c:pt idx="1220">
                  <c:v>0.11332468572476186</c:v>
                </c:pt>
                <c:pt idx="1221">
                  <c:v>0.11332468572476186</c:v>
                </c:pt>
                <c:pt idx="1222">
                  <c:v>0.11332468572476186</c:v>
                </c:pt>
                <c:pt idx="1223">
                  <c:v>0.11332468572476186</c:v>
                </c:pt>
                <c:pt idx="1224">
                  <c:v>0.11332468572476186</c:v>
                </c:pt>
                <c:pt idx="1225">
                  <c:v>0.11332468572476186</c:v>
                </c:pt>
                <c:pt idx="1226">
                  <c:v>0.11332468572476186</c:v>
                </c:pt>
                <c:pt idx="1227">
                  <c:v>0.11332468572476186</c:v>
                </c:pt>
                <c:pt idx="1228">
                  <c:v>0.11332468572476186</c:v>
                </c:pt>
                <c:pt idx="1229">
                  <c:v>0.11332468572476186</c:v>
                </c:pt>
                <c:pt idx="1230">
                  <c:v>0.11332468572476186</c:v>
                </c:pt>
                <c:pt idx="1231">
                  <c:v>0.11332468572476186</c:v>
                </c:pt>
                <c:pt idx="1232">
                  <c:v>0.11332468572476186</c:v>
                </c:pt>
                <c:pt idx="1233">
                  <c:v>0.11332468572476186</c:v>
                </c:pt>
                <c:pt idx="1234">
                  <c:v>0.11332468572476186</c:v>
                </c:pt>
                <c:pt idx="1235">
                  <c:v>0.11332468572476186</c:v>
                </c:pt>
                <c:pt idx="1236">
                  <c:v>0.11332468572476186</c:v>
                </c:pt>
                <c:pt idx="1237">
                  <c:v>0.11332468572476186</c:v>
                </c:pt>
                <c:pt idx="1238">
                  <c:v>0.11332468572476186</c:v>
                </c:pt>
                <c:pt idx="1239">
                  <c:v>0.11332468572476186</c:v>
                </c:pt>
                <c:pt idx="1240">
                  <c:v>0.11332468572476186</c:v>
                </c:pt>
                <c:pt idx="1241">
                  <c:v>0.11332468572476186</c:v>
                </c:pt>
                <c:pt idx="1242">
                  <c:v>0.11332468572476186</c:v>
                </c:pt>
                <c:pt idx="1243">
                  <c:v>0.11332468572476186</c:v>
                </c:pt>
                <c:pt idx="1244">
                  <c:v>0.11332468572476186</c:v>
                </c:pt>
                <c:pt idx="1245">
                  <c:v>0.11332468572476186</c:v>
                </c:pt>
                <c:pt idx="1246">
                  <c:v>0.11332468572476186</c:v>
                </c:pt>
                <c:pt idx="1247">
                  <c:v>0.11332468572476186</c:v>
                </c:pt>
                <c:pt idx="1248">
                  <c:v>0.11332468572476186</c:v>
                </c:pt>
                <c:pt idx="1249">
                  <c:v>0.11332468572476186</c:v>
                </c:pt>
                <c:pt idx="1250">
                  <c:v>0.11332468572476186</c:v>
                </c:pt>
                <c:pt idx="1251">
                  <c:v>0.11332468572476186</c:v>
                </c:pt>
                <c:pt idx="1252">
                  <c:v>0.11332468572476186</c:v>
                </c:pt>
                <c:pt idx="1253">
                  <c:v>0.11332468572476186</c:v>
                </c:pt>
                <c:pt idx="1254">
                  <c:v>0.11332468572476186</c:v>
                </c:pt>
                <c:pt idx="1255">
                  <c:v>0.11332468572476186</c:v>
                </c:pt>
                <c:pt idx="1256">
                  <c:v>0.11332468572476186</c:v>
                </c:pt>
                <c:pt idx="1257">
                  <c:v>0.11332468572476186</c:v>
                </c:pt>
                <c:pt idx="1258">
                  <c:v>0.11332468572476186</c:v>
                </c:pt>
                <c:pt idx="1259">
                  <c:v>0.11332468572476186</c:v>
                </c:pt>
                <c:pt idx="1260">
                  <c:v>0.11332468572476186</c:v>
                </c:pt>
                <c:pt idx="1261">
                  <c:v>0.11332468572476186</c:v>
                </c:pt>
                <c:pt idx="1262">
                  <c:v>0.11332468572476186</c:v>
                </c:pt>
                <c:pt idx="1263">
                  <c:v>0.11332468572476186</c:v>
                </c:pt>
                <c:pt idx="1264">
                  <c:v>0.11332468572476186</c:v>
                </c:pt>
                <c:pt idx="1265">
                  <c:v>0.11332468572476186</c:v>
                </c:pt>
                <c:pt idx="1266">
                  <c:v>0.11332468572476186</c:v>
                </c:pt>
                <c:pt idx="1267">
                  <c:v>0.11332468572476186</c:v>
                </c:pt>
                <c:pt idx="1268">
                  <c:v>0.11332468572476186</c:v>
                </c:pt>
                <c:pt idx="1269">
                  <c:v>0.11332468572476186</c:v>
                </c:pt>
                <c:pt idx="1270">
                  <c:v>0.11332468572476186</c:v>
                </c:pt>
                <c:pt idx="1271">
                  <c:v>0.11332468572476186</c:v>
                </c:pt>
                <c:pt idx="1272">
                  <c:v>0.11332468572476186</c:v>
                </c:pt>
                <c:pt idx="1273">
                  <c:v>0.11332468572476186</c:v>
                </c:pt>
                <c:pt idx="1274">
                  <c:v>0.11332468572476186</c:v>
                </c:pt>
                <c:pt idx="1275">
                  <c:v>0.11332468572476186</c:v>
                </c:pt>
                <c:pt idx="1276">
                  <c:v>0.11332468572476186</c:v>
                </c:pt>
                <c:pt idx="1277">
                  <c:v>0.11332468572476186</c:v>
                </c:pt>
                <c:pt idx="1278">
                  <c:v>0.11332468572476186</c:v>
                </c:pt>
                <c:pt idx="1279">
                  <c:v>0.11332468572476186</c:v>
                </c:pt>
                <c:pt idx="1280">
                  <c:v>0.11332468572476186</c:v>
                </c:pt>
                <c:pt idx="1281">
                  <c:v>0.11332468572476186</c:v>
                </c:pt>
                <c:pt idx="1282">
                  <c:v>0.11332468572476186</c:v>
                </c:pt>
                <c:pt idx="1283">
                  <c:v>0.11332468572476186</c:v>
                </c:pt>
                <c:pt idx="1284">
                  <c:v>0.11332468572476186</c:v>
                </c:pt>
                <c:pt idx="1285">
                  <c:v>0.11332468572476186</c:v>
                </c:pt>
                <c:pt idx="1286">
                  <c:v>0.11332468572476186</c:v>
                </c:pt>
                <c:pt idx="1287">
                  <c:v>0.11332468572476186</c:v>
                </c:pt>
                <c:pt idx="1288">
                  <c:v>0.11332468572476186</c:v>
                </c:pt>
                <c:pt idx="1289">
                  <c:v>0.11332468572476186</c:v>
                </c:pt>
                <c:pt idx="1290">
                  <c:v>0.11332468572476186</c:v>
                </c:pt>
                <c:pt idx="1291">
                  <c:v>0.11332468572476186</c:v>
                </c:pt>
                <c:pt idx="1292">
                  <c:v>0.11332468572476186</c:v>
                </c:pt>
                <c:pt idx="1293">
                  <c:v>0.11332468572476186</c:v>
                </c:pt>
                <c:pt idx="1294">
                  <c:v>0.11332468572476186</c:v>
                </c:pt>
                <c:pt idx="1295">
                  <c:v>0.11332468572476186</c:v>
                </c:pt>
                <c:pt idx="1296">
                  <c:v>0.11332468572476186</c:v>
                </c:pt>
                <c:pt idx="1297">
                  <c:v>0.11332468572476186</c:v>
                </c:pt>
                <c:pt idx="1298">
                  <c:v>0.11332468572476186</c:v>
                </c:pt>
                <c:pt idx="1299">
                  <c:v>0.11332468572476186</c:v>
                </c:pt>
                <c:pt idx="1300">
                  <c:v>0.11332468572476186</c:v>
                </c:pt>
                <c:pt idx="1301">
                  <c:v>0.11332468572476186</c:v>
                </c:pt>
                <c:pt idx="1302">
                  <c:v>0.11332468572476186</c:v>
                </c:pt>
                <c:pt idx="1303">
                  <c:v>0.11332468572476186</c:v>
                </c:pt>
                <c:pt idx="1304">
                  <c:v>0.11332468572476186</c:v>
                </c:pt>
                <c:pt idx="1305">
                  <c:v>0.11332468572476186</c:v>
                </c:pt>
                <c:pt idx="1306">
                  <c:v>0.11332468572476186</c:v>
                </c:pt>
                <c:pt idx="1307">
                  <c:v>0.11332468572476186</c:v>
                </c:pt>
                <c:pt idx="1308">
                  <c:v>0.11332468572476186</c:v>
                </c:pt>
                <c:pt idx="1309">
                  <c:v>0.11332468572476186</c:v>
                </c:pt>
                <c:pt idx="1310">
                  <c:v>0.11332468572476186</c:v>
                </c:pt>
                <c:pt idx="1311">
                  <c:v>0.11332468572476186</c:v>
                </c:pt>
                <c:pt idx="1312">
                  <c:v>0.11332468572476186</c:v>
                </c:pt>
                <c:pt idx="1313">
                  <c:v>0.11332468572476186</c:v>
                </c:pt>
                <c:pt idx="1314">
                  <c:v>0.11332468572476186</c:v>
                </c:pt>
                <c:pt idx="1315">
                  <c:v>0.11332468572476186</c:v>
                </c:pt>
                <c:pt idx="1316">
                  <c:v>0.11332468572476186</c:v>
                </c:pt>
                <c:pt idx="1317">
                  <c:v>0.11332468572476186</c:v>
                </c:pt>
                <c:pt idx="1318">
                  <c:v>0.11332468572476186</c:v>
                </c:pt>
                <c:pt idx="1319">
                  <c:v>0.11332468572476186</c:v>
                </c:pt>
                <c:pt idx="1320">
                  <c:v>0.11332468572476186</c:v>
                </c:pt>
                <c:pt idx="1321">
                  <c:v>0.11332468572476186</c:v>
                </c:pt>
                <c:pt idx="1322">
                  <c:v>0.11332468572476186</c:v>
                </c:pt>
                <c:pt idx="1323">
                  <c:v>0.11332468572476186</c:v>
                </c:pt>
                <c:pt idx="1324">
                  <c:v>0.11332468572476186</c:v>
                </c:pt>
                <c:pt idx="1325">
                  <c:v>0.11332468572476186</c:v>
                </c:pt>
                <c:pt idx="1326">
                  <c:v>0.11332468572476186</c:v>
                </c:pt>
                <c:pt idx="1327">
                  <c:v>0.11332468572476186</c:v>
                </c:pt>
                <c:pt idx="1328">
                  <c:v>0.11332468572476186</c:v>
                </c:pt>
                <c:pt idx="1329">
                  <c:v>0.11332468572476186</c:v>
                </c:pt>
                <c:pt idx="1330">
                  <c:v>0.11332468572476186</c:v>
                </c:pt>
                <c:pt idx="1331">
                  <c:v>0.11332468572476186</c:v>
                </c:pt>
                <c:pt idx="1332">
                  <c:v>0.11332468572476186</c:v>
                </c:pt>
                <c:pt idx="1333">
                  <c:v>0.11332468572476186</c:v>
                </c:pt>
                <c:pt idx="1334">
                  <c:v>0.11332468572476186</c:v>
                </c:pt>
                <c:pt idx="1335">
                  <c:v>0.11332468572476186</c:v>
                </c:pt>
                <c:pt idx="1336">
                  <c:v>0.11332468572476186</c:v>
                </c:pt>
                <c:pt idx="1337">
                  <c:v>0.11332468572476186</c:v>
                </c:pt>
                <c:pt idx="1338">
                  <c:v>0.11332468572476186</c:v>
                </c:pt>
                <c:pt idx="1339">
                  <c:v>0.11332468572476186</c:v>
                </c:pt>
                <c:pt idx="1340">
                  <c:v>0.11332468572476186</c:v>
                </c:pt>
                <c:pt idx="1341">
                  <c:v>0.11332468572476186</c:v>
                </c:pt>
                <c:pt idx="1342">
                  <c:v>0.11332468572476186</c:v>
                </c:pt>
                <c:pt idx="1343">
                  <c:v>0.11332468572476186</c:v>
                </c:pt>
                <c:pt idx="1344">
                  <c:v>0.11332468572476186</c:v>
                </c:pt>
                <c:pt idx="1345">
                  <c:v>0.11332468572476186</c:v>
                </c:pt>
                <c:pt idx="1346">
                  <c:v>0.11332468572476186</c:v>
                </c:pt>
                <c:pt idx="1347">
                  <c:v>0.11332468572476186</c:v>
                </c:pt>
                <c:pt idx="1348">
                  <c:v>0.11332468572476186</c:v>
                </c:pt>
                <c:pt idx="1349">
                  <c:v>0.11332468572476186</c:v>
                </c:pt>
                <c:pt idx="1350">
                  <c:v>0.11332468572476186</c:v>
                </c:pt>
                <c:pt idx="1351">
                  <c:v>0.11332468572476186</c:v>
                </c:pt>
                <c:pt idx="1352">
                  <c:v>0.11332468572476186</c:v>
                </c:pt>
                <c:pt idx="1353">
                  <c:v>0.11332468572476186</c:v>
                </c:pt>
                <c:pt idx="1354">
                  <c:v>0.11332468572476186</c:v>
                </c:pt>
                <c:pt idx="1355">
                  <c:v>0.11332468572476186</c:v>
                </c:pt>
                <c:pt idx="1356">
                  <c:v>0.11332468572476186</c:v>
                </c:pt>
                <c:pt idx="1357">
                  <c:v>0.11332468572476186</c:v>
                </c:pt>
                <c:pt idx="1358">
                  <c:v>0.11332468572476186</c:v>
                </c:pt>
                <c:pt idx="1359">
                  <c:v>0.11332468572476186</c:v>
                </c:pt>
                <c:pt idx="1360">
                  <c:v>0.11332468572476186</c:v>
                </c:pt>
                <c:pt idx="1361">
                  <c:v>0.11332468572476186</c:v>
                </c:pt>
                <c:pt idx="1362">
                  <c:v>0.11332468572476186</c:v>
                </c:pt>
                <c:pt idx="1363">
                  <c:v>0.11332468572476186</c:v>
                </c:pt>
                <c:pt idx="1364">
                  <c:v>0.11332468572476186</c:v>
                </c:pt>
                <c:pt idx="1365">
                  <c:v>0.11332468572476186</c:v>
                </c:pt>
                <c:pt idx="1366">
                  <c:v>0.11332468572476186</c:v>
                </c:pt>
                <c:pt idx="1367">
                  <c:v>0.11332468572476186</c:v>
                </c:pt>
                <c:pt idx="1368">
                  <c:v>0.11332468572476186</c:v>
                </c:pt>
                <c:pt idx="1369">
                  <c:v>0.11332468572476186</c:v>
                </c:pt>
                <c:pt idx="1370">
                  <c:v>0.11332468572476186</c:v>
                </c:pt>
                <c:pt idx="1371">
                  <c:v>0.11332468572476186</c:v>
                </c:pt>
                <c:pt idx="1372">
                  <c:v>0.11332468572476186</c:v>
                </c:pt>
                <c:pt idx="1373">
                  <c:v>0.11332468572476186</c:v>
                </c:pt>
                <c:pt idx="1374">
                  <c:v>0.11332468572476186</c:v>
                </c:pt>
                <c:pt idx="1375">
                  <c:v>0.11332468572476186</c:v>
                </c:pt>
                <c:pt idx="1376">
                  <c:v>0.11332468572476186</c:v>
                </c:pt>
                <c:pt idx="1377">
                  <c:v>0.11332468572476186</c:v>
                </c:pt>
                <c:pt idx="1378">
                  <c:v>0.11332468572476186</c:v>
                </c:pt>
                <c:pt idx="1379">
                  <c:v>0.11332468572476186</c:v>
                </c:pt>
                <c:pt idx="1380">
                  <c:v>0.11332468572476186</c:v>
                </c:pt>
                <c:pt idx="1381">
                  <c:v>0.11332468572476186</c:v>
                </c:pt>
                <c:pt idx="1382">
                  <c:v>0.11332468572476186</c:v>
                </c:pt>
                <c:pt idx="1383">
                  <c:v>0.11332468572476186</c:v>
                </c:pt>
                <c:pt idx="1384">
                  <c:v>0.11332468572476186</c:v>
                </c:pt>
                <c:pt idx="1385">
                  <c:v>0.11332468572476186</c:v>
                </c:pt>
                <c:pt idx="1386">
                  <c:v>0.11332468572476186</c:v>
                </c:pt>
                <c:pt idx="1387">
                  <c:v>0.11332468572476186</c:v>
                </c:pt>
                <c:pt idx="1388">
                  <c:v>0.11332468572476186</c:v>
                </c:pt>
                <c:pt idx="1389">
                  <c:v>0.11332468572476186</c:v>
                </c:pt>
                <c:pt idx="1390">
                  <c:v>0.11332468572476186</c:v>
                </c:pt>
                <c:pt idx="1391">
                  <c:v>0.11332468572476186</c:v>
                </c:pt>
                <c:pt idx="1392">
                  <c:v>0.11332468572476186</c:v>
                </c:pt>
                <c:pt idx="1393">
                  <c:v>0.11332468572476186</c:v>
                </c:pt>
                <c:pt idx="1394">
                  <c:v>0.11332468572476186</c:v>
                </c:pt>
                <c:pt idx="1395">
                  <c:v>0.11332468572476186</c:v>
                </c:pt>
                <c:pt idx="1396">
                  <c:v>0.11332468572476186</c:v>
                </c:pt>
                <c:pt idx="1397">
                  <c:v>0.11332468572476186</c:v>
                </c:pt>
                <c:pt idx="1398">
                  <c:v>0.11332468572476186</c:v>
                </c:pt>
                <c:pt idx="1399">
                  <c:v>0.11332468572476186</c:v>
                </c:pt>
                <c:pt idx="1400">
                  <c:v>0.11332468572476186</c:v>
                </c:pt>
                <c:pt idx="1401">
                  <c:v>0.11332468572476186</c:v>
                </c:pt>
                <c:pt idx="1402">
                  <c:v>0.11332468572476186</c:v>
                </c:pt>
                <c:pt idx="1403">
                  <c:v>0.11332468572476186</c:v>
                </c:pt>
                <c:pt idx="1404">
                  <c:v>0.11332468572476186</c:v>
                </c:pt>
                <c:pt idx="1405">
                  <c:v>0.11332468572476186</c:v>
                </c:pt>
                <c:pt idx="1406">
                  <c:v>0.11332468572476186</c:v>
                </c:pt>
                <c:pt idx="1407">
                  <c:v>0.11332468572476186</c:v>
                </c:pt>
                <c:pt idx="1408">
                  <c:v>0.11332468572476186</c:v>
                </c:pt>
                <c:pt idx="1409">
                  <c:v>0.11332468572476186</c:v>
                </c:pt>
                <c:pt idx="1410">
                  <c:v>0.11332468572476186</c:v>
                </c:pt>
                <c:pt idx="1411">
                  <c:v>0.11332468572476186</c:v>
                </c:pt>
                <c:pt idx="1412">
                  <c:v>0.11332468572476186</c:v>
                </c:pt>
                <c:pt idx="1413">
                  <c:v>0.11332468572476186</c:v>
                </c:pt>
                <c:pt idx="1414">
                  <c:v>0.11332468572476186</c:v>
                </c:pt>
                <c:pt idx="1415">
                  <c:v>0.11332468572476186</c:v>
                </c:pt>
                <c:pt idx="1416">
                  <c:v>0.11332468572476186</c:v>
                </c:pt>
                <c:pt idx="1417">
                  <c:v>0.11332468572476186</c:v>
                </c:pt>
                <c:pt idx="1418">
                  <c:v>0.11332468572476186</c:v>
                </c:pt>
                <c:pt idx="1419">
                  <c:v>0.11332468572476186</c:v>
                </c:pt>
                <c:pt idx="1420">
                  <c:v>0.11332468572476186</c:v>
                </c:pt>
                <c:pt idx="1421">
                  <c:v>0.11332468572476186</c:v>
                </c:pt>
                <c:pt idx="1422">
                  <c:v>0.11332468572476186</c:v>
                </c:pt>
                <c:pt idx="1423">
                  <c:v>0.11332468572476186</c:v>
                </c:pt>
                <c:pt idx="1424">
                  <c:v>0.11332468572476186</c:v>
                </c:pt>
                <c:pt idx="1425">
                  <c:v>0.11332468572476186</c:v>
                </c:pt>
                <c:pt idx="1426">
                  <c:v>0.11332468572476186</c:v>
                </c:pt>
                <c:pt idx="1427">
                  <c:v>0.11332468572476186</c:v>
                </c:pt>
                <c:pt idx="1428">
                  <c:v>0.11332468572476186</c:v>
                </c:pt>
                <c:pt idx="1429">
                  <c:v>0.11332468572476186</c:v>
                </c:pt>
                <c:pt idx="1430">
                  <c:v>0.11332468572476186</c:v>
                </c:pt>
                <c:pt idx="1431">
                  <c:v>0.11332468572476186</c:v>
                </c:pt>
                <c:pt idx="1432">
                  <c:v>0.11332468572476186</c:v>
                </c:pt>
                <c:pt idx="1433">
                  <c:v>0.11332468572476186</c:v>
                </c:pt>
                <c:pt idx="1434">
                  <c:v>0.11332468572476186</c:v>
                </c:pt>
                <c:pt idx="1435">
                  <c:v>0.11332468572476186</c:v>
                </c:pt>
                <c:pt idx="1436">
                  <c:v>0.11332468572476186</c:v>
                </c:pt>
                <c:pt idx="1437">
                  <c:v>0.11332468572476186</c:v>
                </c:pt>
                <c:pt idx="1438">
                  <c:v>0.11332468572476186</c:v>
                </c:pt>
                <c:pt idx="1439">
                  <c:v>0.11332468572476186</c:v>
                </c:pt>
                <c:pt idx="1440">
                  <c:v>0.11332468572476186</c:v>
                </c:pt>
                <c:pt idx="1441">
                  <c:v>0.11332468572476186</c:v>
                </c:pt>
                <c:pt idx="1442">
                  <c:v>0.11332468572476186</c:v>
                </c:pt>
                <c:pt idx="1443">
                  <c:v>0.11332468572476186</c:v>
                </c:pt>
                <c:pt idx="1444">
                  <c:v>0.11332468572476186</c:v>
                </c:pt>
                <c:pt idx="1445">
                  <c:v>0.11332468572476186</c:v>
                </c:pt>
                <c:pt idx="1446">
                  <c:v>0.11332468572476186</c:v>
                </c:pt>
                <c:pt idx="1447">
                  <c:v>0.11332468572476186</c:v>
                </c:pt>
                <c:pt idx="1448">
                  <c:v>0.11332468572476186</c:v>
                </c:pt>
                <c:pt idx="1449">
                  <c:v>0.11332468572476186</c:v>
                </c:pt>
                <c:pt idx="1450">
                  <c:v>0.11332468572476186</c:v>
                </c:pt>
                <c:pt idx="1451">
                  <c:v>0.11332468572476186</c:v>
                </c:pt>
                <c:pt idx="1452">
                  <c:v>0.11332468572476186</c:v>
                </c:pt>
                <c:pt idx="1453">
                  <c:v>0.11332468572476186</c:v>
                </c:pt>
                <c:pt idx="1454">
                  <c:v>0.11332468572476186</c:v>
                </c:pt>
                <c:pt idx="1455">
                  <c:v>0.11332468572476186</c:v>
                </c:pt>
                <c:pt idx="1456">
                  <c:v>0.11332468572476186</c:v>
                </c:pt>
                <c:pt idx="1457">
                  <c:v>0.11332468572476186</c:v>
                </c:pt>
                <c:pt idx="1458">
                  <c:v>0.11332468572476186</c:v>
                </c:pt>
                <c:pt idx="1459">
                  <c:v>0.11332468572476186</c:v>
                </c:pt>
                <c:pt idx="1460">
                  <c:v>0.11332468572476186</c:v>
                </c:pt>
                <c:pt idx="1461">
                  <c:v>0.11332468572476186</c:v>
                </c:pt>
                <c:pt idx="1462">
                  <c:v>0.11332468572476186</c:v>
                </c:pt>
                <c:pt idx="1463">
                  <c:v>0.11332468572476186</c:v>
                </c:pt>
                <c:pt idx="1464">
                  <c:v>0.11332468572476186</c:v>
                </c:pt>
                <c:pt idx="1465">
                  <c:v>0.11332468572476186</c:v>
                </c:pt>
                <c:pt idx="1466">
                  <c:v>0.11332468572476186</c:v>
                </c:pt>
                <c:pt idx="1467">
                  <c:v>0.11332468572476186</c:v>
                </c:pt>
                <c:pt idx="1468">
                  <c:v>0.11332468572476186</c:v>
                </c:pt>
                <c:pt idx="1469">
                  <c:v>0.11332468572476186</c:v>
                </c:pt>
                <c:pt idx="1470">
                  <c:v>0.11332468572476186</c:v>
                </c:pt>
                <c:pt idx="1471">
                  <c:v>0.11332468572476186</c:v>
                </c:pt>
                <c:pt idx="1472">
                  <c:v>0.11332468572476186</c:v>
                </c:pt>
                <c:pt idx="1473">
                  <c:v>0.11332468572476186</c:v>
                </c:pt>
                <c:pt idx="1474">
                  <c:v>0.11332468572476186</c:v>
                </c:pt>
                <c:pt idx="1475">
                  <c:v>0.11332468572476186</c:v>
                </c:pt>
                <c:pt idx="1476">
                  <c:v>0.11332468572476186</c:v>
                </c:pt>
                <c:pt idx="1477">
                  <c:v>0.11332468572476186</c:v>
                </c:pt>
                <c:pt idx="1478">
                  <c:v>0.11332468572476186</c:v>
                </c:pt>
                <c:pt idx="1479">
                  <c:v>0.11332468572476186</c:v>
                </c:pt>
                <c:pt idx="1480">
                  <c:v>0.11332468572476186</c:v>
                </c:pt>
                <c:pt idx="1481">
                  <c:v>0.11332468572476186</c:v>
                </c:pt>
                <c:pt idx="1482">
                  <c:v>0.11332468572476186</c:v>
                </c:pt>
                <c:pt idx="1483">
                  <c:v>0.11332468572476186</c:v>
                </c:pt>
                <c:pt idx="1484">
                  <c:v>0.11332468572476186</c:v>
                </c:pt>
                <c:pt idx="1485">
                  <c:v>0.11332468572476186</c:v>
                </c:pt>
                <c:pt idx="1486">
                  <c:v>0.11332468572476186</c:v>
                </c:pt>
                <c:pt idx="1487">
                  <c:v>0.11332468572476186</c:v>
                </c:pt>
                <c:pt idx="1488">
                  <c:v>0.11332468572476186</c:v>
                </c:pt>
                <c:pt idx="1489">
                  <c:v>0.11332468572476186</c:v>
                </c:pt>
                <c:pt idx="1490">
                  <c:v>0.11332468572476186</c:v>
                </c:pt>
                <c:pt idx="1491">
                  <c:v>0.11332468572476186</c:v>
                </c:pt>
                <c:pt idx="1492">
                  <c:v>0.11332468572476186</c:v>
                </c:pt>
                <c:pt idx="1493">
                  <c:v>0.11332468572476186</c:v>
                </c:pt>
                <c:pt idx="1494">
                  <c:v>0.11332468572476186</c:v>
                </c:pt>
                <c:pt idx="1495">
                  <c:v>0.11332468572476186</c:v>
                </c:pt>
                <c:pt idx="1496">
                  <c:v>0.11332468572476186</c:v>
                </c:pt>
                <c:pt idx="1497">
                  <c:v>0.11332468572476186</c:v>
                </c:pt>
                <c:pt idx="1498">
                  <c:v>0.11332468572476186</c:v>
                </c:pt>
                <c:pt idx="1499">
                  <c:v>0.11332468572476186</c:v>
                </c:pt>
                <c:pt idx="1500">
                  <c:v>0.11332468572476186</c:v>
                </c:pt>
                <c:pt idx="1501">
                  <c:v>0.11332468572476186</c:v>
                </c:pt>
                <c:pt idx="1502">
                  <c:v>0.11332468572476186</c:v>
                </c:pt>
                <c:pt idx="1503">
                  <c:v>0.11332468572476186</c:v>
                </c:pt>
                <c:pt idx="1504">
                  <c:v>0.11332468572476186</c:v>
                </c:pt>
                <c:pt idx="1505">
                  <c:v>0.11332468572476186</c:v>
                </c:pt>
                <c:pt idx="1506">
                  <c:v>0.11332468572476186</c:v>
                </c:pt>
                <c:pt idx="1507">
                  <c:v>0.11332468572476186</c:v>
                </c:pt>
                <c:pt idx="1508">
                  <c:v>0.11332468572476186</c:v>
                </c:pt>
                <c:pt idx="1509">
                  <c:v>0.11332468572476186</c:v>
                </c:pt>
                <c:pt idx="1510">
                  <c:v>0.11332468572476186</c:v>
                </c:pt>
                <c:pt idx="1511">
                  <c:v>0.11332468572476186</c:v>
                </c:pt>
                <c:pt idx="1512">
                  <c:v>0.11332468572476186</c:v>
                </c:pt>
                <c:pt idx="1513">
                  <c:v>0.11332468572476186</c:v>
                </c:pt>
                <c:pt idx="1514">
                  <c:v>0.11332468572476186</c:v>
                </c:pt>
                <c:pt idx="1515">
                  <c:v>0.11332468572476186</c:v>
                </c:pt>
                <c:pt idx="1516">
                  <c:v>0.11332468572476186</c:v>
                </c:pt>
                <c:pt idx="1517">
                  <c:v>0.11332468572476186</c:v>
                </c:pt>
                <c:pt idx="1518">
                  <c:v>0.11332468572476186</c:v>
                </c:pt>
                <c:pt idx="1519">
                  <c:v>0.11332468572476186</c:v>
                </c:pt>
                <c:pt idx="1520">
                  <c:v>0.11332468572476186</c:v>
                </c:pt>
                <c:pt idx="1521">
                  <c:v>0.11332468572476186</c:v>
                </c:pt>
                <c:pt idx="1522">
                  <c:v>0.11332468572476186</c:v>
                </c:pt>
                <c:pt idx="1523">
                  <c:v>0.11332468572476186</c:v>
                </c:pt>
                <c:pt idx="1524">
                  <c:v>0.11332468572476186</c:v>
                </c:pt>
                <c:pt idx="1525">
                  <c:v>0.11332468572476186</c:v>
                </c:pt>
                <c:pt idx="1526">
                  <c:v>0.11332468572476186</c:v>
                </c:pt>
                <c:pt idx="1527">
                  <c:v>0.11332468572476186</c:v>
                </c:pt>
                <c:pt idx="1528">
                  <c:v>0.11332468572476186</c:v>
                </c:pt>
                <c:pt idx="1529">
                  <c:v>0.11332468572476186</c:v>
                </c:pt>
                <c:pt idx="1530">
                  <c:v>0.11332468572476186</c:v>
                </c:pt>
                <c:pt idx="1531">
                  <c:v>0.11332468572476186</c:v>
                </c:pt>
                <c:pt idx="1532">
                  <c:v>0.11332468572476186</c:v>
                </c:pt>
                <c:pt idx="1533">
                  <c:v>0.11332468572476186</c:v>
                </c:pt>
                <c:pt idx="1534">
                  <c:v>0.11332468572476186</c:v>
                </c:pt>
                <c:pt idx="1535">
                  <c:v>0.11332468572476186</c:v>
                </c:pt>
                <c:pt idx="1536">
                  <c:v>0.11332468572476186</c:v>
                </c:pt>
                <c:pt idx="1537">
                  <c:v>0.11332468572476186</c:v>
                </c:pt>
                <c:pt idx="1538">
                  <c:v>0.11332468572476186</c:v>
                </c:pt>
                <c:pt idx="1539">
                  <c:v>0.11332468572476186</c:v>
                </c:pt>
                <c:pt idx="1540">
                  <c:v>0.11332468572476186</c:v>
                </c:pt>
                <c:pt idx="1541">
                  <c:v>0.11332468572476186</c:v>
                </c:pt>
                <c:pt idx="1542">
                  <c:v>0.11332468572476186</c:v>
                </c:pt>
                <c:pt idx="1543">
                  <c:v>0.11332468572476186</c:v>
                </c:pt>
                <c:pt idx="1544">
                  <c:v>0.11332468572476186</c:v>
                </c:pt>
                <c:pt idx="1545">
                  <c:v>0.11332468572476186</c:v>
                </c:pt>
                <c:pt idx="1546">
                  <c:v>0.11332468572476186</c:v>
                </c:pt>
                <c:pt idx="1547">
                  <c:v>0.11332468572476186</c:v>
                </c:pt>
                <c:pt idx="1548">
                  <c:v>0.11332468572476186</c:v>
                </c:pt>
                <c:pt idx="1549">
                  <c:v>0.11332468572476186</c:v>
                </c:pt>
                <c:pt idx="1550">
                  <c:v>0.11332468572476186</c:v>
                </c:pt>
                <c:pt idx="1551">
                  <c:v>0.11332468572476186</c:v>
                </c:pt>
                <c:pt idx="1552">
                  <c:v>0.11332468572476186</c:v>
                </c:pt>
                <c:pt idx="1553">
                  <c:v>0.11332468572476186</c:v>
                </c:pt>
                <c:pt idx="1554">
                  <c:v>0.11332468572476186</c:v>
                </c:pt>
                <c:pt idx="1555">
                  <c:v>0.11332468572476186</c:v>
                </c:pt>
                <c:pt idx="1556">
                  <c:v>0.11332468572476186</c:v>
                </c:pt>
                <c:pt idx="1557">
                  <c:v>0.11332468572476186</c:v>
                </c:pt>
                <c:pt idx="1558">
                  <c:v>0.11332468572476186</c:v>
                </c:pt>
                <c:pt idx="1559">
                  <c:v>0.11332468572476186</c:v>
                </c:pt>
                <c:pt idx="1560">
                  <c:v>0.11332468572476186</c:v>
                </c:pt>
                <c:pt idx="1561">
                  <c:v>0.11332468572476186</c:v>
                </c:pt>
                <c:pt idx="1562">
                  <c:v>0.11332468572476186</c:v>
                </c:pt>
                <c:pt idx="1563">
                  <c:v>0.11332468572476186</c:v>
                </c:pt>
                <c:pt idx="1564">
                  <c:v>0.11332468572476186</c:v>
                </c:pt>
                <c:pt idx="1565">
                  <c:v>0.11332468572476186</c:v>
                </c:pt>
                <c:pt idx="1566">
                  <c:v>0.11332468572476186</c:v>
                </c:pt>
                <c:pt idx="1567">
                  <c:v>0.11332468572476186</c:v>
                </c:pt>
                <c:pt idx="1568">
                  <c:v>0.11332468572476186</c:v>
                </c:pt>
                <c:pt idx="1569">
                  <c:v>0.11332468572476186</c:v>
                </c:pt>
                <c:pt idx="1570">
                  <c:v>0.11332468572476186</c:v>
                </c:pt>
                <c:pt idx="1571">
                  <c:v>0.11332468572476186</c:v>
                </c:pt>
                <c:pt idx="1572">
                  <c:v>0.11332468572476186</c:v>
                </c:pt>
                <c:pt idx="1573">
                  <c:v>0.11332468572476186</c:v>
                </c:pt>
                <c:pt idx="1574">
                  <c:v>0.11332468572476186</c:v>
                </c:pt>
                <c:pt idx="1575">
                  <c:v>0.11332468572476186</c:v>
                </c:pt>
                <c:pt idx="1576">
                  <c:v>0.11332468572476186</c:v>
                </c:pt>
                <c:pt idx="1577">
                  <c:v>0.11332468572476186</c:v>
                </c:pt>
                <c:pt idx="1578">
                  <c:v>0.11332468572476186</c:v>
                </c:pt>
                <c:pt idx="1579">
                  <c:v>0.11332468572476186</c:v>
                </c:pt>
                <c:pt idx="1580">
                  <c:v>0.11332468572476186</c:v>
                </c:pt>
                <c:pt idx="1581">
                  <c:v>0.11332468572476186</c:v>
                </c:pt>
                <c:pt idx="1582">
                  <c:v>0.11332468572476186</c:v>
                </c:pt>
                <c:pt idx="1583">
                  <c:v>0.11332468572476186</c:v>
                </c:pt>
                <c:pt idx="1584">
                  <c:v>0.11332468572476186</c:v>
                </c:pt>
                <c:pt idx="1585">
                  <c:v>0.11332468572476186</c:v>
                </c:pt>
                <c:pt idx="1586">
                  <c:v>0.11332468572476186</c:v>
                </c:pt>
                <c:pt idx="1587">
                  <c:v>0.11332468572476186</c:v>
                </c:pt>
                <c:pt idx="1588">
                  <c:v>0.11332468572476186</c:v>
                </c:pt>
                <c:pt idx="1589">
                  <c:v>0.11332468572476186</c:v>
                </c:pt>
                <c:pt idx="1590">
                  <c:v>0.11332468572476186</c:v>
                </c:pt>
                <c:pt idx="1591">
                  <c:v>0.11332468572476186</c:v>
                </c:pt>
                <c:pt idx="1592">
                  <c:v>0.11332468572476186</c:v>
                </c:pt>
                <c:pt idx="1593">
                  <c:v>0.11332468572476186</c:v>
                </c:pt>
                <c:pt idx="1594">
                  <c:v>0.11332468572476186</c:v>
                </c:pt>
                <c:pt idx="1595">
                  <c:v>0.11332468572476186</c:v>
                </c:pt>
                <c:pt idx="1596">
                  <c:v>0.11332468572476186</c:v>
                </c:pt>
                <c:pt idx="1597">
                  <c:v>0.11332468572476186</c:v>
                </c:pt>
                <c:pt idx="1598">
                  <c:v>0.11332468572476186</c:v>
                </c:pt>
                <c:pt idx="1599">
                  <c:v>0.11332468572476186</c:v>
                </c:pt>
                <c:pt idx="1600">
                  <c:v>0.11332468572476186</c:v>
                </c:pt>
                <c:pt idx="1601">
                  <c:v>0.11332468572476186</c:v>
                </c:pt>
                <c:pt idx="1602">
                  <c:v>0.11332468572476186</c:v>
                </c:pt>
                <c:pt idx="1603">
                  <c:v>0.11332468572476186</c:v>
                </c:pt>
                <c:pt idx="1604">
                  <c:v>0.11332468572476186</c:v>
                </c:pt>
                <c:pt idx="1605">
                  <c:v>0.11332468572476186</c:v>
                </c:pt>
                <c:pt idx="1606">
                  <c:v>0.11332468572476186</c:v>
                </c:pt>
                <c:pt idx="1607">
                  <c:v>0.11332468572476186</c:v>
                </c:pt>
                <c:pt idx="1608">
                  <c:v>0.11332468572476186</c:v>
                </c:pt>
                <c:pt idx="1609">
                  <c:v>0.11332468572476186</c:v>
                </c:pt>
                <c:pt idx="1610">
                  <c:v>0.11332468572476186</c:v>
                </c:pt>
                <c:pt idx="1611">
                  <c:v>0.11332468572476186</c:v>
                </c:pt>
                <c:pt idx="1612">
                  <c:v>0.11332468572476186</c:v>
                </c:pt>
                <c:pt idx="1613">
                  <c:v>0.11332468572476186</c:v>
                </c:pt>
                <c:pt idx="1614">
                  <c:v>0.11332468572476186</c:v>
                </c:pt>
                <c:pt idx="1615">
                  <c:v>0.11332468572476186</c:v>
                </c:pt>
                <c:pt idx="1616">
                  <c:v>0.11332468572476186</c:v>
                </c:pt>
                <c:pt idx="1617">
                  <c:v>0.11332468572476186</c:v>
                </c:pt>
                <c:pt idx="1618">
                  <c:v>0.11332468572476186</c:v>
                </c:pt>
                <c:pt idx="1619">
                  <c:v>0.11332468572476186</c:v>
                </c:pt>
                <c:pt idx="1620">
                  <c:v>0.11332468572476186</c:v>
                </c:pt>
                <c:pt idx="1621">
                  <c:v>0.11332468572476186</c:v>
                </c:pt>
                <c:pt idx="1622">
                  <c:v>0.11332468572476186</c:v>
                </c:pt>
                <c:pt idx="1623">
                  <c:v>0.11332468572476186</c:v>
                </c:pt>
                <c:pt idx="1624">
                  <c:v>0.11332468572476186</c:v>
                </c:pt>
                <c:pt idx="1625">
                  <c:v>0.11332468572476186</c:v>
                </c:pt>
                <c:pt idx="1626">
                  <c:v>0.11332468572476186</c:v>
                </c:pt>
                <c:pt idx="1627">
                  <c:v>0.11332468572476186</c:v>
                </c:pt>
                <c:pt idx="1628">
                  <c:v>0.11332468572476186</c:v>
                </c:pt>
                <c:pt idx="1629">
                  <c:v>0.11332468572476186</c:v>
                </c:pt>
                <c:pt idx="1630">
                  <c:v>0.11332468572476186</c:v>
                </c:pt>
                <c:pt idx="1631">
                  <c:v>0.11332468572476186</c:v>
                </c:pt>
                <c:pt idx="1632">
                  <c:v>0.11332468572476186</c:v>
                </c:pt>
                <c:pt idx="1633">
                  <c:v>0.11332468572476186</c:v>
                </c:pt>
                <c:pt idx="1634">
                  <c:v>0.11332468572476186</c:v>
                </c:pt>
                <c:pt idx="1635">
                  <c:v>0.11332468572476186</c:v>
                </c:pt>
                <c:pt idx="1636">
                  <c:v>0.11332468572476186</c:v>
                </c:pt>
                <c:pt idx="1637">
                  <c:v>0.11332468572476186</c:v>
                </c:pt>
                <c:pt idx="1638">
                  <c:v>0.11332468572476186</c:v>
                </c:pt>
                <c:pt idx="1639">
                  <c:v>0.11332468572476186</c:v>
                </c:pt>
                <c:pt idx="1640">
                  <c:v>0.11332468572476186</c:v>
                </c:pt>
                <c:pt idx="1641">
                  <c:v>0.11332468572476186</c:v>
                </c:pt>
                <c:pt idx="1642">
                  <c:v>0.11332468572476186</c:v>
                </c:pt>
                <c:pt idx="1643">
                  <c:v>0.11332468572476186</c:v>
                </c:pt>
                <c:pt idx="1644">
                  <c:v>0.11332468572476186</c:v>
                </c:pt>
                <c:pt idx="1645">
                  <c:v>0.11332468572476186</c:v>
                </c:pt>
                <c:pt idx="1646">
                  <c:v>0.11332468572476186</c:v>
                </c:pt>
                <c:pt idx="1647">
                  <c:v>0.11332468572476186</c:v>
                </c:pt>
                <c:pt idx="1648">
                  <c:v>0.11332468572476186</c:v>
                </c:pt>
                <c:pt idx="1649">
                  <c:v>0.11332468572476186</c:v>
                </c:pt>
                <c:pt idx="1650">
                  <c:v>0.11332468572476186</c:v>
                </c:pt>
                <c:pt idx="1651">
                  <c:v>0.11332468572476186</c:v>
                </c:pt>
                <c:pt idx="1652">
                  <c:v>0.11332468572476186</c:v>
                </c:pt>
                <c:pt idx="1653">
                  <c:v>0.11332468572476186</c:v>
                </c:pt>
                <c:pt idx="1654">
                  <c:v>0.11332468572476186</c:v>
                </c:pt>
                <c:pt idx="1655">
                  <c:v>0.11332468572476186</c:v>
                </c:pt>
                <c:pt idx="1656">
                  <c:v>0.11332468572476186</c:v>
                </c:pt>
                <c:pt idx="1657">
                  <c:v>0.11332468572476186</c:v>
                </c:pt>
                <c:pt idx="1658">
                  <c:v>0.11332468572476186</c:v>
                </c:pt>
                <c:pt idx="1659">
                  <c:v>0.11332468572476186</c:v>
                </c:pt>
                <c:pt idx="1660">
                  <c:v>0.11332468572476186</c:v>
                </c:pt>
                <c:pt idx="1661">
                  <c:v>0.11332468572476186</c:v>
                </c:pt>
                <c:pt idx="1662">
                  <c:v>0.11332468572476186</c:v>
                </c:pt>
                <c:pt idx="1663">
                  <c:v>0.11332468572476186</c:v>
                </c:pt>
                <c:pt idx="1664">
                  <c:v>0.11332468572476186</c:v>
                </c:pt>
                <c:pt idx="1665">
                  <c:v>0.11332468572476186</c:v>
                </c:pt>
                <c:pt idx="1666">
                  <c:v>0.11332468572476186</c:v>
                </c:pt>
                <c:pt idx="1667">
                  <c:v>0.11332468572476186</c:v>
                </c:pt>
                <c:pt idx="1668">
                  <c:v>0.11332468572476186</c:v>
                </c:pt>
                <c:pt idx="1669">
                  <c:v>0.11332468572476186</c:v>
                </c:pt>
                <c:pt idx="1670">
                  <c:v>0.11332468572476186</c:v>
                </c:pt>
                <c:pt idx="1671">
                  <c:v>0.11332468572476186</c:v>
                </c:pt>
                <c:pt idx="1672">
                  <c:v>0.11332468572476186</c:v>
                </c:pt>
                <c:pt idx="1673">
                  <c:v>0.11332468572476186</c:v>
                </c:pt>
                <c:pt idx="1674">
                  <c:v>0.11332468572476186</c:v>
                </c:pt>
                <c:pt idx="1675">
                  <c:v>0.11332468572476186</c:v>
                </c:pt>
                <c:pt idx="1676">
                  <c:v>0.11332468572476186</c:v>
                </c:pt>
                <c:pt idx="1677">
                  <c:v>0.11332468572476186</c:v>
                </c:pt>
                <c:pt idx="1678">
                  <c:v>0.11332468572476186</c:v>
                </c:pt>
                <c:pt idx="1679">
                  <c:v>0.11332468572476186</c:v>
                </c:pt>
                <c:pt idx="1680">
                  <c:v>0.11332468572476186</c:v>
                </c:pt>
                <c:pt idx="1681">
                  <c:v>0.11332468572476186</c:v>
                </c:pt>
                <c:pt idx="1682">
                  <c:v>0.11332468572476186</c:v>
                </c:pt>
                <c:pt idx="1683">
                  <c:v>0.11332468572476186</c:v>
                </c:pt>
                <c:pt idx="1684">
                  <c:v>0.11332468572476186</c:v>
                </c:pt>
                <c:pt idx="1685">
                  <c:v>0.11332468572476186</c:v>
                </c:pt>
                <c:pt idx="1686">
                  <c:v>0.11332468572476186</c:v>
                </c:pt>
                <c:pt idx="1687">
                  <c:v>0.11332468572476186</c:v>
                </c:pt>
                <c:pt idx="1688">
                  <c:v>0.11332468572476186</c:v>
                </c:pt>
                <c:pt idx="1689">
                  <c:v>0.11332468572476186</c:v>
                </c:pt>
                <c:pt idx="1690">
                  <c:v>0.11332468572476186</c:v>
                </c:pt>
                <c:pt idx="1691">
                  <c:v>0.11332468572476186</c:v>
                </c:pt>
                <c:pt idx="1692">
                  <c:v>0.11332468572476186</c:v>
                </c:pt>
                <c:pt idx="1693">
                  <c:v>0.11332468572476186</c:v>
                </c:pt>
                <c:pt idx="1694">
                  <c:v>0.11332468572476186</c:v>
                </c:pt>
                <c:pt idx="1695">
                  <c:v>0.11332468572476186</c:v>
                </c:pt>
                <c:pt idx="1696">
                  <c:v>0.11332468572476186</c:v>
                </c:pt>
                <c:pt idx="1697">
                  <c:v>0.11332468572476186</c:v>
                </c:pt>
                <c:pt idx="1698">
                  <c:v>0.11332468572476186</c:v>
                </c:pt>
                <c:pt idx="1699">
                  <c:v>0.11332468572476186</c:v>
                </c:pt>
                <c:pt idx="1700">
                  <c:v>0.11332468572476186</c:v>
                </c:pt>
                <c:pt idx="1701">
                  <c:v>0.11332468572476186</c:v>
                </c:pt>
                <c:pt idx="1702">
                  <c:v>0.11332468572476186</c:v>
                </c:pt>
                <c:pt idx="1703">
                  <c:v>0.11332468572476186</c:v>
                </c:pt>
                <c:pt idx="1704">
                  <c:v>0.11332468572476186</c:v>
                </c:pt>
                <c:pt idx="1705">
                  <c:v>0.11332468572476186</c:v>
                </c:pt>
                <c:pt idx="1706">
                  <c:v>0.11332468572476186</c:v>
                </c:pt>
                <c:pt idx="1707">
                  <c:v>0.11332468572476186</c:v>
                </c:pt>
                <c:pt idx="1708">
                  <c:v>0.11332468572476186</c:v>
                </c:pt>
                <c:pt idx="1709">
                  <c:v>0.11332468572476186</c:v>
                </c:pt>
                <c:pt idx="1710">
                  <c:v>0.11332468572476186</c:v>
                </c:pt>
                <c:pt idx="1711">
                  <c:v>0.11332468572476186</c:v>
                </c:pt>
                <c:pt idx="1712">
                  <c:v>0.11332468572476186</c:v>
                </c:pt>
                <c:pt idx="1713">
                  <c:v>0.11332468572476186</c:v>
                </c:pt>
                <c:pt idx="1714">
                  <c:v>0.11332468572476186</c:v>
                </c:pt>
                <c:pt idx="1715">
                  <c:v>0.11332468572476186</c:v>
                </c:pt>
                <c:pt idx="1716">
                  <c:v>0.11332468572476186</c:v>
                </c:pt>
                <c:pt idx="1717">
                  <c:v>0.11332468572476186</c:v>
                </c:pt>
                <c:pt idx="1718">
                  <c:v>0.11332468572476186</c:v>
                </c:pt>
                <c:pt idx="1719">
                  <c:v>0.11332468572476186</c:v>
                </c:pt>
                <c:pt idx="1720">
                  <c:v>0.11332468572476186</c:v>
                </c:pt>
                <c:pt idx="1721">
                  <c:v>0.11332468572476186</c:v>
                </c:pt>
                <c:pt idx="1722">
                  <c:v>0.11332468572476186</c:v>
                </c:pt>
                <c:pt idx="1723">
                  <c:v>0.11332468572476186</c:v>
                </c:pt>
                <c:pt idx="1724">
                  <c:v>0.11332468572476186</c:v>
                </c:pt>
                <c:pt idx="1725">
                  <c:v>0.11332468572476186</c:v>
                </c:pt>
                <c:pt idx="1726">
                  <c:v>0.11332468572476186</c:v>
                </c:pt>
                <c:pt idx="1727">
                  <c:v>0.11332468572476186</c:v>
                </c:pt>
                <c:pt idx="1728">
                  <c:v>0.11332468572476186</c:v>
                </c:pt>
                <c:pt idx="1729">
                  <c:v>0.11332468572476186</c:v>
                </c:pt>
                <c:pt idx="1730">
                  <c:v>0.11332468572476186</c:v>
                </c:pt>
                <c:pt idx="1731">
                  <c:v>0.11332468572476186</c:v>
                </c:pt>
                <c:pt idx="1732">
                  <c:v>0.11332468572476186</c:v>
                </c:pt>
                <c:pt idx="1733">
                  <c:v>0.11332468572476186</c:v>
                </c:pt>
                <c:pt idx="1734">
                  <c:v>0.11332468572476186</c:v>
                </c:pt>
                <c:pt idx="1735">
                  <c:v>0.11332468572476186</c:v>
                </c:pt>
                <c:pt idx="1736">
                  <c:v>0.11332468572476186</c:v>
                </c:pt>
                <c:pt idx="1737">
                  <c:v>0.11332468572476186</c:v>
                </c:pt>
                <c:pt idx="1738">
                  <c:v>0.11332468572476186</c:v>
                </c:pt>
                <c:pt idx="1739">
                  <c:v>0.11332468572476186</c:v>
                </c:pt>
                <c:pt idx="1740">
                  <c:v>0.11332468572476186</c:v>
                </c:pt>
                <c:pt idx="1741">
                  <c:v>0.11332468572476186</c:v>
                </c:pt>
                <c:pt idx="1742">
                  <c:v>0.11332468572476186</c:v>
                </c:pt>
                <c:pt idx="1743">
                  <c:v>0.11332468572476186</c:v>
                </c:pt>
                <c:pt idx="1744">
                  <c:v>0.11332468572476186</c:v>
                </c:pt>
                <c:pt idx="1745">
                  <c:v>0.11332468572476186</c:v>
                </c:pt>
                <c:pt idx="1746">
                  <c:v>0.11332468572476186</c:v>
                </c:pt>
                <c:pt idx="1747">
                  <c:v>0.11332468572476186</c:v>
                </c:pt>
                <c:pt idx="1748">
                  <c:v>0.11332468572476186</c:v>
                </c:pt>
                <c:pt idx="1749">
                  <c:v>0.11332468572476186</c:v>
                </c:pt>
                <c:pt idx="1750">
                  <c:v>0.11332468572476186</c:v>
                </c:pt>
                <c:pt idx="1751">
                  <c:v>0.11332468572476186</c:v>
                </c:pt>
                <c:pt idx="1752">
                  <c:v>0.11332468572476186</c:v>
                </c:pt>
                <c:pt idx="1753">
                  <c:v>0.11332468572476186</c:v>
                </c:pt>
                <c:pt idx="1754">
                  <c:v>0.11332468572476186</c:v>
                </c:pt>
                <c:pt idx="1755">
                  <c:v>0.11332468572476186</c:v>
                </c:pt>
                <c:pt idx="1756">
                  <c:v>0.11332468572476186</c:v>
                </c:pt>
                <c:pt idx="1757">
                  <c:v>0.11332468572476186</c:v>
                </c:pt>
                <c:pt idx="1758">
                  <c:v>0.11332468572476186</c:v>
                </c:pt>
                <c:pt idx="1759">
                  <c:v>0.11332468572476186</c:v>
                </c:pt>
                <c:pt idx="1760">
                  <c:v>0.11332468572476186</c:v>
                </c:pt>
                <c:pt idx="1761">
                  <c:v>0.11332468572476186</c:v>
                </c:pt>
                <c:pt idx="1762">
                  <c:v>0.11332468572476186</c:v>
                </c:pt>
                <c:pt idx="1763">
                  <c:v>0.11332468572476186</c:v>
                </c:pt>
                <c:pt idx="1764">
                  <c:v>0.11332468572476186</c:v>
                </c:pt>
                <c:pt idx="1765">
                  <c:v>0.11332468572476186</c:v>
                </c:pt>
                <c:pt idx="1766">
                  <c:v>0.11332468572476186</c:v>
                </c:pt>
                <c:pt idx="1767">
                  <c:v>0.11332468572476186</c:v>
                </c:pt>
                <c:pt idx="1768">
                  <c:v>0.11332468572476186</c:v>
                </c:pt>
                <c:pt idx="1769">
                  <c:v>0.11332468572476186</c:v>
                </c:pt>
                <c:pt idx="1770">
                  <c:v>0.11332468572476186</c:v>
                </c:pt>
                <c:pt idx="1771">
                  <c:v>0.11332468572476186</c:v>
                </c:pt>
                <c:pt idx="1772">
                  <c:v>0.11332468572476186</c:v>
                </c:pt>
                <c:pt idx="1773">
                  <c:v>0.11332468572476186</c:v>
                </c:pt>
                <c:pt idx="1774">
                  <c:v>0.11332468572476186</c:v>
                </c:pt>
                <c:pt idx="1775">
                  <c:v>0.11332468572476186</c:v>
                </c:pt>
                <c:pt idx="1776">
                  <c:v>0.11332468572476186</c:v>
                </c:pt>
                <c:pt idx="1777">
                  <c:v>0.11332468572476186</c:v>
                </c:pt>
                <c:pt idx="1778">
                  <c:v>0.11332468572476186</c:v>
                </c:pt>
                <c:pt idx="1779">
                  <c:v>0.11332468572476186</c:v>
                </c:pt>
                <c:pt idx="1780">
                  <c:v>0.11332468572476186</c:v>
                </c:pt>
                <c:pt idx="1781">
                  <c:v>0.11332468572476186</c:v>
                </c:pt>
                <c:pt idx="1782">
                  <c:v>0.11332468572476186</c:v>
                </c:pt>
                <c:pt idx="1783">
                  <c:v>0.11332468572476186</c:v>
                </c:pt>
                <c:pt idx="1784">
                  <c:v>0.11332468572476186</c:v>
                </c:pt>
                <c:pt idx="1785">
                  <c:v>0.11332468572476186</c:v>
                </c:pt>
                <c:pt idx="1786">
                  <c:v>0.11332468572476186</c:v>
                </c:pt>
                <c:pt idx="1787">
                  <c:v>0.11332468572476186</c:v>
                </c:pt>
                <c:pt idx="1788">
                  <c:v>0.11332468572476186</c:v>
                </c:pt>
                <c:pt idx="1789">
                  <c:v>0.11332468572476186</c:v>
                </c:pt>
                <c:pt idx="1790">
                  <c:v>0.11332468572476186</c:v>
                </c:pt>
                <c:pt idx="1791">
                  <c:v>0.11332468572476186</c:v>
                </c:pt>
                <c:pt idx="1792">
                  <c:v>0.11332468572476186</c:v>
                </c:pt>
                <c:pt idx="1793">
                  <c:v>0.11332468572476186</c:v>
                </c:pt>
                <c:pt idx="1794">
                  <c:v>0.11332468572476186</c:v>
                </c:pt>
                <c:pt idx="1795">
                  <c:v>0.11332468572476186</c:v>
                </c:pt>
                <c:pt idx="1796">
                  <c:v>0.11332468572476186</c:v>
                </c:pt>
                <c:pt idx="1797">
                  <c:v>0.11332468572476186</c:v>
                </c:pt>
                <c:pt idx="1798">
                  <c:v>0.11332468572476186</c:v>
                </c:pt>
                <c:pt idx="1799">
                  <c:v>0.11332468572476186</c:v>
                </c:pt>
                <c:pt idx="1800">
                  <c:v>0.11332468572476186</c:v>
                </c:pt>
                <c:pt idx="1801">
                  <c:v>0.11332468572476186</c:v>
                </c:pt>
                <c:pt idx="1802">
                  <c:v>0.11332468572476186</c:v>
                </c:pt>
                <c:pt idx="1803">
                  <c:v>0.11332468572476186</c:v>
                </c:pt>
                <c:pt idx="1804">
                  <c:v>0.11332468572476186</c:v>
                </c:pt>
                <c:pt idx="1805">
                  <c:v>0.11332468572476186</c:v>
                </c:pt>
                <c:pt idx="1806">
                  <c:v>0.11332468572476186</c:v>
                </c:pt>
                <c:pt idx="1807">
                  <c:v>0.11332468572476186</c:v>
                </c:pt>
                <c:pt idx="1808">
                  <c:v>0.11332468572476186</c:v>
                </c:pt>
                <c:pt idx="1809">
                  <c:v>0.11332468572476186</c:v>
                </c:pt>
                <c:pt idx="1810">
                  <c:v>0.11332468572476186</c:v>
                </c:pt>
                <c:pt idx="1811">
                  <c:v>0.11332468572476186</c:v>
                </c:pt>
                <c:pt idx="1812">
                  <c:v>0.11332468572476186</c:v>
                </c:pt>
                <c:pt idx="1813">
                  <c:v>0.11332468572476186</c:v>
                </c:pt>
                <c:pt idx="1814">
                  <c:v>0.11332468572476186</c:v>
                </c:pt>
                <c:pt idx="1815">
                  <c:v>0.11332468572476186</c:v>
                </c:pt>
                <c:pt idx="1816">
                  <c:v>0.11332468572476186</c:v>
                </c:pt>
                <c:pt idx="1817">
                  <c:v>0.11332468572476186</c:v>
                </c:pt>
                <c:pt idx="1818">
                  <c:v>0.11332468572476186</c:v>
                </c:pt>
                <c:pt idx="1819">
                  <c:v>0.11332468572476186</c:v>
                </c:pt>
                <c:pt idx="1820">
                  <c:v>0.11332468572476186</c:v>
                </c:pt>
                <c:pt idx="1821">
                  <c:v>0.11332468572476186</c:v>
                </c:pt>
                <c:pt idx="1822">
                  <c:v>0.11332468572476186</c:v>
                </c:pt>
                <c:pt idx="1823">
                  <c:v>0.11332468572476186</c:v>
                </c:pt>
                <c:pt idx="1824">
                  <c:v>0.11332468572476186</c:v>
                </c:pt>
                <c:pt idx="1825">
                  <c:v>0.11332468572476186</c:v>
                </c:pt>
                <c:pt idx="1826">
                  <c:v>0.11332468572476186</c:v>
                </c:pt>
                <c:pt idx="1827">
                  <c:v>0.11332468572476186</c:v>
                </c:pt>
                <c:pt idx="1828">
                  <c:v>0.11332468572476186</c:v>
                </c:pt>
                <c:pt idx="1829">
                  <c:v>0.11332468572476186</c:v>
                </c:pt>
                <c:pt idx="1830">
                  <c:v>0.11332468572476186</c:v>
                </c:pt>
                <c:pt idx="1831">
                  <c:v>0.11332468572476186</c:v>
                </c:pt>
                <c:pt idx="1832">
                  <c:v>0.11332468572476186</c:v>
                </c:pt>
                <c:pt idx="1833">
                  <c:v>0.11332468572476186</c:v>
                </c:pt>
                <c:pt idx="1834">
                  <c:v>0.11332468572476186</c:v>
                </c:pt>
                <c:pt idx="1835">
                  <c:v>0.11332468572476186</c:v>
                </c:pt>
                <c:pt idx="1836">
                  <c:v>0.11332468572476186</c:v>
                </c:pt>
                <c:pt idx="1837">
                  <c:v>0.11332468572476186</c:v>
                </c:pt>
                <c:pt idx="1838">
                  <c:v>0.11332468572476186</c:v>
                </c:pt>
                <c:pt idx="1839">
                  <c:v>0.11332468572476186</c:v>
                </c:pt>
                <c:pt idx="1840">
                  <c:v>0.11332468572476186</c:v>
                </c:pt>
                <c:pt idx="1841">
                  <c:v>0.11332468572476186</c:v>
                </c:pt>
                <c:pt idx="1842">
                  <c:v>0.11332468572476186</c:v>
                </c:pt>
                <c:pt idx="1843">
                  <c:v>0.11332468572476186</c:v>
                </c:pt>
                <c:pt idx="1844">
                  <c:v>0.11332468572476186</c:v>
                </c:pt>
                <c:pt idx="1845">
                  <c:v>0.11332468572476186</c:v>
                </c:pt>
                <c:pt idx="1846">
                  <c:v>0.11332468572476186</c:v>
                </c:pt>
                <c:pt idx="1847">
                  <c:v>0.11332468572476186</c:v>
                </c:pt>
                <c:pt idx="1848">
                  <c:v>0.11332468572476186</c:v>
                </c:pt>
                <c:pt idx="1849">
                  <c:v>0.11332468572476186</c:v>
                </c:pt>
                <c:pt idx="1850">
                  <c:v>0.11332468572476186</c:v>
                </c:pt>
                <c:pt idx="1851">
                  <c:v>0.11332468572476186</c:v>
                </c:pt>
                <c:pt idx="1852">
                  <c:v>0.11332468572476186</c:v>
                </c:pt>
                <c:pt idx="1853">
                  <c:v>0.11332468572476186</c:v>
                </c:pt>
                <c:pt idx="1854">
                  <c:v>0.11332468572476186</c:v>
                </c:pt>
                <c:pt idx="1855">
                  <c:v>0.11332468572476186</c:v>
                </c:pt>
                <c:pt idx="1856">
                  <c:v>0.11332468572476186</c:v>
                </c:pt>
                <c:pt idx="1857">
                  <c:v>0.11332468572476186</c:v>
                </c:pt>
                <c:pt idx="1858">
                  <c:v>0.11332468572476186</c:v>
                </c:pt>
                <c:pt idx="1859">
                  <c:v>0.11332468572476186</c:v>
                </c:pt>
                <c:pt idx="1860">
                  <c:v>0.11332468572476186</c:v>
                </c:pt>
                <c:pt idx="1861">
                  <c:v>0.11332468572476186</c:v>
                </c:pt>
                <c:pt idx="1862">
                  <c:v>0.11332468572476186</c:v>
                </c:pt>
                <c:pt idx="1863">
                  <c:v>0.11332468572476186</c:v>
                </c:pt>
                <c:pt idx="1864">
                  <c:v>0.11332468572476186</c:v>
                </c:pt>
                <c:pt idx="1865">
                  <c:v>0.11332468572476186</c:v>
                </c:pt>
                <c:pt idx="1866">
                  <c:v>0.11332468572476186</c:v>
                </c:pt>
                <c:pt idx="1867">
                  <c:v>0.11332468572476186</c:v>
                </c:pt>
                <c:pt idx="1868">
                  <c:v>0.11332468572476186</c:v>
                </c:pt>
                <c:pt idx="1869">
                  <c:v>0.11332468572476186</c:v>
                </c:pt>
                <c:pt idx="1870">
                  <c:v>0.11332468572476186</c:v>
                </c:pt>
                <c:pt idx="1871">
                  <c:v>0.11332468572476186</c:v>
                </c:pt>
                <c:pt idx="1872">
                  <c:v>0.11332468572476186</c:v>
                </c:pt>
                <c:pt idx="1873">
                  <c:v>0.11332468572476186</c:v>
                </c:pt>
                <c:pt idx="1874">
                  <c:v>0.11332468572476186</c:v>
                </c:pt>
                <c:pt idx="1875">
                  <c:v>0.11332468572476186</c:v>
                </c:pt>
                <c:pt idx="1876">
                  <c:v>0.11332468572476186</c:v>
                </c:pt>
                <c:pt idx="1877">
                  <c:v>0.11332468572476186</c:v>
                </c:pt>
                <c:pt idx="1878">
                  <c:v>0.11332468572476186</c:v>
                </c:pt>
                <c:pt idx="1879">
                  <c:v>0.11332468572476186</c:v>
                </c:pt>
                <c:pt idx="1880">
                  <c:v>0.11332468572476186</c:v>
                </c:pt>
                <c:pt idx="1881">
                  <c:v>0.11332468572476186</c:v>
                </c:pt>
                <c:pt idx="1882">
                  <c:v>0.11332468572476186</c:v>
                </c:pt>
                <c:pt idx="1883">
                  <c:v>0.11332468572476186</c:v>
                </c:pt>
                <c:pt idx="1884">
                  <c:v>0.11332468572476186</c:v>
                </c:pt>
                <c:pt idx="1885">
                  <c:v>0.11332468572476186</c:v>
                </c:pt>
                <c:pt idx="1886">
                  <c:v>0.11332468572476186</c:v>
                </c:pt>
                <c:pt idx="1887">
                  <c:v>0.11332468572476186</c:v>
                </c:pt>
                <c:pt idx="1888">
                  <c:v>0.11332468572476186</c:v>
                </c:pt>
                <c:pt idx="1889">
                  <c:v>0.11332468572476186</c:v>
                </c:pt>
                <c:pt idx="1890">
                  <c:v>0.11332468572476186</c:v>
                </c:pt>
                <c:pt idx="1891">
                  <c:v>0.11332468572476186</c:v>
                </c:pt>
                <c:pt idx="1892">
                  <c:v>0.11332468572476186</c:v>
                </c:pt>
                <c:pt idx="1893">
                  <c:v>0.11332468572476186</c:v>
                </c:pt>
                <c:pt idx="1894">
                  <c:v>0.11332468572476186</c:v>
                </c:pt>
                <c:pt idx="1895">
                  <c:v>0.11332468572476186</c:v>
                </c:pt>
                <c:pt idx="1896">
                  <c:v>0.11332468572476186</c:v>
                </c:pt>
                <c:pt idx="1897">
                  <c:v>0.11332468572476186</c:v>
                </c:pt>
                <c:pt idx="1898">
                  <c:v>0.11332468572476186</c:v>
                </c:pt>
                <c:pt idx="1899">
                  <c:v>0.11332468572476186</c:v>
                </c:pt>
                <c:pt idx="1900">
                  <c:v>0.11332468572476186</c:v>
                </c:pt>
                <c:pt idx="1901">
                  <c:v>0.11332468572476186</c:v>
                </c:pt>
                <c:pt idx="1902">
                  <c:v>0.11332468572476186</c:v>
                </c:pt>
                <c:pt idx="1903">
                  <c:v>0.11332468572476186</c:v>
                </c:pt>
                <c:pt idx="1904">
                  <c:v>0.11332468572476186</c:v>
                </c:pt>
                <c:pt idx="1905">
                  <c:v>0.11332468572476186</c:v>
                </c:pt>
                <c:pt idx="1906">
                  <c:v>0.11332468572476186</c:v>
                </c:pt>
                <c:pt idx="1907">
                  <c:v>0.11332468572476186</c:v>
                </c:pt>
                <c:pt idx="1908">
                  <c:v>0.11332468572476186</c:v>
                </c:pt>
                <c:pt idx="1909">
                  <c:v>0.11332468572476186</c:v>
                </c:pt>
                <c:pt idx="1910">
                  <c:v>0.11332468572476186</c:v>
                </c:pt>
                <c:pt idx="1911">
                  <c:v>0.11332468572476186</c:v>
                </c:pt>
                <c:pt idx="1912">
                  <c:v>0.11332468572476186</c:v>
                </c:pt>
                <c:pt idx="1913">
                  <c:v>0.11332468572476186</c:v>
                </c:pt>
                <c:pt idx="1914">
                  <c:v>0.11332468572476186</c:v>
                </c:pt>
                <c:pt idx="1915">
                  <c:v>0.11332468572476186</c:v>
                </c:pt>
                <c:pt idx="1916">
                  <c:v>0.11332468572476186</c:v>
                </c:pt>
                <c:pt idx="1917">
                  <c:v>0.11332468572476186</c:v>
                </c:pt>
                <c:pt idx="1918">
                  <c:v>0.11332468572476186</c:v>
                </c:pt>
                <c:pt idx="1919">
                  <c:v>0.11332468572476186</c:v>
                </c:pt>
                <c:pt idx="1920">
                  <c:v>0.11332468572476186</c:v>
                </c:pt>
                <c:pt idx="1921">
                  <c:v>0.11332468572476186</c:v>
                </c:pt>
                <c:pt idx="1922">
                  <c:v>0.11332468572476186</c:v>
                </c:pt>
                <c:pt idx="1923">
                  <c:v>0.11332468572476186</c:v>
                </c:pt>
                <c:pt idx="1924">
                  <c:v>0.11332468572476186</c:v>
                </c:pt>
                <c:pt idx="1925">
                  <c:v>0.11332468572476186</c:v>
                </c:pt>
                <c:pt idx="1926">
                  <c:v>0.11332468572476186</c:v>
                </c:pt>
                <c:pt idx="1927">
                  <c:v>0.11332468572476186</c:v>
                </c:pt>
                <c:pt idx="1928">
                  <c:v>0.11332468572476186</c:v>
                </c:pt>
                <c:pt idx="1929">
                  <c:v>0.11332468572476186</c:v>
                </c:pt>
                <c:pt idx="1930">
                  <c:v>0.11332468572476186</c:v>
                </c:pt>
                <c:pt idx="1931">
                  <c:v>0.11332468572476186</c:v>
                </c:pt>
                <c:pt idx="1932">
                  <c:v>0.11332468572476186</c:v>
                </c:pt>
                <c:pt idx="1933">
                  <c:v>0.11332468572476186</c:v>
                </c:pt>
                <c:pt idx="1934">
                  <c:v>0.11332468572476186</c:v>
                </c:pt>
                <c:pt idx="1935">
                  <c:v>0.11332468572476186</c:v>
                </c:pt>
                <c:pt idx="1936">
                  <c:v>0.11332468572476186</c:v>
                </c:pt>
                <c:pt idx="1937">
                  <c:v>0.11332468572476186</c:v>
                </c:pt>
                <c:pt idx="1938">
                  <c:v>0.11332468572476186</c:v>
                </c:pt>
                <c:pt idx="1939">
                  <c:v>0.11332468572476186</c:v>
                </c:pt>
                <c:pt idx="1940">
                  <c:v>0.11332468572476186</c:v>
                </c:pt>
                <c:pt idx="1941">
                  <c:v>0.11332468572476186</c:v>
                </c:pt>
                <c:pt idx="1942">
                  <c:v>0.11332468572476186</c:v>
                </c:pt>
                <c:pt idx="1943">
                  <c:v>0.11332468572476186</c:v>
                </c:pt>
                <c:pt idx="1944">
                  <c:v>0.11332468572476186</c:v>
                </c:pt>
                <c:pt idx="1945">
                  <c:v>0.11332468572476186</c:v>
                </c:pt>
                <c:pt idx="1946">
                  <c:v>0.11332468572476186</c:v>
                </c:pt>
                <c:pt idx="1947">
                  <c:v>0.11332468572476186</c:v>
                </c:pt>
                <c:pt idx="1948">
                  <c:v>0.11332468572476186</c:v>
                </c:pt>
                <c:pt idx="1949">
                  <c:v>0.11332468572476186</c:v>
                </c:pt>
                <c:pt idx="1950">
                  <c:v>0.11332468572476186</c:v>
                </c:pt>
                <c:pt idx="1951">
                  <c:v>0.11332468572476186</c:v>
                </c:pt>
                <c:pt idx="1952">
                  <c:v>0.11332468572476186</c:v>
                </c:pt>
                <c:pt idx="1953">
                  <c:v>0.11332468572476186</c:v>
                </c:pt>
                <c:pt idx="1954">
                  <c:v>0.11332468572476186</c:v>
                </c:pt>
                <c:pt idx="1955">
                  <c:v>0.11332468572476186</c:v>
                </c:pt>
                <c:pt idx="1956">
                  <c:v>0.11332468572476186</c:v>
                </c:pt>
                <c:pt idx="1957">
                  <c:v>0.11332468572476186</c:v>
                </c:pt>
                <c:pt idx="1958">
                  <c:v>0.11332468572476186</c:v>
                </c:pt>
                <c:pt idx="1959">
                  <c:v>0.11332468572476186</c:v>
                </c:pt>
                <c:pt idx="1960">
                  <c:v>0.11332468572476186</c:v>
                </c:pt>
                <c:pt idx="1961">
                  <c:v>0.11332468572476186</c:v>
                </c:pt>
                <c:pt idx="1962">
                  <c:v>0.11332468572476186</c:v>
                </c:pt>
                <c:pt idx="1963">
                  <c:v>0.11332468572476186</c:v>
                </c:pt>
                <c:pt idx="1964">
                  <c:v>0.11332468572476186</c:v>
                </c:pt>
                <c:pt idx="1965">
                  <c:v>0.11332468572476186</c:v>
                </c:pt>
                <c:pt idx="1966">
                  <c:v>0.11332468572476186</c:v>
                </c:pt>
                <c:pt idx="1967">
                  <c:v>0.11332468572476186</c:v>
                </c:pt>
                <c:pt idx="1968">
                  <c:v>0.11332468572476186</c:v>
                </c:pt>
                <c:pt idx="1969">
                  <c:v>0.11332468572476186</c:v>
                </c:pt>
                <c:pt idx="1970">
                  <c:v>0.11332468572476186</c:v>
                </c:pt>
                <c:pt idx="1971">
                  <c:v>0.11332468572476186</c:v>
                </c:pt>
                <c:pt idx="1972">
                  <c:v>0.11332468572476186</c:v>
                </c:pt>
                <c:pt idx="1973">
                  <c:v>0.11332468572476186</c:v>
                </c:pt>
                <c:pt idx="1974">
                  <c:v>0.11332468572476186</c:v>
                </c:pt>
                <c:pt idx="1975">
                  <c:v>0.11332468572476186</c:v>
                </c:pt>
                <c:pt idx="1976">
                  <c:v>0.11332468572476186</c:v>
                </c:pt>
                <c:pt idx="1977">
                  <c:v>0.11332468572476186</c:v>
                </c:pt>
                <c:pt idx="1978">
                  <c:v>0.11332468572476186</c:v>
                </c:pt>
                <c:pt idx="1979">
                  <c:v>0.11332468572476186</c:v>
                </c:pt>
                <c:pt idx="1980">
                  <c:v>0.11332468572476186</c:v>
                </c:pt>
                <c:pt idx="1981">
                  <c:v>0.11332468572476186</c:v>
                </c:pt>
                <c:pt idx="1982">
                  <c:v>0.11332468572476186</c:v>
                </c:pt>
                <c:pt idx="1983">
                  <c:v>0.11332468572476186</c:v>
                </c:pt>
                <c:pt idx="1984">
                  <c:v>0.11332468572476186</c:v>
                </c:pt>
                <c:pt idx="1985">
                  <c:v>0.11332468572476186</c:v>
                </c:pt>
                <c:pt idx="1986">
                  <c:v>0.11332468572476186</c:v>
                </c:pt>
                <c:pt idx="1987">
                  <c:v>0.11332468572476186</c:v>
                </c:pt>
                <c:pt idx="1988">
                  <c:v>0.11332468572476186</c:v>
                </c:pt>
                <c:pt idx="1989">
                  <c:v>0.11332468572476186</c:v>
                </c:pt>
                <c:pt idx="1990">
                  <c:v>0.11332468572476186</c:v>
                </c:pt>
                <c:pt idx="1991">
                  <c:v>0.11332468572476186</c:v>
                </c:pt>
                <c:pt idx="1992">
                  <c:v>0.11332468572476186</c:v>
                </c:pt>
                <c:pt idx="1993">
                  <c:v>0.11332468572476186</c:v>
                </c:pt>
                <c:pt idx="1994">
                  <c:v>0.11332468572476186</c:v>
                </c:pt>
                <c:pt idx="1995">
                  <c:v>0.11332468572476186</c:v>
                </c:pt>
                <c:pt idx="1996">
                  <c:v>0.11332468572476186</c:v>
                </c:pt>
                <c:pt idx="1997">
                  <c:v>0.11332468572476186</c:v>
                </c:pt>
                <c:pt idx="1998">
                  <c:v>0.11332468572476186</c:v>
                </c:pt>
                <c:pt idx="1999">
                  <c:v>0.11332468572476186</c:v>
                </c:pt>
                <c:pt idx="2000">
                  <c:v>0.11332468572476186</c:v>
                </c:pt>
                <c:pt idx="2001">
                  <c:v>0.11332468572476186</c:v>
                </c:pt>
                <c:pt idx="2002">
                  <c:v>0.11332468572476186</c:v>
                </c:pt>
                <c:pt idx="2003">
                  <c:v>0.11332468572476186</c:v>
                </c:pt>
                <c:pt idx="2004">
                  <c:v>0.11332468572476186</c:v>
                </c:pt>
                <c:pt idx="2005">
                  <c:v>0.11332468572476186</c:v>
                </c:pt>
                <c:pt idx="2006">
                  <c:v>0.11332468572476186</c:v>
                </c:pt>
                <c:pt idx="2007">
                  <c:v>0.11332468572476186</c:v>
                </c:pt>
                <c:pt idx="2008">
                  <c:v>0.11332468572476186</c:v>
                </c:pt>
                <c:pt idx="2009">
                  <c:v>0.11332468572476186</c:v>
                </c:pt>
                <c:pt idx="2010">
                  <c:v>0.11332468572476186</c:v>
                </c:pt>
                <c:pt idx="2011">
                  <c:v>0.11332468572476186</c:v>
                </c:pt>
                <c:pt idx="2012">
                  <c:v>0.11332468572476186</c:v>
                </c:pt>
                <c:pt idx="2013">
                  <c:v>0.11332468572476186</c:v>
                </c:pt>
                <c:pt idx="2014">
                  <c:v>0.11332468572476186</c:v>
                </c:pt>
                <c:pt idx="2015">
                  <c:v>0.11332468572476186</c:v>
                </c:pt>
                <c:pt idx="2016">
                  <c:v>0.11332468572476186</c:v>
                </c:pt>
                <c:pt idx="2017">
                  <c:v>0.11332468572476186</c:v>
                </c:pt>
                <c:pt idx="2018">
                  <c:v>0.11332468572476186</c:v>
                </c:pt>
                <c:pt idx="2019">
                  <c:v>0.11332468572476186</c:v>
                </c:pt>
                <c:pt idx="2020">
                  <c:v>0.11332468572476186</c:v>
                </c:pt>
                <c:pt idx="2021">
                  <c:v>0.11332468572476186</c:v>
                </c:pt>
                <c:pt idx="2022">
                  <c:v>0.11332468572476186</c:v>
                </c:pt>
                <c:pt idx="2023">
                  <c:v>0.11332468572476186</c:v>
                </c:pt>
                <c:pt idx="2024">
                  <c:v>0.11332468572476186</c:v>
                </c:pt>
                <c:pt idx="2025">
                  <c:v>0.11332468572476186</c:v>
                </c:pt>
                <c:pt idx="2026">
                  <c:v>0.11332468572476186</c:v>
                </c:pt>
                <c:pt idx="2027">
                  <c:v>0.11332468572476186</c:v>
                </c:pt>
                <c:pt idx="2028">
                  <c:v>0.11332468572476186</c:v>
                </c:pt>
                <c:pt idx="2029">
                  <c:v>0.11332468572476186</c:v>
                </c:pt>
                <c:pt idx="2030">
                  <c:v>0.11332468572476186</c:v>
                </c:pt>
                <c:pt idx="2031">
                  <c:v>0.11332468572476186</c:v>
                </c:pt>
                <c:pt idx="2032">
                  <c:v>0.11332468572476186</c:v>
                </c:pt>
                <c:pt idx="2033">
                  <c:v>0.11332468572476186</c:v>
                </c:pt>
                <c:pt idx="2034">
                  <c:v>0.11332468572476186</c:v>
                </c:pt>
                <c:pt idx="2035">
                  <c:v>0.11332468572476186</c:v>
                </c:pt>
                <c:pt idx="2036">
                  <c:v>0.11332468572476186</c:v>
                </c:pt>
                <c:pt idx="2037">
                  <c:v>0.11332468572476186</c:v>
                </c:pt>
                <c:pt idx="2038">
                  <c:v>0.11332468572476186</c:v>
                </c:pt>
                <c:pt idx="2039">
                  <c:v>0.11332468572476186</c:v>
                </c:pt>
                <c:pt idx="2040">
                  <c:v>0.11332468572476186</c:v>
                </c:pt>
                <c:pt idx="2041">
                  <c:v>0.11332468572476186</c:v>
                </c:pt>
                <c:pt idx="2042">
                  <c:v>0.11332468572476186</c:v>
                </c:pt>
                <c:pt idx="2043">
                  <c:v>0.11332468572476186</c:v>
                </c:pt>
                <c:pt idx="2044">
                  <c:v>0.11332468572476186</c:v>
                </c:pt>
                <c:pt idx="2045">
                  <c:v>0.11332468572476186</c:v>
                </c:pt>
                <c:pt idx="2046">
                  <c:v>0.11332468572476186</c:v>
                </c:pt>
                <c:pt idx="2047">
                  <c:v>0.11332468572476186</c:v>
                </c:pt>
                <c:pt idx="2048">
                  <c:v>0.11332468572476186</c:v>
                </c:pt>
                <c:pt idx="2049">
                  <c:v>0.11332468572476186</c:v>
                </c:pt>
                <c:pt idx="2050">
                  <c:v>0.11332468572476186</c:v>
                </c:pt>
                <c:pt idx="2051">
                  <c:v>0.11332468572476186</c:v>
                </c:pt>
                <c:pt idx="2052">
                  <c:v>0.11332468572476186</c:v>
                </c:pt>
                <c:pt idx="2053">
                  <c:v>0.11332468572476186</c:v>
                </c:pt>
                <c:pt idx="2054">
                  <c:v>0.11332468572476186</c:v>
                </c:pt>
                <c:pt idx="2055">
                  <c:v>0.11332468572476186</c:v>
                </c:pt>
                <c:pt idx="2056">
                  <c:v>0.11332468572476186</c:v>
                </c:pt>
                <c:pt idx="2057">
                  <c:v>0.11332468572476186</c:v>
                </c:pt>
                <c:pt idx="2058">
                  <c:v>0.11332468572476186</c:v>
                </c:pt>
                <c:pt idx="2059">
                  <c:v>0.11332468572476186</c:v>
                </c:pt>
                <c:pt idx="2060">
                  <c:v>0.11332468572476186</c:v>
                </c:pt>
                <c:pt idx="2061">
                  <c:v>0.11332468572476186</c:v>
                </c:pt>
                <c:pt idx="2062">
                  <c:v>0.11332468572476186</c:v>
                </c:pt>
                <c:pt idx="2063">
                  <c:v>0.11332468572476186</c:v>
                </c:pt>
                <c:pt idx="2064">
                  <c:v>0.11332468572476186</c:v>
                </c:pt>
                <c:pt idx="2065">
                  <c:v>0.11332468572476186</c:v>
                </c:pt>
                <c:pt idx="2066">
                  <c:v>0.11332468572476186</c:v>
                </c:pt>
                <c:pt idx="2067">
                  <c:v>0.11332468572476186</c:v>
                </c:pt>
                <c:pt idx="2068">
                  <c:v>0.11332468572476186</c:v>
                </c:pt>
                <c:pt idx="2069">
                  <c:v>0.11332468572476186</c:v>
                </c:pt>
                <c:pt idx="2070">
                  <c:v>0.11332468572476186</c:v>
                </c:pt>
                <c:pt idx="2071">
                  <c:v>0.11332468572476186</c:v>
                </c:pt>
                <c:pt idx="2072">
                  <c:v>0.11332468572476186</c:v>
                </c:pt>
                <c:pt idx="2073">
                  <c:v>0.11332468572476186</c:v>
                </c:pt>
                <c:pt idx="2074">
                  <c:v>0.11332468572476186</c:v>
                </c:pt>
                <c:pt idx="2075">
                  <c:v>0.11332468572476186</c:v>
                </c:pt>
                <c:pt idx="2076">
                  <c:v>0.11332468572476186</c:v>
                </c:pt>
                <c:pt idx="2077">
                  <c:v>0.11332468572476186</c:v>
                </c:pt>
                <c:pt idx="2078">
                  <c:v>0.11332468572476186</c:v>
                </c:pt>
                <c:pt idx="2079">
                  <c:v>0.11332468572476186</c:v>
                </c:pt>
                <c:pt idx="2080">
                  <c:v>0.11332468572476186</c:v>
                </c:pt>
                <c:pt idx="2081">
                  <c:v>0.11332468572476186</c:v>
                </c:pt>
                <c:pt idx="2082">
                  <c:v>0.11332468572476186</c:v>
                </c:pt>
                <c:pt idx="2083">
                  <c:v>0.11332468572476186</c:v>
                </c:pt>
                <c:pt idx="2084">
                  <c:v>0.11332468572476186</c:v>
                </c:pt>
                <c:pt idx="2085">
                  <c:v>0.11332468572476186</c:v>
                </c:pt>
                <c:pt idx="2086">
                  <c:v>0.11332468572476186</c:v>
                </c:pt>
                <c:pt idx="2087">
                  <c:v>0.11332468572476186</c:v>
                </c:pt>
                <c:pt idx="2088">
                  <c:v>0.11332468572476186</c:v>
                </c:pt>
                <c:pt idx="2089">
                  <c:v>0.11332468572476186</c:v>
                </c:pt>
                <c:pt idx="2090">
                  <c:v>0.11332468572476186</c:v>
                </c:pt>
                <c:pt idx="2091">
                  <c:v>0.11332468572476186</c:v>
                </c:pt>
                <c:pt idx="2092">
                  <c:v>0.11332468572476186</c:v>
                </c:pt>
                <c:pt idx="2093">
                  <c:v>0.11332468572476186</c:v>
                </c:pt>
                <c:pt idx="2094">
                  <c:v>0.11332468572476186</c:v>
                </c:pt>
                <c:pt idx="2095">
                  <c:v>0.11332468572476186</c:v>
                </c:pt>
                <c:pt idx="2096">
                  <c:v>0.11332468572476186</c:v>
                </c:pt>
                <c:pt idx="2097">
                  <c:v>0.11332468572476186</c:v>
                </c:pt>
                <c:pt idx="2098">
                  <c:v>0.11332468572476186</c:v>
                </c:pt>
                <c:pt idx="2099">
                  <c:v>0.11332468572476186</c:v>
                </c:pt>
                <c:pt idx="2100">
                  <c:v>0.11332468572476186</c:v>
                </c:pt>
                <c:pt idx="2101">
                  <c:v>0.11332468572476186</c:v>
                </c:pt>
                <c:pt idx="2102">
                  <c:v>0.11332468572476186</c:v>
                </c:pt>
                <c:pt idx="2103">
                  <c:v>0.11332468572476186</c:v>
                </c:pt>
                <c:pt idx="2104">
                  <c:v>0.11332468572476186</c:v>
                </c:pt>
                <c:pt idx="2105">
                  <c:v>0.11332468572476186</c:v>
                </c:pt>
                <c:pt idx="2106">
                  <c:v>0.11332468572476186</c:v>
                </c:pt>
                <c:pt idx="2107">
                  <c:v>0.11332468572476186</c:v>
                </c:pt>
                <c:pt idx="2108">
                  <c:v>0.11332468572476186</c:v>
                </c:pt>
                <c:pt idx="2109">
                  <c:v>0.11332468572476186</c:v>
                </c:pt>
                <c:pt idx="2110">
                  <c:v>0.11332468572476186</c:v>
                </c:pt>
                <c:pt idx="2111">
                  <c:v>0.11332468572476186</c:v>
                </c:pt>
                <c:pt idx="2112">
                  <c:v>0.11332468572476186</c:v>
                </c:pt>
                <c:pt idx="2113">
                  <c:v>0.11332468572476186</c:v>
                </c:pt>
                <c:pt idx="2114">
                  <c:v>0.11332468572476186</c:v>
                </c:pt>
                <c:pt idx="2115">
                  <c:v>0.11332468572476186</c:v>
                </c:pt>
                <c:pt idx="2116">
                  <c:v>0.11332468572476186</c:v>
                </c:pt>
                <c:pt idx="2117">
                  <c:v>0.11332468572476186</c:v>
                </c:pt>
                <c:pt idx="2118">
                  <c:v>0.11332468572476186</c:v>
                </c:pt>
                <c:pt idx="2119">
                  <c:v>0.11332468572476186</c:v>
                </c:pt>
                <c:pt idx="2120">
                  <c:v>0.11332468572476186</c:v>
                </c:pt>
                <c:pt idx="2121">
                  <c:v>0.11332468572476186</c:v>
                </c:pt>
                <c:pt idx="2122">
                  <c:v>0.11332468572476186</c:v>
                </c:pt>
                <c:pt idx="2123">
                  <c:v>0.11332468572476186</c:v>
                </c:pt>
                <c:pt idx="2124">
                  <c:v>0.11332468572476186</c:v>
                </c:pt>
                <c:pt idx="2125">
                  <c:v>0.11332468572476186</c:v>
                </c:pt>
                <c:pt idx="2126">
                  <c:v>0.11332468572476186</c:v>
                </c:pt>
                <c:pt idx="2127">
                  <c:v>0.11332468572476186</c:v>
                </c:pt>
                <c:pt idx="2128">
                  <c:v>0.11332468572476186</c:v>
                </c:pt>
                <c:pt idx="2129">
                  <c:v>0.11332468572476186</c:v>
                </c:pt>
                <c:pt idx="2130">
                  <c:v>0.11332468572476186</c:v>
                </c:pt>
                <c:pt idx="2131">
                  <c:v>0.11332468572476186</c:v>
                </c:pt>
                <c:pt idx="2132">
                  <c:v>0.11332468572476186</c:v>
                </c:pt>
                <c:pt idx="2133">
                  <c:v>0.11332468572476186</c:v>
                </c:pt>
                <c:pt idx="2134">
                  <c:v>0.11332468572476186</c:v>
                </c:pt>
                <c:pt idx="2135">
                  <c:v>0.11332468572476186</c:v>
                </c:pt>
                <c:pt idx="2136">
                  <c:v>0.11332468572476186</c:v>
                </c:pt>
                <c:pt idx="2137">
                  <c:v>0.11332468572476186</c:v>
                </c:pt>
                <c:pt idx="2138">
                  <c:v>0.11332468572476186</c:v>
                </c:pt>
                <c:pt idx="2139">
                  <c:v>0.11332468572476186</c:v>
                </c:pt>
                <c:pt idx="2140">
                  <c:v>0.11332468572476186</c:v>
                </c:pt>
                <c:pt idx="2141">
                  <c:v>0.11332468572476186</c:v>
                </c:pt>
                <c:pt idx="2142">
                  <c:v>0.11332468572476186</c:v>
                </c:pt>
                <c:pt idx="2143">
                  <c:v>0.11332468572476186</c:v>
                </c:pt>
                <c:pt idx="2144">
                  <c:v>0.11332468572476186</c:v>
                </c:pt>
                <c:pt idx="2145">
                  <c:v>0.11332468572476186</c:v>
                </c:pt>
                <c:pt idx="2146">
                  <c:v>0.11332468572476186</c:v>
                </c:pt>
                <c:pt idx="2147">
                  <c:v>0.11332468572476186</c:v>
                </c:pt>
                <c:pt idx="2148">
                  <c:v>0.11332468572476186</c:v>
                </c:pt>
                <c:pt idx="2149">
                  <c:v>0.11332468572476186</c:v>
                </c:pt>
                <c:pt idx="2150">
                  <c:v>0.11332468572476186</c:v>
                </c:pt>
                <c:pt idx="2151">
                  <c:v>0.11332468572476186</c:v>
                </c:pt>
                <c:pt idx="2152">
                  <c:v>0.11332468572476186</c:v>
                </c:pt>
                <c:pt idx="2153">
                  <c:v>0.11332468572476186</c:v>
                </c:pt>
                <c:pt idx="2154">
                  <c:v>0.11332468572476186</c:v>
                </c:pt>
                <c:pt idx="2155">
                  <c:v>0.11332468572476186</c:v>
                </c:pt>
                <c:pt idx="2156">
                  <c:v>0.11332468572476186</c:v>
                </c:pt>
                <c:pt idx="2157">
                  <c:v>0.11332468572476186</c:v>
                </c:pt>
                <c:pt idx="2158">
                  <c:v>0.11332468572476186</c:v>
                </c:pt>
                <c:pt idx="2159">
                  <c:v>0.11332468572476186</c:v>
                </c:pt>
                <c:pt idx="2160">
                  <c:v>0.11332468572476186</c:v>
                </c:pt>
                <c:pt idx="2161">
                  <c:v>0.11332468572476186</c:v>
                </c:pt>
                <c:pt idx="2162">
                  <c:v>0.11332468572476186</c:v>
                </c:pt>
                <c:pt idx="2163">
                  <c:v>0.11332468572476186</c:v>
                </c:pt>
                <c:pt idx="2164">
                  <c:v>0.11332468572476186</c:v>
                </c:pt>
                <c:pt idx="2165">
                  <c:v>0.11332468572476186</c:v>
                </c:pt>
                <c:pt idx="2166">
                  <c:v>0.11332468572476186</c:v>
                </c:pt>
                <c:pt idx="2167">
                  <c:v>0.11332468572476186</c:v>
                </c:pt>
                <c:pt idx="2168">
                  <c:v>0.11332468572476186</c:v>
                </c:pt>
                <c:pt idx="2169">
                  <c:v>0.11332468572476186</c:v>
                </c:pt>
                <c:pt idx="2170">
                  <c:v>0.11332468572476186</c:v>
                </c:pt>
                <c:pt idx="2171">
                  <c:v>0.11332468572476186</c:v>
                </c:pt>
                <c:pt idx="2172">
                  <c:v>0.11332468572476186</c:v>
                </c:pt>
                <c:pt idx="2173">
                  <c:v>0.11332468572476186</c:v>
                </c:pt>
                <c:pt idx="2174">
                  <c:v>0.11332468572476186</c:v>
                </c:pt>
                <c:pt idx="2175">
                  <c:v>0.11332468572476186</c:v>
                </c:pt>
                <c:pt idx="2176">
                  <c:v>0.11332468572476186</c:v>
                </c:pt>
                <c:pt idx="2177">
                  <c:v>0.11332468572476186</c:v>
                </c:pt>
                <c:pt idx="2178">
                  <c:v>0.11332468572476186</c:v>
                </c:pt>
                <c:pt idx="2179">
                  <c:v>0.11332468572476186</c:v>
                </c:pt>
                <c:pt idx="2180">
                  <c:v>0.11332468572476186</c:v>
                </c:pt>
                <c:pt idx="2181">
                  <c:v>0.11332468572476186</c:v>
                </c:pt>
                <c:pt idx="2182">
                  <c:v>0.11332468572476186</c:v>
                </c:pt>
                <c:pt idx="2183">
                  <c:v>0.11332468572476186</c:v>
                </c:pt>
                <c:pt idx="2184">
                  <c:v>0.11332468572476186</c:v>
                </c:pt>
                <c:pt idx="2185">
                  <c:v>0.11332468572476186</c:v>
                </c:pt>
                <c:pt idx="2186">
                  <c:v>0.11332468572476186</c:v>
                </c:pt>
                <c:pt idx="2187">
                  <c:v>0.11332468572476186</c:v>
                </c:pt>
                <c:pt idx="2188">
                  <c:v>0.11332468572476186</c:v>
                </c:pt>
                <c:pt idx="2189">
                  <c:v>0.11332468572476186</c:v>
                </c:pt>
                <c:pt idx="2190">
                  <c:v>0.11332468572476186</c:v>
                </c:pt>
                <c:pt idx="2191">
                  <c:v>0.11332468572476186</c:v>
                </c:pt>
                <c:pt idx="2192">
                  <c:v>0.11332468572476186</c:v>
                </c:pt>
                <c:pt idx="2193">
                  <c:v>0.11332468572476186</c:v>
                </c:pt>
                <c:pt idx="2194">
                  <c:v>0.11332468572476186</c:v>
                </c:pt>
                <c:pt idx="2195">
                  <c:v>0.11332468572476186</c:v>
                </c:pt>
                <c:pt idx="2196">
                  <c:v>0.11332468572476186</c:v>
                </c:pt>
                <c:pt idx="2197">
                  <c:v>0.11332468572476186</c:v>
                </c:pt>
                <c:pt idx="2198">
                  <c:v>0.11332468572476186</c:v>
                </c:pt>
                <c:pt idx="2199">
                  <c:v>0.11332468572476186</c:v>
                </c:pt>
                <c:pt idx="2200">
                  <c:v>0.11332468572476186</c:v>
                </c:pt>
                <c:pt idx="2201">
                  <c:v>0.11332468572476186</c:v>
                </c:pt>
                <c:pt idx="2202">
                  <c:v>0.11332468572476186</c:v>
                </c:pt>
                <c:pt idx="2203">
                  <c:v>0.11332468572476186</c:v>
                </c:pt>
                <c:pt idx="2204">
                  <c:v>0.11332468572476186</c:v>
                </c:pt>
                <c:pt idx="2205">
                  <c:v>0.11332468572476186</c:v>
                </c:pt>
                <c:pt idx="2206">
                  <c:v>0.11332468572476186</c:v>
                </c:pt>
                <c:pt idx="2207">
                  <c:v>0.11332468572476186</c:v>
                </c:pt>
                <c:pt idx="2208">
                  <c:v>0.11332468572476186</c:v>
                </c:pt>
                <c:pt idx="2209">
                  <c:v>0.11332468572476186</c:v>
                </c:pt>
                <c:pt idx="2210">
                  <c:v>0.11332468572476186</c:v>
                </c:pt>
                <c:pt idx="2211">
                  <c:v>0.11332468572476186</c:v>
                </c:pt>
                <c:pt idx="2212">
                  <c:v>0.11332468572476186</c:v>
                </c:pt>
                <c:pt idx="2213">
                  <c:v>0.11332468572476186</c:v>
                </c:pt>
                <c:pt idx="2214">
                  <c:v>0.11332468572476186</c:v>
                </c:pt>
                <c:pt idx="2215">
                  <c:v>0.11332468572476186</c:v>
                </c:pt>
                <c:pt idx="2216">
                  <c:v>0.11332468572476186</c:v>
                </c:pt>
                <c:pt idx="2217">
                  <c:v>0.11332468572476186</c:v>
                </c:pt>
                <c:pt idx="2218">
                  <c:v>0.11332468572476186</c:v>
                </c:pt>
                <c:pt idx="2219">
                  <c:v>0.11332468572476186</c:v>
                </c:pt>
                <c:pt idx="2220">
                  <c:v>0.11332468572476186</c:v>
                </c:pt>
                <c:pt idx="2221">
                  <c:v>0.11332468572476186</c:v>
                </c:pt>
                <c:pt idx="2222">
                  <c:v>0.11332468572476186</c:v>
                </c:pt>
                <c:pt idx="2223">
                  <c:v>0.11332468572476186</c:v>
                </c:pt>
                <c:pt idx="2224">
                  <c:v>0.11332468572476186</c:v>
                </c:pt>
                <c:pt idx="2225">
                  <c:v>0.11332468572476186</c:v>
                </c:pt>
                <c:pt idx="2226">
                  <c:v>0.11332468572476186</c:v>
                </c:pt>
                <c:pt idx="2227">
                  <c:v>0.11332468572476186</c:v>
                </c:pt>
                <c:pt idx="2228">
                  <c:v>0.11332468572476186</c:v>
                </c:pt>
                <c:pt idx="2229">
                  <c:v>0.11332468572476186</c:v>
                </c:pt>
                <c:pt idx="2230">
                  <c:v>0.11332468572476186</c:v>
                </c:pt>
                <c:pt idx="2231">
                  <c:v>0.11332468572476186</c:v>
                </c:pt>
                <c:pt idx="2232">
                  <c:v>0.11332468572476186</c:v>
                </c:pt>
                <c:pt idx="2233">
                  <c:v>0.11332468572476186</c:v>
                </c:pt>
                <c:pt idx="2234">
                  <c:v>0.11332468572476186</c:v>
                </c:pt>
                <c:pt idx="2235">
                  <c:v>0.11332468572476186</c:v>
                </c:pt>
                <c:pt idx="2236">
                  <c:v>0.11332468572476186</c:v>
                </c:pt>
                <c:pt idx="2237">
                  <c:v>0.11332468572476186</c:v>
                </c:pt>
                <c:pt idx="2238">
                  <c:v>0.11332468572476186</c:v>
                </c:pt>
                <c:pt idx="2239">
                  <c:v>0.11332468572476186</c:v>
                </c:pt>
                <c:pt idx="2240">
                  <c:v>0.11332468572476186</c:v>
                </c:pt>
                <c:pt idx="2241">
                  <c:v>0.11332468572476186</c:v>
                </c:pt>
                <c:pt idx="2242">
                  <c:v>0.11332468572476186</c:v>
                </c:pt>
                <c:pt idx="2243">
                  <c:v>0.11332468572476186</c:v>
                </c:pt>
                <c:pt idx="2244">
                  <c:v>0.11332468572476186</c:v>
                </c:pt>
                <c:pt idx="2245">
                  <c:v>0.11332468572476186</c:v>
                </c:pt>
                <c:pt idx="2246">
                  <c:v>0.11332468572476186</c:v>
                </c:pt>
                <c:pt idx="2247">
                  <c:v>0.11332468572476186</c:v>
                </c:pt>
                <c:pt idx="2248">
                  <c:v>0.11332468572476186</c:v>
                </c:pt>
                <c:pt idx="2249">
                  <c:v>0.11332468572476186</c:v>
                </c:pt>
                <c:pt idx="2250">
                  <c:v>0.11332468572476186</c:v>
                </c:pt>
                <c:pt idx="2251">
                  <c:v>0.11332468572476186</c:v>
                </c:pt>
                <c:pt idx="2252">
                  <c:v>0.11332468572476186</c:v>
                </c:pt>
                <c:pt idx="2253">
                  <c:v>0.11332468572476186</c:v>
                </c:pt>
                <c:pt idx="2254">
                  <c:v>0.11332468572476186</c:v>
                </c:pt>
                <c:pt idx="2255">
                  <c:v>0.11332468572476186</c:v>
                </c:pt>
                <c:pt idx="2256">
                  <c:v>0.11332468572476186</c:v>
                </c:pt>
                <c:pt idx="2257">
                  <c:v>0.11332468572476186</c:v>
                </c:pt>
                <c:pt idx="2258">
                  <c:v>0.11332468572476186</c:v>
                </c:pt>
                <c:pt idx="2259">
                  <c:v>0.11332468572476186</c:v>
                </c:pt>
                <c:pt idx="2260">
                  <c:v>0.11332468572476186</c:v>
                </c:pt>
                <c:pt idx="2261">
                  <c:v>0.11332468572476186</c:v>
                </c:pt>
                <c:pt idx="2262">
                  <c:v>0.11332468572476186</c:v>
                </c:pt>
                <c:pt idx="2263">
                  <c:v>0.11332468572476186</c:v>
                </c:pt>
                <c:pt idx="2264">
                  <c:v>0.11332468572476186</c:v>
                </c:pt>
                <c:pt idx="2265">
                  <c:v>0.11332468572476186</c:v>
                </c:pt>
                <c:pt idx="2266">
                  <c:v>0.11332468572476186</c:v>
                </c:pt>
                <c:pt idx="2267">
                  <c:v>0.11332468572476186</c:v>
                </c:pt>
                <c:pt idx="2268">
                  <c:v>0.11332468572476186</c:v>
                </c:pt>
                <c:pt idx="2269">
                  <c:v>0.11332468572476186</c:v>
                </c:pt>
                <c:pt idx="2270">
                  <c:v>0.11332468572476186</c:v>
                </c:pt>
                <c:pt idx="2271">
                  <c:v>0.11332468572476186</c:v>
                </c:pt>
                <c:pt idx="2272">
                  <c:v>0.11332468572476186</c:v>
                </c:pt>
                <c:pt idx="2273">
                  <c:v>0.11332468572476186</c:v>
                </c:pt>
                <c:pt idx="2274">
                  <c:v>0.11332468572476186</c:v>
                </c:pt>
                <c:pt idx="2275">
                  <c:v>0.11332468572476186</c:v>
                </c:pt>
                <c:pt idx="2276">
                  <c:v>0.11332468572476186</c:v>
                </c:pt>
                <c:pt idx="2277">
                  <c:v>0.11332468572476186</c:v>
                </c:pt>
                <c:pt idx="2278">
                  <c:v>0.11332468572476186</c:v>
                </c:pt>
                <c:pt idx="2279">
                  <c:v>0.11332468572476186</c:v>
                </c:pt>
                <c:pt idx="2280">
                  <c:v>0.11332468572476186</c:v>
                </c:pt>
                <c:pt idx="2281">
                  <c:v>0.11332468572476186</c:v>
                </c:pt>
                <c:pt idx="2282">
                  <c:v>0.11332468572476186</c:v>
                </c:pt>
                <c:pt idx="2283">
                  <c:v>0.11332468572476186</c:v>
                </c:pt>
                <c:pt idx="2284">
                  <c:v>0.11332468572476186</c:v>
                </c:pt>
                <c:pt idx="2285">
                  <c:v>0.11332468572476186</c:v>
                </c:pt>
                <c:pt idx="2286">
                  <c:v>0.11332468572476186</c:v>
                </c:pt>
                <c:pt idx="2287">
                  <c:v>0.11332468572476186</c:v>
                </c:pt>
                <c:pt idx="2288">
                  <c:v>0.11332468572476186</c:v>
                </c:pt>
                <c:pt idx="2289">
                  <c:v>0.11332468572476186</c:v>
                </c:pt>
                <c:pt idx="2290">
                  <c:v>0.11332468572476186</c:v>
                </c:pt>
                <c:pt idx="2291">
                  <c:v>0.11332468572476186</c:v>
                </c:pt>
                <c:pt idx="2292">
                  <c:v>0.11332468572476186</c:v>
                </c:pt>
                <c:pt idx="2293">
                  <c:v>0.11332468572476186</c:v>
                </c:pt>
                <c:pt idx="2294">
                  <c:v>0.11332468572476186</c:v>
                </c:pt>
                <c:pt idx="2295">
                  <c:v>0.11332468572476186</c:v>
                </c:pt>
                <c:pt idx="2296">
                  <c:v>0.11332468572476186</c:v>
                </c:pt>
                <c:pt idx="2297">
                  <c:v>0.11332468572476186</c:v>
                </c:pt>
                <c:pt idx="2298">
                  <c:v>0.11332468572476186</c:v>
                </c:pt>
                <c:pt idx="2299">
                  <c:v>0.11332468572476186</c:v>
                </c:pt>
                <c:pt idx="2300">
                  <c:v>0.11332468572476186</c:v>
                </c:pt>
                <c:pt idx="2301">
                  <c:v>0.11332468572476186</c:v>
                </c:pt>
                <c:pt idx="2302">
                  <c:v>0.11332468572476186</c:v>
                </c:pt>
                <c:pt idx="2303">
                  <c:v>0.11332468572476186</c:v>
                </c:pt>
                <c:pt idx="2304">
                  <c:v>0.11332468572476186</c:v>
                </c:pt>
                <c:pt idx="2305">
                  <c:v>0.11332468572476186</c:v>
                </c:pt>
                <c:pt idx="2306">
                  <c:v>0.11332468572476186</c:v>
                </c:pt>
                <c:pt idx="2307">
                  <c:v>0.11332468572476186</c:v>
                </c:pt>
                <c:pt idx="2308">
                  <c:v>0.11332468572476186</c:v>
                </c:pt>
                <c:pt idx="2309">
                  <c:v>0.11332468572476186</c:v>
                </c:pt>
                <c:pt idx="2310">
                  <c:v>0.11332468572476186</c:v>
                </c:pt>
                <c:pt idx="2311">
                  <c:v>0.11332468572476186</c:v>
                </c:pt>
                <c:pt idx="2312">
                  <c:v>0.11332468572476186</c:v>
                </c:pt>
                <c:pt idx="2313">
                  <c:v>0.11332468572476186</c:v>
                </c:pt>
                <c:pt idx="2314">
                  <c:v>0.11332468572476186</c:v>
                </c:pt>
                <c:pt idx="2315">
                  <c:v>0.11332468572476186</c:v>
                </c:pt>
                <c:pt idx="2316">
                  <c:v>0.11332468572476186</c:v>
                </c:pt>
                <c:pt idx="2317">
                  <c:v>0.11332468572476186</c:v>
                </c:pt>
                <c:pt idx="2318">
                  <c:v>0.11332468572476186</c:v>
                </c:pt>
                <c:pt idx="2319">
                  <c:v>0.11332468572476186</c:v>
                </c:pt>
                <c:pt idx="2320">
                  <c:v>0.11332468572476186</c:v>
                </c:pt>
                <c:pt idx="2321">
                  <c:v>0.11332468572476186</c:v>
                </c:pt>
                <c:pt idx="2322">
                  <c:v>0.11332468572476186</c:v>
                </c:pt>
                <c:pt idx="2323">
                  <c:v>0.11332468572476186</c:v>
                </c:pt>
                <c:pt idx="2324">
                  <c:v>0.11332468572476186</c:v>
                </c:pt>
                <c:pt idx="2325">
                  <c:v>0.11332468572476186</c:v>
                </c:pt>
                <c:pt idx="2326">
                  <c:v>0.11332468572476186</c:v>
                </c:pt>
                <c:pt idx="2327">
                  <c:v>0.11332468572476186</c:v>
                </c:pt>
                <c:pt idx="2328">
                  <c:v>0.11332468572476186</c:v>
                </c:pt>
                <c:pt idx="2329">
                  <c:v>0.11332468572476186</c:v>
                </c:pt>
                <c:pt idx="2330">
                  <c:v>0.11332468572476186</c:v>
                </c:pt>
                <c:pt idx="2331">
                  <c:v>0.11332468572476186</c:v>
                </c:pt>
                <c:pt idx="2332">
                  <c:v>0.11332468572476186</c:v>
                </c:pt>
                <c:pt idx="2333">
                  <c:v>0.11332468572476186</c:v>
                </c:pt>
                <c:pt idx="2334">
                  <c:v>0.11332468572476186</c:v>
                </c:pt>
                <c:pt idx="2335">
                  <c:v>0.11332468572476186</c:v>
                </c:pt>
                <c:pt idx="2336">
                  <c:v>0.11332468572476186</c:v>
                </c:pt>
                <c:pt idx="2337">
                  <c:v>0.11332468572476186</c:v>
                </c:pt>
                <c:pt idx="2338">
                  <c:v>0.11332468572476186</c:v>
                </c:pt>
                <c:pt idx="2339">
                  <c:v>0.11332468572476186</c:v>
                </c:pt>
                <c:pt idx="2340">
                  <c:v>0.11332468572476186</c:v>
                </c:pt>
                <c:pt idx="2341">
                  <c:v>0.11332468572476186</c:v>
                </c:pt>
                <c:pt idx="2342">
                  <c:v>0.11332468572476186</c:v>
                </c:pt>
                <c:pt idx="2343">
                  <c:v>0.11332468572476186</c:v>
                </c:pt>
                <c:pt idx="2344">
                  <c:v>0.11332468572476186</c:v>
                </c:pt>
                <c:pt idx="2345">
                  <c:v>0.11332468572476186</c:v>
                </c:pt>
                <c:pt idx="2346">
                  <c:v>0.11332468572476186</c:v>
                </c:pt>
                <c:pt idx="2347">
                  <c:v>0.11332468572476186</c:v>
                </c:pt>
                <c:pt idx="2348">
                  <c:v>0.11332468572476186</c:v>
                </c:pt>
                <c:pt idx="2349">
                  <c:v>0.11332468572476186</c:v>
                </c:pt>
                <c:pt idx="2350">
                  <c:v>0.11332468572476186</c:v>
                </c:pt>
                <c:pt idx="2351">
                  <c:v>0.11332468572476186</c:v>
                </c:pt>
                <c:pt idx="2352">
                  <c:v>0.11332468572476186</c:v>
                </c:pt>
                <c:pt idx="2353">
                  <c:v>0.11332468572476186</c:v>
                </c:pt>
                <c:pt idx="2354">
                  <c:v>0.11332468572476186</c:v>
                </c:pt>
                <c:pt idx="2355">
                  <c:v>0.11332468572476186</c:v>
                </c:pt>
                <c:pt idx="2356">
                  <c:v>0.11332468572476186</c:v>
                </c:pt>
                <c:pt idx="2357">
                  <c:v>0.11332468572476186</c:v>
                </c:pt>
                <c:pt idx="2358">
                  <c:v>0.11332468572476186</c:v>
                </c:pt>
                <c:pt idx="2359">
                  <c:v>0.11332468572476186</c:v>
                </c:pt>
                <c:pt idx="2360">
                  <c:v>0.11332468572476186</c:v>
                </c:pt>
                <c:pt idx="2361">
                  <c:v>0.11332468572476186</c:v>
                </c:pt>
                <c:pt idx="2362">
                  <c:v>0.11332468572476186</c:v>
                </c:pt>
                <c:pt idx="2363">
                  <c:v>0.11332468572476186</c:v>
                </c:pt>
                <c:pt idx="2364">
                  <c:v>0.11332468572476186</c:v>
                </c:pt>
                <c:pt idx="2365">
                  <c:v>0.11332468572476186</c:v>
                </c:pt>
                <c:pt idx="2366">
                  <c:v>0.11332468572476186</c:v>
                </c:pt>
                <c:pt idx="2367">
                  <c:v>0.11332468572476186</c:v>
                </c:pt>
                <c:pt idx="2368">
                  <c:v>0.11332468572476186</c:v>
                </c:pt>
                <c:pt idx="2369">
                  <c:v>0.11332468572476186</c:v>
                </c:pt>
                <c:pt idx="2370">
                  <c:v>0.11332468572476186</c:v>
                </c:pt>
                <c:pt idx="2371">
                  <c:v>0.11332468572476186</c:v>
                </c:pt>
                <c:pt idx="2372">
                  <c:v>0.11332468572476186</c:v>
                </c:pt>
                <c:pt idx="2373">
                  <c:v>0.11332468572476186</c:v>
                </c:pt>
                <c:pt idx="2374">
                  <c:v>0.11332468572476186</c:v>
                </c:pt>
                <c:pt idx="2375">
                  <c:v>0.11332468572476186</c:v>
                </c:pt>
                <c:pt idx="2376">
                  <c:v>0.11332468572476186</c:v>
                </c:pt>
                <c:pt idx="2377">
                  <c:v>0.11332468572476186</c:v>
                </c:pt>
                <c:pt idx="2378">
                  <c:v>0.11332468572476186</c:v>
                </c:pt>
                <c:pt idx="2379">
                  <c:v>0.11332468572476186</c:v>
                </c:pt>
                <c:pt idx="2380">
                  <c:v>0.11332468572476186</c:v>
                </c:pt>
                <c:pt idx="2381">
                  <c:v>0.11332468572476186</c:v>
                </c:pt>
                <c:pt idx="2382">
                  <c:v>0.11332468572476186</c:v>
                </c:pt>
                <c:pt idx="2383">
                  <c:v>0.11332468572476186</c:v>
                </c:pt>
                <c:pt idx="2384">
                  <c:v>0.11332468572476186</c:v>
                </c:pt>
                <c:pt idx="2385">
                  <c:v>0.11332468572476186</c:v>
                </c:pt>
                <c:pt idx="2386">
                  <c:v>0.11332468572476186</c:v>
                </c:pt>
                <c:pt idx="2387">
                  <c:v>0.11332468572476186</c:v>
                </c:pt>
                <c:pt idx="2388">
                  <c:v>0.11332468572476186</c:v>
                </c:pt>
                <c:pt idx="2389">
                  <c:v>0.11332468572476186</c:v>
                </c:pt>
                <c:pt idx="2390">
                  <c:v>0.11332468572476186</c:v>
                </c:pt>
                <c:pt idx="2391">
                  <c:v>0.11332468572476186</c:v>
                </c:pt>
                <c:pt idx="2392">
                  <c:v>0.11332468572476186</c:v>
                </c:pt>
                <c:pt idx="2393">
                  <c:v>0.11332468572476186</c:v>
                </c:pt>
                <c:pt idx="2394">
                  <c:v>0.11332468572476186</c:v>
                </c:pt>
                <c:pt idx="2395">
                  <c:v>0.11332468572476186</c:v>
                </c:pt>
                <c:pt idx="2396">
                  <c:v>0.11332468572476186</c:v>
                </c:pt>
                <c:pt idx="2397">
                  <c:v>0.11332468572476186</c:v>
                </c:pt>
                <c:pt idx="2398">
                  <c:v>0.11332468572476186</c:v>
                </c:pt>
                <c:pt idx="2399">
                  <c:v>0.11332468572476186</c:v>
                </c:pt>
                <c:pt idx="2400">
                  <c:v>0.11332468572476186</c:v>
                </c:pt>
                <c:pt idx="2401">
                  <c:v>0.11332468572476186</c:v>
                </c:pt>
                <c:pt idx="2402">
                  <c:v>0.11332468572476186</c:v>
                </c:pt>
                <c:pt idx="2403">
                  <c:v>0.11332468572476186</c:v>
                </c:pt>
                <c:pt idx="2404">
                  <c:v>0.11332468572476186</c:v>
                </c:pt>
                <c:pt idx="2405">
                  <c:v>0.11332468572476186</c:v>
                </c:pt>
                <c:pt idx="2406">
                  <c:v>0.11332468572476186</c:v>
                </c:pt>
                <c:pt idx="2407">
                  <c:v>0.11332468572476186</c:v>
                </c:pt>
                <c:pt idx="2408">
                  <c:v>0.11332468572476186</c:v>
                </c:pt>
                <c:pt idx="2409">
                  <c:v>0.11332468572476186</c:v>
                </c:pt>
                <c:pt idx="2410">
                  <c:v>0.11332468572476186</c:v>
                </c:pt>
                <c:pt idx="2411">
                  <c:v>0.11332468572476186</c:v>
                </c:pt>
                <c:pt idx="2412">
                  <c:v>0.11332468572476186</c:v>
                </c:pt>
                <c:pt idx="2413">
                  <c:v>0.11332468572476186</c:v>
                </c:pt>
                <c:pt idx="2414">
                  <c:v>0.11332468572476186</c:v>
                </c:pt>
                <c:pt idx="2415">
                  <c:v>0.11332468572476186</c:v>
                </c:pt>
                <c:pt idx="2416">
                  <c:v>0.11332468572476186</c:v>
                </c:pt>
                <c:pt idx="2417">
                  <c:v>0.11332468572476186</c:v>
                </c:pt>
                <c:pt idx="2418">
                  <c:v>0.11332468572476186</c:v>
                </c:pt>
                <c:pt idx="2419">
                  <c:v>0.11332468572476186</c:v>
                </c:pt>
                <c:pt idx="2420">
                  <c:v>0.11332468572476186</c:v>
                </c:pt>
                <c:pt idx="2421">
                  <c:v>0.11332468572476186</c:v>
                </c:pt>
                <c:pt idx="2422">
                  <c:v>0.11332468572476186</c:v>
                </c:pt>
                <c:pt idx="2423">
                  <c:v>0.11332468572476186</c:v>
                </c:pt>
                <c:pt idx="2424">
                  <c:v>0.11332468572476186</c:v>
                </c:pt>
                <c:pt idx="2425">
                  <c:v>0.11332468572476186</c:v>
                </c:pt>
                <c:pt idx="2426">
                  <c:v>0.11332468572476186</c:v>
                </c:pt>
                <c:pt idx="2427">
                  <c:v>0.11332468572476186</c:v>
                </c:pt>
                <c:pt idx="2428">
                  <c:v>0.11332468572476186</c:v>
                </c:pt>
                <c:pt idx="2429">
                  <c:v>0.11332468572476186</c:v>
                </c:pt>
                <c:pt idx="2430">
                  <c:v>0.11332468572476186</c:v>
                </c:pt>
                <c:pt idx="2431">
                  <c:v>0.11332468572476186</c:v>
                </c:pt>
                <c:pt idx="2432">
                  <c:v>0.11332468572476186</c:v>
                </c:pt>
                <c:pt idx="2433">
                  <c:v>0.11332468572476186</c:v>
                </c:pt>
                <c:pt idx="2434">
                  <c:v>0.11332468572476186</c:v>
                </c:pt>
                <c:pt idx="2435">
                  <c:v>0.11332468572476186</c:v>
                </c:pt>
                <c:pt idx="2436">
                  <c:v>0.11332468572476186</c:v>
                </c:pt>
                <c:pt idx="2437">
                  <c:v>0.11332468572476186</c:v>
                </c:pt>
                <c:pt idx="2438">
                  <c:v>0.11332468572476186</c:v>
                </c:pt>
                <c:pt idx="2439">
                  <c:v>0.11332468572476186</c:v>
                </c:pt>
                <c:pt idx="2440">
                  <c:v>0.11332468572476186</c:v>
                </c:pt>
                <c:pt idx="2441">
                  <c:v>0.11332468572476186</c:v>
                </c:pt>
                <c:pt idx="2442">
                  <c:v>0.11332468572476186</c:v>
                </c:pt>
                <c:pt idx="2443">
                  <c:v>0.11332468572476186</c:v>
                </c:pt>
                <c:pt idx="2444">
                  <c:v>0.11332468572476186</c:v>
                </c:pt>
                <c:pt idx="2445">
                  <c:v>0.11332468572476186</c:v>
                </c:pt>
                <c:pt idx="2446">
                  <c:v>0.11332468572476186</c:v>
                </c:pt>
                <c:pt idx="2447">
                  <c:v>0.11332468572476186</c:v>
                </c:pt>
                <c:pt idx="2448">
                  <c:v>0.11332468572476186</c:v>
                </c:pt>
                <c:pt idx="2449">
                  <c:v>0.11332468572476186</c:v>
                </c:pt>
                <c:pt idx="2450">
                  <c:v>0.11332468572476186</c:v>
                </c:pt>
                <c:pt idx="2451">
                  <c:v>0.11332468572476186</c:v>
                </c:pt>
                <c:pt idx="2452">
                  <c:v>0.11332468572476186</c:v>
                </c:pt>
                <c:pt idx="2453">
                  <c:v>0.11332468572476186</c:v>
                </c:pt>
                <c:pt idx="2454">
                  <c:v>0.11332468572476186</c:v>
                </c:pt>
                <c:pt idx="2455">
                  <c:v>0.11332468572476186</c:v>
                </c:pt>
                <c:pt idx="2456">
                  <c:v>0.11332468572476186</c:v>
                </c:pt>
                <c:pt idx="2457">
                  <c:v>0.11332468572476186</c:v>
                </c:pt>
                <c:pt idx="2458">
                  <c:v>0.11332468572476186</c:v>
                </c:pt>
                <c:pt idx="2459">
                  <c:v>0.11332468572476186</c:v>
                </c:pt>
                <c:pt idx="2460">
                  <c:v>0.11332468572476186</c:v>
                </c:pt>
                <c:pt idx="2461">
                  <c:v>0.11332468572476186</c:v>
                </c:pt>
                <c:pt idx="2462">
                  <c:v>0.11332468572476186</c:v>
                </c:pt>
                <c:pt idx="2463">
                  <c:v>0.11332468572476186</c:v>
                </c:pt>
                <c:pt idx="2464">
                  <c:v>0.11332468572476186</c:v>
                </c:pt>
                <c:pt idx="2465">
                  <c:v>0.11332468572476186</c:v>
                </c:pt>
                <c:pt idx="2466">
                  <c:v>0.11332468572476186</c:v>
                </c:pt>
                <c:pt idx="2467">
                  <c:v>0.11332468572476186</c:v>
                </c:pt>
                <c:pt idx="2468">
                  <c:v>0.11332468572476186</c:v>
                </c:pt>
                <c:pt idx="2469">
                  <c:v>0.11332468572476186</c:v>
                </c:pt>
                <c:pt idx="2470">
                  <c:v>0.11332468572476186</c:v>
                </c:pt>
                <c:pt idx="2471">
                  <c:v>0.11332468572476186</c:v>
                </c:pt>
                <c:pt idx="2472">
                  <c:v>0.11332468572476186</c:v>
                </c:pt>
                <c:pt idx="2473">
                  <c:v>0.11332468572476186</c:v>
                </c:pt>
                <c:pt idx="2474">
                  <c:v>0.11332468572476186</c:v>
                </c:pt>
                <c:pt idx="2475">
                  <c:v>0.11332468572476186</c:v>
                </c:pt>
                <c:pt idx="2476">
                  <c:v>0.11332468572476186</c:v>
                </c:pt>
                <c:pt idx="2477">
                  <c:v>0.11332468572476186</c:v>
                </c:pt>
                <c:pt idx="2478">
                  <c:v>0.11332468572476186</c:v>
                </c:pt>
                <c:pt idx="2479">
                  <c:v>0.11332468572476186</c:v>
                </c:pt>
                <c:pt idx="2480">
                  <c:v>0.11332468572476186</c:v>
                </c:pt>
                <c:pt idx="2481">
                  <c:v>0.11332468572476186</c:v>
                </c:pt>
                <c:pt idx="2482">
                  <c:v>0.11332468572476186</c:v>
                </c:pt>
                <c:pt idx="2483">
                  <c:v>0.11332468572476186</c:v>
                </c:pt>
                <c:pt idx="2484">
                  <c:v>0.11332468572476186</c:v>
                </c:pt>
                <c:pt idx="2485">
                  <c:v>0.11332468572476186</c:v>
                </c:pt>
                <c:pt idx="2486">
                  <c:v>0.11332468572476186</c:v>
                </c:pt>
                <c:pt idx="2487">
                  <c:v>0.11332468572476186</c:v>
                </c:pt>
                <c:pt idx="2488">
                  <c:v>0.11332468572476186</c:v>
                </c:pt>
                <c:pt idx="2489">
                  <c:v>0.11332468572476186</c:v>
                </c:pt>
                <c:pt idx="2490">
                  <c:v>0.11332468572476186</c:v>
                </c:pt>
                <c:pt idx="2491">
                  <c:v>0.11332468572476186</c:v>
                </c:pt>
                <c:pt idx="2492">
                  <c:v>0.11332468572476186</c:v>
                </c:pt>
                <c:pt idx="2493">
                  <c:v>0.11332468572476186</c:v>
                </c:pt>
                <c:pt idx="2494">
                  <c:v>0.11332468572476186</c:v>
                </c:pt>
                <c:pt idx="2495">
                  <c:v>0.11332468572476186</c:v>
                </c:pt>
                <c:pt idx="2496">
                  <c:v>0.11332468572476186</c:v>
                </c:pt>
                <c:pt idx="2497">
                  <c:v>0.11332468572476186</c:v>
                </c:pt>
                <c:pt idx="2498">
                  <c:v>0.11332468572476186</c:v>
                </c:pt>
                <c:pt idx="2499">
                  <c:v>0.11332468572476186</c:v>
                </c:pt>
                <c:pt idx="2500">
                  <c:v>0.11332468572476186</c:v>
                </c:pt>
                <c:pt idx="2501">
                  <c:v>0.11332468572476186</c:v>
                </c:pt>
                <c:pt idx="2502">
                  <c:v>0.11332468572476186</c:v>
                </c:pt>
                <c:pt idx="2503">
                  <c:v>0.11332468572476186</c:v>
                </c:pt>
                <c:pt idx="2504">
                  <c:v>0.11332468572476186</c:v>
                </c:pt>
                <c:pt idx="2505">
                  <c:v>0.11332468572476186</c:v>
                </c:pt>
                <c:pt idx="2506">
                  <c:v>0.11332468572476186</c:v>
                </c:pt>
                <c:pt idx="2507">
                  <c:v>0.11332468572476186</c:v>
                </c:pt>
                <c:pt idx="2508">
                  <c:v>0.11332468572476186</c:v>
                </c:pt>
                <c:pt idx="2509">
                  <c:v>0.11332468572476186</c:v>
                </c:pt>
                <c:pt idx="2510">
                  <c:v>0.11332468572476186</c:v>
                </c:pt>
                <c:pt idx="2511">
                  <c:v>0.11332468572476186</c:v>
                </c:pt>
                <c:pt idx="2512">
                  <c:v>0.11332468572476186</c:v>
                </c:pt>
                <c:pt idx="2513">
                  <c:v>0.11332468572476186</c:v>
                </c:pt>
                <c:pt idx="2514">
                  <c:v>0.11332468572476186</c:v>
                </c:pt>
                <c:pt idx="2515">
                  <c:v>0.11332468572476186</c:v>
                </c:pt>
                <c:pt idx="2516">
                  <c:v>0.11332468572476186</c:v>
                </c:pt>
                <c:pt idx="2517">
                  <c:v>0.11332468572476186</c:v>
                </c:pt>
                <c:pt idx="2518">
                  <c:v>0.11332468572476186</c:v>
                </c:pt>
                <c:pt idx="2519">
                  <c:v>0.11332468572476186</c:v>
                </c:pt>
                <c:pt idx="2520">
                  <c:v>0.11332468572476186</c:v>
                </c:pt>
                <c:pt idx="2521">
                  <c:v>0.11332468572476186</c:v>
                </c:pt>
                <c:pt idx="2522">
                  <c:v>0.11332468572476186</c:v>
                </c:pt>
                <c:pt idx="2523">
                  <c:v>0.11332468572476186</c:v>
                </c:pt>
                <c:pt idx="2524">
                  <c:v>0.11332468572476186</c:v>
                </c:pt>
                <c:pt idx="2525">
                  <c:v>0.11332468572476186</c:v>
                </c:pt>
                <c:pt idx="2526">
                  <c:v>0.11332468572476186</c:v>
                </c:pt>
                <c:pt idx="2527">
                  <c:v>0.11332468572476186</c:v>
                </c:pt>
                <c:pt idx="2528">
                  <c:v>0.11332468572476186</c:v>
                </c:pt>
                <c:pt idx="2529">
                  <c:v>0.11332468572476186</c:v>
                </c:pt>
                <c:pt idx="2530">
                  <c:v>0.11332468572476186</c:v>
                </c:pt>
                <c:pt idx="2531">
                  <c:v>0.11332468572476186</c:v>
                </c:pt>
                <c:pt idx="2532">
                  <c:v>0.11332468572476186</c:v>
                </c:pt>
                <c:pt idx="2533">
                  <c:v>0.11332468572476186</c:v>
                </c:pt>
                <c:pt idx="2534">
                  <c:v>0.11332468572476186</c:v>
                </c:pt>
                <c:pt idx="2535">
                  <c:v>0.11332468572476186</c:v>
                </c:pt>
                <c:pt idx="2536">
                  <c:v>0.11332468572476186</c:v>
                </c:pt>
                <c:pt idx="2537">
                  <c:v>0.11332468572476186</c:v>
                </c:pt>
                <c:pt idx="2538">
                  <c:v>0.11332468572476186</c:v>
                </c:pt>
                <c:pt idx="2539">
                  <c:v>0.11332468572476186</c:v>
                </c:pt>
                <c:pt idx="2540">
                  <c:v>0.11332468572476186</c:v>
                </c:pt>
                <c:pt idx="2541">
                  <c:v>0.11332468572476186</c:v>
                </c:pt>
                <c:pt idx="2542">
                  <c:v>0.11332468572476186</c:v>
                </c:pt>
                <c:pt idx="2543">
                  <c:v>0.11332468572476186</c:v>
                </c:pt>
                <c:pt idx="2544">
                  <c:v>0.11332468572476186</c:v>
                </c:pt>
                <c:pt idx="2545">
                  <c:v>0.11332468572476186</c:v>
                </c:pt>
                <c:pt idx="2546">
                  <c:v>0.11332468572476186</c:v>
                </c:pt>
                <c:pt idx="2547">
                  <c:v>0.11332468572476186</c:v>
                </c:pt>
                <c:pt idx="2548">
                  <c:v>0.11332468572476186</c:v>
                </c:pt>
                <c:pt idx="2549">
                  <c:v>0.11332468572476186</c:v>
                </c:pt>
                <c:pt idx="2550">
                  <c:v>0.11332468572476186</c:v>
                </c:pt>
                <c:pt idx="2551">
                  <c:v>0.11332468572476186</c:v>
                </c:pt>
                <c:pt idx="2552">
                  <c:v>0.11332468572476186</c:v>
                </c:pt>
                <c:pt idx="2553">
                  <c:v>0.11332468572476186</c:v>
                </c:pt>
                <c:pt idx="2554">
                  <c:v>0.11332468572476186</c:v>
                </c:pt>
                <c:pt idx="2555">
                  <c:v>0.11332468572476186</c:v>
                </c:pt>
                <c:pt idx="2556">
                  <c:v>0.11332468572476186</c:v>
                </c:pt>
                <c:pt idx="2557">
                  <c:v>0.11332468572476186</c:v>
                </c:pt>
                <c:pt idx="2558">
                  <c:v>0.11332468572476186</c:v>
                </c:pt>
                <c:pt idx="2559">
                  <c:v>0.11332468572476186</c:v>
                </c:pt>
                <c:pt idx="2560">
                  <c:v>0.11332468572476186</c:v>
                </c:pt>
                <c:pt idx="2561">
                  <c:v>0.11332468572476186</c:v>
                </c:pt>
                <c:pt idx="2562">
                  <c:v>0.11332468572476186</c:v>
                </c:pt>
                <c:pt idx="2563">
                  <c:v>0.11332468572476186</c:v>
                </c:pt>
                <c:pt idx="2564">
                  <c:v>0.11332468572476186</c:v>
                </c:pt>
                <c:pt idx="2565">
                  <c:v>0.11332468572476186</c:v>
                </c:pt>
                <c:pt idx="2566">
                  <c:v>0.11332468572476186</c:v>
                </c:pt>
                <c:pt idx="2567">
                  <c:v>0.11332468572476186</c:v>
                </c:pt>
                <c:pt idx="2568">
                  <c:v>0.11332468572476186</c:v>
                </c:pt>
                <c:pt idx="2569">
                  <c:v>0.11332468572476186</c:v>
                </c:pt>
                <c:pt idx="2570">
                  <c:v>0.11332468572476186</c:v>
                </c:pt>
                <c:pt idx="2571">
                  <c:v>0.11332468572476186</c:v>
                </c:pt>
                <c:pt idx="2572">
                  <c:v>0.11332468572476186</c:v>
                </c:pt>
                <c:pt idx="2573">
                  <c:v>0.11332468572476186</c:v>
                </c:pt>
                <c:pt idx="2574">
                  <c:v>0.11332468572476186</c:v>
                </c:pt>
                <c:pt idx="2575">
                  <c:v>0.11332468572476186</c:v>
                </c:pt>
                <c:pt idx="2576">
                  <c:v>0.11332468572476186</c:v>
                </c:pt>
                <c:pt idx="2577">
                  <c:v>0.11332468572476186</c:v>
                </c:pt>
                <c:pt idx="2578">
                  <c:v>0.11332468572476186</c:v>
                </c:pt>
                <c:pt idx="2579">
                  <c:v>0.11332468572476186</c:v>
                </c:pt>
                <c:pt idx="2580">
                  <c:v>0.11332468572476186</c:v>
                </c:pt>
                <c:pt idx="2581">
                  <c:v>0.11332468572476186</c:v>
                </c:pt>
                <c:pt idx="2582">
                  <c:v>0.11332468572476186</c:v>
                </c:pt>
                <c:pt idx="2583">
                  <c:v>0.11332468572476186</c:v>
                </c:pt>
                <c:pt idx="2584">
                  <c:v>0.11332468572476186</c:v>
                </c:pt>
                <c:pt idx="2585">
                  <c:v>0.11332468572476186</c:v>
                </c:pt>
                <c:pt idx="2586">
                  <c:v>0.11332468572476186</c:v>
                </c:pt>
                <c:pt idx="2587">
                  <c:v>0.11332468572476186</c:v>
                </c:pt>
                <c:pt idx="2588">
                  <c:v>0.11332468572476186</c:v>
                </c:pt>
                <c:pt idx="2589">
                  <c:v>0.11332468572476186</c:v>
                </c:pt>
                <c:pt idx="2590">
                  <c:v>0.11332468572476186</c:v>
                </c:pt>
                <c:pt idx="2591">
                  <c:v>0.11332468572476186</c:v>
                </c:pt>
                <c:pt idx="2592">
                  <c:v>0.11332468572476186</c:v>
                </c:pt>
                <c:pt idx="2593">
                  <c:v>0.11332468572476186</c:v>
                </c:pt>
                <c:pt idx="2594">
                  <c:v>0.11332468572476186</c:v>
                </c:pt>
                <c:pt idx="2595">
                  <c:v>0.11332468572476186</c:v>
                </c:pt>
                <c:pt idx="2596">
                  <c:v>0.11332468572476186</c:v>
                </c:pt>
                <c:pt idx="2597">
                  <c:v>0.11332468572476186</c:v>
                </c:pt>
                <c:pt idx="2598">
                  <c:v>0.11332468572476186</c:v>
                </c:pt>
                <c:pt idx="2599">
                  <c:v>0.11332468572476186</c:v>
                </c:pt>
                <c:pt idx="2600">
                  <c:v>0.11332468572476186</c:v>
                </c:pt>
                <c:pt idx="2601">
                  <c:v>0.11332468572476186</c:v>
                </c:pt>
                <c:pt idx="2602">
                  <c:v>0.11332468572476186</c:v>
                </c:pt>
                <c:pt idx="2603">
                  <c:v>0.11332468572476186</c:v>
                </c:pt>
                <c:pt idx="2604">
                  <c:v>0.11332468572476186</c:v>
                </c:pt>
                <c:pt idx="2605">
                  <c:v>0.11332468572476186</c:v>
                </c:pt>
                <c:pt idx="2606">
                  <c:v>0.11332468572476186</c:v>
                </c:pt>
                <c:pt idx="2607">
                  <c:v>0.11332468572476186</c:v>
                </c:pt>
                <c:pt idx="2608">
                  <c:v>0.11332468572476186</c:v>
                </c:pt>
                <c:pt idx="2609">
                  <c:v>0.11332468572476186</c:v>
                </c:pt>
                <c:pt idx="2610">
                  <c:v>0.11332468572476186</c:v>
                </c:pt>
                <c:pt idx="2611">
                  <c:v>0.11332468572476186</c:v>
                </c:pt>
                <c:pt idx="2612">
                  <c:v>0.11332468572476186</c:v>
                </c:pt>
                <c:pt idx="2613">
                  <c:v>0.11332468572476186</c:v>
                </c:pt>
                <c:pt idx="2614">
                  <c:v>0.11332468572476186</c:v>
                </c:pt>
                <c:pt idx="2615">
                  <c:v>0.11332468572476186</c:v>
                </c:pt>
                <c:pt idx="2616">
                  <c:v>0.11332468572476186</c:v>
                </c:pt>
                <c:pt idx="2617">
                  <c:v>0.11332468572476186</c:v>
                </c:pt>
                <c:pt idx="2618">
                  <c:v>0.11332468572476186</c:v>
                </c:pt>
                <c:pt idx="2619">
                  <c:v>0.11332468572476186</c:v>
                </c:pt>
                <c:pt idx="2620">
                  <c:v>0.11332468572476186</c:v>
                </c:pt>
                <c:pt idx="2621">
                  <c:v>0.11332468572476186</c:v>
                </c:pt>
                <c:pt idx="2622">
                  <c:v>0.11332468572476186</c:v>
                </c:pt>
                <c:pt idx="2623">
                  <c:v>0.11332468572476186</c:v>
                </c:pt>
                <c:pt idx="2624">
                  <c:v>0.11332468572476186</c:v>
                </c:pt>
                <c:pt idx="2625">
                  <c:v>0.11332468572476186</c:v>
                </c:pt>
                <c:pt idx="2626">
                  <c:v>0.11332468572476186</c:v>
                </c:pt>
                <c:pt idx="2627">
                  <c:v>0.11332468572476186</c:v>
                </c:pt>
                <c:pt idx="2628">
                  <c:v>0.11332468572476186</c:v>
                </c:pt>
                <c:pt idx="2629">
                  <c:v>0.11332468572476186</c:v>
                </c:pt>
                <c:pt idx="2630">
                  <c:v>0.11332468572476186</c:v>
                </c:pt>
                <c:pt idx="2631">
                  <c:v>0.11332468572476186</c:v>
                </c:pt>
                <c:pt idx="2632">
                  <c:v>0.11332468572476186</c:v>
                </c:pt>
                <c:pt idx="2633">
                  <c:v>0.11332468572476186</c:v>
                </c:pt>
                <c:pt idx="2634">
                  <c:v>0.11332468572476186</c:v>
                </c:pt>
                <c:pt idx="2635">
                  <c:v>0.11332468572476186</c:v>
                </c:pt>
                <c:pt idx="2636">
                  <c:v>0.11332468572476186</c:v>
                </c:pt>
                <c:pt idx="2637">
                  <c:v>0.11332468572476186</c:v>
                </c:pt>
                <c:pt idx="2638">
                  <c:v>0.11332468572476186</c:v>
                </c:pt>
                <c:pt idx="2639">
                  <c:v>0.11332468572476186</c:v>
                </c:pt>
                <c:pt idx="2640">
                  <c:v>0.11332468572476186</c:v>
                </c:pt>
                <c:pt idx="2641">
                  <c:v>0.11332468572476186</c:v>
                </c:pt>
                <c:pt idx="2642">
                  <c:v>0.11332468572476186</c:v>
                </c:pt>
                <c:pt idx="2643">
                  <c:v>0.11332468572476186</c:v>
                </c:pt>
                <c:pt idx="2644">
                  <c:v>0.11332468572476186</c:v>
                </c:pt>
                <c:pt idx="2645">
                  <c:v>0.11332468572476186</c:v>
                </c:pt>
                <c:pt idx="2646">
                  <c:v>0.11332468572476186</c:v>
                </c:pt>
                <c:pt idx="2647">
                  <c:v>0.11332468572476186</c:v>
                </c:pt>
                <c:pt idx="2648">
                  <c:v>0.11332468572476186</c:v>
                </c:pt>
                <c:pt idx="2649">
                  <c:v>0.11332468572476186</c:v>
                </c:pt>
                <c:pt idx="2650">
                  <c:v>0.11332468572476186</c:v>
                </c:pt>
                <c:pt idx="2651">
                  <c:v>0.11332468572476186</c:v>
                </c:pt>
                <c:pt idx="2652">
                  <c:v>0.11332468572476186</c:v>
                </c:pt>
                <c:pt idx="2653">
                  <c:v>0.11332468572476186</c:v>
                </c:pt>
                <c:pt idx="2654">
                  <c:v>0.11332468572476186</c:v>
                </c:pt>
                <c:pt idx="2655">
                  <c:v>0.11332468572476186</c:v>
                </c:pt>
                <c:pt idx="2656">
                  <c:v>0.11332468572476186</c:v>
                </c:pt>
                <c:pt idx="2657">
                  <c:v>0.11332468572476186</c:v>
                </c:pt>
                <c:pt idx="2658">
                  <c:v>0.11332468572476186</c:v>
                </c:pt>
                <c:pt idx="2659">
                  <c:v>0.11332468572476186</c:v>
                </c:pt>
                <c:pt idx="2660">
                  <c:v>0.11332468572476186</c:v>
                </c:pt>
                <c:pt idx="2661">
                  <c:v>0.11332468572476186</c:v>
                </c:pt>
                <c:pt idx="2662">
                  <c:v>0.11332468572476186</c:v>
                </c:pt>
                <c:pt idx="2663">
                  <c:v>0.11332468572476186</c:v>
                </c:pt>
                <c:pt idx="2664">
                  <c:v>0.11332468572476186</c:v>
                </c:pt>
                <c:pt idx="2665">
                  <c:v>0.11332468572476186</c:v>
                </c:pt>
                <c:pt idx="2666">
                  <c:v>0.11332468572476186</c:v>
                </c:pt>
                <c:pt idx="2667">
                  <c:v>0.11332468572476186</c:v>
                </c:pt>
                <c:pt idx="2668">
                  <c:v>0.11332468572476186</c:v>
                </c:pt>
                <c:pt idx="2669">
                  <c:v>0.11332468572476186</c:v>
                </c:pt>
                <c:pt idx="2670">
                  <c:v>0.11332468572476186</c:v>
                </c:pt>
                <c:pt idx="2671">
                  <c:v>0.11332468572476186</c:v>
                </c:pt>
                <c:pt idx="2672">
                  <c:v>0.11332468572476186</c:v>
                </c:pt>
                <c:pt idx="2673">
                  <c:v>0.11332468572476186</c:v>
                </c:pt>
                <c:pt idx="2674">
                  <c:v>0.11332468572476186</c:v>
                </c:pt>
                <c:pt idx="2675">
                  <c:v>0.11332468572476186</c:v>
                </c:pt>
                <c:pt idx="2676">
                  <c:v>0.11332468572476186</c:v>
                </c:pt>
                <c:pt idx="2677">
                  <c:v>0.11332468572476186</c:v>
                </c:pt>
                <c:pt idx="2678">
                  <c:v>0.11332468572476186</c:v>
                </c:pt>
                <c:pt idx="2679">
                  <c:v>0.11332468572476186</c:v>
                </c:pt>
                <c:pt idx="2680">
                  <c:v>0.11332468572476186</c:v>
                </c:pt>
                <c:pt idx="2681">
                  <c:v>0.11332468572476186</c:v>
                </c:pt>
                <c:pt idx="2682">
                  <c:v>0.11332468572476186</c:v>
                </c:pt>
                <c:pt idx="2683">
                  <c:v>0.11332468572476186</c:v>
                </c:pt>
                <c:pt idx="2684">
                  <c:v>0.11332468572476186</c:v>
                </c:pt>
                <c:pt idx="2685">
                  <c:v>0.11332468572476186</c:v>
                </c:pt>
                <c:pt idx="2686">
                  <c:v>0.11332468572476186</c:v>
                </c:pt>
                <c:pt idx="2687">
                  <c:v>0.11332468572476186</c:v>
                </c:pt>
                <c:pt idx="2688">
                  <c:v>0.11332468572476186</c:v>
                </c:pt>
                <c:pt idx="2689">
                  <c:v>0.11332468572476186</c:v>
                </c:pt>
                <c:pt idx="2690">
                  <c:v>0.11332468572476186</c:v>
                </c:pt>
                <c:pt idx="2691">
                  <c:v>0.11332468572476186</c:v>
                </c:pt>
                <c:pt idx="2692">
                  <c:v>0.11332468572476186</c:v>
                </c:pt>
                <c:pt idx="2693">
                  <c:v>0.11332468572476186</c:v>
                </c:pt>
                <c:pt idx="2694">
                  <c:v>0.11332468572476186</c:v>
                </c:pt>
                <c:pt idx="2695">
                  <c:v>0.11332468572476186</c:v>
                </c:pt>
                <c:pt idx="2696">
                  <c:v>0.11332468572476186</c:v>
                </c:pt>
                <c:pt idx="2697">
                  <c:v>0.11332468572476186</c:v>
                </c:pt>
                <c:pt idx="2698">
                  <c:v>0.11332468572476186</c:v>
                </c:pt>
                <c:pt idx="2699">
                  <c:v>0.11332468572476186</c:v>
                </c:pt>
                <c:pt idx="2700">
                  <c:v>0.11332468572476186</c:v>
                </c:pt>
                <c:pt idx="2701">
                  <c:v>0.11332468572476186</c:v>
                </c:pt>
                <c:pt idx="2702">
                  <c:v>0.11332468572476186</c:v>
                </c:pt>
                <c:pt idx="2703">
                  <c:v>0.11332468572476186</c:v>
                </c:pt>
                <c:pt idx="2704">
                  <c:v>0.11332468572476186</c:v>
                </c:pt>
                <c:pt idx="2705">
                  <c:v>0.11332468572476186</c:v>
                </c:pt>
                <c:pt idx="2706">
                  <c:v>0.11332468572476186</c:v>
                </c:pt>
                <c:pt idx="2707">
                  <c:v>0.11332468572476186</c:v>
                </c:pt>
                <c:pt idx="2708">
                  <c:v>0.11332468572476186</c:v>
                </c:pt>
                <c:pt idx="2709">
                  <c:v>0.11332468572476186</c:v>
                </c:pt>
                <c:pt idx="2710">
                  <c:v>0.11332468572476186</c:v>
                </c:pt>
                <c:pt idx="2711">
                  <c:v>0.11332468572476186</c:v>
                </c:pt>
                <c:pt idx="2712">
                  <c:v>0.11332468572476186</c:v>
                </c:pt>
                <c:pt idx="2713">
                  <c:v>0.11332468572476186</c:v>
                </c:pt>
                <c:pt idx="2714">
                  <c:v>0.11332468572476186</c:v>
                </c:pt>
                <c:pt idx="2715">
                  <c:v>0.11332468572476186</c:v>
                </c:pt>
                <c:pt idx="2716">
                  <c:v>0.11332468572476186</c:v>
                </c:pt>
                <c:pt idx="2717">
                  <c:v>0.11332468572476186</c:v>
                </c:pt>
                <c:pt idx="2718">
                  <c:v>0.11332468572476186</c:v>
                </c:pt>
                <c:pt idx="2719">
                  <c:v>0.11332468572476186</c:v>
                </c:pt>
                <c:pt idx="2720">
                  <c:v>0.11332468572476186</c:v>
                </c:pt>
                <c:pt idx="2721">
                  <c:v>0.11332468572476186</c:v>
                </c:pt>
                <c:pt idx="2722">
                  <c:v>0.11332468572476186</c:v>
                </c:pt>
                <c:pt idx="2723">
                  <c:v>0.11332468572476186</c:v>
                </c:pt>
                <c:pt idx="2724">
                  <c:v>0.11332468572476186</c:v>
                </c:pt>
                <c:pt idx="2725">
                  <c:v>0.11332468572476186</c:v>
                </c:pt>
                <c:pt idx="2726">
                  <c:v>0.11332468572476186</c:v>
                </c:pt>
                <c:pt idx="2727">
                  <c:v>0.11332468572476186</c:v>
                </c:pt>
                <c:pt idx="2728">
                  <c:v>0.11332468572476186</c:v>
                </c:pt>
                <c:pt idx="2729">
                  <c:v>0.11332468572476186</c:v>
                </c:pt>
                <c:pt idx="2730">
                  <c:v>0.11332468572476186</c:v>
                </c:pt>
                <c:pt idx="2731">
                  <c:v>0.11332468572476186</c:v>
                </c:pt>
                <c:pt idx="2732">
                  <c:v>0.11332468572476186</c:v>
                </c:pt>
                <c:pt idx="2733">
                  <c:v>0.11332468572476186</c:v>
                </c:pt>
                <c:pt idx="2734">
                  <c:v>0.11332468572476186</c:v>
                </c:pt>
                <c:pt idx="2735">
                  <c:v>0.11332468572476186</c:v>
                </c:pt>
                <c:pt idx="2736">
                  <c:v>0.11332468572476186</c:v>
                </c:pt>
                <c:pt idx="2737">
                  <c:v>0.11332468572476186</c:v>
                </c:pt>
                <c:pt idx="2738">
                  <c:v>0.11332468572476186</c:v>
                </c:pt>
                <c:pt idx="2739">
                  <c:v>0.11332468572476186</c:v>
                </c:pt>
                <c:pt idx="2740">
                  <c:v>0.11332468572476186</c:v>
                </c:pt>
                <c:pt idx="2741">
                  <c:v>0.11332468572476186</c:v>
                </c:pt>
                <c:pt idx="2742">
                  <c:v>0.11332468572476186</c:v>
                </c:pt>
                <c:pt idx="2743">
                  <c:v>0.11332468572476186</c:v>
                </c:pt>
                <c:pt idx="2744">
                  <c:v>0.11332468572476186</c:v>
                </c:pt>
                <c:pt idx="2745">
                  <c:v>0.11332468572476186</c:v>
                </c:pt>
                <c:pt idx="2746">
                  <c:v>0.11332468572476186</c:v>
                </c:pt>
                <c:pt idx="2747">
                  <c:v>0.11332468572476186</c:v>
                </c:pt>
                <c:pt idx="2748">
                  <c:v>0.11332468572476186</c:v>
                </c:pt>
                <c:pt idx="2749">
                  <c:v>0.11332468572476186</c:v>
                </c:pt>
                <c:pt idx="2750">
                  <c:v>0.11332468572476186</c:v>
                </c:pt>
                <c:pt idx="2751">
                  <c:v>0.11332468572476186</c:v>
                </c:pt>
                <c:pt idx="2752">
                  <c:v>0.11332468572476186</c:v>
                </c:pt>
                <c:pt idx="2753">
                  <c:v>0.11332468572476186</c:v>
                </c:pt>
                <c:pt idx="2754">
                  <c:v>0.11332468572476186</c:v>
                </c:pt>
                <c:pt idx="2755">
                  <c:v>0.11332468572476186</c:v>
                </c:pt>
                <c:pt idx="2756">
                  <c:v>0.11332468572476186</c:v>
                </c:pt>
                <c:pt idx="2757">
                  <c:v>0.11332468572476186</c:v>
                </c:pt>
                <c:pt idx="2758">
                  <c:v>0.11332468572476186</c:v>
                </c:pt>
                <c:pt idx="2759">
                  <c:v>0.11332468572476186</c:v>
                </c:pt>
                <c:pt idx="2760">
                  <c:v>0.11332468572476186</c:v>
                </c:pt>
                <c:pt idx="2761">
                  <c:v>0.11332468572476186</c:v>
                </c:pt>
                <c:pt idx="2762">
                  <c:v>0.11332468572476186</c:v>
                </c:pt>
                <c:pt idx="2763">
                  <c:v>0.11332468572476186</c:v>
                </c:pt>
                <c:pt idx="2764">
                  <c:v>0.11332468572476186</c:v>
                </c:pt>
                <c:pt idx="2765">
                  <c:v>0.11332468572476186</c:v>
                </c:pt>
                <c:pt idx="2766">
                  <c:v>0.11332468572476186</c:v>
                </c:pt>
                <c:pt idx="2767">
                  <c:v>0.11332468572476186</c:v>
                </c:pt>
                <c:pt idx="2768">
                  <c:v>0.11332468572476186</c:v>
                </c:pt>
                <c:pt idx="2769">
                  <c:v>0.11332468572476186</c:v>
                </c:pt>
                <c:pt idx="2770">
                  <c:v>0.11332468572476186</c:v>
                </c:pt>
                <c:pt idx="2771">
                  <c:v>0.11332468572476186</c:v>
                </c:pt>
                <c:pt idx="2772">
                  <c:v>0.11332468572476186</c:v>
                </c:pt>
                <c:pt idx="2773">
                  <c:v>0.11332468572476186</c:v>
                </c:pt>
                <c:pt idx="2774">
                  <c:v>0.11332468572476186</c:v>
                </c:pt>
                <c:pt idx="2775">
                  <c:v>0.11332468572476186</c:v>
                </c:pt>
                <c:pt idx="2776">
                  <c:v>0.11332468572476186</c:v>
                </c:pt>
                <c:pt idx="2777">
                  <c:v>0.11332468572476186</c:v>
                </c:pt>
                <c:pt idx="2778">
                  <c:v>0.11332468572476186</c:v>
                </c:pt>
                <c:pt idx="2779">
                  <c:v>0.11332468572476186</c:v>
                </c:pt>
                <c:pt idx="2780">
                  <c:v>0.11332468572476186</c:v>
                </c:pt>
                <c:pt idx="2781">
                  <c:v>0.11332468572476186</c:v>
                </c:pt>
                <c:pt idx="2782">
                  <c:v>0.11332468572476186</c:v>
                </c:pt>
                <c:pt idx="2783">
                  <c:v>0.11332468572476186</c:v>
                </c:pt>
                <c:pt idx="2784">
                  <c:v>0.11332468572476186</c:v>
                </c:pt>
                <c:pt idx="2785">
                  <c:v>0.11332468572476186</c:v>
                </c:pt>
                <c:pt idx="2786">
                  <c:v>0.11332468572476186</c:v>
                </c:pt>
                <c:pt idx="2787">
                  <c:v>0.11332468572476186</c:v>
                </c:pt>
                <c:pt idx="2788">
                  <c:v>0.11332468572476186</c:v>
                </c:pt>
                <c:pt idx="2789">
                  <c:v>0.11332468572476186</c:v>
                </c:pt>
                <c:pt idx="2790">
                  <c:v>0.11332468572476186</c:v>
                </c:pt>
                <c:pt idx="2791">
                  <c:v>0.11332468572476186</c:v>
                </c:pt>
                <c:pt idx="2792">
                  <c:v>0.11332468572476186</c:v>
                </c:pt>
                <c:pt idx="2793">
                  <c:v>0.11332468572476186</c:v>
                </c:pt>
                <c:pt idx="2794">
                  <c:v>0.11332468572476186</c:v>
                </c:pt>
                <c:pt idx="2795">
                  <c:v>0.11332468572476186</c:v>
                </c:pt>
                <c:pt idx="2796">
                  <c:v>0.11332468572476186</c:v>
                </c:pt>
                <c:pt idx="2797">
                  <c:v>0.11332468572476186</c:v>
                </c:pt>
                <c:pt idx="2798">
                  <c:v>0.11332468572476186</c:v>
                </c:pt>
                <c:pt idx="2799">
                  <c:v>0.11332468572476186</c:v>
                </c:pt>
                <c:pt idx="2800">
                  <c:v>0.11332468572476186</c:v>
                </c:pt>
                <c:pt idx="2801">
                  <c:v>0.11332468572476186</c:v>
                </c:pt>
                <c:pt idx="2802">
                  <c:v>0.11332468572476186</c:v>
                </c:pt>
                <c:pt idx="2803">
                  <c:v>0.11332468572476186</c:v>
                </c:pt>
                <c:pt idx="2804">
                  <c:v>0.11332468572476186</c:v>
                </c:pt>
                <c:pt idx="2805">
                  <c:v>0.11332468572476186</c:v>
                </c:pt>
                <c:pt idx="2806">
                  <c:v>0.11332468572476186</c:v>
                </c:pt>
                <c:pt idx="2807">
                  <c:v>0.11332468572476186</c:v>
                </c:pt>
                <c:pt idx="2808">
                  <c:v>0.11332468572476186</c:v>
                </c:pt>
                <c:pt idx="2809">
                  <c:v>0.11332468572476186</c:v>
                </c:pt>
                <c:pt idx="2810">
                  <c:v>0.11332468572476186</c:v>
                </c:pt>
                <c:pt idx="2811">
                  <c:v>0.11332468572476186</c:v>
                </c:pt>
                <c:pt idx="2812">
                  <c:v>0.11332468572476186</c:v>
                </c:pt>
                <c:pt idx="2813">
                  <c:v>0.11332468572476186</c:v>
                </c:pt>
                <c:pt idx="2814">
                  <c:v>0.11332468572476186</c:v>
                </c:pt>
                <c:pt idx="2815">
                  <c:v>0.11332468572476186</c:v>
                </c:pt>
                <c:pt idx="2816">
                  <c:v>0.11332468572476186</c:v>
                </c:pt>
                <c:pt idx="2817">
                  <c:v>0.11332468572476186</c:v>
                </c:pt>
                <c:pt idx="2818">
                  <c:v>0.11332468572476186</c:v>
                </c:pt>
                <c:pt idx="2819">
                  <c:v>0.11332468572476186</c:v>
                </c:pt>
                <c:pt idx="2820">
                  <c:v>0.11332468572476186</c:v>
                </c:pt>
                <c:pt idx="2821">
                  <c:v>0.11332468572476186</c:v>
                </c:pt>
                <c:pt idx="2822">
                  <c:v>0.11332468572476186</c:v>
                </c:pt>
                <c:pt idx="2823">
                  <c:v>0.11332468572476186</c:v>
                </c:pt>
                <c:pt idx="2824">
                  <c:v>0.11332468572476186</c:v>
                </c:pt>
                <c:pt idx="2825">
                  <c:v>0.11332468572476186</c:v>
                </c:pt>
                <c:pt idx="2826">
                  <c:v>0.11332468572476186</c:v>
                </c:pt>
                <c:pt idx="2827">
                  <c:v>0.11332468572476186</c:v>
                </c:pt>
                <c:pt idx="2828">
                  <c:v>0.11332468572476186</c:v>
                </c:pt>
                <c:pt idx="2829">
                  <c:v>0.11332468572476186</c:v>
                </c:pt>
                <c:pt idx="2830">
                  <c:v>0.11332468572476186</c:v>
                </c:pt>
                <c:pt idx="2831">
                  <c:v>0.11332468572476186</c:v>
                </c:pt>
                <c:pt idx="2832">
                  <c:v>0.11332468572476186</c:v>
                </c:pt>
                <c:pt idx="2833">
                  <c:v>0.11332468572476186</c:v>
                </c:pt>
                <c:pt idx="2834">
                  <c:v>0.11332468572476186</c:v>
                </c:pt>
                <c:pt idx="2835">
                  <c:v>0.11332468572476186</c:v>
                </c:pt>
                <c:pt idx="2836">
                  <c:v>0.11332468572476186</c:v>
                </c:pt>
                <c:pt idx="2837">
                  <c:v>0.11332468572476186</c:v>
                </c:pt>
                <c:pt idx="2838">
                  <c:v>0.11332468572476186</c:v>
                </c:pt>
                <c:pt idx="2839">
                  <c:v>0.11332468572476186</c:v>
                </c:pt>
                <c:pt idx="2840">
                  <c:v>0.11332468572476186</c:v>
                </c:pt>
                <c:pt idx="2841">
                  <c:v>0.11332468572476186</c:v>
                </c:pt>
                <c:pt idx="2842">
                  <c:v>0.11332468572476186</c:v>
                </c:pt>
                <c:pt idx="2843">
                  <c:v>0.11332468572476186</c:v>
                </c:pt>
                <c:pt idx="2844">
                  <c:v>0.11332468572476186</c:v>
                </c:pt>
                <c:pt idx="2845">
                  <c:v>0.11332468572476186</c:v>
                </c:pt>
                <c:pt idx="2846">
                  <c:v>0.11332468572476186</c:v>
                </c:pt>
                <c:pt idx="2847">
                  <c:v>0.11332468572476186</c:v>
                </c:pt>
                <c:pt idx="2848">
                  <c:v>0.11332468572476186</c:v>
                </c:pt>
                <c:pt idx="2849">
                  <c:v>0.11332468572476186</c:v>
                </c:pt>
                <c:pt idx="2850">
                  <c:v>0.11332468572476186</c:v>
                </c:pt>
                <c:pt idx="2851">
                  <c:v>0.11332468572476186</c:v>
                </c:pt>
                <c:pt idx="2852">
                  <c:v>0.11332468572476186</c:v>
                </c:pt>
                <c:pt idx="2853">
                  <c:v>0.11332468572476186</c:v>
                </c:pt>
                <c:pt idx="2854">
                  <c:v>0.11332468572476186</c:v>
                </c:pt>
                <c:pt idx="2855">
                  <c:v>0.11332468572476186</c:v>
                </c:pt>
                <c:pt idx="2856">
                  <c:v>0.11332468572476186</c:v>
                </c:pt>
                <c:pt idx="2857">
                  <c:v>0.11332468572476186</c:v>
                </c:pt>
                <c:pt idx="2858">
                  <c:v>0.11332468572476186</c:v>
                </c:pt>
                <c:pt idx="2859">
                  <c:v>0.11332468572476186</c:v>
                </c:pt>
                <c:pt idx="2860">
                  <c:v>0.11332468572476186</c:v>
                </c:pt>
                <c:pt idx="2861">
                  <c:v>0.11332468572476186</c:v>
                </c:pt>
                <c:pt idx="2862">
                  <c:v>0.11332468572476186</c:v>
                </c:pt>
                <c:pt idx="2863">
                  <c:v>0.11332468572476186</c:v>
                </c:pt>
                <c:pt idx="2864">
                  <c:v>0.11332468572476186</c:v>
                </c:pt>
                <c:pt idx="2865">
                  <c:v>0.11332468572476186</c:v>
                </c:pt>
                <c:pt idx="2866">
                  <c:v>0.11332468572476186</c:v>
                </c:pt>
                <c:pt idx="2867">
                  <c:v>0.11332468572476186</c:v>
                </c:pt>
                <c:pt idx="2868">
                  <c:v>0.11332468572476186</c:v>
                </c:pt>
                <c:pt idx="2869">
                  <c:v>0.11332468572476186</c:v>
                </c:pt>
                <c:pt idx="2870">
                  <c:v>0.11332468572476186</c:v>
                </c:pt>
                <c:pt idx="2871">
                  <c:v>0.11332468572476186</c:v>
                </c:pt>
                <c:pt idx="2872">
                  <c:v>0.11332468572476186</c:v>
                </c:pt>
                <c:pt idx="2873">
                  <c:v>0.11332468572476186</c:v>
                </c:pt>
                <c:pt idx="2874">
                  <c:v>0.11332468572476186</c:v>
                </c:pt>
                <c:pt idx="2875">
                  <c:v>0.11332468572476186</c:v>
                </c:pt>
                <c:pt idx="2876">
                  <c:v>0.11332468572476186</c:v>
                </c:pt>
                <c:pt idx="2877">
                  <c:v>0.11332468572476186</c:v>
                </c:pt>
                <c:pt idx="2878">
                  <c:v>0.11332468572476186</c:v>
                </c:pt>
                <c:pt idx="2879">
                  <c:v>0.11332468572476186</c:v>
                </c:pt>
                <c:pt idx="2880">
                  <c:v>0.11332468572476186</c:v>
                </c:pt>
                <c:pt idx="2881">
                  <c:v>0.11332468572476186</c:v>
                </c:pt>
                <c:pt idx="2882">
                  <c:v>0.11332468572476186</c:v>
                </c:pt>
                <c:pt idx="2883">
                  <c:v>0.11332468572476186</c:v>
                </c:pt>
                <c:pt idx="2884">
                  <c:v>0.11332468572476186</c:v>
                </c:pt>
                <c:pt idx="2885">
                  <c:v>0.11332468572476186</c:v>
                </c:pt>
                <c:pt idx="2886">
                  <c:v>0.11332468572476186</c:v>
                </c:pt>
                <c:pt idx="2887">
                  <c:v>0.11332468572476186</c:v>
                </c:pt>
                <c:pt idx="2888">
                  <c:v>0.11332468572476186</c:v>
                </c:pt>
                <c:pt idx="2889">
                  <c:v>0.11332468572476186</c:v>
                </c:pt>
                <c:pt idx="2890">
                  <c:v>0.11332468572476186</c:v>
                </c:pt>
                <c:pt idx="2891">
                  <c:v>0.11332468572476186</c:v>
                </c:pt>
                <c:pt idx="2892">
                  <c:v>0.11332468572476186</c:v>
                </c:pt>
                <c:pt idx="2893">
                  <c:v>0.11332468572476186</c:v>
                </c:pt>
                <c:pt idx="2894">
                  <c:v>0.11332468572476186</c:v>
                </c:pt>
                <c:pt idx="2895">
                  <c:v>0.11332468572476186</c:v>
                </c:pt>
                <c:pt idx="2896">
                  <c:v>0.11332468572476186</c:v>
                </c:pt>
                <c:pt idx="2897">
                  <c:v>0.11332468572476186</c:v>
                </c:pt>
                <c:pt idx="2898">
                  <c:v>0.11332468572476186</c:v>
                </c:pt>
                <c:pt idx="2899">
                  <c:v>0.11332468572476186</c:v>
                </c:pt>
                <c:pt idx="2900">
                  <c:v>0.11332468572476186</c:v>
                </c:pt>
                <c:pt idx="2901">
                  <c:v>0.11332468572476186</c:v>
                </c:pt>
                <c:pt idx="2902">
                  <c:v>0.11332468572476186</c:v>
                </c:pt>
                <c:pt idx="2903">
                  <c:v>0.11332468572476186</c:v>
                </c:pt>
                <c:pt idx="2904">
                  <c:v>0.11332468572476186</c:v>
                </c:pt>
                <c:pt idx="2905">
                  <c:v>0.11332468572476186</c:v>
                </c:pt>
                <c:pt idx="2906">
                  <c:v>0.11332468572476186</c:v>
                </c:pt>
                <c:pt idx="2907">
                  <c:v>0.11332468572476186</c:v>
                </c:pt>
                <c:pt idx="2908">
                  <c:v>0.11332468572476186</c:v>
                </c:pt>
                <c:pt idx="2909">
                  <c:v>0.11332468572476186</c:v>
                </c:pt>
                <c:pt idx="2910">
                  <c:v>0.11332468572476186</c:v>
                </c:pt>
                <c:pt idx="2911">
                  <c:v>0.11332468572476186</c:v>
                </c:pt>
                <c:pt idx="2912">
                  <c:v>0.11332468572476186</c:v>
                </c:pt>
                <c:pt idx="2913">
                  <c:v>0.11332468572476186</c:v>
                </c:pt>
                <c:pt idx="2914">
                  <c:v>0.11332468572476186</c:v>
                </c:pt>
                <c:pt idx="2915">
                  <c:v>0.11332468572476186</c:v>
                </c:pt>
                <c:pt idx="2916">
                  <c:v>0.11332468572476186</c:v>
                </c:pt>
                <c:pt idx="2917">
                  <c:v>0.11332468572476186</c:v>
                </c:pt>
                <c:pt idx="2918">
                  <c:v>0.11332468572476186</c:v>
                </c:pt>
                <c:pt idx="2919">
                  <c:v>0.11332468572476186</c:v>
                </c:pt>
                <c:pt idx="2920">
                  <c:v>0.11332468572476186</c:v>
                </c:pt>
                <c:pt idx="2921">
                  <c:v>0.11332468572476186</c:v>
                </c:pt>
                <c:pt idx="2922">
                  <c:v>0.11332468572476186</c:v>
                </c:pt>
                <c:pt idx="2923">
                  <c:v>0.11332468572476186</c:v>
                </c:pt>
                <c:pt idx="2924">
                  <c:v>0.11332468572476186</c:v>
                </c:pt>
                <c:pt idx="2925">
                  <c:v>0.11332468572476186</c:v>
                </c:pt>
                <c:pt idx="2926">
                  <c:v>0.11332468572476186</c:v>
                </c:pt>
                <c:pt idx="2927">
                  <c:v>0.11332468572476186</c:v>
                </c:pt>
                <c:pt idx="2928">
                  <c:v>0.11332468572476186</c:v>
                </c:pt>
                <c:pt idx="2929">
                  <c:v>0.11332468572476186</c:v>
                </c:pt>
                <c:pt idx="2930">
                  <c:v>0.11332468572476186</c:v>
                </c:pt>
                <c:pt idx="2931">
                  <c:v>0.11332468572476186</c:v>
                </c:pt>
                <c:pt idx="2932">
                  <c:v>0.11332468572476186</c:v>
                </c:pt>
                <c:pt idx="2933">
                  <c:v>0.11332468572476186</c:v>
                </c:pt>
                <c:pt idx="2934">
                  <c:v>0.11332468572476186</c:v>
                </c:pt>
                <c:pt idx="2935">
                  <c:v>0.11332468572476186</c:v>
                </c:pt>
                <c:pt idx="2936">
                  <c:v>0.11332468572476186</c:v>
                </c:pt>
                <c:pt idx="2937">
                  <c:v>0.11332468572476186</c:v>
                </c:pt>
                <c:pt idx="2938">
                  <c:v>0.11332468572476186</c:v>
                </c:pt>
                <c:pt idx="2939">
                  <c:v>0.11332468572476186</c:v>
                </c:pt>
                <c:pt idx="2940">
                  <c:v>0.11332468572476186</c:v>
                </c:pt>
                <c:pt idx="2941">
                  <c:v>0.11332468572476186</c:v>
                </c:pt>
                <c:pt idx="2942">
                  <c:v>0.11332468572476186</c:v>
                </c:pt>
                <c:pt idx="2943">
                  <c:v>0.11332468572476186</c:v>
                </c:pt>
                <c:pt idx="2944">
                  <c:v>0.11332468572476186</c:v>
                </c:pt>
                <c:pt idx="2945">
                  <c:v>0.11332468572476186</c:v>
                </c:pt>
                <c:pt idx="2946">
                  <c:v>0.11332468572476186</c:v>
                </c:pt>
                <c:pt idx="2947">
                  <c:v>0.11332468572476186</c:v>
                </c:pt>
                <c:pt idx="2948">
                  <c:v>0.11332468572476186</c:v>
                </c:pt>
                <c:pt idx="2949">
                  <c:v>0.11332468572476186</c:v>
                </c:pt>
                <c:pt idx="2950">
                  <c:v>0.11332468572476186</c:v>
                </c:pt>
                <c:pt idx="2951">
                  <c:v>0.11332468572476186</c:v>
                </c:pt>
                <c:pt idx="2952">
                  <c:v>0.11332468572476186</c:v>
                </c:pt>
                <c:pt idx="2953">
                  <c:v>0.11332468572476186</c:v>
                </c:pt>
                <c:pt idx="2954">
                  <c:v>0.11332468572476186</c:v>
                </c:pt>
                <c:pt idx="2955">
                  <c:v>0.11332468572476186</c:v>
                </c:pt>
                <c:pt idx="2956">
                  <c:v>0.11332468572476186</c:v>
                </c:pt>
                <c:pt idx="2957">
                  <c:v>0.11332468572476186</c:v>
                </c:pt>
                <c:pt idx="2958">
                  <c:v>0.11332468572476186</c:v>
                </c:pt>
                <c:pt idx="2959">
                  <c:v>0.11332468572476186</c:v>
                </c:pt>
                <c:pt idx="2960">
                  <c:v>0.11332468572476186</c:v>
                </c:pt>
                <c:pt idx="2961">
                  <c:v>0.11332468572476186</c:v>
                </c:pt>
                <c:pt idx="2962">
                  <c:v>0.11332468572476186</c:v>
                </c:pt>
                <c:pt idx="2963">
                  <c:v>0.11332468572476186</c:v>
                </c:pt>
                <c:pt idx="2964">
                  <c:v>0.11332468572476186</c:v>
                </c:pt>
                <c:pt idx="2965">
                  <c:v>0.11332468572476186</c:v>
                </c:pt>
                <c:pt idx="2966">
                  <c:v>0.11332468572476186</c:v>
                </c:pt>
                <c:pt idx="2967">
                  <c:v>0.11332468572476186</c:v>
                </c:pt>
                <c:pt idx="2968">
                  <c:v>0.11332468572476186</c:v>
                </c:pt>
                <c:pt idx="2969">
                  <c:v>0.11332468572476186</c:v>
                </c:pt>
                <c:pt idx="2970">
                  <c:v>0.11332468572476186</c:v>
                </c:pt>
                <c:pt idx="2971">
                  <c:v>0.11332468572476186</c:v>
                </c:pt>
                <c:pt idx="2972">
                  <c:v>0.11332468572476186</c:v>
                </c:pt>
                <c:pt idx="2973">
                  <c:v>0.11332468572476186</c:v>
                </c:pt>
                <c:pt idx="2974">
                  <c:v>0.11332468572476186</c:v>
                </c:pt>
                <c:pt idx="2975">
                  <c:v>0.11332468572476186</c:v>
                </c:pt>
                <c:pt idx="2976">
                  <c:v>0.11332468572476186</c:v>
                </c:pt>
                <c:pt idx="2977">
                  <c:v>0.11332468572476186</c:v>
                </c:pt>
                <c:pt idx="2978">
                  <c:v>0.11332468572476186</c:v>
                </c:pt>
                <c:pt idx="2979">
                  <c:v>0.11332468572476186</c:v>
                </c:pt>
                <c:pt idx="2980">
                  <c:v>0.11332468572476186</c:v>
                </c:pt>
                <c:pt idx="2981">
                  <c:v>0.11332468572476186</c:v>
                </c:pt>
                <c:pt idx="2982">
                  <c:v>0.11332468572476186</c:v>
                </c:pt>
                <c:pt idx="2983">
                  <c:v>0.11332468572476186</c:v>
                </c:pt>
                <c:pt idx="2984">
                  <c:v>0.11332468572476186</c:v>
                </c:pt>
                <c:pt idx="2985">
                  <c:v>0.11332468572476186</c:v>
                </c:pt>
                <c:pt idx="2986">
                  <c:v>0.11332468572476186</c:v>
                </c:pt>
                <c:pt idx="2987">
                  <c:v>0.11332468572476186</c:v>
                </c:pt>
                <c:pt idx="2988">
                  <c:v>0.11332468572476186</c:v>
                </c:pt>
                <c:pt idx="2989">
                  <c:v>0.11332468572476186</c:v>
                </c:pt>
                <c:pt idx="2990">
                  <c:v>0.11332468572476186</c:v>
                </c:pt>
                <c:pt idx="2991">
                  <c:v>0.11332468572476186</c:v>
                </c:pt>
                <c:pt idx="2992">
                  <c:v>0.11332468572476186</c:v>
                </c:pt>
                <c:pt idx="2993">
                  <c:v>0.11332468572476186</c:v>
                </c:pt>
                <c:pt idx="2994">
                  <c:v>0.11332468572476186</c:v>
                </c:pt>
                <c:pt idx="2995">
                  <c:v>0.11332468572476186</c:v>
                </c:pt>
                <c:pt idx="2996">
                  <c:v>0.11332468572476186</c:v>
                </c:pt>
                <c:pt idx="2997">
                  <c:v>0.11332468572476186</c:v>
                </c:pt>
                <c:pt idx="2998">
                  <c:v>0.11332468572476186</c:v>
                </c:pt>
                <c:pt idx="2999">
                  <c:v>0.11332468572476186</c:v>
                </c:pt>
                <c:pt idx="3000">
                  <c:v>0.11332468572476186</c:v>
                </c:pt>
                <c:pt idx="3001">
                  <c:v>0.11332468572476186</c:v>
                </c:pt>
                <c:pt idx="3002">
                  <c:v>0.11332468572476186</c:v>
                </c:pt>
                <c:pt idx="3003">
                  <c:v>0.11332468572476186</c:v>
                </c:pt>
                <c:pt idx="3004">
                  <c:v>0.11332468572476186</c:v>
                </c:pt>
                <c:pt idx="3005">
                  <c:v>0.11332468572476186</c:v>
                </c:pt>
                <c:pt idx="3006">
                  <c:v>0.11332468572476186</c:v>
                </c:pt>
                <c:pt idx="3007">
                  <c:v>0.11332468572476186</c:v>
                </c:pt>
                <c:pt idx="3008">
                  <c:v>0.11332468572476186</c:v>
                </c:pt>
                <c:pt idx="3009">
                  <c:v>0.11332468572476186</c:v>
                </c:pt>
                <c:pt idx="3010">
                  <c:v>0.11332468572476186</c:v>
                </c:pt>
                <c:pt idx="3011">
                  <c:v>0.11332468572476186</c:v>
                </c:pt>
                <c:pt idx="3012">
                  <c:v>0.11332468572476186</c:v>
                </c:pt>
                <c:pt idx="3013">
                  <c:v>0.11332468572476186</c:v>
                </c:pt>
                <c:pt idx="3014">
                  <c:v>0.11332468572476186</c:v>
                </c:pt>
                <c:pt idx="3015">
                  <c:v>0.11332468572476186</c:v>
                </c:pt>
                <c:pt idx="3016">
                  <c:v>0.11332468572476186</c:v>
                </c:pt>
                <c:pt idx="3017">
                  <c:v>0.11332468572476186</c:v>
                </c:pt>
                <c:pt idx="3018">
                  <c:v>0.11332468572476186</c:v>
                </c:pt>
                <c:pt idx="3019">
                  <c:v>0.11332468572476186</c:v>
                </c:pt>
                <c:pt idx="3020">
                  <c:v>0.11332468572476186</c:v>
                </c:pt>
                <c:pt idx="3021">
                  <c:v>0.11332468572476186</c:v>
                </c:pt>
                <c:pt idx="3022">
                  <c:v>0.11332468572476186</c:v>
                </c:pt>
                <c:pt idx="3023">
                  <c:v>0.11332468572476186</c:v>
                </c:pt>
                <c:pt idx="3024">
                  <c:v>0.11332468572476186</c:v>
                </c:pt>
                <c:pt idx="3025">
                  <c:v>0.11332468572476186</c:v>
                </c:pt>
                <c:pt idx="3026">
                  <c:v>0.11332468572476186</c:v>
                </c:pt>
                <c:pt idx="3027">
                  <c:v>0.11332468572476186</c:v>
                </c:pt>
                <c:pt idx="3028">
                  <c:v>0.11332468572476186</c:v>
                </c:pt>
                <c:pt idx="3029">
                  <c:v>0.11332468572476186</c:v>
                </c:pt>
                <c:pt idx="3030">
                  <c:v>0.11332468572476186</c:v>
                </c:pt>
                <c:pt idx="3031">
                  <c:v>0.11332468572476186</c:v>
                </c:pt>
                <c:pt idx="3032">
                  <c:v>0.11332468572476186</c:v>
                </c:pt>
                <c:pt idx="3033">
                  <c:v>0.11332468572476186</c:v>
                </c:pt>
                <c:pt idx="3034">
                  <c:v>0.11332468572476186</c:v>
                </c:pt>
                <c:pt idx="3035">
                  <c:v>0.11332468572476186</c:v>
                </c:pt>
                <c:pt idx="3036">
                  <c:v>0.11332468572476186</c:v>
                </c:pt>
                <c:pt idx="3037">
                  <c:v>0.11332468572476186</c:v>
                </c:pt>
                <c:pt idx="3038">
                  <c:v>0.11332468572476186</c:v>
                </c:pt>
                <c:pt idx="3039">
                  <c:v>0.11332468572476186</c:v>
                </c:pt>
                <c:pt idx="3040">
                  <c:v>0.11332468572476186</c:v>
                </c:pt>
                <c:pt idx="3041">
                  <c:v>0.11332468572476186</c:v>
                </c:pt>
                <c:pt idx="3042">
                  <c:v>0.11332468572476186</c:v>
                </c:pt>
                <c:pt idx="3043">
                  <c:v>0.11332468572476186</c:v>
                </c:pt>
                <c:pt idx="3044">
                  <c:v>0.11332468572476186</c:v>
                </c:pt>
                <c:pt idx="3045">
                  <c:v>0.11332468572476186</c:v>
                </c:pt>
                <c:pt idx="3046">
                  <c:v>0.11332468572476186</c:v>
                </c:pt>
                <c:pt idx="3047">
                  <c:v>0.11332468572476186</c:v>
                </c:pt>
                <c:pt idx="3048">
                  <c:v>0.11332468572476186</c:v>
                </c:pt>
                <c:pt idx="3049">
                  <c:v>0.11332468572476186</c:v>
                </c:pt>
                <c:pt idx="3050">
                  <c:v>0.11332468572476186</c:v>
                </c:pt>
                <c:pt idx="3051">
                  <c:v>0.11332468572476186</c:v>
                </c:pt>
                <c:pt idx="3052">
                  <c:v>0.11332468572476186</c:v>
                </c:pt>
                <c:pt idx="3053">
                  <c:v>0.11332468572476186</c:v>
                </c:pt>
                <c:pt idx="3054">
                  <c:v>0.11332468572476186</c:v>
                </c:pt>
                <c:pt idx="3055">
                  <c:v>0.11332468572476186</c:v>
                </c:pt>
                <c:pt idx="3056">
                  <c:v>0.11332468572476186</c:v>
                </c:pt>
                <c:pt idx="3057">
                  <c:v>0.11332468572476186</c:v>
                </c:pt>
                <c:pt idx="3058">
                  <c:v>0.11332468572476186</c:v>
                </c:pt>
                <c:pt idx="3059">
                  <c:v>0.11332468572476186</c:v>
                </c:pt>
                <c:pt idx="3060">
                  <c:v>0.11332468572476186</c:v>
                </c:pt>
                <c:pt idx="3061">
                  <c:v>0.11332468572476186</c:v>
                </c:pt>
                <c:pt idx="3062">
                  <c:v>0.11332468572476186</c:v>
                </c:pt>
                <c:pt idx="3063">
                  <c:v>0.11332468572476186</c:v>
                </c:pt>
                <c:pt idx="3064">
                  <c:v>0.11332468572476186</c:v>
                </c:pt>
                <c:pt idx="3065">
                  <c:v>0.11332468572476186</c:v>
                </c:pt>
                <c:pt idx="3066">
                  <c:v>0.11332468572476186</c:v>
                </c:pt>
                <c:pt idx="3067">
                  <c:v>0.11332468572476186</c:v>
                </c:pt>
                <c:pt idx="3068">
                  <c:v>0.11332468572476186</c:v>
                </c:pt>
                <c:pt idx="3069">
                  <c:v>0.11332468572476186</c:v>
                </c:pt>
                <c:pt idx="3070">
                  <c:v>0.11332468572476186</c:v>
                </c:pt>
                <c:pt idx="3071">
                  <c:v>0.11332468572476186</c:v>
                </c:pt>
                <c:pt idx="3072">
                  <c:v>0.11332468572476186</c:v>
                </c:pt>
                <c:pt idx="3073">
                  <c:v>0.11332468572476186</c:v>
                </c:pt>
                <c:pt idx="3074">
                  <c:v>0.11332468572476186</c:v>
                </c:pt>
                <c:pt idx="3075">
                  <c:v>0.11332468572476186</c:v>
                </c:pt>
                <c:pt idx="3076">
                  <c:v>0.11332468572476186</c:v>
                </c:pt>
                <c:pt idx="3077">
                  <c:v>0.11332468572476186</c:v>
                </c:pt>
                <c:pt idx="3078">
                  <c:v>0.11332468572476186</c:v>
                </c:pt>
                <c:pt idx="3079">
                  <c:v>0.11332468572476186</c:v>
                </c:pt>
                <c:pt idx="3080">
                  <c:v>0.11332468572476186</c:v>
                </c:pt>
                <c:pt idx="3081">
                  <c:v>0.11332468572476186</c:v>
                </c:pt>
                <c:pt idx="3082">
                  <c:v>0.11332468572476186</c:v>
                </c:pt>
                <c:pt idx="3083">
                  <c:v>0.11332468572476186</c:v>
                </c:pt>
                <c:pt idx="3084">
                  <c:v>0.11332468572476186</c:v>
                </c:pt>
                <c:pt idx="3085">
                  <c:v>0.11332468572476186</c:v>
                </c:pt>
                <c:pt idx="3086">
                  <c:v>0.11332468572476186</c:v>
                </c:pt>
                <c:pt idx="3087">
                  <c:v>0.11332468572476186</c:v>
                </c:pt>
                <c:pt idx="3088">
                  <c:v>0.11332468572476186</c:v>
                </c:pt>
                <c:pt idx="3089">
                  <c:v>0.11332468572476186</c:v>
                </c:pt>
                <c:pt idx="3090">
                  <c:v>0.11332468572476186</c:v>
                </c:pt>
                <c:pt idx="3091">
                  <c:v>0.11332468572476186</c:v>
                </c:pt>
                <c:pt idx="3092">
                  <c:v>0.11332468572476186</c:v>
                </c:pt>
                <c:pt idx="3093">
                  <c:v>0.11332468572476186</c:v>
                </c:pt>
                <c:pt idx="3094">
                  <c:v>0.11332468572476186</c:v>
                </c:pt>
                <c:pt idx="3095">
                  <c:v>0.11332468572476186</c:v>
                </c:pt>
                <c:pt idx="3096">
                  <c:v>0.11332468572476186</c:v>
                </c:pt>
                <c:pt idx="3097">
                  <c:v>0.11332468572476186</c:v>
                </c:pt>
                <c:pt idx="3098">
                  <c:v>0.11332468572476186</c:v>
                </c:pt>
                <c:pt idx="3099">
                  <c:v>0.11332468572476186</c:v>
                </c:pt>
                <c:pt idx="3100">
                  <c:v>0.11332468572476186</c:v>
                </c:pt>
                <c:pt idx="3101">
                  <c:v>0.11332468572476186</c:v>
                </c:pt>
                <c:pt idx="3102">
                  <c:v>0.11332468572476186</c:v>
                </c:pt>
                <c:pt idx="3103">
                  <c:v>0.11332468572476186</c:v>
                </c:pt>
                <c:pt idx="3104">
                  <c:v>0.11332468572476186</c:v>
                </c:pt>
                <c:pt idx="3105">
                  <c:v>0.11332468572476186</c:v>
                </c:pt>
                <c:pt idx="3106">
                  <c:v>0.11332468572476186</c:v>
                </c:pt>
                <c:pt idx="3107">
                  <c:v>0.11332468572476186</c:v>
                </c:pt>
                <c:pt idx="3108">
                  <c:v>0.11332468572476186</c:v>
                </c:pt>
                <c:pt idx="3109">
                  <c:v>0.11332468572476186</c:v>
                </c:pt>
                <c:pt idx="3110">
                  <c:v>0.11332468572476186</c:v>
                </c:pt>
                <c:pt idx="3111">
                  <c:v>0.11332468572476186</c:v>
                </c:pt>
                <c:pt idx="3112">
                  <c:v>0.11332468572476186</c:v>
                </c:pt>
                <c:pt idx="3113">
                  <c:v>0.11332468572476186</c:v>
                </c:pt>
                <c:pt idx="3114">
                  <c:v>0.11332468572476186</c:v>
                </c:pt>
                <c:pt idx="3115">
                  <c:v>0.11332468572476186</c:v>
                </c:pt>
                <c:pt idx="3116">
                  <c:v>0.11332468572476186</c:v>
                </c:pt>
                <c:pt idx="3117">
                  <c:v>0.11332468572476186</c:v>
                </c:pt>
                <c:pt idx="3118">
                  <c:v>0.11332468572476186</c:v>
                </c:pt>
                <c:pt idx="3119">
                  <c:v>0.11332468572476186</c:v>
                </c:pt>
                <c:pt idx="3120">
                  <c:v>0.11332468572476186</c:v>
                </c:pt>
                <c:pt idx="3121">
                  <c:v>0.11332468572476186</c:v>
                </c:pt>
                <c:pt idx="3122">
                  <c:v>0.11332468572476186</c:v>
                </c:pt>
                <c:pt idx="3123">
                  <c:v>0.11332468572476186</c:v>
                </c:pt>
                <c:pt idx="3124">
                  <c:v>0.11332468572476186</c:v>
                </c:pt>
                <c:pt idx="3125">
                  <c:v>0.11332468572476186</c:v>
                </c:pt>
                <c:pt idx="3126">
                  <c:v>0.11332468572476186</c:v>
                </c:pt>
                <c:pt idx="3127">
                  <c:v>0.11332468572476186</c:v>
                </c:pt>
                <c:pt idx="3128">
                  <c:v>0.11332468572476186</c:v>
                </c:pt>
                <c:pt idx="3129">
                  <c:v>0.11332468572476186</c:v>
                </c:pt>
                <c:pt idx="3130">
                  <c:v>0.11332468572476186</c:v>
                </c:pt>
                <c:pt idx="3131">
                  <c:v>0.11332468572476186</c:v>
                </c:pt>
                <c:pt idx="3132">
                  <c:v>0.11332468572476186</c:v>
                </c:pt>
                <c:pt idx="3133">
                  <c:v>0.11332468572476186</c:v>
                </c:pt>
                <c:pt idx="3134">
                  <c:v>0.11332468572476186</c:v>
                </c:pt>
                <c:pt idx="3135">
                  <c:v>0.11332468572476186</c:v>
                </c:pt>
                <c:pt idx="3136">
                  <c:v>0.11332468572476186</c:v>
                </c:pt>
                <c:pt idx="3137">
                  <c:v>0.11332468572476186</c:v>
                </c:pt>
                <c:pt idx="3138">
                  <c:v>0.11332468572476186</c:v>
                </c:pt>
                <c:pt idx="3139">
                  <c:v>0.11332468572476186</c:v>
                </c:pt>
                <c:pt idx="3140">
                  <c:v>0.11332468572476186</c:v>
                </c:pt>
                <c:pt idx="3141">
                  <c:v>0.11332468572476186</c:v>
                </c:pt>
                <c:pt idx="3142">
                  <c:v>0.11332468572476186</c:v>
                </c:pt>
                <c:pt idx="3143">
                  <c:v>0.11332468572476186</c:v>
                </c:pt>
                <c:pt idx="3144">
                  <c:v>0.11332468572476186</c:v>
                </c:pt>
                <c:pt idx="3145">
                  <c:v>0.11332468572476186</c:v>
                </c:pt>
                <c:pt idx="3146">
                  <c:v>0.11332468572476186</c:v>
                </c:pt>
                <c:pt idx="3147">
                  <c:v>0.11332468572476186</c:v>
                </c:pt>
                <c:pt idx="3148">
                  <c:v>0.11332468572476186</c:v>
                </c:pt>
                <c:pt idx="3149">
                  <c:v>0.11332468572476186</c:v>
                </c:pt>
                <c:pt idx="3150">
                  <c:v>0.11332468572476186</c:v>
                </c:pt>
                <c:pt idx="3151">
                  <c:v>0.11332468572476186</c:v>
                </c:pt>
                <c:pt idx="3152">
                  <c:v>0.11332468572476186</c:v>
                </c:pt>
                <c:pt idx="3153">
                  <c:v>0.11332468572476186</c:v>
                </c:pt>
                <c:pt idx="3154">
                  <c:v>0.11332468572476186</c:v>
                </c:pt>
                <c:pt idx="3155">
                  <c:v>0.11332468572476186</c:v>
                </c:pt>
                <c:pt idx="3156">
                  <c:v>0.11332468572476186</c:v>
                </c:pt>
                <c:pt idx="3157">
                  <c:v>0.11332468572476186</c:v>
                </c:pt>
                <c:pt idx="3158">
                  <c:v>0.11332468572476186</c:v>
                </c:pt>
                <c:pt idx="3159">
                  <c:v>0.11332468572476186</c:v>
                </c:pt>
                <c:pt idx="3160">
                  <c:v>0.11332468572476186</c:v>
                </c:pt>
                <c:pt idx="3161">
                  <c:v>0.11332468572476186</c:v>
                </c:pt>
                <c:pt idx="3162">
                  <c:v>0.11332468572476186</c:v>
                </c:pt>
                <c:pt idx="3163">
                  <c:v>0.11332468572476186</c:v>
                </c:pt>
                <c:pt idx="3164">
                  <c:v>0.11332468572476186</c:v>
                </c:pt>
                <c:pt idx="3165">
                  <c:v>0.11332468572476186</c:v>
                </c:pt>
                <c:pt idx="3166">
                  <c:v>0.11332468572476186</c:v>
                </c:pt>
                <c:pt idx="3167">
                  <c:v>0.11332468572476186</c:v>
                </c:pt>
                <c:pt idx="3168">
                  <c:v>0.11332468572476186</c:v>
                </c:pt>
                <c:pt idx="3169">
                  <c:v>0.11332468572476186</c:v>
                </c:pt>
                <c:pt idx="3170">
                  <c:v>0.11332468572476186</c:v>
                </c:pt>
                <c:pt idx="3171">
                  <c:v>0.11332468572476186</c:v>
                </c:pt>
                <c:pt idx="3172">
                  <c:v>0.11332468572476186</c:v>
                </c:pt>
                <c:pt idx="3173">
                  <c:v>0.11332468572476186</c:v>
                </c:pt>
                <c:pt idx="3174">
                  <c:v>0.11332468572476186</c:v>
                </c:pt>
                <c:pt idx="3175">
                  <c:v>0.11332468572476186</c:v>
                </c:pt>
                <c:pt idx="3176">
                  <c:v>0.11332468572476186</c:v>
                </c:pt>
                <c:pt idx="3177">
                  <c:v>0.11332468572476186</c:v>
                </c:pt>
                <c:pt idx="3178">
                  <c:v>0.11332468572476186</c:v>
                </c:pt>
                <c:pt idx="3179">
                  <c:v>0.11332468572476186</c:v>
                </c:pt>
                <c:pt idx="3180">
                  <c:v>0.11332468572476186</c:v>
                </c:pt>
                <c:pt idx="3181">
                  <c:v>0.11332468572476186</c:v>
                </c:pt>
                <c:pt idx="3182">
                  <c:v>0.11332468572476186</c:v>
                </c:pt>
                <c:pt idx="3183">
                  <c:v>0.11332468572476186</c:v>
                </c:pt>
                <c:pt idx="3184">
                  <c:v>0.11332468572476186</c:v>
                </c:pt>
                <c:pt idx="3185">
                  <c:v>0.11332468572476186</c:v>
                </c:pt>
                <c:pt idx="3186">
                  <c:v>0.11332468572476186</c:v>
                </c:pt>
                <c:pt idx="3187">
                  <c:v>0.11332468572476186</c:v>
                </c:pt>
                <c:pt idx="3188">
                  <c:v>0.11332468572476186</c:v>
                </c:pt>
                <c:pt idx="3189">
                  <c:v>0.11332468572476186</c:v>
                </c:pt>
                <c:pt idx="3190">
                  <c:v>0.11332468572476186</c:v>
                </c:pt>
                <c:pt idx="3191">
                  <c:v>0.11332468572476186</c:v>
                </c:pt>
                <c:pt idx="3192">
                  <c:v>0.11332468572476186</c:v>
                </c:pt>
                <c:pt idx="3193">
                  <c:v>0.11332468572476186</c:v>
                </c:pt>
                <c:pt idx="3194">
                  <c:v>0.11332468572476186</c:v>
                </c:pt>
                <c:pt idx="3195">
                  <c:v>0.11332468572476186</c:v>
                </c:pt>
                <c:pt idx="3196">
                  <c:v>0.11332468572476186</c:v>
                </c:pt>
                <c:pt idx="3197">
                  <c:v>0.11332468572476186</c:v>
                </c:pt>
                <c:pt idx="3198">
                  <c:v>0.11332468572476186</c:v>
                </c:pt>
                <c:pt idx="3199">
                  <c:v>0.11332468572476186</c:v>
                </c:pt>
                <c:pt idx="3200">
                  <c:v>0.11332468572476186</c:v>
                </c:pt>
                <c:pt idx="3201">
                  <c:v>0.11332468572476186</c:v>
                </c:pt>
                <c:pt idx="3202">
                  <c:v>0.11332468572476186</c:v>
                </c:pt>
                <c:pt idx="3203">
                  <c:v>0.11332468572476186</c:v>
                </c:pt>
                <c:pt idx="3204">
                  <c:v>0.11332468572476186</c:v>
                </c:pt>
                <c:pt idx="3205">
                  <c:v>0.11332468572476186</c:v>
                </c:pt>
                <c:pt idx="3206">
                  <c:v>0.11332468572476186</c:v>
                </c:pt>
                <c:pt idx="3207">
                  <c:v>0.11332468572476186</c:v>
                </c:pt>
                <c:pt idx="3208">
                  <c:v>0.11332468572476186</c:v>
                </c:pt>
                <c:pt idx="3209">
                  <c:v>0.11332468572476186</c:v>
                </c:pt>
                <c:pt idx="3210">
                  <c:v>0.11332468572476186</c:v>
                </c:pt>
                <c:pt idx="3211">
                  <c:v>0.11332468572476186</c:v>
                </c:pt>
                <c:pt idx="3212">
                  <c:v>0.11332468572476186</c:v>
                </c:pt>
                <c:pt idx="3213">
                  <c:v>0.11332468572476186</c:v>
                </c:pt>
                <c:pt idx="3214">
                  <c:v>0.11332468572476186</c:v>
                </c:pt>
                <c:pt idx="3215">
                  <c:v>0.11332468572476186</c:v>
                </c:pt>
                <c:pt idx="3216">
                  <c:v>0.11332468572476186</c:v>
                </c:pt>
                <c:pt idx="3217">
                  <c:v>0.11332468572476186</c:v>
                </c:pt>
                <c:pt idx="3218">
                  <c:v>0.11332468572476186</c:v>
                </c:pt>
                <c:pt idx="3219">
                  <c:v>0.11332468572476186</c:v>
                </c:pt>
                <c:pt idx="3220">
                  <c:v>0.11332468572476186</c:v>
                </c:pt>
                <c:pt idx="3221">
                  <c:v>0.11332468572476186</c:v>
                </c:pt>
                <c:pt idx="3222">
                  <c:v>0.11332468572476186</c:v>
                </c:pt>
                <c:pt idx="3223">
                  <c:v>0.11332468572476186</c:v>
                </c:pt>
                <c:pt idx="3224">
                  <c:v>0.11332468572476186</c:v>
                </c:pt>
                <c:pt idx="3225">
                  <c:v>0.11332468572476186</c:v>
                </c:pt>
                <c:pt idx="3226">
                  <c:v>0.11332468572476186</c:v>
                </c:pt>
                <c:pt idx="3227">
                  <c:v>0.11332468572476186</c:v>
                </c:pt>
                <c:pt idx="3228">
                  <c:v>0.11332468572476186</c:v>
                </c:pt>
                <c:pt idx="3229">
                  <c:v>0.11332468572476186</c:v>
                </c:pt>
                <c:pt idx="3230">
                  <c:v>0.11332468572476186</c:v>
                </c:pt>
                <c:pt idx="3231">
                  <c:v>0.11332468572476186</c:v>
                </c:pt>
                <c:pt idx="3232">
                  <c:v>0.11332468572476186</c:v>
                </c:pt>
                <c:pt idx="3233">
                  <c:v>0.11332468572476186</c:v>
                </c:pt>
                <c:pt idx="3234">
                  <c:v>0.11332468572476186</c:v>
                </c:pt>
                <c:pt idx="3235">
                  <c:v>0.11332468572476186</c:v>
                </c:pt>
                <c:pt idx="3236">
                  <c:v>0.11332468572476186</c:v>
                </c:pt>
                <c:pt idx="3237">
                  <c:v>0.11332468572476186</c:v>
                </c:pt>
                <c:pt idx="3238">
                  <c:v>0.11332468572476186</c:v>
                </c:pt>
                <c:pt idx="3239">
                  <c:v>0.11332468572476186</c:v>
                </c:pt>
                <c:pt idx="3240">
                  <c:v>0.11332468572476186</c:v>
                </c:pt>
                <c:pt idx="3241">
                  <c:v>0.11332468572476186</c:v>
                </c:pt>
                <c:pt idx="3242">
                  <c:v>0.11332468572476186</c:v>
                </c:pt>
                <c:pt idx="3243">
                  <c:v>0.11332468572476186</c:v>
                </c:pt>
                <c:pt idx="3244">
                  <c:v>0.11332468572476186</c:v>
                </c:pt>
                <c:pt idx="3245">
                  <c:v>0.11332468572476186</c:v>
                </c:pt>
                <c:pt idx="3246">
                  <c:v>0.11332468572476186</c:v>
                </c:pt>
                <c:pt idx="3247">
                  <c:v>0.11332468572476186</c:v>
                </c:pt>
                <c:pt idx="3248">
                  <c:v>0.11332468572476186</c:v>
                </c:pt>
                <c:pt idx="3249">
                  <c:v>0.11332468572476186</c:v>
                </c:pt>
                <c:pt idx="3250">
                  <c:v>0.11332468572476186</c:v>
                </c:pt>
                <c:pt idx="3251">
                  <c:v>0.11332468572476186</c:v>
                </c:pt>
                <c:pt idx="3252">
                  <c:v>0.11332468572476186</c:v>
                </c:pt>
                <c:pt idx="3253">
                  <c:v>0.11332468572476186</c:v>
                </c:pt>
                <c:pt idx="3254">
                  <c:v>0.11332468572476186</c:v>
                </c:pt>
                <c:pt idx="3255">
                  <c:v>0.11332468572476186</c:v>
                </c:pt>
                <c:pt idx="3256">
                  <c:v>0.11332468572476186</c:v>
                </c:pt>
                <c:pt idx="3257">
                  <c:v>0.11332468572476186</c:v>
                </c:pt>
                <c:pt idx="3258">
                  <c:v>0.11332468572476186</c:v>
                </c:pt>
                <c:pt idx="3259">
                  <c:v>0.11332468572476186</c:v>
                </c:pt>
                <c:pt idx="3260">
                  <c:v>0.11332468572476186</c:v>
                </c:pt>
                <c:pt idx="3261">
                  <c:v>0.11332468572476186</c:v>
                </c:pt>
                <c:pt idx="3262">
                  <c:v>0.11332468572476186</c:v>
                </c:pt>
                <c:pt idx="3263">
                  <c:v>0.11332468572476186</c:v>
                </c:pt>
                <c:pt idx="3264">
                  <c:v>0.11332468572476186</c:v>
                </c:pt>
                <c:pt idx="3265">
                  <c:v>0.11332468572476186</c:v>
                </c:pt>
                <c:pt idx="3266">
                  <c:v>0.11332468572476186</c:v>
                </c:pt>
                <c:pt idx="3267">
                  <c:v>0.11332468572476186</c:v>
                </c:pt>
                <c:pt idx="3268">
                  <c:v>0.11332468572476186</c:v>
                </c:pt>
                <c:pt idx="3269">
                  <c:v>0.11332468572476186</c:v>
                </c:pt>
                <c:pt idx="3270">
                  <c:v>0.11332468572476186</c:v>
                </c:pt>
                <c:pt idx="3271">
                  <c:v>0.11332468572476186</c:v>
                </c:pt>
                <c:pt idx="3272">
                  <c:v>0.11332468572476186</c:v>
                </c:pt>
                <c:pt idx="3273">
                  <c:v>0.11332468572476186</c:v>
                </c:pt>
                <c:pt idx="3274">
                  <c:v>0.11332468572476186</c:v>
                </c:pt>
                <c:pt idx="3275">
                  <c:v>0.11332468572476186</c:v>
                </c:pt>
                <c:pt idx="3276">
                  <c:v>0.11332468572476186</c:v>
                </c:pt>
                <c:pt idx="3277">
                  <c:v>0.11332468572476186</c:v>
                </c:pt>
                <c:pt idx="3278">
                  <c:v>0.11332468572476186</c:v>
                </c:pt>
                <c:pt idx="3279">
                  <c:v>0.11332468572476186</c:v>
                </c:pt>
                <c:pt idx="3280">
                  <c:v>0.11332468572476186</c:v>
                </c:pt>
                <c:pt idx="3281">
                  <c:v>0.11332468572476186</c:v>
                </c:pt>
                <c:pt idx="3282">
                  <c:v>0.11332468572476186</c:v>
                </c:pt>
                <c:pt idx="3283">
                  <c:v>0.11332468572476186</c:v>
                </c:pt>
                <c:pt idx="3284">
                  <c:v>0.11332468572476186</c:v>
                </c:pt>
                <c:pt idx="3285">
                  <c:v>0.11332468572476186</c:v>
                </c:pt>
                <c:pt idx="3286">
                  <c:v>0.11332468572476186</c:v>
                </c:pt>
                <c:pt idx="3287">
                  <c:v>0.11332468572476186</c:v>
                </c:pt>
                <c:pt idx="3288">
                  <c:v>0.11332468572476186</c:v>
                </c:pt>
                <c:pt idx="3289">
                  <c:v>0.11332468572476186</c:v>
                </c:pt>
                <c:pt idx="3290">
                  <c:v>0.11332468572476186</c:v>
                </c:pt>
                <c:pt idx="3291">
                  <c:v>0.11332468572476186</c:v>
                </c:pt>
                <c:pt idx="3292">
                  <c:v>0.11332468572476186</c:v>
                </c:pt>
                <c:pt idx="3293">
                  <c:v>0.11332468572476186</c:v>
                </c:pt>
                <c:pt idx="3294">
                  <c:v>0.11332468572476186</c:v>
                </c:pt>
                <c:pt idx="3295">
                  <c:v>0.11332468572476186</c:v>
                </c:pt>
                <c:pt idx="3296">
                  <c:v>0.11332468572476186</c:v>
                </c:pt>
                <c:pt idx="3297">
                  <c:v>0.11332468572476186</c:v>
                </c:pt>
                <c:pt idx="3298">
                  <c:v>0.11332468572476186</c:v>
                </c:pt>
                <c:pt idx="3299">
                  <c:v>0.11332468572476186</c:v>
                </c:pt>
                <c:pt idx="3300">
                  <c:v>0.11332468572476186</c:v>
                </c:pt>
                <c:pt idx="3301">
                  <c:v>0.11332468572476186</c:v>
                </c:pt>
                <c:pt idx="3302">
                  <c:v>0.11332468572476186</c:v>
                </c:pt>
                <c:pt idx="3303">
                  <c:v>0.11332468572476186</c:v>
                </c:pt>
                <c:pt idx="3304">
                  <c:v>0.11332468572476186</c:v>
                </c:pt>
                <c:pt idx="3305">
                  <c:v>0.11332468572476186</c:v>
                </c:pt>
                <c:pt idx="3306">
                  <c:v>0.11332468572476186</c:v>
                </c:pt>
                <c:pt idx="3307">
                  <c:v>0.11332468572476186</c:v>
                </c:pt>
                <c:pt idx="3308">
                  <c:v>0.11332468572476186</c:v>
                </c:pt>
                <c:pt idx="3309">
                  <c:v>0.11332468572476186</c:v>
                </c:pt>
                <c:pt idx="3310">
                  <c:v>0.11332468572476186</c:v>
                </c:pt>
                <c:pt idx="3311">
                  <c:v>0.11332468572476186</c:v>
                </c:pt>
                <c:pt idx="3312">
                  <c:v>0.11332468572476186</c:v>
                </c:pt>
                <c:pt idx="3313">
                  <c:v>0.11332468572476186</c:v>
                </c:pt>
                <c:pt idx="3314">
                  <c:v>0.11332468572476186</c:v>
                </c:pt>
                <c:pt idx="3315">
                  <c:v>0.11332468572476186</c:v>
                </c:pt>
                <c:pt idx="3316">
                  <c:v>0.11332468572476186</c:v>
                </c:pt>
                <c:pt idx="3317">
                  <c:v>0.11332468572476186</c:v>
                </c:pt>
                <c:pt idx="3318">
                  <c:v>0.11332468572476186</c:v>
                </c:pt>
                <c:pt idx="3319">
                  <c:v>0.11332468572476186</c:v>
                </c:pt>
                <c:pt idx="3320">
                  <c:v>0.11332468572476186</c:v>
                </c:pt>
                <c:pt idx="3321">
                  <c:v>0.11332468572476186</c:v>
                </c:pt>
                <c:pt idx="3322">
                  <c:v>0.11332468572476186</c:v>
                </c:pt>
                <c:pt idx="3323">
                  <c:v>0.11332468572476186</c:v>
                </c:pt>
                <c:pt idx="3324">
                  <c:v>0.11332468572476186</c:v>
                </c:pt>
                <c:pt idx="3325">
                  <c:v>0.11332468572476186</c:v>
                </c:pt>
                <c:pt idx="3326">
                  <c:v>0.11332468572476186</c:v>
                </c:pt>
                <c:pt idx="3327">
                  <c:v>0.11332468572476186</c:v>
                </c:pt>
                <c:pt idx="3328">
                  <c:v>0.11332468572476186</c:v>
                </c:pt>
                <c:pt idx="3329">
                  <c:v>0.11332468572476186</c:v>
                </c:pt>
                <c:pt idx="3330">
                  <c:v>0.11332468572476186</c:v>
                </c:pt>
                <c:pt idx="3331">
                  <c:v>0.11332468572476186</c:v>
                </c:pt>
                <c:pt idx="3332">
                  <c:v>0.11332468572476186</c:v>
                </c:pt>
                <c:pt idx="3333">
                  <c:v>0.11332468572476186</c:v>
                </c:pt>
                <c:pt idx="3334">
                  <c:v>0.11332468572476186</c:v>
                </c:pt>
                <c:pt idx="3335">
                  <c:v>0.11332468572476186</c:v>
                </c:pt>
                <c:pt idx="3336">
                  <c:v>0.11332468572476186</c:v>
                </c:pt>
                <c:pt idx="3337">
                  <c:v>0.11332468572476186</c:v>
                </c:pt>
                <c:pt idx="3338">
                  <c:v>0.11332468572476186</c:v>
                </c:pt>
                <c:pt idx="3339">
                  <c:v>0.11332468572476186</c:v>
                </c:pt>
                <c:pt idx="3340">
                  <c:v>0.11332468572476186</c:v>
                </c:pt>
                <c:pt idx="3341">
                  <c:v>0.11332468572476186</c:v>
                </c:pt>
                <c:pt idx="3342">
                  <c:v>0.11332468572476186</c:v>
                </c:pt>
                <c:pt idx="3343">
                  <c:v>0.11332468572476186</c:v>
                </c:pt>
                <c:pt idx="3344">
                  <c:v>0.11332468572476186</c:v>
                </c:pt>
                <c:pt idx="3345">
                  <c:v>0.11332468572476186</c:v>
                </c:pt>
                <c:pt idx="3346">
                  <c:v>0.11332468572476186</c:v>
                </c:pt>
                <c:pt idx="3347">
                  <c:v>0.11332468572476186</c:v>
                </c:pt>
                <c:pt idx="3348">
                  <c:v>0.11332468572476186</c:v>
                </c:pt>
                <c:pt idx="3349">
                  <c:v>0.11332468572476186</c:v>
                </c:pt>
                <c:pt idx="3350">
                  <c:v>0.11332468572476186</c:v>
                </c:pt>
                <c:pt idx="3351">
                  <c:v>0.11332468572476186</c:v>
                </c:pt>
                <c:pt idx="3352">
                  <c:v>0.11332468572476186</c:v>
                </c:pt>
                <c:pt idx="3353">
                  <c:v>0.11332468572476186</c:v>
                </c:pt>
                <c:pt idx="3354">
                  <c:v>0.11332468572476186</c:v>
                </c:pt>
                <c:pt idx="3355">
                  <c:v>0.11332468572476186</c:v>
                </c:pt>
                <c:pt idx="3356">
                  <c:v>0.11332468572476186</c:v>
                </c:pt>
                <c:pt idx="3357">
                  <c:v>0.11332468572476186</c:v>
                </c:pt>
                <c:pt idx="3358">
                  <c:v>0.11332468572476186</c:v>
                </c:pt>
                <c:pt idx="3359">
                  <c:v>0.11332468572476186</c:v>
                </c:pt>
                <c:pt idx="3360">
                  <c:v>0.11332468572476186</c:v>
                </c:pt>
                <c:pt idx="3361">
                  <c:v>0.11332468572476186</c:v>
                </c:pt>
                <c:pt idx="3362">
                  <c:v>0.11332468572476186</c:v>
                </c:pt>
                <c:pt idx="3363">
                  <c:v>0.11332468572476186</c:v>
                </c:pt>
                <c:pt idx="3364">
                  <c:v>0.11332468572476186</c:v>
                </c:pt>
                <c:pt idx="3365">
                  <c:v>0.11332468572476186</c:v>
                </c:pt>
                <c:pt idx="3366">
                  <c:v>0.11332468572476186</c:v>
                </c:pt>
                <c:pt idx="3367">
                  <c:v>0.11332468572476186</c:v>
                </c:pt>
                <c:pt idx="3368">
                  <c:v>0.11332468572476186</c:v>
                </c:pt>
                <c:pt idx="3369">
                  <c:v>0.11332468572476186</c:v>
                </c:pt>
                <c:pt idx="3370">
                  <c:v>0.11332468572476186</c:v>
                </c:pt>
                <c:pt idx="3371">
                  <c:v>0.11332468572476186</c:v>
                </c:pt>
                <c:pt idx="3372">
                  <c:v>0.11332468572476186</c:v>
                </c:pt>
                <c:pt idx="3373">
                  <c:v>0.11332468572476186</c:v>
                </c:pt>
                <c:pt idx="3374">
                  <c:v>0.11332468572476186</c:v>
                </c:pt>
                <c:pt idx="3375">
                  <c:v>0.11332468572476186</c:v>
                </c:pt>
                <c:pt idx="3376">
                  <c:v>0.11332468572476186</c:v>
                </c:pt>
                <c:pt idx="3377">
                  <c:v>0.11332468572476186</c:v>
                </c:pt>
                <c:pt idx="3378">
                  <c:v>0.11332468572476186</c:v>
                </c:pt>
                <c:pt idx="3379">
                  <c:v>0.11332468572476186</c:v>
                </c:pt>
                <c:pt idx="3380">
                  <c:v>0.11332468572476186</c:v>
                </c:pt>
                <c:pt idx="3381">
                  <c:v>0.11332468572476186</c:v>
                </c:pt>
                <c:pt idx="3382">
                  <c:v>0.11332468572476186</c:v>
                </c:pt>
                <c:pt idx="3383">
                  <c:v>0.11332468572476186</c:v>
                </c:pt>
                <c:pt idx="3384">
                  <c:v>0.11332468572476186</c:v>
                </c:pt>
                <c:pt idx="3385">
                  <c:v>0.11332468572476186</c:v>
                </c:pt>
                <c:pt idx="3386">
                  <c:v>0.11332468572476186</c:v>
                </c:pt>
                <c:pt idx="3387">
                  <c:v>0.11332468572476186</c:v>
                </c:pt>
                <c:pt idx="3388">
                  <c:v>0.11332468572476186</c:v>
                </c:pt>
                <c:pt idx="3389">
                  <c:v>0.11332468572476186</c:v>
                </c:pt>
                <c:pt idx="3390">
                  <c:v>0.11332468572476186</c:v>
                </c:pt>
                <c:pt idx="3391">
                  <c:v>0.11332468572476186</c:v>
                </c:pt>
                <c:pt idx="3392">
                  <c:v>0.11332468572476186</c:v>
                </c:pt>
                <c:pt idx="3393">
                  <c:v>0.11332468572476186</c:v>
                </c:pt>
                <c:pt idx="3394">
                  <c:v>0.11332468572476186</c:v>
                </c:pt>
                <c:pt idx="3395">
                  <c:v>0.11332468572476186</c:v>
                </c:pt>
                <c:pt idx="3396">
                  <c:v>0.11332468572476186</c:v>
                </c:pt>
                <c:pt idx="3397">
                  <c:v>0.11332468572476186</c:v>
                </c:pt>
                <c:pt idx="3398">
                  <c:v>0.11332468572476186</c:v>
                </c:pt>
                <c:pt idx="3399">
                  <c:v>0.11332468572476186</c:v>
                </c:pt>
                <c:pt idx="3400">
                  <c:v>0.11332468572476186</c:v>
                </c:pt>
                <c:pt idx="3401">
                  <c:v>0.11332468572476186</c:v>
                </c:pt>
                <c:pt idx="3402">
                  <c:v>0.11332468572476186</c:v>
                </c:pt>
                <c:pt idx="3403">
                  <c:v>0.11332468572476186</c:v>
                </c:pt>
                <c:pt idx="3404">
                  <c:v>0.11332468572476186</c:v>
                </c:pt>
                <c:pt idx="3405">
                  <c:v>0.11332468572476186</c:v>
                </c:pt>
                <c:pt idx="3406">
                  <c:v>0.11332468572476186</c:v>
                </c:pt>
                <c:pt idx="3407">
                  <c:v>0.11332468572476186</c:v>
                </c:pt>
                <c:pt idx="3408">
                  <c:v>0.11332468572476186</c:v>
                </c:pt>
                <c:pt idx="3409">
                  <c:v>0.11332468572476186</c:v>
                </c:pt>
                <c:pt idx="3410">
                  <c:v>0.11332468572476186</c:v>
                </c:pt>
                <c:pt idx="3411">
                  <c:v>0.11332468572476186</c:v>
                </c:pt>
                <c:pt idx="3412">
                  <c:v>0.11332468572476186</c:v>
                </c:pt>
                <c:pt idx="3413">
                  <c:v>0.11332468572476186</c:v>
                </c:pt>
                <c:pt idx="3414">
                  <c:v>0.11332468572476186</c:v>
                </c:pt>
                <c:pt idx="3415">
                  <c:v>0.11332468572476186</c:v>
                </c:pt>
                <c:pt idx="3416">
                  <c:v>0.11332468572476186</c:v>
                </c:pt>
                <c:pt idx="3417">
                  <c:v>0.11332468572476186</c:v>
                </c:pt>
                <c:pt idx="3418">
                  <c:v>0.11332468572476186</c:v>
                </c:pt>
                <c:pt idx="3419">
                  <c:v>0.11332468572476186</c:v>
                </c:pt>
                <c:pt idx="3420">
                  <c:v>0.11332468572476186</c:v>
                </c:pt>
                <c:pt idx="3421">
                  <c:v>0.11332468572476186</c:v>
                </c:pt>
                <c:pt idx="3422">
                  <c:v>0.11332468572476186</c:v>
                </c:pt>
                <c:pt idx="3423">
                  <c:v>0.11332468572476186</c:v>
                </c:pt>
                <c:pt idx="3424">
                  <c:v>0.11332468572476186</c:v>
                </c:pt>
                <c:pt idx="3425">
                  <c:v>0.11332468572476186</c:v>
                </c:pt>
                <c:pt idx="3426">
                  <c:v>0.11332468572476186</c:v>
                </c:pt>
                <c:pt idx="3427">
                  <c:v>0.11332468572476186</c:v>
                </c:pt>
                <c:pt idx="3428">
                  <c:v>0.11332468572476186</c:v>
                </c:pt>
                <c:pt idx="3429">
                  <c:v>0.11332468572476186</c:v>
                </c:pt>
                <c:pt idx="3430">
                  <c:v>0.11332468572476186</c:v>
                </c:pt>
                <c:pt idx="3431">
                  <c:v>0.11332468572476186</c:v>
                </c:pt>
                <c:pt idx="3432">
                  <c:v>0.11332468572476186</c:v>
                </c:pt>
                <c:pt idx="3433">
                  <c:v>0.11332468572476186</c:v>
                </c:pt>
                <c:pt idx="3434">
                  <c:v>0.11332468572476186</c:v>
                </c:pt>
                <c:pt idx="3435">
                  <c:v>0.11332468572476186</c:v>
                </c:pt>
                <c:pt idx="3436">
                  <c:v>0.11332468572476186</c:v>
                </c:pt>
                <c:pt idx="3437">
                  <c:v>0.11332468572476186</c:v>
                </c:pt>
                <c:pt idx="3438">
                  <c:v>0.11332468572476186</c:v>
                </c:pt>
                <c:pt idx="3439">
                  <c:v>0.11332468572476186</c:v>
                </c:pt>
                <c:pt idx="3440">
                  <c:v>0.11332468572476186</c:v>
                </c:pt>
                <c:pt idx="3441">
                  <c:v>0.11332468572476186</c:v>
                </c:pt>
                <c:pt idx="3442">
                  <c:v>0.11332468572476186</c:v>
                </c:pt>
                <c:pt idx="3443">
                  <c:v>0.11332468572476186</c:v>
                </c:pt>
                <c:pt idx="3444">
                  <c:v>0.11332468572476186</c:v>
                </c:pt>
                <c:pt idx="3445">
                  <c:v>0.11332468572476186</c:v>
                </c:pt>
                <c:pt idx="3446">
                  <c:v>0.11332468572476186</c:v>
                </c:pt>
                <c:pt idx="3447">
                  <c:v>0.11332468572476186</c:v>
                </c:pt>
                <c:pt idx="3448">
                  <c:v>0.11332468572476186</c:v>
                </c:pt>
                <c:pt idx="3449">
                  <c:v>0.11332468572476186</c:v>
                </c:pt>
                <c:pt idx="3450">
                  <c:v>0.11332468572476186</c:v>
                </c:pt>
                <c:pt idx="3451">
                  <c:v>0.11332468572476186</c:v>
                </c:pt>
                <c:pt idx="3452">
                  <c:v>0.11332468572476186</c:v>
                </c:pt>
                <c:pt idx="3453">
                  <c:v>0.11332468572476186</c:v>
                </c:pt>
                <c:pt idx="3454">
                  <c:v>0.11332468572476186</c:v>
                </c:pt>
                <c:pt idx="3455">
                  <c:v>0.11332468572476186</c:v>
                </c:pt>
                <c:pt idx="3456">
                  <c:v>0.11332468572476186</c:v>
                </c:pt>
                <c:pt idx="3457">
                  <c:v>0.11332468572476186</c:v>
                </c:pt>
                <c:pt idx="3458">
                  <c:v>0.11332468572476186</c:v>
                </c:pt>
                <c:pt idx="3459">
                  <c:v>0.11332468572476186</c:v>
                </c:pt>
                <c:pt idx="3460">
                  <c:v>0.11332468572476186</c:v>
                </c:pt>
                <c:pt idx="3461">
                  <c:v>0.11332468572476186</c:v>
                </c:pt>
                <c:pt idx="3462">
                  <c:v>0.11332468572476186</c:v>
                </c:pt>
                <c:pt idx="3463">
                  <c:v>0.11332468572476186</c:v>
                </c:pt>
                <c:pt idx="3464">
                  <c:v>0.11332468572476186</c:v>
                </c:pt>
                <c:pt idx="3465">
                  <c:v>0.11332468572476186</c:v>
                </c:pt>
                <c:pt idx="3466">
                  <c:v>0.11332468572476186</c:v>
                </c:pt>
                <c:pt idx="3467">
                  <c:v>0.11332468572476186</c:v>
                </c:pt>
                <c:pt idx="3468">
                  <c:v>0.11332468572476186</c:v>
                </c:pt>
                <c:pt idx="3469">
                  <c:v>0.11332468572476186</c:v>
                </c:pt>
                <c:pt idx="3470">
                  <c:v>0.11332468572476186</c:v>
                </c:pt>
                <c:pt idx="3471">
                  <c:v>0.11332468572476186</c:v>
                </c:pt>
                <c:pt idx="3472">
                  <c:v>0.11332468572476186</c:v>
                </c:pt>
                <c:pt idx="3473">
                  <c:v>0.11332468572476186</c:v>
                </c:pt>
                <c:pt idx="3474">
                  <c:v>0.11332468572476186</c:v>
                </c:pt>
                <c:pt idx="3475">
                  <c:v>0.11332468572476186</c:v>
                </c:pt>
                <c:pt idx="3476">
                  <c:v>0.11332468572476186</c:v>
                </c:pt>
                <c:pt idx="3477">
                  <c:v>0.11332468572476186</c:v>
                </c:pt>
                <c:pt idx="3478">
                  <c:v>0.11332468572476186</c:v>
                </c:pt>
                <c:pt idx="3479">
                  <c:v>0.11332468572476186</c:v>
                </c:pt>
                <c:pt idx="3480">
                  <c:v>0.11332468572476186</c:v>
                </c:pt>
                <c:pt idx="3481">
                  <c:v>0.11332468572476186</c:v>
                </c:pt>
                <c:pt idx="3482">
                  <c:v>0.11332468572476186</c:v>
                </c:pt>
                <c:pt idx="3483">
                  <c:v>0.11332468572476186</c:v>
                </c:pt>
                <c:pt idx="3484">
                  <c:v>0.11332468572476186</c:v>
                </c:pt>
                <c:pt idx="3485">
                  <c:v>0.11332468572476186</c:v>
                </c:pt>
                <c:pt idx="3486">
                  <c:v>0.11332468572476186</c:v>
                </c:pt>
                <c:pt idx="3487">
                  <c:v>0.11332468572476186</c:v>
                </c:pt>
                <c:pt idx="3488">
                  <c:v>0.11332468572476186</c:v>
                </c:pt>
                <c:pt idx="3489">
                  <c:v>0.11332468572476186</c:v>
                </c:pt>
                <c:pt idx="3490">
                  <c:v>0.11332468572476186</c:v>
                </c:pt>
                <c:pt idx="3491">
                  <c:v>0.11332468572476186</c:v>
                </c:pt>
                <c:pt idx="3492">
                  <c:v>0.11332468572476186</c:v>
                </c:pt>
                <c:pt idx="3493">
                  <c:v>0.11332468572476186</c:v>
                </c:pt>
                <c:pt idx="3494">
                  <c:v>0.11332468572476186</c:v>
                </c:pt>
                <c:pt idx="3495">
                  <c:v>0.11332468572476186</c:v>
                </c:pt>
                <c:pt idx="3496">
                  <c:v>0.11332468572476186</c:v>
                </c:pt>
                <c:pt idx="3497">
                  <c:v>0.11332468572476186</c:v>
                </c:pt>
                <c:pt idx="3498">
                  <c:v>0.11332468572476186</c:v>
                </c:pt>
                <c:pt idx="3499">
                  <c:v>0.11332468572476186</c:v>
                </c:pt>
                <c:pt idx="3500">
                  <c:v>0.11332468572476186</c:v>
                </c:pt>
                <c:pt idx="3501">
                  <c:v>0.11332468572476186</c:v>
                </c:pt>
                <c:pt idx="3502">
                  <c:v>0.11332468572476186</c:v>
                </c:pt>
                <c:pt idx="3503">
                  <c:v>0.11332468572476186</c:v>
                </c:pt>
                <c:pt idx="3504">
                  <c:v>0.11332468572476186</c:v>
                </c:pt>
                <c:pt idx="3505">
                  <c:v>0.11332468572476186</c:v>
                </c:pt>
                <c:pt idx="3506">
                  <c:v>0.11332468572476186</c:v>
                </c:pt>
                <c:pt idx="3507">
                  <c:v>0.11332468572476186</c:v>
                </c:pt>
                <c:pt idx="3508">
                  <c:v>0.11332468572476186</c:v>
                </c:pt>
                <c:pt idx="3509">
                  <c:v>0.11332468572476186</c:v>
                </c:pt>
                <c:pt idx="3510">
                  <c:v>0.11332468572476186</c:v>
                </c:pt>
                <c:pt idx="3511">
                  <c:v>0.11332468572476186</c:v>
                </c:pt>
                <c:pt idx="3512">
                  <c:v>0.11332468572476186</c:v>
                </c:pt>
                <c:pt idx="3513">
                  <c:v>0.11332468572476186</c:v>
                </c:pt>
                <c:pt idx="3514">
                  <c:v>0.11332468572476186</c:v>
                </c:pt>
                <c:pt idx="3515">
                  <c:v>0.11332468572476186</c:v>
                </c:pt>
                <c:pt idx="3516">
                  <c:v>0.11332468572476186</c:v>
                </c:pt>
                <c:pt idx="3517">
                  <c:v>0.11332468572476186</c:v>
                </c:pt>
                <c:pt idx="3518">
                  <c:v>0.11332468572476186</c:v>
                </c:pt>
                <c:pt idx="3519">
                  <c:v>0.11332468572476186</c:v>
                </c:pt>
                <c:pt idx="3520">
                  <c:v>0.11332468572476186</c:v>
                </c:pt>
                <c:pt idx="3521">
                  <c:v>0.11332468572476186</c:v>
                </c:pt>
                <c:pt idx="3522">
                  <c:v>0.11332468572476186</c:v>
                </c:pt>
                <c:pt idx="3523">
                  <c:v>0.11332468572476186</c:v>
                </c:pt>
                <c:pt idx="3524">
                  <c:v>0.11332468572476186</c:v>
                </c:pt>
                <c:pt idx="3525">
                  <c:v>0.11332468572476186</c:v>
                </c:pt>
                <c:pt idx="3526">
                  <c:v>0.11332468572476186</c:v>
                </c:pt>
                <c:pt idx="3527">
                  <c:v>0.11332468572476186</c:v>
                </c:pt>
                <c:pt idx="3528">
                  <c:v>0.11332468572476186</c:v>
                </c:pt>
                <c:pt idx="3529">
                  <c:v>0.11332468572476186</c:v>
                </c:pt>
                <c:pt idx="3530">
                  <c:v>0.11332468572476186</c:v>
                </c:pt>
                <c:pt idx="3531">
                  <c:v>0.11332468572476186</c:v>
                </c:pt>
                <c:pt idx="3532">
                  <c:v>0.11332468572476186</c:v>
                </c:pt>
                <c:pt idx="3533">
                  <c:v>0.11332468572476186</c:v>
                </c:pt>
                <c:pt idx="3534">
                  <c:v>0.11332468572476186</c:v>
                </c:pt>
                <c:pt idx="3535">
                  <c:v>0.11332468572476186</c:v>
                </c:pt>
                <c:pt idx="3536">
                  <c:v>0.11332468572476186</c:v>
                </c:pt>
                <c:pt idx="3537">
                  <c:v>0.11332468572476186</c:v>
                </c:pt>
                <c:pt idx="3538">
                  <c:v>0.11332468572476186</c:v>
                </c:pt>
                <c:pt idx="3539">
                  <c:v>0.11332468572476186</c:v>
                </c:pt>
                <c:pt idx="3540">
                  <c:v>0.11332468572476186</c:v>
                </c:pt>
                <c:pt idx="3541">
                  <c:v>0.11332468572476186</c:v>
                </c:pt>
                <c:pt idx="3542">
                  <c:v>0.11332468572476186</c:v>
                </c:pt>
                <c:pt idx="3543">
                  <c:v>0.11332468572476186</c:v>
                </c:pt>
                <c:pt idx="3544">
                  <c:v>0.11332468572476186</c:v>
                </c:pt>
                <c:pt idx="3545">
                  <c:v>0.11332468572476186</c:v>
                </c:pt>
                <c:pt idx="3546">
                  <c:v>0.11332468572476186</c:v>
                </c:pt>
                <c:pt idx="3547">
                  <c:v>0.11332468572476186</c:v>
                </c:pt>
                <c:pt idx="3548">
                  <c:v>0.11332468572476186</c:v>
                </c:pt>
                <c:pt idx="3549">
                  <c:v>0.11332468572476186</c:v>
                </c:pt>
                <c:pt idx="3550">
                  <c:v>0.11332468572476186</c:v>
                </c:pt>
                <c:pt idx="3551">
                  <c:v>0.11332468572476186</c:v>
                </c:pt>
                <c:pt idx="3552">
                  <c:v>0.11332468572476186</c:v>
                </c:pt>
                <c:pt idx="3553">
                  <c:v>0.11332468572476186</c:v>
                </c:pt>
                <c:pt idx="3554">
                  <c:v>0.11332468572476186</c:v>
                </c:pt>
                <c:pt idx="3555">
                  <c:v>0.11332468572476186</c:v>
                </c:pt>
                <c:pt idx="3556">
                  <c:v>0.11332468572476186</c:v>
                </c:pt>
                <c:pt idx="3557">
                  <c:v>0.11332468572476186</c:v>
                </c:pt>
                <c:pt idx="3558">
                  <c:v>0.11332468572476186</c:v>
                </c:pt>
                <c:pt idx="3559">
                  <c:v>0.11332468572476186</c:v>
                </c:pt>
                <c:pt idx="3560">
                  <c:v>0.11332468572476186</c:v>
                </c:pt>
                <c:pt idx="3561">
                  <c:v>0.11332468572476186</c:v>
                </c:pt>
                <c:pt idx="3562">
                  <c:v>0.11332468572476186</c:v>
                </c:pt>
                <c:pt idx="3563">
                  <c:v>0.11332468572476186</c:v>
                </c:pt>
                <c:pt idx="3564">
                  <c:v>0.11332468572476186</c:v>
                </c:pt>
                <c:pt idx="3565">
                  <c:v>0.11332468572476186</c:v>
                </c:pt>
                <c:pt idx="3566">
                  <c:v>0.11332468572476186</c:v>
                </c:pt>
                <c:pt idx="3567">
                  <c:v>0.11332468572476186</c:v>
                </c:pt>
                <c:pt idx="3568">
                  <c:v>0.11332468572476186</c:v>
                </c:pt>
                <c:pt idx="3569">
                  <c:v>0.11332468572476186</c:v>
                </c:pt>
                <c:pt idx="3570">
                  <c:v>0.11332468572476186</c:v>
                </c:pt>
                <c:pt idx="3571">
                  <c:v>0.11332468572476186</c:v>
                </c:pt>
                <c:pt idx="3572">
                  <c:v>0.11332468572476186</c:v>
                </c:pt>
                <c:pt idx="3573">
                  <c:v>0.11332468572476186</c:v>
                </c:pt>
                <c:pt idx="3574">
                  <c:v>0.11332468572476186</c:v>
                </c:pt>
                <c:pt idx="3575">
                  <c:v>0.11332468572476186</c:v>
                </c:pt>
                <c:pt idx="3576">
                  <c:v>0.11332468572476186</c:v>
                </c:pt>
                <c:pt idx="3577">
                  <c:v>0.11332468572476186</c:v>
                </c:pt>
                <c:pt idx="3578">
                  <c:v>0.11332468572476186</c:v>
                </c:pt>
                <c:pt idx="3579">
                  <c:v>0.11332468572476186</c:v>
                </c:pt>
                <c:pt idx="3580">
                  <c:v>0.11332468572476186</c:v>
                </c:pt>
                <c:pt idx="3581">
                  <c:v>0.11332468572476186</c:v>
                </c:pt>
                <c:pt idx="3582">
                  <c:v>0.11332468572476186</c:v>
                </c:pt>
                <c:pt idx="3583">
                  <c:v>0.11332468572476186</c:v>
                </c:pt>
                <c:pt idx="3584">
                  <c:v>0.11332468572476186</c:v>
                </c:pt>
                <c:pt idx="3585">
                  <c:v>0.11332468572476186</c:v>
                </c:pt>
                <c:pt idx="3586">
                  <c:v>0.11332468572476186</c:v>
                </c:pt>
                <c:pt idx="3587">
                  <c:v>0.11332468572476186</c:v>
                </c:pt>
                <c:pt idx="3588">
                  <c:v>0.11332468572476186</c:v>
                </c:pt>
                <c:pt idx="3589">
                  <c:v>0.11332468572476186</c:v>
                </c:pt>
                <c:pt idx="3590">
                  <c:v>0.11332468572476186</c:v>
                </c:pt>
                <c:pt idx="3591">
                  <c:v>0.11332468572476186</c:v>
                </c:pt>
                <c:pt idx="3592">
                  <c:v>0.11332468572476186</c:v>
                </c:pt>
                <c:pt idx="3593">
                  <c:v>0.11332468572476186</c:v>
                </c:pt>
                <c:pt idx="3594">
                  <c:v>0.11332468572476186</c:v>
                </c:pt>
                <c:pt idx="3595">
                  <c:v>0.11332468572476186</c:v>
                </c:pt>
                <c:pt idx="3596">
                  <c:v>0.11332468572476186</c:v>
                </c:pt>
                <c:pt idx="3597">
                  <c:v>0.11332468572476186</c:v>
                </c:pt>
                <c:pt idx="3598">
                  <c:v>0.11332468572476186</c:v>
                </c:pt>
                <c:pt idx="3599">
                  <c:v>0.11332468572476186</c:v>
                </c:pt>
                <c:pt idx="3600">
                  <c:v>0.11332468572476186</c:v>
                </c:pt>
                <c:pt idx="3601">
                  <c:v>0.11332468572476186</c:v>
                </c:pt>
                <c:pt idx="3602">
                  <c:v>0.11332468572476186</c:v>
                </c:pt>
                <c:pt idx="3603">
                  <c:v>0.11332468572476186</c:v>
                </c:pt>
                <c:pt idx="3604">
                  <c:v>0.11332468572476186</c:v>
                </c:pt>
                <c:pt idx="3605">
                  <c:v>0.11332468572476186</c:v>
                </c:pt>
                <c:pt idx="3606">
                  <c:v>0.11332468572476186</c:v>
                </c:pt>
                <c:pt idx="3607">
                  <c:v>0.11332468572476186</c:v>
                </c:pt>
                <c:pt idx="3608">
                  <c:v>0.11332468572476186</c:v>
                </c:pt>
                <c:pt idx="3609">
                  <c:v>0.11332468572476186</c:v>
                </c:pt>
                <c:pt idx="3610">
                  <c:v>0.11332468572476186</c:v>
                </c:pt>
                <c:pt idx="3611">
                  <c:v>0.11332468572476186</c:v>
                </c:pt>
                <c:pt idx="3612">
                  <c:v>0.11332468572476186</c:v>
                </c:pt>
                <c:pt idx="3613">
                  <c:v>0.11332468572476186</c:v>
                </c:pt>
                <c:pt idx="3614">
                  <c:v>0.11332468572476186</c:v>
                </c:pt>
                <c:pt idx="3615">
                  <c:v>0.11332468572476186</c:v>
                </c:pt>
                <c:pt idx="3616">
                  <c:v>0.11332468572476186</c:v>
                </c:pt>
                <c:pt idx="3617">
                  <c:v>0.11332468572476186</c:v>
                </c:pt>
                <c:pt idx="3618">
                  <c:v>0.11332468572476186</c:v>
                </c:pt>
                <c:pt idx="3619">
                  <c:v>0.11332468572476186</c:v>
                </c:pt>
                <c:pt idx="3620">
                  <c:v>0.11332468572476186</c:v>
                </c:pt>
                <c:pt idx="3621">
                  <c:v>0.11332468572476186</c:v>
                </c:pt>
                <c:pt idx="3622">
                  <c:v>0.11332468572476186</c:v>
                </c:pt>
                <c:pt idx="3623">
                  <c:v>0.11332468572476186</c:v>
                </c:pt>
                <c:pt idx="3624">
                  <c:v>0.11332468572476186</c:v>
                </c:pt>
                <c:pt idx="3625">
                  <c:v>0.11332468572476186</c:v>
                </c:pt>
                <c:pt idx="3626">
                  <c:v>0.11332468572476186</c:v>
                </c:pt>
                <c:pt idx="3627">
                  <c:v>0.11332468572476186</c:v>
                </c:pt>
                <c:pt idx="3628">
                  <c:v>0.11332468572476186</c:v>
                </c:pt>
                <c:pt idx="3629">
                  <c:v>0.11332468572476186</c:v>
                </c:pt>
                <c:pt idx="3630">
                  <c:v>0.11332468572476186</c:v>
                </c:pt>
                <c:pt idx="3631">
                  <c:v>0.11332468572476186</c:v>
                </c:pt>
                <c:pt idx="3632">
                  <c:v>0.11332468572476186</c:v>
                </c:pt>
                <c:pt idx="3633">
                  <c:v>0.11332468572476186</c:v>
                </c:pt>
                <c:pt idx="3634">
                  <c:v>0.11332468572476186</c:v>
                </c:pt>
                <c:pt idx="3635">
                  <c:v>0.11332468572476186</c:v>
                </c:pt>
                <c:pt idx="3636">
                  <c:v>0.11332468572476186</c:v>
                </c:pt>
                <c:pt idx="3637">
                  <c:v>0.11332468572476186</c:v>
                </c:pt>
                <c:pt idx="3638">
                  <c:v>0.11332468572476186</c:v>
                </c:pt>
                <c:pt idx="3639">
                  <c:v>0.11332468572476186</c:v>
                </c:pt>
                <c:pt idx="3640">
                  <c:v>0.11332468572476186</c:v>
                </c:pt>
                <c:pt idx="3641">
                  <c:v>0.11332468572476186</c:v>
                </c:pt>
                <c:pt idx="3642">
                  <c:v>0.11332468572476186</c:v>
                </c:pt>
                <c:pt idx="3643">
                  <c:v>0.11332468572476186</c:v>
                </c:pt>
                <c:pt idx="3644">
                  <c:v>0.11332468572476186</c:v>
                </c:pt>
                <c:pt idx="3645">
                  <c:v>0.11332468572476186</c:v>
                </c:pt>
                <c:pt idx="3646">
                  <c:v>0.11332468572476186</c:v>
                </c:pt>
                <c:pt idx="3647">
                  <c:v>0.11332468572476186</c:v>
                </c:pt>
                <c:pt idx="3648">
                  <c:v>0.11332468572476186</c:v>
                </c:pt>
                <c:pt idx="3649">
                  <c:v>0.11332468572476186</c:v>
                </c:pt>
                <c:pt idx="3650">
                  <c:v>0.11332468572476186</c:v>
                </c:pt>
                <c:pt idx="3651">
                  <c:v>0.11332468572476186</c:v>
                </c:pt>
                <c:pt idx="3652">
                  <c:v>0.11332468572476186</c:v>
                </c:pt>
                <c:pt idx="3653">
                  <c:v>0.11332468572476186</c:v>
                </c:pt>
                <c:pt idx="3654">
                  <c:v>0.11332468572476186</c:v>
                </c:pt>
                <c:pt idx="3655">
                  <c:v>0.11332468572476186</c:v>
                </c:pt>
                <c:pt idx="3656">
                  <c:v>0.11332468572476186</c:v>
                </c:pt>
                <c:pt idx="3657">
                  <c:v>0.11332468572476186</c:v>
                </c:pt>
                <c:pt idx="3658">
                  <c:v>0.11332468572476186</c:v>
                </c:pt>
                <c:pt idx="3659">
                  <c:v>0.11332468572476186</c:v>
                </c:pt>
                <c:pt idx="3660">
                  <c:v>0.11332468572476186</c:v>
                </c:pt>
                <c:pt idx="3661">
                  <c:v>0.11332468572476186</c:v>
                </c:pt>
                <c:pt idx="3662">
                  <c:v>0.11332468572476186</c:v>
                </c:pt>
                <c:pt idx="3663">
                  <c:v>0.11332468572476186</c:v>
                </c:pt>
                <c:pt idx="3664">
                  <c:v>0.11332468572476186</c:v>
                </c:pt>
                <c:pt idx="3665">
                  <c:v>0.11332468572476186</c:v>
                </c:pt>
                <c:pt idx="3666">
                  <c:v>0.11332468572476186</c:v>
                </c:pt>
                <c:pt idx="3667">
                  <c:v>0.11332468572476186</c:v>
                </c:pt>
                <c:pt idx="3668">
                  <c:v>0.11332468572476186</c:v>
                </c:pt>
                <c:pt idx="3669">
                  <c:v>0.11332468572476186</c:v>
                </c:pt>
                <c:pt idx="3670">
                  <c:v>0.11332468572476186</c:v>
                </c:pt>
                <c:pt idx="3671">
                  <c:v>0.11332468572476186</c:v>
                </c:pt>
                <c:pt idx="3672">
                  <c:v>0.11332468572476186</c:v>
                </c:pt>
                <c:pt idx="3673">
                  <c:v>0.11332468572476186</c:v>
                </c:pt>
                <c:pt idx="3674">
                  <c:v>0.11332468572476186</c:v>
                </c:pt>
                <c:pt idx="3675">
                  <c:v>0.11332468572476186</c:v>
                </c:pt>
                <c:pt idx="3676">
                  <c:v>0.11332468572476186</c:v>
                </c:pt>
                <c:pt idx="3677">
                  <c:v>0.11332468572476186</c:v>
                </c:pt>
                <c:pt idx="3678">
                  <c:v>0.11332468572476186</c:v>
                </c:pt>
                <c:pt idx="3679">
                  <c:v>0.11332468572476186</c:v>
                </c:pt>
                <c:pt idx="3680">
                  <c:v>0.11332468572476186</c:v>
                </c:pt>
                <c:pt idx="3681">
                  <c:v>0.11332468572476186</c:v>
                </c:pt>
                <c:pt idx="3682">
                  <c:v>0.11332468572476186</c:v>
                </c:pt>
                <c:pt idx="3683">
                  <c:v>0.11332468572476186</c:v>
                </c:pt>
                <c:pt idx="3684">
                  <c:v>0.11332468572476186</c:v>
                </c:pt>
                <c:pt idx="3685">
                  <c:v>0.11332468572476186</c:v>
                </c:pt>
                <c:pt idx="3686">
                  <c:v>0.11332468572476186</c:v>
                </c:pt>
                <c:pt idx="3687">
                  <c:v>0.11332468572476186</c:v>
                </c:pt>
                <c:pt idx="3688">
                  <c:v>0.11332468572476186</c:v>
                </c:pt>
                <c:pt idx="3689">
                  <c:v>0.11332468572476186</c:v>
                </c:pt>
                <c:pt idx="3690">
                  <c:v>0.11332468572476186</c:v>
                </c:pt>
                <c:pt idx="3691">
                  <c:v>0.11332468572476186</c:v>
                </c:pt>
                <c:pt idx="3692">
                  <c:v>0.11332468572476186</c:v>
                </c:pt>
                <c:pt idx="3693">
                  <c:v>0.11332468572476186</c:v>
                </c:pt>
                <c:pt idx="3694">
                  <c:v>0.11332468572476186</c:v>
                </c:pt>
                <c:pt idx="3695">
                  <c:v>0.11332468572476186</c:v>
                </c:pt>
                <c:pt idx="3696">
                  <c:v>0.11332468572476186</c:v>
                </c:pt>
                <c:pt idx="3697">
                  <c:v>0.11332468572476186</c:v>
                </c:pt>
                <c:pt idx="3698">
                  <c:v>0.11332468572476186</c:v>
                </c:pt>
                <c:pt idx="3699">
                  <c:v>0.11332468572476186</c:v>
                </c:pt>
                <c:pt idx="3700">
                  <c:v>0.11332468572476186</c:v>
                </c:pt>
                <c:pt idx="3701">
                  <c:v>0.11332468572476186</c:v>
                </c:pt>
                <c:pt idx="3702">
                  <c:v>0.11332468572476186</c:v>
                </c:pt>
                <c:pt idx="3703">
                  <c:v>0.11332468572476186</c:v>
                </c:pt>
                <c:pt idx="3704">
                  <c:v>0.11332468572476186</c:v>
                </c:pt>
                <c:pt idx="3705">
                  <c:v>0.11332468572476186</c:v>
                </c:pt>
                <c:pt idx="3706">
                  <c:v>0.11332468572476186</c:v>
                </c:pt>
                <c:pt idx="3707">
                  <c:v>0.11332468572476186</c:v>
                </c:pt>
                <c:pt idx="3708">
                  <c:v>0.11332468572476186</c:v>
                </c:pt>
                <c:pt idx="3709">
                  <c:v>0.11332468572476186</c:v>
                </c:pt>
                <c:pt idx="3710">
                  <c:v>0.11332468572476186</c:v>
                </c:pt>
                <c:pt idx="3711">
                  <c:v>0.11332468572476186</c:v>
                </c:pt>
                <c:pt idx="3712">
                  <c:v>0.11332468572476186</c:v>
                </c:pt>
                <c:pt idx="3713">
                  <c:v>0.11332468572476186</c:v>
                </c:pt>
                <c:pt idx="3714">
                  <c:v>0.11332468572476186</c:v>
                </c:pt>
                <c:pt idx="3715">
                  <c:v>0.11332468572476186</c:v>
                </c:pt>
                <c:pt idx="3716">
                  <c:v>0.11332468572476186</c:v>
                </c:pt>
                <c:pt idx="3717">
                  <c:v>0.11332468572476186</c:v>
                </c:pt>
                <c:pt idx="3718">
                  <c:v>0.11332468572476186</c:v>
                </c:pt>
                <c:pt idx="3719">
                  <c:v>0.11332468572476186</c:v>
                </c:pt>
                <c:pt idx="3720">
                  <c:v>0.11332468572476186</c:v>
                </c:pt>
                <c:pt idx="3721">
                  <c:v>0.11332468572476186</c:v>
                </c:pt>
                <c:pt idx="3722">
                  <c:v>0.11332468572476186</c:v>
                </c:pt>
                <c:pt idx="3723">
                  <c:v>0.11332468572476186</c:v>
                </c:pt>
                <c:pt idx="3724">
                  <c:v>0.11332468572476186</c:v>
                </c:pt>
                <c:pt idx="3725">
                  <c:v>0.11332468572476186</c:v>
                </c:pt>
                <c:pt idx="3726">
                  <c:v>0.11332468572476186</c:v>
                </c:pt>
                <c:pt idx="3727">
                  <c:v>0.11332468572476186</c:v>
                </c:pt>
                <c:pt idx="3728">
                  <c:v>0.11332468572476186</c:v>
                </c:pt>
                <c:pt idx="3729">
                  <c:v>0.11332468572476186</c:v>
                </c:pt>
                <c:pt idx="3730">
                  <c:v>0.11332468572476186</c:v>
                </c:pt>
                <c:pt idx="3731">
                  <c:v>0.11332468572476186</c:v>
                </c:pt>
                <c:pt idx="3732">
                  <c:v>0.11332468572476186</c:v>
                </c:pt>
                <c:pt idx="3733">
                  <c:v>0.11332468572476186</c:v>
                </c:pt>
                <c:pt idx="3734">
                  <c:v>0.11332468572476186</c:v>
                </c:pt>
                <c:pt idx="3735">
                  <c:v>0.11332468572476186</c:v>
                </c:pt>
                <c:pt idx="3736">
                  <c:v>0.11332468572476186</c:v>
                </c:pt>
                <c:pt idx="3737">
                  <c:v>0.11332468572476186</c:v>
                </c:pt>
                <c:pt idx="3738">
                  <c:v>0.11332468572476186</c:v>
                </c:pt>
                <c:pt idx="3739">
                  <c:v>0.11332468572476186</c:v>
                </c:pt>
                <c:pt idx="3740">
                  <c:v>0.11332468572476186</c:v>
                </c:pt>
                <c:pt idx="3741">
                  <c:v>0.11332468572476186</c:v>
                </c:pt>
                <c:pt idx="3742">
                  <c:v>0.11332468572476186</c:v>
                </c:pt>
                <c:pt idx="3743">
                  <c:v>0.11332468572476186</c:v>
                </c:pt>
                <c:pt idx="3744">
                  <c:v>0.11332468572476186</c:v>
                </c:pt>
                <c:pt idx="3745">
                  <c:v>0.11332468572476186</c:v>
                </c:pt>
                <c:pt idx="3746">
                  <c:v>0.11332468572476186</c:v>
                </c:pt>
                <c:pt idx="3747">
                  <c:v>0.11332468572476186</c:v>
                </c:pt>
                <c:pt idx="3748">
                  <c:v>0.11332468572476186</c:v>
                </c:pt>
                <c:pt idx="3749">
                  <c:v>0.11332468572476186</c:v>
                </c:pt>
                <c:pt idx="3750">
                  <c:v>0.11332468572476186</c:v>
                </c:pt>
                <c:pt idx="3751">
                  <c:v>0.11332468572476186</c:v>
                </c:pt>
                <c:pt idx="3752">
                  <c:v>0.11332468572476186</c:v>
                </c:pt>
                <c:pt idx="3753">
                  <c:v>0.11332468572476186</c:v>
                </c:pt>
                <c:pt idx="3754">
                  <c:v>0.11332468572476186</c:v>
                </c:pt>
                <c:pt idx="3755">
                  <c:v>0.11332468572476186</c:v>
                </c:pt>
                <c:pt idx="3756">
                  <c:v>0.11332468572476186</c:v>
                </c:pt>
                <c:pt idx="3757">
                  <c:v>0.11332468572476186</c:v>
                </c:pt>
                <c:pt idx="3758">
                  <c:v>0.11332468572476186</c:v>
                </c:pt>
                <c:pt idx="3759">
                  <c:v>0.11332468572476186</c:v>
                </c:pt>
                <c:pt idx="3760">
                  <c:v>0.11332468572476186</c:v>
                </c:pt>
                <c:pt idx="3761">
                  <c:v>0.11332468572476186</c:v>
                </c:pt>
                <c:pt idx="3762">
                  <c:v>0.11332468572476186</c:v>
                </c:pt>
                <c:pt idx="3763">
                  <c:v>0.11332468572476186</c:v>
                </c:pt>
                <c:pt idx="3764">
                  <c:v>0.11332468572476186</c:v>
                </c:pt>
                <c:pt idx="3765">
                  <c:v>0.11332468572476186</c:v>
                </c:pt>
                <c:pt idx="3766">
                  <c:v>0.11332468572476186</c:v>
                </c:pt>
                <c:pt idx="3767">
                  <c:v>0.11332468572476186</c:v>
                </c:pt>
                <c:pt idx="3768">
                  <c:v>0.11332468572476186</c:v>
                </c:pt>
                <c:pt idx="3769">
                  <c:v>0.11332468572476186</c:v>
                </c:pt>
                <c:pt idx="3770">
                  <c:v>0.11332468572476186</c:v>
                </c:pt>
                <c:pt idx="3771">
                  <c:v>0.11332468572476186</c:v>
                </c:pt>
                <c:pt idx="3772">
                  <c:v>0.11332468572476186</c:v>
                </c:pt>
                <c:pt idx="3773">
                  <c:v>0.11332468572476186</c:v>
                </c:pt>
                <c:pt idx="3774">
                  <c:v>0.11332468572476186</c:v>
                </c:pt>
                <c:pt idx="3775">
                  <c:v>0.11332468572476186</c:v>
                </c:pt>
                <c:pt idx="3776">
                  <c:v>0.11332468572476186</c:v>
                </c:pt>
                <c:pt idx="3777">
                  <c:v>0.11332468572476186</c:v>
                </c:pt>
                <c:pt idx="3778">
                  <c:v>0.11332468572476186</c:v>
                </c:pt>
                <c:pt idx="3779">
                  <c:v>0.11332468572476186</c:v>
                </c:pt>
                <c:pt idx="3780">
                  <c:v>0.11332468572476186</c:v>
                </c:pt>
                <c:pt idx="3781">
                  <c:v>0.11332468572476186</c:v>
                </c:pt>
                <c:pt idx="3782">
                  <c:v>0.11332468572476186</c:v>
                </c:pt>
                <c:pt idx="3783">
                  <c:v>0.11332468572476186</c:v>
                </c:pt>
                <c:pt idx="3784">
                  <c:v>0.11332468572476186</c:v>
                </c:pt>
                <c:pt idx="3785">
                  <c:v>0.11332468572476186</c:v>
                </c:pt>
                <c:pt idx="3786">
                  <c:v>0.11332468572476186</c:v>
                </c:pt>
                <c:pt idx="3787">
                  <c:v>0.11332468572476186</c:v>
                </c:pt>
                <c:pt idx="3788">
                  <c:v>0.11332468572476186</c:v>
                </c:pt>
                <c:pt idx="3789">
                  <c:v>0.11332468572476186</c:v>
                </c:pt>
                <c:pt idx="3790">
                  <c:v>0.11332468572476186</c:v>
                </c:pt>
                <c:pt idx="3791">
                  <c:v>0.11332468572476186</c:v>
                </c:pt>
                <c:pt idx="3792">
                  <c:v>0.11332468572476186</c:v>
                </c:pt>
                <c:pt idx="3793">
                  <c:v>0.11332468572476186</c:v>
                </c:pt>
                <c:pt idx="3794">
                  <c:v>0.11332468572476186</c:v>
                </c:pt>
                <c:pt idx="3795">
                  <c:v>0.11332468572476186</c:v>
                </c:pt>
                <c:pt idx="3796">
                  <c:v>0.11332468572476186</c:v>
                </c:pt>
                <c:pt idx="3797">
                  <c:v>0.11332468572476186</c:v>
                </c:pt>
                <c:pt idx="3798">
                  <c:v>0.11332468572476186</c:v>
                </c:pt>
                <c:pt idx="3799">
                  <c:v>0.11332468572476186</c:v>
                </c:pt>
                <c:pt idx="3800">
                  <c:v>0.11332468572476186</c:v>
                </c:pt>
                <c:pt idx="3801">
                  <c:v>0.11332468572476186</c:v>
                </c:pt>
                <c:pt idx="3802">
                  <c:v>0.11332468572476186</c:v>
                </c:pt>
                <c:pt idx="3803">
                  <c:v>0.11332468572476186</c:v>
                </c:pt>
                <c:pt idx="3804">
                  <c:v>0.11332468572476186</c:v>
                </c:pt>
                <c:pt idx="3805">
                  <c:v>0.11332468572476186</c:v>
                </c:pt>
                <c:pt idx="3806">
                  <c:v>0.11332468572476186</c:v>
                </c:pt>
                <c:pt idx="3807">
                  <c:v>0.11332468572476186</c:v>
                </c:pt>
                <c:pt idx="3808">
                  <c:v>0.11332468572476186</c:v>
                </c:pt>
                <c:pt idx="3809">
                  <c:v>0.11332468572476186</c:v>
                </c:pt>
                <c:pt idx="3810">
                  <c:v>0.11332468572476186</c:v>
                </c:pt>
                <c:pt idx="3811">
                  <c:v>0.11332468572476186</c:v>
                </c:pt>
                <c:pt idx="3812">
                  <c:v>0.11332468572476186</c:v>
                </c:pt>
                <c:pt idx="3813">
                  <c:v>0.11332468572476186</c:v>
                </c:pt>
                <c:pt idx="3814">
                  <c:v>0.11332468572476186</c:v>
                </c:pt>
                <c:pt idx="3815">
                  <c:v>0.11332468572476186</c:v>
                </c:pt>
                <c:pt idx="3816">
                  <c:v>0.11332468572476186</c:v>
                </c:pt>
                <c:pt idx="3817">
                  <c:v>0.11332468572476186</c:v>
                </c:pt>
                <c:pt idx="3818">
                  <c:v>0.11332468572476186</c:v>
                </c:pt>
                <c:pt idx="3819">
                  <c:v>0.11332468572476186</c:v>
                </c:pt>
                <c:pt idx="3820">
                  <c:v>0.11332468572476186</c:v>
                </c:pt>
                <c:pt idx="3821">
                  <c:v>0.11332468572476186</c:v>
                </c:pt>
                <c:pt idx="3822">
                  <c:v>0.11332468572476186</c:v>
                </c:pt>
                <c:pt idx="3823">
                  <c:v>0.11332468572476186</c:v>
                </c:pt>
                <c:pt idx="3824">
                  <c:v>0.11332468572476186</c:v>
                </c:pt>
                <c:pt idx="3825">
                  <c:v>0.11332468572476186</c:v>
                </c:pt>
                <c:pt idx="3826">
                  <c:v>0.11332468572476186</c:v>
                </c:pt>
                <c:pt idx="3827">
                  <c:v>0.11332468572476186</c:v>
                </c:pt>
                <c:pt idx="3828">
                  <c:v>0.11332468572476186</c:v>
                </c:pt>
                <c:pt idx="3829">
                  <c:v>0.11332468572476186</c:v>
                </c:pt>
                <c:pt idx="3830">
                  <c:v>0.11332468572476186</c:v>
                </c:pt>
                <c:pt idx="3831">
                  <c:v>0.11332468572476186</c:v>
                </c:pt>
                <c:pt idx="3832">
                  <c:v>0.11332468572476186</c:v>
                </c:pt>
                <c:pt idx="3833">
                  <c:v>0.11332468572476186</c:v>
                </c:pt>
                <c:pt idx="3834">
                  <c:v>0.11332468572476186</c:v>
                </c:pt>
                <c:pt idx="3835">
                  <c:v>0.11332468572476186</c:v>
                </c:pt>
                <c:pt idx="3836">
                  <c:v>0.11332468572476186</c:v>
                </c:pt>
                <c:pt idx="3837">
                  <c:v>0.11332468572476186</c:v>
                </c:pt>
                <c:pt idx="3838">
                  <c:v>0.11332468572476186</c:v>
                </c:pt>
                <c:pt idx="3839">
                  <c:v>0.11332468572476186</c:v>
                </c:pt>
                <c:pt idx="3840">
                  <c:v>0.11332468572476186</c:v>
                </c:pt>
                <c:pt idx="3841">
                  <c:v>0.11332468572476186</c:v>
                </c:pt>
                <c:pt idx="3842">
                  <c:v>0.11332468572476186</c:v>
                </c:pt>
                <c:pt idx="3843">
                  <c:v>0.11332468572476186</c:v>
                </c:pt>
                <c:pt idx="3844">
                  <c:v>0.11332468572476186</c:v>
                </c:pt>
                <c:pt idx="3845">
                  <c:v>0.11332468572476186</c:v>
                </c:pt>
                <c:pt idx="3846">
                  <c:v>0.11332468572476186</c:v>
                </c:pt>
                <c:pt idx="3847">
                  <c:v>0.11332468572476186</c:v>
                </c:pt>
                <c:pt idx="3848">
                  <c:v>0.11332468572476186</c:v>
                </c:pt>
                <c:pt idx="3849">
                  <c:v>0.11332468572476186</c:v>
                </c:pt>
                <c:pt idx="3850">
                  <c:v>0.11332468572476186</c:v>
                </c:pt>
                <c:pt idx="3851">
                  <c:v>0.11332468572476186</c:v>
                </c:pt>
                <c:pt idx="3852">
                  <c:v>0.11332468572476186</c:v>
                </c:pt>
                <c:pt idx="3853">
                  <c:v>0.11332468572476186</c:v>
                </c:pt>
                <c:pt idx="3854">
                  <c:v>0.11332468572476186</c:v>
                </c:pt>
                <c:pt idx="3855">
                  <c:v>0.11332468572476186</c:v>
                </c:pt>
                <c:pt idx="3856">
                  <c:v>0.11332468572476186</c:v>
                </c:pt>
                <c:pt idx="3857">
                  <c:v>0.11332468572476186</c:v>
                </c:pt>
                <c:pt idx="3858">
                  <c:v>0.11332468572476186</c:v>
                </c:pt>
                <c:pt idx="3859">
                  <c:v>0.11332468572476186</c:v>
                </c:pt>
                <c:pt idx="3860">
                  <c:v>0.11332468572476186</c:v>
                </c:pt>
                <c:pt idx="3861">
                  <c:v>0.11332468572476186</c:v>
                </c:pt>
                <c:pt idx="3862">
                  <c:v>0.11332468572476186</c:v>
                </c:pt>
                <c:pt idx="3863">
                  <c:v>0.11332468572476186</c:v>
                </c:pt>
                <c:pt idx="3864">
                  <c:v>0.11332468572476186</c:v>
                </c:pt>
                <c:pt idx="3865">
                  <c:v>0.11332468572476186</c:v>
                </c:pt>
                <c:pt idx="3866">
                  <c:v>0.11332468572476186</c:v>
                </c:pt>
                <c:pt idx="3867">
                  <c:v>0.11332468572476186</c:v>
                </c:pt>
                <c:pt idx="3868">
                  <c:v>0.11332468572476186</c:v>
                </c:pt>
                <c:pt idx="3869">
                  <c:v>0.11332468572476186</c:v>
                </c:pt>
                <c:pt idx="3870">
                  <c:v>0.11332468572476186</c:v>
                </c:pt>
                <c:pt idx="3871">
                  <c:v>0.11332468572476186</c:v>
                </c:pt>
                <c:pt idx="3872">
                  <c:v>0.11332468572476186</c:v>
                </c:pt>
                <c:pt idx="3873">
                  <c:v>0.11332468572476186</c:v>
                </c:pt>
                <c:pt idx="3874">
                  <c:v>0.11332468572476186</c:v>
                </c:pt>
                <c:pt idx="3875">
                  <c:v>0.11332468572476186</c:v>
                </c:pt>
                <c:pt idx="3876">
                  <c:v>0.11332468572476186</c:v>
                </c:pt>
                <c:pt idx="3877">
                  <c:v>0.11332468572476186</c:v>
                </c:pt>
                <c:pt idx="3878">
                  <c:v>0.11332468572476186</c:v>
                </c:pt>
                <c:pt idx="3879">
                  <c:v>0.11332468572476186</c:v>
                </c:pt>
                <c:pt idx="3880">
                  <c:v>0.11332468572476186</c:v>
                </c:pt>
                <c:pt idx="3881">
                  <c:v>0.11332468572476186</c:v>
                </c:pt>
                <c:pt idx="3882">
                  <c:v>0.11332468572476186</c:v>
                </c:pt>
                <c:pt idx="3883">
                  <c:v>0.11332468572476186</c:v>
                </c:pt>
                <c:pt idx="3884">
                  <c:v>0.11332468572476186</c:v>
                </c:pt>
                <c:pt idx="3885">
                  <c:v>0.11332468572476186</c:v>
                </c:pt>
                <c:pt idx="3886">
                  <c:v>0.11332468572476186</c:v>
                </c:pt>
                <c:pt idx="3887">
                  <c:v>0.11332468572476186</c:v>
                </c:pt>
                <c:pt idx="3888">
                  <c:v>0.11332468572476186</c:v>
                </c:pt>
                <c:pt idx="3889">
                  <c:v>0.11332468572476186</c:v>
                </c:pt>
                <c:pt idx="3890">
                  <c:v>0.11332468572476186</c:v>
                </c:pt>
                <c:pt idx="3891">
                  <c:v>0.11332468572476186</c:v>
                </c:pt>
                <c:pt idx="3892">
                  <c:v>0.11332468572476186</c:v>
                </c:pt>
                <c:pt idx="3893">
                  <c:v>0.11332468572476186</c:v>
                </c:pt>
                <c:pt idx="3894">
                  <c:v>0.11332468572476186</c:v>
                </c:pt>
                <c:pt idx="3895">
                  <c:v>0.11332468572476186</c:v>
                </c:pt>
                <c:pt idx="3896">
                  <c:v>0.11332468572476186</c:v>
                </c:pt>
                <c:pt idx="3897">
                  <c:v>0.11332468572476186</c:v>
                </c:pt>
                <c:pt idx="3898">
                  <c:v>0.11332468572476186</c:v>
                </c:pt>
                <c:pt idx="3899">
                  <c:v>0.11332468572476186</c:v>
                </c:pt>
                <c:pt idx="3900">
                  <c:v>0.11332468572476186</c:v>
                </c:pt>
                <c:pt idx="3901">
                  <c:v>0.11332468572476186</c:v>
                </c:pt>
                <c:pt idx="3902">
                  <c:v>0.11332468572476186</c:v>
                </c:pt>
                <c:pt idx="3903">
                  <c:v>0.11332468572476186</c:v>
                </c:pt>
                <c:pt idx="3904">
                  <c:v>0.11332468572476186</c:v>
                </c:pt>
                <c:pt idx="3905">
                  <c:v>0.11332468572476186</c:v>
                </c:pt>
                <c:pt idx="3906">
                  <c:v>0.11332468572476186</c:v>
                </c:pt>
                <c:pt idx="3907">
                  <c:v>0.11332468572476186</c:v>
                </c:pt>
                <c:pt idx="3908">
                  <c:v>0.11332468572476186</c:v>
                </c:pt>
                <c:pt idx="3909">
                  <c:v>0.11332468572476186</c:v>
                </c:pt>
                <c:pt idx="3910">
                  <c:v>0.11332468572476186</c:v>
                </c:pt>
                <c:pt idx="3911">
                  <c:v>0.11332468572476186</c:v>
                </c:pt>
                <c:pt idx="3912">
                  <c:v>0.11332468572476186</c:v>
                </c:pt>
                <c:pt idx="3913">
                  <c:v>0.11332468572476186</c:v>
                </c:pt>
                <c:pt idx="3914">
                  <c:v>0.11332468572476186</c:v>
                </c:pt>
                <c:pt idx="3915">
                  <c:v>0.11332468572476186</c:v>
                </c:pt>
                <c:pt idx="3916">
                  <c:v>0.11332468572476186</c:v>
                </c:pt>
                <c:pt idx="3917">
                  <c:v>0.11332468572476186</c:v>
                </c:pt>
                <c:pt idx="3918">
                  <c:v>0.11332468572476186</c:v>
                </c:pt>
                <c:pt idx="3919">
                  <c:v>0.11332468572476186</c:v>
                </c:pt>
                <c:pt idx="3920">
                  <c:v>0.11332468572476186</c:v>
                </c:pt>
                <c:pt idx="3921">
                  <c:v>0.11332468572476186</c:v>
                </c:pt>
                <c:pt idx="3922">
                  <c:v>0.11332468572476186</c:v>
                </c:pt>
                <c:pt idx="3923">
                  <c:v>0.11332468572476186</c:v>
                </c:pt>
                <c:pt idx="3924">
                  <c:v>0.11332468572476186</c:v>
                </c:pt>
                <c:pt idx="3925">
                  <c:v>0.11332468572476186</c:v>
                </c:pt>
                <c:pt idx="3926">
                  <c:v>0.11332468572476186</c:v>
                </c:pt>
                <c:pt idx="3927">
                  <c:v>0.11332468572476186</c:v>
                </c:pt>
                <c:pt idx="3928">
                  <c:v>0.11332468572476186</c:v>
                </c:pt>
                <c:pt idx="3929">
                  <c:v>0.11332468572476186</c:v>
                </c:pt>
                <c:pt idx="3930">
                  <c:v>0.11332468572476186</c:v>
                </c:pt>
                <c:pt idx="3931">
                  <c:v>0.11332468572476186</c:v>
                </c:pt>
                <c:pt idx="3932">
                  <c:v>0.11332468572476186</c:v>
                </c:pt>
                <c:pt idx="3933">
                  <c:v>0.11332468572476186</c:v>
                </c:pt>
                <c:pt idx="3934">
                  <c:v>0.11332468572476186</c:v>
                </c:pt>
                <c:pt idx="3935">
                  <c:v>0.11332468572476186</c:v>
                </c:pt>
                <c:pt idx="3936">
                  <c:v>0.11332468572476186</c:v>
                </c:pt>
                <c:pt idx="3937">
                  <c:v>0.11332468572476186</c:v>
                </c:pt>
                <c:pt idx="3938">
                  <c:v>0.11332468572476186</c:v>
                </c:pt>
                <c:pt idx="3939">
                  <c:v>0.11332468572476186</c:v>
                </c:pt>
                <c:pt idx="3940">
                  <c:v>0.11332468572476186</c:v>
                </c:pt>
                <c:pt idx="3941">
                  <c:v>0.11332468572476186</c:v>
                </c:pt>
                <c:pt idx="3942">
                  <c:v>0.11332468572476186</c:v>
                </c:pt>
                <c:pt idx="3943">
                  <c:v>0.11332468572476186</c:v>
                </c:pt>
                <c:pt idx="3944">
                  <c:v>0.11332468572476186</c:v>
                </c:pt>
                <c:pt idx="3945">
                  <c:v>0.11332468572476186</c:v>
                </c:pt>
                <c:pt idx="3946">
                  <c:v>0.11332468572476186</c:v>
                </c:pt>
                <c:pt idx="3947">
                  <c:v>0.11332468572476186</c:v>
                </c:pt>
                <c:pt idx="3948">
                  <c:v>0.11332468572476186</c:v>
                </c:pt>
                <c:pt idx="3949">
                  <c:v>0.11332468572476186</c:v>
                </c:pt>
                <c:pt idx="3950">
                  <c:v>0.11332468572476186</c:v>
                </c:pt>
                <c:pt idx="3951">
                  <c:v>0.11332468572476186</c:v>
                </c:pt>
                <c:pt idx="3952">
                  <c:v>0.11332468572476186</c:v>
                </c:pt>
                <c:pt idx="3953">
                  <c:v>0.11332468572476186</c:v>
                </c:pt>
                <c:pt idx="3954">
                  <c:v>0.11332468572476186</c:v>
                </c:pt>
                <c:pt idx="3955">
                  <c:v>0.11332468572476186</c:v>
                </c:pt>
                <c:pt idx="3956">
                  <c:v>0.11332468572476186</c:v>
                </c:pt>
                <c:pt idx="3957">
                  <c:v>0.11332468572476186</c:v>
                </c:pt>
                <c:pt idx="3958">
                  <c:v>0.11332468572476186</c:v>
                </c:pt>
                <c:pt idx="3959">
                  <c:v>0.11332468572476186</c:v>
                </c:pt>
                <c:pt idx="3960">
                  <c:v>0.11332468572476186</c:v>
                </c:pt>
                <c:pt idx="3961">
                  <c:v>0.11332468572476186</c:v>
                </c:pt>
                <c:pt idx="3962">
                  <c:v>0.11332468572476186</c:v>
                </c:pt>
                <c:pt idx="3963">
                  <c:v>0.11332468572476186</c:v>
                </c:pt>
                <c:pt idx="3964">
                  <c:v>0.11332468572476186</c:v>
                </c:pt>
                <c:pt idx="3965">
                  <c:v>0.11332468572476186</c:v>
                </c:pt>
                <c:pt idx="3966">
                  <c:v>0.11332468572476186</c:v>
                </c:pt>
                <c:pt idx="3967">
                  <c:v>0.11332468572476186</c:v>
                </c:pt>
                <c:pt idx="3968">
                  <c:v>0.11332468572476186</c:v>
                </c:pt>
                <c:pt idx="3969">
                  <c:v>0.11332468572476186</c:v>
                </c:pt>
                <c:pt idx="3970">
                  <c:v>0.11332468572476186</c:v>
                </c:pt>
                <c:pt idx="3971">
                  <c:v>0.11332468572476186</c:v>
                </c:pt>
                <c:pt idx="3972">
                  <c:v>0.11332468572476186</c:v>
                </c:pt>
                <c:pt idx="3973">
                  <c:v>0.11332468572476186</c:v>
                </c:pt>
                <c:pt idx="3974">
                  <c:v>0.11332468572476186</c:v>
                </c:pt>
                <c:pt idx="3975">
                  <c:v>0.11332468572476186</c:v>
                </c:pt>
                <c:pt idx="3976">
                  <c:v>0.11332468572476186</c:v>
                </c:pt>
                <c:pt idx="3977">
                  <c:v>0.11332468572476186</c:v>
                </c:pt>
                <c:pt idx="3978">
                  <c:v>0.11332468572476186</c:v>
                </c:pt>
                <c:pt idx="3979">
                  <c:v>0.11332468572476186</c:v>
                </c:pt>
                <c:pt idx="3980">
                  <c:v>0.11332468572476186</c:v>
                </c:pt>
                <c:pt idx="3981">
                  <c:v>0.11332468572476186</c:v>
                </c:pt>
                <c:pt idx="3982">
                  <c:v>0.11332468572476186</c:v>
                </c:pt>
                <c:pt idx="3983">
                  <c:v>0.11332468572476186</c:v>
                </c:pt>
                <c:pt idx="3984">
                  <c:v>0.11332468572476186</c:v>
                </c:pt>
                <c:pt idx="3985">
                  <c:v>0.11332468572476186</c:v>
                </c:pt>
                <c:pt idx="3986">
                  <c:v>0.11332468572476186</c:v>
                </c:pt>
                <c:pt idx="3987">
                  <c:v>0.11332468572476186</c:v>
                </c:pt>
                <c:pt idx="3988">
                  <c:v>0.11332468572476186</c:v>
                </c:pt>
                <c:pt idx="3989">
                  <c:v>0.11332468572476186</c:v>
                </c:pt>
                <c:pt idx="3990">
                  <c:v>0.11332468572476186</c:v>
                </c:pt>
                <c:pt idx="3991">
                  <c:v>0.11332468572476186</c:v>
                </c:pt>
                <c:pt idx="3992">
                  <c:v>0.11332468572476186</c:v>
                </c:pt>
                <c:pt idx="3993">
                  <c:v>0.11332468572476186</c:v>
                </c:pt>
                <c:pt idx="3994">
                  <c:v>0.11332468572476186</c:v>
                </c:pt>
                <c:pt idx="3995">
                  <c:v>0.11332468572476186</c:v>
                </c:pt>
                <c:pt idx="3996">
                  <c:v>0.11332468572476186</c:v>
                </c:pt>
                <c:pt idx="3997">
                  <c:v>0.11332468572476186</c:v>
                </c:pt>
                <c:pt idx="3998">
                  <c:v>0.11332468572476186</c:v>
                </c:pt>
                <c:pt idx="3999">
                  <c:v>0.11332468572476186</c:v>
                </c:pt>
                <c:pt idx="4000">
                  <c:v>0.11332468572476186</c:v>
                </c:pt>
                <c:pt idx="4001">
                  <c:v>0.11332468572476186</c:v>
                </c:pt>
                <c:pt idx="4002">
                  <c:v>0.11332468572476186</c:v>
                </c:pt>
                <c:pt idx="4003">
                  <c:v>0.11332468572476186</c:v>
                </c:pt>
                <c:pt idx="4004">
                  <c:v>0.11332468572476186</c:v>
                </c:pt>
                <c:pt idx="4005">
                  <c:v>0.11332468572476186</c:v>
                </c:pt>
                <c:pt idx="4006">
                  <c:v>0.11332468572476186</c:v>
                </c:pt>
                <c:pt idx="4007">
                  <c:v>0.11332468572476186</c:v>
                </c:pt>
                <c:pt idx="4008">
                  <c:v>0.11332468572476186</c:v>
                </c:pt>
                <c:pt idx="4009">
                  <c:v>0.11332468572476186</c:v>
                </c:pt>
                <c:pt idx="4010">
                  <c:v>0.11332468572476186</c:v>
                </c:pt>
                <c:pt idx="4011">
                  <c:v>0.11332468572476186</c:v>
                </c:pt>
                <c:pt idx="4012">
                  <c:v>0.11332468572476186</c:v>
                </c:pt>
                <c:pt idx="4013">
                  <c:v>0.11332468572476186</c:v>
                </c:pt>
                <c:pt idx="4014">
                  <c:v>0.11332468572476186</c:v>
                </c:pt>
                <c:pt idx="4015">
                  <c:v>0.11332468572476186</c:v>
                </c:pt>
                <c:pt idx="4016">
                  <c:v>0.11332468572476186</c:v>
                </c:pt>
                <c:pt idx="4017">
                  <c:v>0.11332468572476186</c:v>
                </c:pt>
                <c:pt idx="4018">
                  <c:v>0.11332468572476186</c:v>
                </c:pt>
                <c:pt idx="4019">
                  <c:v>0.11332468572476186</c:v>
                </c:pt>
                <c:pt idx="4020">
                  <c:v>0.11332468572476186</c:v>
                </c:pt>
                <c:pt idx="4021">
                  <c:v>0.11332468572476186</c:v>
                </c:pt>
                <c:pt idx="4022">
                  <c:v>0.11332468572476186</c:v>
                </c:pt>
                <c:pt idx="4023">
                  <c:v>0.11332468572476186</c:v>
                </c:pt>
                <c:pt idx="4024">
                  <c:v>0.11332468572476186</c:v>
                </c:pt>
                <c:pt idx="4025">
                  <c:v>0.11332468572476186</c:v>
                </c:pt>
                <c:pt idx="4026">
                  <c:v>0.11332468572476186</c:v>
                </c:pt>
                <c:pt idx="4027">
                  <c:v>0.11332468572476186</c:v>
                </c:pt>
                <c:pt idx="4028">
                  <c:v>0.11332468572476186</c:v>
                </c:pt>
                <c:pt idx="4029">
                  <c:v>0.11332468572476186</c:v>
                </c:pt>
                <c:pt idx="4030">
                  <c:v>0.11332468572476186</c:v>
                </c:pt>
                <c:pt idx="4031">
                  <c:v>0.11332468572476186</c:v>
                </c:pt>
                <c:pt idx="4032">
                  <c:v>0.11332468572476186</c:v>
                </c:pt>
                <c:pt idx="4033">
                  <c:v>0.11332468572476186</c:v>
                </c:pt>
                <c:pt idx="4034">
                  <c:v>0.11332468572476186</c:v>
                </c:pt>
                <c:pt idx="4035">
                  <c:v>0.11332468572476186</c:v>
                </c:pt>
                <c:pt idx="4036">
                  <c:v>0.11332468572476186</c:v>
                </c:pt>
                <c:pt idx="4037">
                  <c:v>0.11332468572476186</c:v>
                </c:pt>
                <c:pt idx="4038">
                  <c:v>0.11332468572476186</c:v>
                </c:pt>
                <c:pt idx="4039">
                  <c:v>0.11332468572476186</c:v>
                </c:pt>
                <c:pt idx="4040">
                  <c:v>0.11332468572476186</c:v>
                </c:pt>
                <c:pt idx="4041">
                  <c:v>0.11332468572476186</c:v>
                </c:pt>
                <c:pt idx="4042">
                  <c:v>0.11332468572476186</c:v>
                </c:pt>
                <c:pt idx="4043">
                  <c:v>0.11332468572476186</c:v>
                </c:pt>
                <c:pt idx="4044">
                  <c:v>0.11332468572476186</c:v>
                </c:pt>
                <c:pt idx="4045">
                  <c:v>0.11332468572476186</c:v>
                </c:pt>
                <c:pt idx="4046">
                  <c:v>0.11332468572476186</c:v>
                </c:pt>
                <c:pt idx="4047">
                  <c:v>0.11332468572476186</c:v>
                </c:pt>
                <c:pt idx="4048">
                  <c:v>0.11332468572476186</c:v>
                </c:pt>
                <c:pt idx="4049">
                  <c:v>0.11332468572476186</c:v>
                </c:pt>
                <c:pt idx="4050">
                  <c:v>0.11332468572476186</c:v>
                </c:pt>
                <c:pt idx="4051">
                  <c:v>0.11332468572476186</c:v>
                </c:pt>
                <c:pt idx="4052">
                  <c:v>0.11332468572476186</c:v>
                </c:pt>
                <c:pt idx="4053">
                  <c:v>0.11332468572476186</c:v>
                </c:pt>
                <c:pt idx="4054">
                  <c:v>0.11332468572476186</c:v>
                </c:pt>
                <c:pt idx="4055">
                  <c:v>0.11332468572476186</c:v>
                </c:pt>
                <c:pt idx="4056">
                  <c:v>0.11332468572476186</c:v>
                </c:pt>
                <c:pt idx="4057">
                  <c:v>0.11332468572476186</c:v>
                </c:pt>
                <c:pt idx="4058">
                  <c:v>0.11332468572476186</c:v>
                </c:pt>
                <c:pt idx="4059">
                  <c:v>0.11332468572476186</c:v>
                </c:pt>
                <c:pt idx="4060">
                  <c:v>0.11332468572476186</c:v>
                </c:pt>
                <c:pt idx="4061">
                  <c:v>0.11332468572476186</c:v>
                </c:pt>
                <c:pt idx="4062">
                  <c:v>0.11332468572476186</c:v>
                </c:pt>
                <c:pt idx="4063">
                  <c:v>0.11332468572476186</c:v>
                </c:pt>
                <c:pt idx="4064">
                  <c:v>0.11332468572476186</c:v>
                </c:pt>
                <c:pt idx="4065">
                  <c:v>0.11332468572476186</c:v>
                </c:pt>
                <c:pt idx="4066">
                  <c:v>0.11332468572476186</c:v>
                </c:pt>
                <c:pt idx="4067">
                  <c:v>0.11332468572476186</c:v>
                </c:pt>
                <c:pt idx="4068">
                  <c:v>0.11332468572476186</c:v>
                </c:pt>
                <c:pt idx="4069">
                  <c:v>0.11332468572476186</c:v>
                </c:pt>
                <c:pt idx="4070">
                  <c:v>0.11332468572476186</c:v>
                </c:pt>
                <c:pt idx="4071">
                  <c:v>0.11332468572476186</c:v>
                </c:pt>
                <c:pt idx="4072">
                  <c:v>0.11332468572476186</c:v>
                </c:pt>
                <c:pt idx="4073">
                  <c:v>0.11332468572476186</c:v>
                </c:pt>
                <c:pt idx="4074">
                  <c:v>0.11332468572476186</c:v>
                </c:pt>
                <c:pt idx="4075">
                  <c:v>0.11332468572476186</c:v>
                </c:pt>
                <c:pt idx="4076">
                  <c:v>0.11332468572476186</c:v>
                </c:pt>
                <c:pt idx="4077">
                  <c:v>0.11332468572476186</c:v>
                </c:pt>
                <c:pt idx="4078">
                  <c:v>0.11332468572476186</c:v>
                </c:pt>
                <c:pt idx="4079">
                  <c:v>0.11332468572476186</c:v>
                </c:pt>
                <c:pt idx="4080">
                  <c:v>0.11332468572476186</c:v>
                </c:pt>
                <c:pt idx="4081">
                  <c:v>0.11332468572476186</c:v>
                </c:pt>
                <c:pt idx="4082">
                  <c:v>0.11332468572476186</c:v>
                </c:pt>
                <c:pt idx="4083">
                  <c:v>0.11332468572476186</c:v>
                </c:pt>
                <c:pt idx="4084">
                  <c:v>0.11332468572476186</c:v>
                </c:pt>
                <c:pt idx="4085">
                  <c:v>0.11332468572476186</c:v>
                </c:pt>
                <c:pt idx="4086">
                  <c:v>0.11332468572476186</c:v>
                </c:pt>
                <c:pt idx="4087">
                  <c:v>0.11332468572476186</c:v>
                </c:pt>
                <c:pt idx="4088">
                  <c:v>0.11332468572476186</c:v>
                </c:pt>
                <c:pt idx="4089">
                  <c:v>0.11332468572476186</c:v>
                </c:pt>
                <c:pt idx="4090">
                  <c:v>0.11332468572476186</c:v>
                </c:pt>
                <c:pt idx="4091">
                  <c:v>0.11332468572476186</c:v>
                </c:pt>
                <c:pt idx="4092">
                  <c:v>0.11332468572476186</c:v>
                </c:pt>
                <c:pt idx="4093">
                  <c:v>0.11332468572476186</c:v>
                </c:pt>
                <c:pt idx="4094">
                  <c:v>0.11332468572476186</c:v>
                </c:pt>
                <c:pt idx="4095">
                  <c:v>0.11332468572476186</c:v>
                </c:pt>
                <c:pt idx="4096">
                  <c:v>0.11332468572476186</c:v>
                </c:pt>
                <c:pt idx="4097">
                  <c:v>0.11332468572476186</c:v>
                </c:pt>
                <c:pt idx="4098">
                  <c:v>0.11332468572476186</c:v>
                </c:pt>
                <c:pt idx="4099">
                  <c:v>0.11332468572476186</c:v>
                </c:pt>
                <c:pt idx="4100">
                  <c:v>0.11332468572476186</c:v>
                </c:pt>
                <c:pt idx="4101">
                  <c:v>0.11332468572476186</c:v>
                </c:pt>
                <c:pt idx="4102">
                  <c:v>0.11332468572476186</c:v>
                </c:pt>
                <c:pt idx="4103">
                  <c:v>0.11332468572476186</c:v>
                </c:pt>
                <c:pt idx="4104">
                  <c:v>0.11332468572476186</c:v>
                </c:pt>
                <c:pt idx="4105">
                  <c:v>0.11332468572476186</c:v>
                </c:pt>
                <c:pt idx="4106">
                  <c:v>0.11332468572476186</c:v>
                </c:pt>
                <c:pt idx="4107">
                  <c:v>0.11332468572476186</c:v>
                </c:pt>
                <c:pt idx="4108">
                  <c:v>0.11332468572476186</c:v>
                </c:pt>
                <c:pt idx="4109">
                  <c:v>0.11332468572476186</c:v>
                </c:pt>
                <c:pt idx="4110">
                  <c:v>0.11332468572476186</c:v>
                </c:pt>
                <c:pt idx="4111">
                  <c:v>0.11332468572476186</c:v>
                </c:pt>
                <c:pt idx="4112">
                  <c:v>0.11332468572476186</c:v>
                </c:pt>
                <c:pt idx="4113">
                  <c:v>0.11332468572476186</c:v>
                </c:pt>
                <c:pt idx="4114">
                  <c:v>0.11332468572476186</c:v>
                </c:pt>
                <c:pt idx="4115">
                  <c:v>0.11332468572476186</c:v>
                </c:pt>
                <c:pt idx="4116">
                  <c:v>0.11332468572476186</c:v>
                </c:pt>
                <c:pt idx="4117">
                  <c:v>0.11332468572476186</c:v>
                </c:pt>
                <c:pt idx="4118">
                  <c:v>0.11332468572476186</c:v>
                </c:pt>
                <c:pt idx="4119">
                  <c:v>0.11332468572476186</c:v>
                </c:pt>
                <c:pt idx="4120">
                  <c:v>0.11332468572476186</c:v>
                </c:pt>
                <c:pt idx="4121">
                  <c:v>0.11332468572476186</c:v>
                </c:pt>
                <c:pt idx="4122">
                  <c:v>0.11332468572476186</c:v>
                </c:pt>
                <c:pt idx="4123">
                  <c:v>0.11332468572476186</c:v>
                </c:pt>
                <c:pt idx="4124">
                  <c:v>0.11332468572476186</c:v>
                </c:pt>
                <c:pt idx="4125">
                  <c:v>0.11332468572476186</c:v>
                </c:pt>
                <c:pt idx="4126">
                  <c:v>0.11332468572476186</c:v>
                </c:pt>
                <c:pt idx="4127">
                  <c:v>0.11332468572476186</c:v>
                </c:pt>
                <c:pt idx="4128">
                  <c:v>0.11332468572476186</c:v>
                </c:pt>
                <c:pt idx="4129">
                  <c:v>0.11332468572476186</c:v>
                </c:pt>
                <c:pt idx="4130">
                  <c:v>0.11332468572476186</c:v>
                </c:pt>
                <c:pt idx="4131">
                  <c:v>0.11332468572476186</c:v>
                </c:pt>
                <c:pt idx="4132">
                  <c:v>0.11332468572476186</c:v>
                </c:pt>
                <c:pt idx="4133">
                  <c:v>0.11332468572476186</c:v>
                </c:pt>
                <c:pt idx="4134">
                  <c:v>0.11332468572476186</c:v>
                </c:pt>
                <c:pt idx="4135">
                  <c:v>0.11332468572476186</c:v>
                </c:pt>
                <c:pt idx="4136">
                  <c:v>0.11332468572476186</c:v>
                </c:pt>
                <c:pt idx="4137">
                  <c:v>0.11332468572476186</c:v>
                </c:pt>
                <c:pt idx="4138">
                  <c:v>0.11332468572476186</c:v>
                </c:pt>
                <c:pt idx="4139">
                  <c:v>0.11332468572476186</c:v>
                </c:pt>
                <c:pt idx="4140">
                  <c:v>0.11332468572476186</c:v>
                </c:pt>
                <c:pt idx="4141">
                  <c:v>0.11332468572476186</c:v>
                </c:pt>
                <c:pt idx="4142">
                  <c:v>0.11332468572476186</c:v>
                </c:pt>
                <c:pt idx="4143">
                  <c:v>0.11332468572476186</c:v>
                </c:pt>
                <c:pt idx="4144">
                  <c:v>0.11332468572476186</c:v>
                </c:pt>
                <c:pt idx="4145">
                  <c:v>0.11332468572476186</c:v>
                </c:pt>
                <c:pt idx="4146">
                  <c:v>0.11332468572476186</c:v>
                </c:pt>
                <c:pt idx="4147">
                  <c:v>0.11332468572476186</c:v>
                </c:pt>
                <c:pt idx="4148">
                  <c:v>0.11332468572476186</c:v>
                </c:pt>
                <c:pt idx="4149">
                  <c:v>0.11332468572476186</c:v>
                </c:pt>
                <c:pt idx="4150">
                  <c:v>0.11332468572476186</c:v>
                </c:pt>
                <c:pt idx="4151">
                  <c:v>0.11332468572476186</c:v>
                </c:pt>
                <c:pt idx="4152">
                  <c:v>0.11332468572476186</c:v>
                </c:pt>
                <c:pt idx="4153">
                  <c:v>0.11332468572476186</c:v>
                </c:pt>
                <c:pt idx="4154">
                  <c:v>0.11332468572476186</c:v>
                </c:pt>
                <c:pt idx="4155">
                  <c:v>0.11332468572476186</c:v>
                </c:pt>
                <c:pt idx="4156">
                  <c:v>0.11332468572476186</c:v>
                </c:pt>
                <c:pt idx="4157">
                  <c:v>0.11332468572476186</c:v>
                </c:pt>
                <c:pt idx="4158">
                  <c:v>0.11332468572476186</c:v>
                </c:pt>
                <c:pt idx="4159">
                  <c:v>0.11332468572476186</c:v>
                </c:pt>
                <c:pt idx="4160">
                  <c:v>0.11332468572476186</c:v>
                </c:pt>
                <c:pt idx="4161">
                  <c:v>0.11332468572476186</c:v>
                </c:pt>
                <c:pt idx="4162">
                  <c:v>0.11332468572476186</c:v>
                </c:pt>
                <c:pt idx="4163">
                  <c:v>0.11332468572476186</c:v>
                </c:pt>
                <c:pt idx="4164">
                  <c:v>0.11332468572476186</c:v>
                </c:pt>
                <c:pt idx="4165">
                  <c:v>0.11332468572476186</c:v>
                </c:pt>
                <c:pt idx="4166">
                  <c:v>0.11332468572476186</c:v>
                </c:pt>
                <c:pt idx="4167">
                  <c:v>0.11332468572476186</c:v>
                </c:pt>
                <c:pt idx="4168">
                  <c:v>0.11332468572476186</c:v>
                </c:pt>
                <c:pt idx="4169">
                  <c:v>0.11332468572476186</c:v>
                </c:pt>
                <c:pt idx="4170">
                  <c:v>0.11332468572476186</c:v>
                </c:pt>
                <c:pt idx="4171">
                  <c:v>0.11332468572476186</c:v>
                </c:pt>
                <c:pt idx="4172">
                  <c:v>0.11332468572476186</c:v>
                </c:pt>
                <c:pt idx="4173">
                  <c:v>0.11332468572476186</c:v>
                </c:pt>
                <c:pt idx="4174">
                  <c:v>0.11332468572476186</c:v>
                </c:pt>
                <c:pt idx="4175">
                  <c:v>0.11332468572476186</c:v>
                </c:pt>
                <c:pt idx="4176">
                  <c:v>0.11332468572476186</c:v>
                </c:pt>
                <c:pt idx="4177">
                  <c:v>0.11332468572476186</c:v>
                </c:pt>
                <c:pt idx="4178">
                  <c:v>0.11332468572476186</c:v>
                </c:pt>
                <c:pt idx="4179">
                  <c:v>0.11332468572476186</c:v>
                </c:pt>
                <c:pt idx="4180">
                  <c:v>0.11332468572476186</c:v>
                </c:pt>
                <c:pt idx="4181">
                  <c:v>0.11332468572476186</c:v>
                </c:pt>
                <c:pt idx="4182">
                  <c:v>0.11332468572476186</c:v>
                </c:pt>
                <c:pt idx="4183">
                  <c:v>0.11332468572476186</c:v>
                </c:pt>
                <c:pt idx="4184">
                  <c:v>0.11332468572476186</c:v>
                </c:pt>
                <c:pt idx="4185">
                  <c:v>0.11332468572476186</c:v>
                </c:pt>
                <c:pt idx="4186">
                  <c:v>0.11332468572476186</c:v>
                </c:pt>
                <c:pt idx="4187">
                  <c:v>0.11332468572476186</c:v>
                </c:pt>
                <c:pt idx="4188">
                  <c:v>0.11332468572476186</c:v>
                </c:pt>
                <c:pt idx="4189">
                  <c:v>0.11332468572476186</c:v>
                </c:pt>
                <c:pt idx="4190">
                  <c:v>0.11332468572476186</c:v>
                </c:pt>
                <c:pt idx="4191">
                  <c:v>0.11332468572476186</c:v>
                </c:pt>
                <c:pt idx="4192">
                  <c:v>0.11332468572476186</c:v>
                </c:pt>
                <c:pt idx="4193">
                  <c:v>0.11332468572476186</c:v>
                </c:pt>
                <c:pt idx="4194">
                  <c:v>0.11332468572476186</c:v>
                </c:pt>
                <c:pt idx="4195">
                  <c:v>0.11332468572476186</c:v>
                </c:pt>
                <c:pt idx="4196">
                  <c:v>0.11332468572476186</c:v>
                </c:pt>
                <c:pt idx="4197">
                  <c:v>0.11332468572476186</c:v>
                </c:pt>
                <c:pt idx="4198">
                  <c:v>0.11332468572476186</c:v>
                </c:pt>
                <c:pt idx="4199">
                  <c:v>0.11332468572476186</c:v>
                </c:pt>
                <c:pt idx="4200">
                  <c:v>0.11332468572476186</c:v>
                </c:pt>
                <c:pt idx="4201">
                  <c:v>0.11332468572476186</c:v>
                </c:pt>
                <c:pt idx="4202">
                  <c:v>0.11332468572476186</c:v>
                </c:pt>
                <c:pt idx="4203">
                  <c:v>0.11332468572476186</c:v>
                </c:pt>
                <c:pt idx="4204">
                  <c:v>0.11332468572476186</c:v>
                </c:pt>
                <c:pt idx="4205">
                  <c:v>0.11332468572476186</c:v>
                </c:pt>
                <c:pt idx="4206">
                  <c:v>0.11332468572476186</c:v>
                </c:pt>
                <c:pt idx="4207">
                  <c:v>0.11332468572476186</c:v>
                </c:pt>
                <c:pt idx="4208">
                  <c:v>0.11332468572476186</c:v>
                </c:pt>
                <c:pt idx="4209">
                  <c:v>0.11332468572476186</c:v>
                </c:pt>
                <c:pt idx="4210">
                  <c:v>0.11332468572476186</c:v>
                </c:pt>
                <c:pt idx="4211">
                  <c:v>0.11332468572476186</c:v>
                </c:pt>
                <c:pt idx="4212">
                  <c:v>0.11332468572476186</c:v>
                </c:pt>
                <c:pt idx="4213">
                  <c:v>0.11332468572476186</c:v>
                </c:pt>
                <c:pt idx="4214">
                  <c:v>0.11332468572476186</c:v>
                </c:pt>
                <c:pt idx="4215">
                  <c:v>0.11332468572476186</c:v>
                </c:pt>
                <c:pt idx="4216">
                  <c:v>0.11332468572476186</c:v>
                </c:pt>
                <c:pt idx="4217">
                  <c:v>0.11332468572476186</c:v>
                </c:pt>
                <c:pt idx="4218">
                  <c:v>0.11332468572476186</c:v>
                </c:pt>
                <c:pt idx="4219">
                  <c:v>0.11332468572476186</c:v>
                </c:pt>
                <c:pt idx="4220">
                  <c:v>0.11332468572476186</c:v>
                </c:pt>
                <c:pt idx="4221">
                  <c:v>0.11332468572476186</c:v>
                </c:pt>
                <c:pt idx="4222">
                  <c:v>0.11332468572476186</c:v>
                </c:pt>
                <c:pt idx="4223">
                  <c:v>0.11332468572476186</c:v>
                </c:pt>
                <c:pt idx="4224">
                  <c:v>0.11332468572476186</c:v>
                </c:pt>
                <c:pt idx="4225">
                  <c:v>0.11332468572476186</c:v>
                </c:pt>
                <c:pt idx="4226">
                  <c:v>0.11332468572476186</c:v>
                </c:pt>
                <c:pt idx="4227">
                  <c:v>0.11332468572476186</c:v>
                </c:pt>
                <c:pt idx="4228">
                  <c:v>0.11332468572476186</c:v>
                </c:pt>
                <c:pt idx="4229">
                  <c:v>0.11332468572476186</c:v>
                </c:pt>
                <c:pt idx="4230">
                  <c:v>0.11332468572476186</c:v>
                </c:pt>
                <c:pt idx="4231">
                  <c:v>0.11332468572476186</c:v>
                </c:pt>
                <c:pt idx="4232">
                  <c:v>0.11332468572476186</c:v>
                </c:pt>
                <c:pt idx="4233">
                  <c:v>0.11332468572476186</c:v>
                </c:pt>
                <c:pt idx="4234">
                  <c:v>0.11332468572476186</c:v>
                </c:pt>
                <c:pt idx="4235">
                  <c:v>0.11332468572476186</c:v>
                </c:pt>
                <c:pt idx="4236">
                  <c:v>0.11332468572476186</c:v>
                </c:pt>
                <c:pt idx="4237">
                  <c:v>0.11332468572476186</c:v>
                </c:pt>
                <c:pt idx="4238">
                  <c:v>0.11332468572476186</c:v>
                </c:pt>
                <c:pt idx="4239">
                  <c:v>0.11332468572476186</c:v>
                </c:pt>
                <c:pt idx="4240">
                  <c:v>0.11332468572476186</c:v>
                </c:pt>
                <c:pt idx="4241">
                  <c:v>0.11332468572476186</c:v>
                </c:pt>
                <c:pt idx="4242">
                  <c:v>0.11332468572476186</c:v>
                </c:pt>
                <c:pt idx="4243">
                  <c:v>0.11332468572476186</c:v>
                </c:pt>
                <c:pt idx="4244">
                  <c:v>0.11332468572476186</c:v>
                </c:pt>
                <c:pt idx="4245">
                  <c:v>0.11332468572476186</c:v>
                </c:pt>
                <c:pt idx="4246">
                  <c:v>0.11332468572476186</c:v>
                </c:pt>
                <c:pt idx="4247">
                  <c:v>0.11332468572476186</c:v>
                </c:pt>
                <c:pt idx="4248">
                  <c:v>0.11332468572476186</c:v>
                </c:pt>
                <c:pt idx="4249">
                  <c:v>0.11332468572476186</c:v>
                </c:pt>
                <c:pt idx="4250">
                  <c:v>0.11332468572476186</c:v>
                </c:pt>
                <c:pt idx="4251">
                  <c:v>0.11332468572476186</c:v>
                </c:pt>
                <c:pt idx="4252">
                  <c:v>0.11332468572476186</c:v>
                </c:pt>
                <c:pt idx="4253">
                  <c:v>0.11332468572476186</c:v>
                </c:pt>
                <c:pt idx="4254">
                  <c:v>0.11332468572476186</c:v>
                </c:pt>
                <c:pt idx="4255">
                  <c:v>0.11332468572476186</c:v>
                </c:pt>
                <c:pt idx="4256">
                  <c:v>0.11332468572476186</c:v>
                </c:pt>
                <c:pt idx="4257">
                  <c:v>0.11332468572476186</c:v>
                </c:pt>
                <c:pt idx="4258">
                  <c:v>0.11332468572476186</c:v>
                </c:pt>
                <c:pt idx="4259">
                  <c:v>0.11332468572476186</c:v>
                </c:pt>
                <c:pt idx="4260">
                  <c:v>0.11332468572476186</c:v>
                </c:pt>
                <c:pt idx="4261">
                  <c:v>0.11332468572476186</c:v>
                </c:pt>
                <c:pt idx="4262">
                  <c:v>0.11332468572476186</c:v>
                </c:pt>
                <c:pt idx="4263">
                  <c:v>0.11332468572476186</c:v>
                </c:pt>
                <c:pt idx="4264">
                  <c:v>0.11332468572476186</c:v>
                </c:pt>
                <c:pt idx="4265">
                  <c:v>0.11332468572476186</c:v>
                </c:pt>
                <c:pt idx="4266">
                  <c:v>0.11332468572476186</c:v>
                </c:pt>
                <c:pt idx="4267">
                  <c:v>0.11332468572476186</c:v>
                </c:pt>
                <c:pt idx="4268">
                  <c:v>0.11332468572476186</c:v>
                </c:pt>
                <c:pt idx="4269">
                  <c:v>0.11332468572476186</c:v>
                </c:pt>
                <c:pt idx="4270">
                  <c:v>0.11332468572476186</c:v>
                </c:pt>
                <c:pt idx="4271">
                  <c:v>0.11332468572476186</c:v>
                </c:pt>
                <c:pt idx="4272">
                  <c:v>0.11332468572476186</c:v>
                </c:pt>
                <c:pt idx="4273">
                  <c:v>0.11332468572476186</c:v>
                </c:pt>
                <c:pt idx="4274">
                  <c:v>0.11332468572476186</c:v>
                </c:pt>
                <c:pt idx="4275">
                  <c:v>0.11332468572476186</c:v>
                </c:pt>
                <c:pt idx="4276">
                  <c:v>0.11332468572476186</c:v>
                </c:pt>
                <c:pt idx="4277">
                  <c:v>0.11332468572476186</c:v>
                </c:pt>
                <c:pt idx="4278">
                  <c:v>0.11332468572476186</c:v>
                </c:pt>
                <c:pt idx="4279">
                  <c:v>0.11332468572476186</c:v>
                </c:pt>
                <c:pt idx="4280">
                  <c:v>0.11332468572476186</c:v>
                </c:pt>
                <c:pt idx="4281">
                  <c:v>0.11332468572476186</c:v>
                </c:pt>
                <c:pt idx="4282">
                  <c:v>0.11332468572476186</c:v>
                </c:pt>
                <c:pt idx="4283">
                  <c:v>0.11332468572476186</c:v>
                </c:pt>
                <c:pt idx="4284">
                  <c:v>0.11332468572476186</c:v>
                </c:pt>
                <c:pt idx="4285">
                  <c:v>0.11332468572476186</c:v>
                </c:pt>
                <c:pt idx="4286">
                  <c:v>0.11332468572476186</c:v>
                </c:pt>
                <c:pt idx="4287">
                  <c:v>0.11332468572476186</c:v>
                </c:pt>
                <c:pt idx="4288">
                  <c:v>0.11332468572476186</c:v>
                </c:pt>
                <c:pt idx="4289">
                  <c:v>0.11332468572476186</c:v>
                </c:pt>
                <c:pt idx="4290">
                  <c:v>0.11332468572476186</c:v>
                </c:pt>
                <c:pt idx="4291">
                  <c:v>0.11332468572476186</c:v>
                </c:pt>
                <c:pt idx="4292">
                  <c:v>0.11332468572476186</c:v>
                </c:pt>
                <c:pt idx="4293">
                  <c:v>0.11332468572476186</c:v>
                </c:pt>
                <c:pt idx="4294">
                  <c:v>0.11332468572476186</c:v>
                </c:pt>
                <c:pt idx="4295">
                  <c:v>0.11332468572476186</c:v>
                </c:pt>
                <c:pt idx="4296">
                  <c:v>0.11332468572476186</c:v>
                </c:pt>
                <c:pt idx="4297">
                  <c:v>0.11332468572476186</c:v>
                </c:pt>
                <c:pt idx="4298">
                  <c:v>0.11332468572476186</c:v>
                </c:pt>
                <c:pt idx="4299">
                  <c:v>0.11332468572476186</c:v>
                </c:pt>
                <c:pt idx="4300">
                  <c:v>0.11332468572476186</c:v>
                </c:pt>
                <c:pt idx="4301">
                  <c:v>0.11332468572476186</c:v>
                </c:pt>
                <c:pt idx="4302">
                  <c:v>0.11332468572476186</c:v>
                </c:pt>
                <c:pt idx="4303">
                  <c:v>0.11332468572476186</c:v>
                </c:pt>
                <c:pt idx="4304">
                  <c:v>0.11332468572476186</c:v>
                </c:pt>
                <c:pt idx="4305">
                  <c:v>0.11332468572476186</c:v>
                </c:pt>
                <c:pt idx="4306">
                  <c:v>0.11332468572476186</c:v>
                </c:pt>
                <c:pt idx="4307">
                  <c:v>0.11332468572476186</c:v>
                </c:pt>
                <c:pt idx="4308">
                  <c:v>0.11332468572476186</c:v>
                </c:pt>
                <c:pt idx="4309">
                  <c:v>0.11332468572476186</c:v>
                </c:pt>
                <c:pt idx="4310">
                  <c:v>0.11332468572476186</c:v>
                </c:pt>
                <c:pt idx="4311">
                  <c:v>0.11332468572476186</c:v>
                </c:pt>
                <c:pt idx="4312">
                  <c:v>0.11332468572476186</c:v>
                </c:pt>
                <c:pt idx="4313">
                  <c:v>0.11332468572476186</c:v>
                </c:pt>
                <c:pt idx="4314">
                  <c:v>0.11332468572476186</c:v>
                </c:pt>
                <c:pt idx="4315">
                  <c:v>0.11332468572476186</c:v>
                </c:pt>
                <c:pt idx="4316">
                  <c:v>0.11332468572476186</c:v>
                </c:pt>
                <c:pt idx="4317">
                  <c:v>0.11332468572476186</c:v>
                </c:pt>
                <c:pt idx="4318">
                  <c:v>0.11332468572476186</c:v>
                </c:pt>
                <c:pt idx="4319">
                  <c:v>0.11332468572476186</c:v>
                </c:pt>
                <c:pt idx="4320">
                  <c:v>0.11332468572476186</c:v>
                </c:pt>
                <c:pt idx="4321">
                  <c:v>0.11332468572476186</c:v>
                </c:pt>
                <c:pt idx="4322">
                  <c:v>0.11332468572476186</c:v>
                </c:pt>
                <c:pt idx="4323">
                  <c:v>0.11332468572476186</c:v>
                </c:pt>
                <c:pt idx="4324">
                  <c:v>0.11332468572476186</c:v>
                </c:pt>
                <c:pt idx="4325">
                  <c:v>0.11332468572476186</c:v>
                </c:pt>
                <c:pt idx="4326">
                  <c:v>0.11332468572476186</c:v>
                </c:pt>
                <c:pt idx="4327">
                  <c:v>0.11332468572476186</c:v>
                </c:pt>
                <c:pt idx="4328">
                  <c:v>0.11332468572476186</c:v>
                </c:pt>
                <c:pt idx="4329">
                  <c:v>0.11332468572476186</c:v>
                </c:pt>
                <c:pt idx="4330">
                  <c:v>0.11332468572476186</c:v>
                </c:pt>
                <c:pt idx="4331">
                  <c:v>0.11332468572476186</c:v>
                </c:pt>
                <c:pt idx="4332">
                  <c:v>0.11332468572476186</c:v>
                </c:pt>
                <c:pt idx="4333">
                  <c:v>0.11332468572476186</c:v>
                </c:pt>
                <c:pt idx="4334">
                  <c:v>0.11332468572476186</c:v>
                </c:pt>
                <c:pt idx="4335">
                  <c:v>0.11332468572476186</c:v>
                </c:pt>
                <c:pt idx="4336">
                  <c:v>0.11332468572476186</c:v>
                </c:pt>
                <c:pt idx="4337">
                  <c:v>0.11332468572476186</c:v>
                </c:pt>
                <c:pt idx="4338">
                  <c:v>0.11332468572476186</c:v>
                </c:pt>
                <c:pt idx="4339">
                  <c:v>0.11332468572476186</c:v>
                </c:pt>
                <c:pt idx="4340">
                  <c:v>0.11332468572476186</c:v>
                </c:pt>
                <c:pt idx="4341">
                  <c:v>0.11332468572476186</c:v>
                </c:pt>
                <c:pt idx="4342">
                  <c:v>0.11332468572476186</c:v>
                </c:pt>
                <c:pt idx="4343">
                  <c:v>0.11332468572476186</c:v>
                </c:pt>
                <c:pt idx="4344">
                  <c:v>0.11332468572476186</c:v>
                </c:pt>
                <c:pt idx="4345">
                  <c:v>0.11332468572476186</c:v>
                </c:pt>
                <c:pt idx="4346">
                  <c:v>0.11332468572476186</c:v>
                </c:pt>
                <c:pt idx="4347">
                  <c:v>0.11332468572476186</c:v>
                </c:pt>
                <c:pt idx="4348">
                  <c:v>0.11332468572476186</c:v>
                </c:pt>
                <c:pt idx="4349">
                  <c:v>0.11332468572476186</c:v>
                </c:pt>
                <c:pt idx="4350">
                  <c:v>0.11332468572476186</c:v>
                </c:pt>
                <c:pt idx="4351">
                  <c:v>0.11332468572476186</c:v>
                </c:pt>
                <c:pt idx="4352">
                  <c:v>0.11332468572476186</c:v>
                </c:pt>
                <c:pt idx="4353">
                  <c:v>0.11332468572476186</c:v>
                </c:pt>
                <c:pt idx="4354">
                  <c:v>0.11332468572476186</c:v>
                </c:pt>
                <c:pt idx="4355">
                  <c:v>0.11332468572476186</c:v>
                </c:pt>
                <c:pt idx="4356">
                  <c:v>0.11332468572476186</c:v>
                </c:pt>
                <c:pt idx="4357">
                  <c:v>0.11332468572476186</c:v>
                </c:pt>
                <c:pt idx="4358">
                  <c:v>0.11332468572476186</c:v>
                </c:pt>
                <c:pt idx="4359">
                  <c:v>0.11332468572476186</c:v>
                </c:pt>
                <c:pt idx="4360">
                  <c:v>0.11332468572476186</c:v>
                </c:pt>
                <c:pt idx="4361">
                  <c:v>0.11332468572476186</c:v>
                </c:pt>
                <c:pt idx="4362">
                  <c:v>0.11332468572476186</c:v>
                </c:pt>
                <c:pt idx="4363">
                  <c:v>0.11332468572476186</c:v>
                </c:pt>
                <c:pt idx="4364">
                  <c:v>0.11332468572476186</c:v>
                </c:pt>
                <c:pt idx="4365">
                  <c:v>0.11332468572476186</c:v>
                </c:pt>
                <c:pt idx="4366">
                  <c:v>0.11332468572476186</c:v>
                </c:pt>
                <c:pt idx="4367">
                  <c:v>0.11332468572476186</c:v>
                </c:pt>
                <c:pt idx="4368">
                  <c:v>0.11332468572476186</c:v>
                </c:pt>
                <c:pt idx="4369">
                  <c:v>0.11332468572476186</c:v>
                </c:pt>
                <c:pt idx="4370">
                  <c:v>0.11332468572476186</c:v>
                </c:pt>
                <c:pt idx="4371">
                  <c:v>0.11332468572476186</c:v>
                </c:pt>
                <c:pt idx="4372">
                  <c:v>0.11332468572476186</c:v>
                </c:pt>
                <c:pt idx="4373">
                  <c:v>0.11332468572476186</c:v>
                </c:pt>
                <c:pt idx="4374">
                  <c:v>0.11332468572476186</c:v>
                </c:pt>
                <c:pt idx="4375">
                  <c:v>0.11332468572476186</c:v>
                </c:pt>
                <c:pt idx="4376">
                  <c:v>0.11332468572476186</c:v>
                </c:pt>
                <c:pt idx="4377">
                  <c:v>0.11332468572476186</c:v>
                </c:pt>
                <c:pt idx="4378">
                  <c:v>0.11332468572476186</c:v>
                </c:pt>
                <c:pt idx="4379">
                  <c:v>0.11332468572476186</c:v>
                </c:pt>
                <c:pt idx="4380">
                  <c:v>0.11332468572476186</c:v>
                </c:pt>
                <c:pt idx="4381">
                  <c:v>0.11332468572476186</c:v>
                </c:pt>
                <c:pt idx="4382">
                  <c:v>0.11332468572476186</c:v>
                </c:pt>
                <c:pt idx="4383">
                  <c:v>0.11332468572476186</c:v>
                </c:pt>
                <c:pt idx="4384">
                  <c:v>0.11332468572476186</c:v>
                </c:pt>
                <c:pt idx="4385">
                  <c:v>0.11332468572476186</c:v>
                </c:pt>
                <c:pt idx="4386">
                  <c:v>0.11332468572476186</c:v>
                </c:pt>
                <c:pt idx="4387">
                  <c:v>0.11332468572476186</c:v>
                </c:pt>
                <c:pt idx="4388">
                  <c:v>0.11332468572476186</c:v>
                </c:pt>
                <c:pt idx="4389">
                  <c:v>0.11332468572476186</c:v>
                </c:pt>
                <c:pt idx="4390">
                  <c:v>0.11332468572476186</c:v>
                </c:pt>
                <c:pt idx="4391">
                  <c:v>0.11332468572476186</c:v>
                </c:pt>
                <c:pt idx="4392">
                  <c:v>0.11332468572476186</c:v>
                </c:pt>
                <c:pt idx="4393">
                  <c:v>0.11332468572476186</c:v>
                </c:pt>
                <c:pt idx="4394">
                  <c:v>0.11332468572476186</c:v>
                </c:pt>
                <c:pt idx="4395">
                  <c:v>0.11332468572476186</c:v>
                </c:pt>
                <c:pt idx="4396">
                  <c:v>0.11332468572476186</c:v>
                </c:pt>
                <c:pt idx="4397">
                  <c:v>0.11332468572476186</c:v>
                </c:pt>
                <c:pt idx="4398">
                  <c:v>0.11332468572476186</c:v>
                </c:pt>
                <c:pt idx="4399">
                  <c:v>0.11332468572476186</c:v>
                </c:pt>
                <c:pt idx="4400">
                  <c:v>0.11332468572476186</c:v>
                </c:pt>
                <c:pt idx="4401">
                  <c:v>0.11332468572476186</c:v>
                </c:pt>
                <c:pt idx="4402">
                  <c:v>0.11332468572476186</c:v>
                </c:pt>
                <c:pt idx="4403">
                  <c:v>0.11332468572476186</c:v>
                </c:pt>
                <c:pt idx="4404">
                  <c:v>0.11332468572476186</c:v>
                </c:pt>
                <c:pt idx="4405">
                  <c:v>0.11332468572476186</c:v>
                </c:pt>
                <c:pt idx="4406">
                  <c:v>0.11332468572476186</c:v>
                </c:pt>
                <c:pt idx="4407">
                  <c:v>0.11332468572476186</c:v>
                </c:pt>
                <c:pt idx="4408">
                  <c:v>0.11332468572476186</c:v>
                </c:pt>
                <c:pt idx="4409">
                  <c:v>0.11332468572476186</c:v>
                </c:pt>
                <c:pt idx="4410">
                  <c:v>0.11332468572476186</c:v>
                </c:pt>
                <c:pt idx="4411">
                  <c:v>0.11332468572476186</c:v>
                </c:pt>
                <c:pt idx="4412">
                  <c:v>0.11332468572476186</c:v>
                </c:pt>
                <c:pt idx="4413">
                  <c:v>0.11332468572476186</c:v>
                </c:pt>
                <c:pt idx="4414">
                  <c:v>0.11332468572476186</c:v>
                </c:pt>
                <c:pt idx="4415">
                  <c:v>0.11332468572476186</c:v>
                </c:pt>
                <c:pt idx="4416">
                  <c:v>0.11332468572476186</c:v>
                </c:pt>
                <c:pt idx="4417">
                  <c:v>0.11332468572476186</c:v>
                </c:pt>
                <c:pt idx="4418">
                  <c:v>0.11332468572476186</c:v>
                </c:pt>
                <c:pt idx="4419">
                  <c:v>0.11332468572476186</c:v>
                </c:pt>
                <c:pt idx="4420">
                  <c:v>0.11332468572476186</c:v>
                </c:pt>
                <c:pt idx="4421">
                  <c:v>0.11332468572476186</c:v>
                </c:pt>
                <c:pt idx="4422">
                  <c:v>0.11332468572476186</c:v>
                </c:pt>
                <c:pt idx="4423">
                  <c:v>0.11332468572476186</c:v>
                </c:pt>
                <c:pt idx="4424">
                  <c:v>0.11332468572476186</c:v>
                </c:pt>
                <c:pt idx="4425">
                  <c:v>0.11332468572476186</c:v>
                </c:pt>
                <c:pt idx="4426">
                  <c:v>0.11332468572476186</c:v>
                </c:pt>
                <c:pt idx="4427">
                  <c:v>0.11332468572476186</c:v>
                </c:pt>
                <c:pt idx="4428">
                  <c:v>0.11332468572476186</c:v>
                </c:pt>
                <c:pt idx="4429">
                  <c:v>0.11332468572476186</c:v>
                </c:pt>
                <c:pt idx="4430">
                  <c:v>0.11332468572476186</c:v>
                </c:pt>
                <c:pt idx="4431">
                  <c:v>0.11332468572476186</c:v>
                </c:pt>
                <c:pt idx="4432">
                  <c:v>0.11332468572476186</c:v>
                </c:pt>
                <c:pt idx="4433">
                  <c:v>0.11332468572476186</c:v>
                </c:pt>
                <c:pt idx="4434">
                  <c:v>0.11332468572476186</c:v>
                </c:pt>
                <c:pt idx="4435">
                  <c:v>0.11332468572476186</c:v>
                </c:pt>
                <c:pt idx="4436">
                  <c:v>0.11332468572476186</c:v>
                </c:pt>
                <c:pt idx="4437">
                  <c:v>0.11332468572476186</c:v>
                </c:pt>
                <c:pt idx="4438">
                  <c:v>0.11332468572476186</c:v>
                </c:pt>
                <c:pt idx="4439">
                  <c:v>0.11332468572476186</c:v>
                </c:pt>
                <c:pt idx="4440">
                  <c:v>0.11332468572476186</c:v>
                </c:pt>
                <c:pt idx="4441">
                  <c:v>0.11332468572476186</c:v>
                </c:pt>
                <c:pt idx="4442">
                  <c:v>0.11332468572476186</c:v>
                </c:pt>
                <c:pt idx="4443">
                  <c:v>0.11332468572476186</c:v>
                </c:pt>
                <c:pt idx="4444">
                  <c:v>0.11332468572476186</c:v>
                </c:pt>
                <c:pt idx="4445">
                  <c:v>0.11332468572476186</c:v>
                </c:pt>
                <c:pt idx="4446">
                  <c:v>0.11332468572476186</c:v>
                </c:pt>
                <c:pt idx="4447">
                  <c:v>0.11332468572476186</c:v>
                </c:pt>
                <c:pt idx="4448">
                  <c:v>0.11332468572476186</c:v>
                </c:pt>
                <c:pt idx="4449">
                  <c:v>0.11332468572476186</c:v>
                </c:pt>
                <c:pt idx="4450">
                  <c:v>0.11332468572476186</c:v>
                </c:pt>
                <c:pt idx="4451">
                  <c:v>0.11332468572476186</c:v>
                </c:pt>
                <c:pt idx="4452">
                  <c:v>0.11332468572476186</c:v>
                </c:pt>
                <c:pt idx="4453">
                  <c:v>0.11332468572476186</c:v>
                </c:pt>
                <c:pt idx="4454">
                  <c:v>0.11332468572476186</c:v>
                </c:pt>
                <c:pt idx="4455">
                  <c:v>0.11332468572476186</c:v>
                </c:pt>
                <c:pt idx="4456">
                  <c:v>0.11332468572476186</c:v>
                </c:pt>
                <c:pt idx="4457">
                  <c:v>0.11332468572476186</c:v>
                </c:pt>
                <c:pt idx="4458">
                  <c:v>0.11332468572476186</c:v>
                </c:pt>
                <c:pt idx="4459">
                  <c:v>0.11332468572476186</c:v>
                </c:pt>
                <c:pt idx="4460">
                  <c:v>0.11332468572476186</c:v>
                </c:pt>
                <c:pt idx="4461">
                  <c:v>0.11332468572476186</c:v>
                </c:pt>
                <c:pt idx="4462">
                  <c:v>0.11332468572476186</c:v>
                </c:pt>
                <c:pt idx="4463">
                  <c:v>0.11332468572476186</c:v>
                </c:pt>
                <c:pt idx="4464">
                  <c:v>0.11332468572476186</c:v>
                </c:pt>
                <c:pt idx="4465">
                  <c:v>0.11332468572476186</c:v>
                </c:pt>
                <c:pt idx="4466">
                  <c:v>0.11332468572476186</c:v>
                </c:pt>
                <c:pt idx="4467">
                  <c:v>0.11332468572476186</c:v>
                </c:pt>
                <c:pt idx="4468">
                  <c:v>0.11332468572476186</c:v>
                </c:pt>
                <c:pt idx="4469">
                  <c:v>0.11332468572476186</c:v>
                </c:pt>
                <c:pt idx="4470">
                  <c:v>0.11332468572476186</c:v>
                </c:pt>
                <c:pt idx="4471">
                  <c:v>0.11332468572476186</c:v>
                </c:pt>
                <c:pt idx="4472">
                  <c:v>0.11332468572476186</c:v>
                </c:pt>
                <c:pt idx="4473">
                  <c:v>0.11332468572476186</c:v>
                </c:pt>
                <c:pt idx="4474">
                  <c:v>0.11332468572476186</c:v>
                </c:pt>
                <c:pt idx="4475">
                  <c:v>0.11332468572476186</c:v>
                </c:pt>
                <c:pt idx="4476">
                  <c:v>0.11332468572476186</c:v>
                </c:pt>
                <c:pt idx="4477">
                  <c:v>0.11332468572476186</c:v>
                </c:pt>
                <c:pt idx="4478">
                  <c:v>0.11332468572476186</c:v>
                </c:pt>
                <c:pt idx="4479">
                  <c:v>0.11332468572476186</c:v>
                </c:pt>
                <c:pt idx="4480">
                  <c:v>0.11332468572476186</c:v>
                </c:pt>
                <c:pt idx="4481">
                  <c:v>0.11332468572476186</c:v>
                </c:pt>
                <c:pt idx="4482">
                  <c:v>0.11332468572476186</c:v>
                </c:pt>
                <c:pt idx="4483">
                  <c:v>0.11332468572476186</c:v>
                </c:pt>
                <c:pt idx="4484">
                  <c:v>0.11332468572476186</c:v>
                </c:pt>
                <c:pt idx="4485">
                  <c:v>0.11332468572476186</c:v>
                </c:pt>
                <c:pt idx="4486">
                  <c:v>0.11332468572476186</c:v>
                </c:pt>
                <c:pt idx="4487">
                  <c:v>0.11332468572476186</c:v>
                </c:pt>
                <c:pt idx="4488">
                  <c:v>0.11332468572476186</c:v>
                </c:pt>
                <c:pt idx="4489">
                  <c:v>0.11332468572476186</c:v>
                </c:pt>
                <c:pt idx="4490">
                  <c:v>0.11332468572476186</c:v>
                </c:pt>
                <c:pt idx="4491">
                  <c:v>0.11332468572476186</c:v>
                </c:pt>
                <c:pt idx="4492">
                  <c:v>0.11332468572476186</c:v>
                </c:pt>
                <c:pt idx="4493">
                  <c:v>0.11332468572476186</c:v>
                </c:pt>
                <c:pt idx="4494">
                  <c:v>0.11332468572476186</c:v>
                </c:pt>
                <c:pt idx="4495">
                  <c:v>0.11332468572476186</c:v>
                </c:pt>
                <c:pt idx="4496">
                  <c:v>0.11332468572476186</c:v>
                </c:pt>
                <c:pt idx="4497">
                  <c:v>0.11332468572476186</c:v>
                </c:pt>
                <c:pt idx="4498">
                  <c:v>0.11332468572476186</c:v>
                </c:pt>
                <c:pt idx="4499">
                  <c:v>0.11332468572476186</c:v>
                </c:pt>
                <c:pt idx="4500">
                  <c:v>0.11332468572476186</c:v>
                </c:pt>
                <c:pt idx="4501">
                  <c:v>0.11332468572476186</c:v>
                </c:pt>
                <c:pt idx="4502">
                  <c:v>0.11332468572476186</c:v>
                </c:pt>
                <c:pt idx="4503">
                  <c:v>0.11332468572476186</c:v>
                </c:pt>
                <c:pt idx="4504">
                  <c:v>0.11332468572476186</c:v>
                </c:pt>
                <c:pt idx="4505">
                  <c:v>0.11332468572476186</c:v>
                </c:pt>
                <c:pt idx="4506">
                  <c:v>0.11332468572476186</c:v>
                </c:pt>
                <c:pt idx="4507">
                  <c:v>0.11332468572476186</c:v>
                </c:pt>
                <c:pt idx="4508">
                  <c:v>0.11332468572476186</c:v>
                </c:pt>
                <c:pt idx="4509">
                  <c:v>0.11332468572476186</c:v>
                </c:pt>
                <c:pt idx="4510">
                  <c:v>0.11332468572476186</c:v>
                </c:pt>
                <c:pt idx="4511">
                  <c:v>0.11332468572476186</c:v>
                </c:pt>
                <c:pt idx="4512">
                  <c:v>0.11332468572476186</c:v>
                </c:pt>
                <c:pt idx="4513">
                  <c:v>0.11332468572476186</c:v>
                </c:pt>
                <c:pt idx="4514">
                  <c:v>0.11332468572476186</c:v>
                </c:pt>
                <c:pt idx="4515">
                  <c:v>0.11332468572476186</c:v>
                </c:pt>
                <c:pt idx="4516">
                  <c:v>0.11332468572476186</c:v>
                </c:pt>
                <c:pt idx="4517">
                  <c:v>0.11332468572476186</c:v>
                </c:pt>
                <c:pt idx="4518">
                  <c:v>0.11332468572476186</c:v>
                </c:pt>
                <c:pt idx="4519">
                  <c:v>0.11332468572476186</c:v>
                </c:pt>
                <c:pt idx="4520">
                  <c:v>0.11332468572476186</c:v>
                </c:pt>
                <c:pt idx="4521">
                  <c:v>0.11332468572476186</c:v>
                </c:pt>
                <c:pt idx="4522">
                  <c:v>0.11332468572476186</c:v>
                </c:pt>
                <c:pt idx="4523">
                  <c:v>0.11332468572476186</c:v>
                </c:pt>
                <c:pt idx="4524">
                  <c:v>0.11332468572476186</c:v>
                </c:pt>
                <c:pt idx="4525">
                  <c:v>0.11332468572476186</c:v>
                </c:pt>
                <c:pt idx="4526">
                  <c:v>0.11332468572476186</c:v>
                </c:pt>
                <c:pt idx="4527">
                  <c:v>0.11332468572476186</c:v>
                </c:pt>
                <c:pt idx="4528">
                  <c:v>0.11332468572476186</c:v>
                </c:pt>
                <c:pt idx="4529">
                  <c:v>0.11332468572476186</c:v>
                </c:pt>
                <c:pt idx="4530">
                  <c:v>0.11332468572476186</c:v>
                </c:pt>
                <c:pt idx="4531">
                  <c:v>0.11332468572476186</c:v>
                </c:pt>
                <c:pt idx="4532">
                  <c:v>0.11332468572476186</c:v>
                </c:pt>
                <c:pt idx="4533">
                  <c:v>0.11332468572476186</c:v>
                </c:pt>
                <c:pt idx="4534">
                  <c:v>0.11332468572476186</c:v>
                </c:pt>
                <c:pt idx="4535">
                  <c:v>0.11332468572476186</c:v>
                </c:pt>
                <c:pt idx="4536">
                  <c:v>0.11332468572476186</c:v>
                </c:pt>
                <c:pt idx="4537">
                  <c:v>0.11332468572476186</c:v>
                </c:pt>
                <c:pt idx="4538">
                  <c:v>0.11332468572476186</c:v>
                </c:pt>
                <c:pt idx="4539">
                  <c:v>0.11332468572476186</c:v>
                </c:pt>
                <c:pt idx="4540">
                  <c:v>0.11332468572476186</c:v>
                </c:pt>
                <c:pt idx="4541">
                  <c:v>0.11332468572476186</c:v>
                </c:pt>
                <c:pt idx="4542">
                  <c:v>0.11332468572476186</c:v>
                </c:pt>
                <c:pt idx="4543">
                  <c:v>0.11332468572476186</c:v>
                </c:pt>
                <c:pt idx="4544">
                  <c:v>0.11332468572476186</c:v>
                </c:pt>
                <c:pt idx="4545">
                  <c:v>0.11332468572476186</c:v>
                </c:pt>
                <c:pt idx="4546">
                  <c:v>0.11332468572476186</c:v>
                </c:pt>
                <c:pt idx="4547">
                  <c:v>0.11332468572476186</c:v>
                </c:pt>
                <c:pt idx="4548">
                  <c:v>0.11332468572476186</c:v>
                </c:pt>
                <c:pt idx="4549">
                  <c:v>0.11332468572476186</c:v>
                </c:pt>
                <c:pt idx="4550">
                  <c:v>0.11332468572476186</c:v>
                </c:pt>
                <c:pt idx="4551">
                  <c:v>0.11332468572476186</c:v>
                </c:pt>
                <c:pt idx="4552">
                  <c:v>0.11332468572476186</c:v>
                </c:pt>
                <c:pt idx="4553">
                  <c:v>0.11332468572476186</c:v>
                </c:pt>
                <c:pt idx="4554">
                  <c:v>0.11332468572476186</c:v>
                </c:pt>
                <c:pt idx="4555">
                  <c:v>0.11332468572476186</c:v>
                </c:pt>
                <c:pt idx="4556">
                  <c:v>0.11332468572476186</c:v>
                </c:pt>
                <c:pt idx="4557">
                  <c:v>0.11332468572476186</c:v>
                </c:pt>
                <c:pt idx="4558">
                  <c:v>0.11332468572476186</c:v>
                </c:pt>
                <c:pt idx="4559">
                  <c:v>0.11332468572476186</c:v>
                </c:pt>
                <c:pt idx="4560">
                  <c:v>0.11332468572476186</c:v>
                </c:pt>
                <c:pt idx="4561">
                  <c:v>0.11332468572476186</c:v>
                </c:pt>
                <c:pt idx="4562">
                  <c:v>0.11332468572476186</c:v>
                </c:pt>
                <c:pt idx="4563">
                  <c:v>0.11332468572476186</c:v>
                </c:pt>
                <c:pt idx="4564">
                  <c:v>0.11332468572476186</c:v>
                </c:pt>
                <c:pt idx="4565">
                  <c:v>0.11332468572476186</c:v>
                </c:pt>
                <c:pt idx="4566">
                  <c:v>0.11332468572476186</c:v>
                </c:pt>
                <c:pt idx="4567">
                  <c:v>0.11332468572476186</c:v>
                </c:pt>
                <c:pt idx="4568">
                  <c:v>0.11332468572476186</c:v>
                </c:pt>
                <c:pt idx="4569">
                  <c:v>0.11332468572476186</c:v>
                </c:pt>
                <c:pt idx="4570">
                  <c:v>0.11332468572476186</c:v>
                </c:pt>
                <c:pt idx="4571">
                  <c:v>0.11332468572476186</c:v>
                </c:pt>
                <c:pt idx="4572">
                  <c:v>0.11332468572476186</c:v>
                </c:pt>
                <c:pt idx="4573">
                  <c:v>0.11332468572476186</c:v>
                </c:pt>
                <c:pt idx="4574">
                  <c:v>0.11332468572476186</c:v>
                </c:pt>
                <c:pt idx="4575">
                  <c:v>0.11332468572476186</c:v>
                </c:pt>
                <c:pt idx="4576">
                  <c:v>0.11332468572476186</c:v>
                </c:pt>
                <c:pt idx="4577">
                  <c:v>0.11332468572476186</c:v>
                </c:pt>
                <c:pt idx="4578">
                  <c:v>0.11332468572476186</c:v>
                </c:pt>
                <c:pt idx="4579">
                  <c:v>0.11332468572476186</c:v>
                </c:pt>
                <c:pt idx="4580">
                  <c:v>0.11332468572476186</c:v>
                </c:pt>
                <c:pt idx="4581">
                  <c:v>0.11332468572476186</c:v>
                </c:pt>
                <c:pt idx="4582">
                  <c:v>0.11332468572476186</c:v>
                </c:pt>
                <c:pt idx="4583">
                  <c:v>0.11332468572476186</c:v>
                </c:pt>
                <c:pt idx="4584">
                  <c:v>0.11332468572476186</c:v>
                </c:pt>
                <c:pt idx="4585">
                  <c:v>0.11332468572476186</c:v>
                </c:pt>
                <c:pt idx="4586">
                  <c:v>0.11332468572476186</c:v>
                </c:pt>
                <c:pt idx="4587">
                  <c:v>0.11332468572476186</c:v>
                </c:pt>
                <c:pt idx="4588">
                  <c:v>0.11332468572476186</c:v>
                </c:pt>
                <c:pt idx="4589">
                  <c:v>0.11332468572476186</c:v>
                </c:pt>
                <c:pt idx="4590">
                  <c:v>0.11332468572476186</c:v>
                </c:pt>
                <c:pt idx="4591">
                  <c:v>0.11332468572476186</c:v>
                </c:pt>
                <c:pt idx="4592">
                  <c:v>0.11332468572476186</c:v>
                </c:pt>
                <c:pt idx="4593">
                  <c:v>0.11332468572476186</c:v>
                </c:pt>
                <c:pt idx="4594">
                  <c:v>0.11332468572476186</c:v>
                </c:pt>
                <c:pt idx="4595">
                  <c:v>0.11332468572476186</c:v>
                </c:pt>
                <c:pt idx="4596">
                  <c:v>0.11332468572476186</c:v>
                </c:pt>
                <c:pt idx="4597">
                  <c:v>0.11332468572476186</c:v>
                </c:pt>
                <c:pt idx="4598">
                  <c:v>0.11332468572476186</c:v>
                </c:pt>
                <c:pt idx="4599">
                  <c:v>0.11332468572476186</c:v>
                </c:pt>
                <c:pt idx="4600">
                  <c:v>0.11332468572476186</c:v>
                </c:pt>
                <c:pt idx="4601">
                  <c:v>0.11332468572476186</c:v>
                </c:pt>
                <c:pt idx="4602">
                  <c:v>0.11332468572476186</c:v>
                </c:pt>
                <c:pt idx="4603">
                  <c:v>0.11332468572476186</c:v>
                </c:pt>
                <c:pt idx="4604">
                  <c:v>0.11332468572476186</c:v>
                </c:pt>
                <c:pt idx="4605">
                  <c:v>0.11332468572476186</c:v>
                </c:pt>
                <c:pt idx="4606">
                  <c:v>0.11332468572476186</c:v>
                </c:pt>
                <c:pt idx="4607">
                  <c:v>0.11332468572476186</c:v>
                </c:pt>
                <c:pt idx="4608">
                  <c:v>0.11332468572476186</c:v>
                </c:pt>
                <c:pt idx="4609">
                  <c:v>0.11332468572476186</c:v>
                </c:pt>
                <c:pt idx="4610">
                  <c:v>0.11332468572476186</c:v>
                </c:pt>
                <c:pt idx="4611">
                  <c:v>0.11332468572476186</c:v>
                </c:pt>
                <c:pt idx="4612">
                  <c:v>0.11332468572476186</c:v>
                </c:pt>
                <c:pt idx="4613">
                  <c:v>0.11332468572476186</c:v>
                </c:pt>
                <c:pt idx="4614">
                  <c:v>0.11332468572476186</c:v>
                </c:pt>
                <c:pt idx="4615">
                  <c:v>0.11332468572476186</c:v>
                </c:pt>
                <c:pt idx="4616">
                  <c:v>0.11332468572476186</c:v>
                </c:pt>
                <c:pt idx="4617">
                  <c:v>0.11332468572476186</c:v>
                </c:pt>
                <c:pt idx="4618">
                  <c:v>0.11332468572476186</c:v>
                </c:pt>
                <c:pt idx="4619">
                  <c:v>0.11332468572476186</c:v>
                </c:pt>
                <c:pt idx="4620">
                  <c:v>0.11332468572476186</c:v>
                </c:pt>
                <c:pt idx="4621">
                  <c:v>0.11332468572476186</c:v>
                </c:pt>
                <c:pt idx="4622">
                  <c:v>0.11332468572476186</c:v>
                </c:pt>
                <c:pt idx="4623">
                  <c:v>0.11332468572476186</c:v>
                </c:pt>
                <c:pt idx="4624">
                  <c:v>0.11332468572476186</c:v>
                </c:pt>
                <c:pt idx="4625">
                  <c:v>0.11332468572476186</c:v>
                </c:pt>
                <c:pt idx="4626">
                  <c:v>0.11332468572476186</c:v>
                </c:pt>
                <c:pt idx="4627">
                  <c:v>0.11332468572476186</c:v>
                </c:pt>
                <c:pt idx="4628">
                  <c:v>0.11332468572476186</c:v>
                </c:pt>
                <c:pt idx="4629">
                  <c:v>0.11332468572476186</c:v>
                </c:pt>
                <c:pt idx="4630">
                  <c:v>0.11332468572476186</c:v>
                </c:pt>
                <c:pt idx="4631">
                  <c:v>0.11332468572476186</c:v>
                </c:pt>
                <c:pt idx="4632">
                  <c:v>0.11332468572476186</c:v>
                </c:pt>
                <c:pt idx="4633">
                  <c:v>0.11332468572476186</c:v>
                </c:pt>
                <c:pt idx="4634">
                  <c:v>0.11332468572476186</c:v>
                </c:pt>
                <c:pt idx="4635">
                  <c:v>0.11332468572476186</c:v>
                </c:pt>
                <c:pt idx="4636">
                  <c:v>0.11332468572476186</c:v>
                </c:pt>
                <c:pt idx="4637">
                  <c:v>0.11332468572476186</c:v>
                </c:pt>
                <c:pt idx="4638">
                  <c:v>0.11332468572476186</c:v>
                </c:pt>
                <c:pt idx="4639">
                  <c:v>0.11332468572476186</c:v>
                </c:pt>
                <c:pt idx="4640">
                  <c:v>0.11332468572476186</c:v>
                </c:pt>
                <c:pt idx="4641">
                  <c:v>0.11332468572476186</c:v>
                </c:pt>
                <c:pt idx="4642">
                  <c:v>0.11332468572476186</c:v>
                </c:pt>
                <c:pt idx="4643">
                  <c:v>0.11332468572476186</c:v>
                </c:pt>
                <c:pt idx="4644">
                  <c:v>0.11332468572476186</c:v>
                </c:pt>
                <c:pt idx="4645">
                  <c:v>0.11332468572476186</c:v>
                </c:pt>
                <c:pt idx="4646">
                  <c:v>0.11332468572476186</c:v>
                </c:pt>
                <c:pt idx="4647">
                  <c:v>0.11332468572476186</c:v>
                </c:pt>
                <c:pt idx="4648">
                  <c:v>0.11332468572476186</c:v>
                </c:pt>
                <c:pt idx="4649">
                  <c:v>0.11332468572476186</c:v>
                </c:pt>
                <c:pt idx="4650">
                  <c:v>0.11332468572476186</c:v>
                </c:pt>
                <c:pt idx="4651">
                  <c:v>0.11332468572476186</c:v>
                </c:pt>
                <c:pt idx="4652">
                  <c:v>0.11332468572476186</c:v>
                </c:pt>
                <c:pt idx="4653">
                  <c:v>0.11332468572476186</c:v>
                </c:pt>
                <c:pt idx="4654">
                  <c:v>0.11332468572476186</c:v>
                </c:pt>
                <c:pt idx="4655">
                  <c:v>0.11332468572476186</c:v>
                </c:pt>
                <c:pt idx="4656">
                  <c:v>0.11332468572476186</c:v>
                </c:pt>
                <c:pt idx="4657">
                  <c:v>0.11332468572476186</c:v>
                </c:pt>
                <c:pt idx="4658">
                  <c:v>0.11332468572476186</c:v>
                </c:pt>
                <c:pt idx="4659">
                  <c:v>0.11332468572476186</c:v>
                </c:pt>
                <c:pt idx="4660">
                  <c:v>0.11332468572476186</c:v>
                </c:pt>
                <c:pt idx="4661">
                  <c:v>0.11332468572476186</c:v>
                </c:pt>
                <c:pt idx="4662">
                  <c:v>0.11332468572476186</c:v>
                </c:pt>
                <c:pt idx="4663">
                  <c:v>0.11332468572476186</c:v>
                </c:pt>
                <c:pt idx="4664">
                  <c:v>0.11332468572476186</c:v>
                </c:pt>
                <c:pt idx="4665">
                  <c:v>0.11332468572476186</c:v>
                </c:pt>
                <c:pt idx="4666">
                  <c:v>0.11332468572476186</c:v>
                </c:pt>
                <c:pt idx="4667">
                  <c:v>0.11332468572476186</c:v>
                </c:pt>
                <c:pt idx="4668">
                  <c:v>0.11332468572476186</c:v>
                </c:pt>
                <c:pt idx="4669">
                  <c:v>0.11332468572476186</c:v>
                </c:pt>
                <c:pt idx="4670">
                  <c:v>0.11332468572476186</c:v>
                </c:pt>
                <c:pt idx="4671">
                  <c:v>0.11332468572476186</c:v>
                </c:pt>
                <c:pt idx="4672">
                  <c:v>0.11332468572476186</c:v>
                </c:pt>
                <c:pt idx="4673">
                  <c:v>0.11332468572476186</c:v>
                </c:pt>
                <c:pt idx="4674">
                  <c:v>0.11332468572476186</c:v>
                </c:pt>
                <c:pt idx="4675">
                  <c:v>0.11332468572476186</c:v>
                </c:pt>
                <c:pt idx="4676">
                  <c:v>0.11332468572476186</c:v>
                </c:pt>
                <c:pt idx="4677">
                  <c:v>0.11332468572476186</c:v>
                </c:pt>
                <c:pt idx="4678">
                  <c:v>0.11332468572476186</c:v>
                </c:pt>
                <c:pt idx="4679">
                  <c:v>0.11332468572476186</c:v>
                </c:pt>
                <c:pt idx="4680">
                  <c:v>0.11332468572476186</c:v>
                </c:pt>
                <c:pt idx="4681">
                  <c:v>0.11332468572476186</c:v>
                </c:pt>
                <c:pt idx="4682">
                  <c:v>0.11332468572476186</c:v>
                </c:pt>
                <c:pt idx="4683">
                  <c:v>0.11332468572476186</c:v>
                </c:pt>
                <c:pt idx="4684">
                  <c:v>0.11332468572476186</c:v>
                </c:pt>
                <c:pt idx="4685">
                  <c:v>0.11332468572476186</c:v>
                </c:pt>
                <c:pt idx="4686">
                  <c:v>0.11332468572476186</c:v>
                </c:pt>
                <c:pt idx="4687">
                  <c:v>0.11332468572476186</c:v>
                </c:pt>
                <c:pt idx="4688">
                  <c:v>0.11332468572476186</c:v>
                </c:pt>
                <c:pt idx="4689">
                  <c:v>0.11332468572476186</c:v>
                </c:pt>
                <c:pt idx="4690">
                  <c:v>0.11332468572476186</c:v>
                </c:pt>
                <c:pt idx="4691">
                  <c:v>0.11332468572476186</c:v>
                </c:pt>
                <c:pt idx="4692">
                  <c:v>0.11332468572476186</c:v>
                </c:pt>
                <c:pt idx="4693">
                  <c:v>0.11332468572476186</c:v>
                </c:pt>
                <c:pt idx="4694">
                  <c:v>0.11332468572476186</c:v>
                </c:pt>
                <c:pt idx="4695">
                  <c:v>0.11332468572476186</c:v>
                </c:pt>
                <c:pt idx="4696">
                  <c:v>0.11332468572476186</c:v>
                </c:pt>
                <c:pt idx="4697">
                  <c:v>0.11332468572476186</c:v>
                </c:pt>
                <c:pt idx="4698">
                  <c:v>0.11332468572476186</c:v>
                </c:pt>
                <c:pt idx="4699">
                  <c:v>0.11332468572476186</c:v>
                </c:pt>
                <c:pt idx="4700">
                  <c:v>0.11332468572476186</c:v>
                </c:pt>
                <c:pt idx="4701">
                  <c:v>0.11332468572476186</c:v>
                </c:pt>
                <c:pt idx="4702">
                  <c:v>0.11332468572476186</c:v>
                </c:pt>
                <c:pt idx="4703">
                  <c:v>0.11332468572476186</c:v>
                </c:pt>
                <c:pt idx="4704">
                  <c:v>0.11332468572476186</c:v>
                </c:pt>
                <c:pt idx="4705">
                  <c:v>0.11332468572476186</c:v>
                </c:pt>
                <c:pt idx="4706">
                  <c:v>0.11332468572476186</c:v>
                </c:pt>
                <c:pt idx="4707">
                  <c:v>0.11332468572476186</c:v>
                </c:pt>
                <c:pt idx="4708">
                  <c:v>0.11332468572476186</c:v>
                </c:pt>
                <c:pt idx="4709">
                  <c:v>0.11332468572476186</c:v>
                </c:pt>
                <c:pt idx="4710">
                  <c:v>0.11332468572476186</c:v>
                </c:pt>
                <c:pt idx="4711">
                  <c:v>0.11332468572476186</c:v>
                </c:pt>
                <c:pt idx="4712">
                  <c:v>0.11332468572476186</c:v>
                </c:pt>
                <c:pt idx="4713">
                  <c:v>0.11332468572476186</c:v>
                </c:pt>
                <c:pt idx="4714">
                  <c:v>0.11332468572476186</c:v>
                </c:pt>
                <c:pt idx="4715">
                  <c:v>0.11332468572476186</c:v>
                </c:pt>
                <c:pt idx="4716">
                  <c:v>0.11332468572476186</c:v>
                </c:pt>
                <c:pt idx="4717">
                  <c:v>0.11332468572476186</c:v>
                </c:pt>
                <c:pt idx="4718">
                  <c:v>0.11332468572476186</c:v>
                </c:pt>
                <c:pt idx="4719">
                  <c:v>0.11332468572476186</c:v>
                </c:pt>
                <c:pt idx="4720">
                  <c:v>0.11332468572476186</c:v>
                </c:pt>
                <c:pt idx="4721">
                  <c:v>0.11332468572476186</c:v>
                </c:pt>
                <c:pt idx="4722">
                  <c:v>0.11332468572476186</c:v>
                </c:pt>
                <c:pt idx="4723">
                  <c:v>0.11332468572476186</c:v>
                </c:pt>
                <c:pt idx="4724">
                  <c:v>0.11332468572476186</c:v>
                </c:pt>
                <c:pt idx="4725">
                  <c:v>0.11332468572476186</c:v>
                </c:pt>
                <c:pt idx="4726">
                  <c:v>0.11332468572476186</c:v>
                </c:pt>
                <c:pt idx="4727">
                  <c:v>0.11332468572476186</c:v>
                </c:pt>
                <c:pt idx="4728">
                  <c:v>0.11332468572476186</c:v>
                </c:pt>
                <c:pt idx="4729">
                  <c:v>0.11332468572476186</c:v>
                </c:pt>
                <c:pt idx="4730">
                  <c:v>0.11332468572476186</c:v>
                </c:pt>
                <c:pt idx="4731">
                  <c:v>0.11332468572476186</c:v>
                </c:pt>
                <c:pt idx="4732">
                  <c:v>0.11332468572476186</c:v>
                </c:pt>
                <c:pt idx="4733">
                  <c:v>0.11332468572476186</c:v>
                </c:pt>
                <c:pt idx="4734">
                  <c:v>0.11332468572476186</c:v>
                </c:pt>
                <c:pt idx="4735">
                  <c:v>0.11332468572476186</c:v>
                </c:pt>
                <c:pt idx="4736">
                  <c:v>0.11332468572476186</c:v>
                </c:pt>
                <c:pt idx="4737">
                  <c:v>0.11332468572476186</c:v>
                </c:pt>
                <c:pt idx="4738">
                  <c:v>0.11332468572476186</c:v>
                </c:pt>
                <c:pt idx="4739">
                  <c:v>0.11332468572476186</c:v>
                </c:pt>
                <c:pt idx="4740">
                  <c:v>0.11332468572476186</c:v>
                </c:pt>
                <c:pt idx="4741">
                  <c:v>0.11332468572476186</c:v>
                </c:pt>
                <c:pt idx="4742">
                  <c:v>0.11332468572476186</c:v>
                </c:pt>
                <c:pt idx="4743">
                  <c:v>0.11332468572476186</c:v>
                </c:pt>
                <c:pt idx="4744">
                  <c:v>0.11332468572476186</c:v>
                </c:pt>
                <c:pt idx="4745">
                  <c:v>0.11332468572476186</c:v>
                </c:pt>
                <c:pt idx="4746">
                  <c:v>0.11332468572476186</c:v>
                </c:pt>
                <c:pt idx="4747">
                  <c:v>0.11332468572476186</c:v>
                </c:pt>
                <c:pt idx="4748">
                  <c:v>0.11332468572476186</c:v>
                </c:pt>
                <c:pt idx="4749">
                  <c:v>0.11332468572476186</c:v>
                </c:pt>
                <c:pt idx="4750">
                  <c:v>0.11332468572476186</c:v>
                </c:pt>
                <c:pt idx="4751">
                  <c:v>0.11332468572476186</c:v>
                </c:pt>
                <c:pt idx="4752">
                  <c:v>0.11332468572476186</c:v>
                </c:pt>
                <c:pt idx="4753">
                  <c:v>0.11332468572476186</c:v>
                </c:pt>
                <c:pt idx="4754">
                  <c:v>0.11332468572476186</c:v>
                </c:pt>
                <c:pt idx="4755">
                  <c:v>0.11332468572476186</c:v>
                </c:pt>
                <c:pt idx="4756">
                  <c:v>0.11332468572476186</c:v>
                </c:pt>
                <c:pt idx="4757">
                  <c:v>0.11332468572476186</c:v>
                </c:pt>
                <c:pt idx="4758">
                  <c:v>0.11332468572476186</c:v>
                </c:pt>
                <c:pt idx="4759">
                  <c:v>0.11332468572476186</c:v>
                </c:pt>
                <c:pt idx="4760">
                  <c:v>0.11332468572476186</c:v>
                </c:pt>
                <c:pt idx="4761">
                  <c:v>0.11332468572476186</c:v>
                </c:pt>
                <c:pt idx="4762">
                  <c:v>0.11332468572476186</c:v>
                </c:pt>
                <c:pt idx="4763">
                  <c:v>0.11332468572476186</c:v>
                </c:pt>
                <c:pt idx="4764">
                  <c:v>0.11332468572476186</c:v>
                </c:pt>
                <c:pt idx="4765">
                  <c:v>0.11332468572476186</c:v>
                </c:pt>
                <c:pt idx="4766">
                  <c:v>0.11332468572476186</c:v>
                </c:pt>
                <c:pt idx="4767">
                  <c:v>0.11332468572476186</c:v>
                </c:pt>
                <c:pt idx="4768">
                  <c:v>0.11332468572476186</c:v>
                </c:pt>
                <c:pt idx="4769">
                  <c:v>0.11332468572476186</c:v>
                </c:pt>
                <c:pt idx="4770">
                  <c:v>0.11332468572476186</c:v>
                </c:pt>
                <c:pt idx="4771">
                  <c:v>0.11332468572476186</c:v>
                </c:pt>
                <c:pt idx="4772">
                  <c:v>0.11332468572476186</c:v>
                </c:pt>
                <c:pt idx="4773">
                  <c:v>0.11332468572476186</c:v>
                </c:pt>
                <c:pt idx="4774">
                  <c:v>0.11332468572476186</c:v>
                </c:pt>
                <c:pt idx="4775">
                  <c:v>0.11332468572476186</c:v>
                </c:pt>
                <c:pt idx="4776">
                  <c:v>0.11332468572476186</c:v>
                </c:pt>
                <c:pt idx="4777">
                  <c:v>0.11332468572476186</c:v>
                </c:pt>
                <c:pt idx="4778">
                  <c:v>0.11332468572476186</c:v>
                </c:pt>
                <c:pt idx="4779">
                  <c:v>0.11332468572476186</c:v>
                </c:pt>
                <c:pt idx="4780">
                  <c:v>0.11332468572476186</c:v>
                </c:pt>
                <c:pt idx="4781">
                  <c:v>0.11332468572476186</c:v>
                </c:pt>
                <c:pt idx="4782">
                  <c:v>0.11332468572476186</c:v>
                </c:pt>
                <c:pt idx="4783">
                  <c:v>0.11332468572476186</c:v>
                </c:pt>
                <c:pt idx="4784">
                  <c:v>0.11332468572476186</c:v>
                </c:pt>
                <c:pt idx="4785">
                  <c:v>0.11332468572476186</c:v>
                </c:pt>
                <c:pt idx="4786">
                  <c:v>0.11332468572476186</c:v>
                </c:pt>
                <c:pt idx="4787">
                  <c:v>0.11332468572476186</c:v>
                </c:pt>
                <c:pt idx="4788">
                  <c:v>0.11332468572476186</c:v>
                </c:pt>
                <c:pt idx="4789">
                  <c:v>0.11332468572476186</c:v>
                </c:pt>
                <c:pt idx="4790">
                  <c:v>0.11332468572476186</c:v>
                </c:pt>
                <c:pt idx="4791">
                  <c:v>0.11332468572476186</c:v>
                </c:pt>
                <c:pt idx="4792">
                  <c:v>0.11332468572476186</c:v>
                </c:pt>
                <c:pt idx="4793">
                  <c:v>0.11332468572476186</c:v>
                </c:pt>
                <c:pt idx="4794">
                  <c:v>0.11332468572476186</c:v>
                </c:pt>
                <c:pt idx="4795">
                  <c:v>0.11332468572476186</c:v>
                </c:pt>
                <c:pt idx="4796">
                  <c:v>0.11332468572476186</c:v>
                </c:pt>
                <c:pt idx="4797">
                  <c:v>0.11332468572476186</c:v>
                </c:pt>
                <c:pt idx="4798">
                  <c:v>0.11332468572476186</c:v>
                </c:pt>
                <c:pt idx="4799">
                  <c:v>0.11332468572476186</c:v>
                </c:pt>
                <c:pt idx="4800">
                  <c:v>0.11332468572476186</c:v>
                </c:pt>
                <c:pt idx="4801">
                  <c:v>0.11332468572476186</c:v>
                </c:pt>
                <c:pt idx="4802">
                  <c:v>0.11332468572476186</c:v>
                </c:pt>
                <c:pt idx="4803">
                  <c:v>0.11332468572476186</c:v>
                </c:pt>
                <c:pt idx="4804">
                  <c:v>0.11332468572476186</c:v>
                </c:pt>
                <c:pt idx="4805">
                  <c:v>0.11332468572476186</c:v>
                </c:pt>
                <c:pt idx="4806">
                  <c:v>0.11332468572476186</c:v>
                </c:pt>
                <c:pt idx="4807">
                  <c:v>0.11332468572476186</c:v>
                </c:pt>
                <c:pt idx="4808">
                  <c:v>0.11332468572476186</c:v>
                </c:pt>
                <c:pt idx="4809">
                  <c:v>0.11332468572476186</c:v>
                </c:pt>
                <c:pt idx="4810">
                  <c:v>0.11332468572476186</c:v>
                </c:pt>
                <c:pt idx="4811">
                  <c:v>0.11332468572476186</c:v>
                </c:pt>
                <c:pt idx="4812">
                  <c:v>0.11332468572476186</c:v>
                </c:pt>
                <c:pt idx="4813">
                  <c:v>0.11332468572476186</c:v>
                </c:pt>
                <c:pt idx="4814">
                  <c:v>0.11332468572476186</c:v>
                </c:pt>
                <c:pt idx="4815">
                  <c:v>0.11332468572476186</c:v>
                </c:pt>
                <c:pt idx="4816">
                  <c:v>0.11332468572476186</c:v>
                </c:pt>
                <c:pt idx="4817">
                  <c:v>0.11332468572476186</c:v>
                </c:pt>
                <c:pt idx="4818">
                  <c:v>0.11332468572476186</c:v>
                </c:pt>
                <c:pt idx="4819">
                  <c:v>0.11332468572476186</c:v>
                </c:pt>
                <c:pt idx="4820">
                  <c:v>0.11332468572476186</c:v>
                </c:pt>
                <c:pt idx="4821">
                  <c:v>0.11332468572476186</c:v>
                </c:pt>
                <c:pt idx="4822">
                  <c:v>0.11332468572476186</c:v>
                </c:pt>
                <c:pt idx="4823">
                  <c:v>0.11332468572476186</c:v>
                </c:pt>
                <c:pt idx="4824">
                  <c:v>0.11332468572476186</c:v>
                </c:pt>
                <c:pt idx="4825">
                  <c:v>0.11332468572476186</c:v>
                </c:pt>
                <c:pt idx="4826">
                  <c:v>0.11332468572476186</c:v>
                </c:pt>
                <c:pt idx="4827">
                  <c:v>0.11332468572476186</c:v>
                </c:pt>
                <c:pt idx="4828">
                  <c:v>0.11332468572476186</c:v>
                </c:pt>
                <c:pt idx="4829">
                  <c:v>0.11332468572476186</c:v>
                </c:pt>
                <c:pt idx="4830">
                  <c:v>0.11332468572476186</c:v>
                </c:pt>
                <c:pt idx="4831">
                  <c:v>0.11332468572476186</c:v>
                </c:pt>
                <c:pt idx="4832">
                  <c:v>0.11332468572476186</c:v>
                </c:pt>
                <c:pt idx="4833">
                  <c:v>0.11332468572476186</c:v>
                </c:pt>
                <c:pt idx="4834">
                  <c:v>0.11332468572476186</c:v>
                </c:pt>
                <c:pt idx="4835">
                  <c:v>0.11332468572476186</c:v>
                </c:pt>
                <c:pt idx="4836">
                  <c:v>0.11332468572476186</c:v>
                </c:pt>
                <c:pt idx="4837">
                  <c:v>0.11332468572476186</c:v>
                </c:pt>
                <c:pt idx="4838">
                  <c:v>0.11332468572476186</c:v>
                </c:pt>
                <c:pt idx="4839">
                  <c:v>0.11332468572476186</c:v>
                </c:pt>
                <c:pt idx="4840">
                  <c:v>0.11332468572476186</c:v>
                </c:pt>
                <c:pt idx="4841">
                  <c:v>0.11332468572476186</c:v>
                </c:pt>
                <c:pt idx="4842">
                  <c:v>0.11332468572476186</c:v>
                </c:pt>
                <c:pt idx="4843">
                  <c:v>0.11332468572476186</c:v>
                </c:pt>
                <c:pt idx="4844">
                  <c:v>0.11332468572476186</c:v>
                </c:pt>
                <c:pt idx="4845">
                  <c:v>0.11332468572476186</c:v>
                </c:pt>
                <c:pt idx="4846">
                  <c:v>0.11332468572476186</c:v>
                </c:pt>
                <c:pt idx="4847">
                  <c:v>0.11332468572476186</c:v>
                </c:pt>
                <c:pt idx="4848">
                  <c:v>0.11332468572476186</c:v>
                </c:pt>
                <c:pt idx="4849">
                  <c:v>0.11332468572476186</c:v>
                </c:pt>
                <c:pt idx="4850">
                  <c:v>0.11332468572476186</c:v>
                </c:pt>
                <c:pt idx="4851">
                  <c:v>0.11332468572476186</c:v>
                </c:pt>
                <c:pt idx="4852">
                  <c:v>0.11332468572476186</c:v>
                </c:pt>
                <c:pt idx="4853">
                  <c:v>0.11332468572476186</c:v>
                </c:pt>
                <c:pt idx="4854">
                  <c:v>0.11332468572476186</c:v>
                </c:pt>
                <c:pt idx="4855">
                  <c:v>0.11332468572476186</c:v>
                </c:pt>
                <c:pt idx="4856">
                  <c:v>0.11332468572476186</c:v>
                </c:pt>
                <c:pt idx="4857">
                  <c:v>0.11332468572476186</c:v>
                </c:pt>
                <c:pt idx="4858">
                  <c:v>0.11332468572476186</c:v>
                </c:pt>
                <c:pt idx="4859">
                  <c:v>0.11332468572476186</c:v>
                </c:pt>
                <c:pt idx="4860">
                  <c:v>0.11332468572476186</c:v>
                </c:pt>
                <c:pt idx="4861">
                  <c:v>0.11332468572476186</c:v>
                </c:pt>
                <c:pt idx="4862">
                  <c:v>0.11332468572476186</c:v>
                </c:pt>
                <c:pt idx="4863">
                  <c:v>0.11332468572476186</c:v>
                </c:pt>
                <c:pt idx="4864">
                  <c:v>0.11332468572476186</c:v>
                </c:pt>
                <c:pt idx="4865">
                  <c:v>0.11332468572476186</c:v>
                </c:pt>
                <c:pt idx="4866">
                  <c:v>0.11332468572476186</c:v>
                </c:pt>
                <c:pt idx="4867">
                  <c:v>0.11332468572476186</c:v>
                </c:pt>
                <c:pt idx="4868">
                  <c:v>0.11332468572476186</c:v>
                </c:pt>
                <c:pt idx="4869">
                  <c:v>0.11332468572476186</c:v>
                </c:pt>
                <c:pt idx="4870">
                  <c:v>0.11332468572476186</c:v>
                </c:pt>
                <c:pt idx="4871">
                  <c:v>0.11332468572476186</c:v>
                </c:pt>
                <c:pt idx="4872">
                  <c:v>0.11332468572476186</c:v>
                </c:pt>
                <c:pt idx="4873">
                  <c:v>0.11332468572476186</c:v>
                </c:pt>
                <c:pt idx="4874">
                  <c:v>0.11332468572476186</c:v>
                </c:pt>
                <c:pt idx="4875">
                  <c:v>0.11332468572476186</c:v>
                </c:pt>
                <c:pt idx="4876">
                  <c:v>0.11332468572476186</c:v>
                </c:pt>
                <c:pt idx="4877">
                  <c:v>0.11332468572476186</c:v>
                </c:pt>
                <c:pt idx="4878">
                  <c:v>0.11332468572476186</c:v>
                </c:pt>
                <c:pt idx="4879">
                  <c:v>0.11332468572476186</c:v>
                </c:pt>
                <c:pt idx="4880">
                  <c:v>0.11332468572476186</c:v>
                </c:pt>
                <c:pt idx="4881">
                  <c:v>0.11332468572476186</c:v>
                </c:pt>
                <c:pt idx="4882">
                  <c:v>0.11332468572476186</c:v>
                </c:pt>
                <c:pt idx="4883">
                  <c:v>0.11332468572476186</c:v>
                </c:pt>
                <c:pt idx="4884">
                  <c:v>0.11332468572476186</c:v>
                </c:pt>
                <c:pt idx="4885">
                  <c:v>0.11332468572476186</c:v>
                </c:pt>
                <c:pt idx="4886">
                  <c:v>0.11332468572476186</c:v>
                </c:pt>
                <c:pt idx="4887">
                  <c:v>0.11332468572476186</c:v>
                </c:pt>
                <c:pt idx="4888">
                  <c:v>0.11332468572476186</c:v>
                </c:pt>
                <c:pt idx="4889">
                  <c:v>0.11332468572476186</c:v>
                </c:pt>
                <c:pt idx="4890">
                  <c:v>0.11332468572476186</c:v>
                </c:pt>
                <c:pt idx="4891">
                  <c:v>0.11332468572476186</c:v>
                </c:pt>
                <c:pt idx="4892">
                  <c:v>0.11332468572476186</c:v>
                </c:pt>
                <c:pt idx="4893">
                  <c:v>0.11332468572476186</c:v>
                </c:pt>
                <c:pt idx="4894">
                  <c:v>0.11332468572476186</c:v>
                </c:pt>
                <c:pt idx="4895">
                  <c:v>0.11332468572476186</c:v>
                </c:pt>
                <c:pt idx="4896">
                  <c:v>0.11332468572476186</c:v>
                </c:pt>
                <c:pt idx="4897">
                  <c:v>0.11332468572476186</c:v>
                </c:pt>
                <c:pt idx="4898">
                  <c:v>0.11332468572476186</c:v>
                </c:pt>
                <c:pt idx="4899">
                  <c:v>0.11332468572476186</c:v>
                </c:pt>
                <c:pt idx="4900">
                  <c:v>0.11332468572476186</c:v>
                </c:pt>
                <c:pt idx="4901">
                  <c:v>0.11332468572476186</c:v>
                </c:pt>
                <c:pt idx="4902">
                  <c:v>0.11332468572476186</c:v>
                </c:pt>
                <c:pt idx="4903">
                  <c:v>0.11332468572476186</c:v>
                </c:pt>
                <c:pt idx="4904">
                  <c:v>0.11332468572476186</c:v>
                </c:pt>
                <c:pt idx="4905">
                  <c:v>0.11332468572476186</c:v>
                </c:pt>
                <c:pt idx="4906">
                  <c:v>0.11332468572476186</c:v>
                </c:pt>
                <c:pt idx="4907">
                  <c:v>0.11332468572476186</c:v>
                </c:pt>
                <c:pt idx="4908">
                  <c:v>0.11332468572476186</c:v>
                </c:pt>
                <c:pt idx="4909">
                  <c:v>0.11332468572476186</c:v>
                </c:pt>
                <c:pt idx="4910">
                  <c:v>0.11332468572476186</c:v>
                </c:pt>
                <c:pt idx="4911">
                  <c:v>0.11332468572476186</c:v>
                </c:pt>
                <c:pt idx="4912">
                  <c:v>0.11332468572476186</c:v>
                </c:pt>
                <c:pt idx="4913">
                  <c:v>0.11332468572476186</c:v>
                </c:pt>
                <c:pt idx="4914">
                  <c:v>0.11332468572476186</c:v>
                </c:pt>
                <c:pt idx="4915">
                  <c:v>0.11332468572476186</c:v>
                </c:pt>
                <c:pt idx="4916">
                  <c:v>0.11332468572476186</c:v>
                </c:pt>
                <c:pt idx="4917">
                  <c:v>0.11332468572476186</c:v>
                </c:pt>
                <c:pt idx="4918">
                  <c:v>0.11332468572476186</c:v>
                </c:pt>
                <c:pt idx="4919">
                  <c:v>0.11332468572476186</c:v>
                </c:pt>
                <c:pt idx="4920">
                  <c:v>0.11332468572476186</c:v>
                </c:pt>
                <c:pt idx="4921">
                  <c:v>0.11332468572476186</c:v>
                </c:pt>
                <c:pt idx="4922">
                  <c:v>0.11332468572476186</c:v>
                </c:pt>
                <c:pt idx="4923">
                  <c:v>0.11332468572476186</c:v>
                </c:pt>
                <c:pt idx="4924">
                  <c:v>0.11332468572476186</c:v>
                </c:pt>
                <c:pt idx="4925">
                  <c:v>0.11332468572476186</c:v>
                </c:pt>
                <c:pt idx="4926">
                  <c:v>0.11332468572476186</c:v>
                </c:pt>
                <c:pt idx="4927">
                  <c:v>0.11332468572476186</c:v>
                </c:pt>
                <c:pt idx="4928">
                  <c:v>0.11332468572476186</c:v>
                </c:pt>
                <c:pt idx="4929">
                  <c:v>0.11332468572476186</c:v>
                </c:pt>
                <c:pt idx="4930">
                  <c:v>0.11332468572476186</c:v>
                </c:pt>
                <c:pt idx="4931">
                  <c:v>0.11332468572476186</c:v>
                </c:pt>
                <c:pt idx="4932">
                  <c:v>0.11332468572476186</c:v>
                </c:pt>
                <c:pt idx="4933">
                  <c:v>0.11332468572476186</c:v>
                </c:pt>
                <c:pt idx="4934">
                  <c:v>0.11332468572476186</c:v>
                </c:pt>
                <c:pt idx="4935">
                  <c:v>0.11332468572476186</c:v>
                </c:pt>
                <c:pt idx="4936">
                  <c:v>0.11332468572476186</c:v>
                </c:pt>
                <c:pt idx="4937">
                  <c:v>0.11332468572476186</c:v>
                </c:pt>
                <c:pt idx="4938">
                  <c:v>0.11332468572476186</c:v>
                </c:pt>
                <c:pt idx="4939">
                  <c:v>0.11332468572476186</c:v>
                </c:pt>
                <c:pt idx="4940">
                  <c:v>0.11332468572476186</c:v>
                </c:pt>
                <c:pt idx="4941">
                  <c:v>0.11332468572476186</c:v>
                </c:pt>
                <c:pt idx="4942">
                  <c:v>0.11332468572476186</c:v>
                </c:pt>
                <c:pt idx="4943">
                  <c:v>0.11332468572476186</c:v>
                </c:pt>
                <c:pt idx="4944">
                  <c:v>0.11332468572476186</c:v>
                </c:pt>
                <c:pt idx="4945">
                  <c:v>0.11332468572476186</c:v>
                </c:pt>
                <c:pt idx="4946">
                  <c:v>0.11332468572476186</c:v>
                </c:pt>
                <c:pt idx="4947">
                  <c:v>0.11332468572476186</c:v>
                </c:pt>
                <c:pt idx="4948">
                  <c:v>0.11332468572476186</c:v>
                </c:pt>
                <c:pt idx="4949">
                  <c:v>0.11332468572476186</c:v>
                </c:pt>
                <c:pt idx="4950">
                  <c:v>0.11332468572476186</c:v>
                </c:pt>
                <c:pt idx="4951">
                  <c:v>0.11332468572476186</c:v>
                </c:pt>
                <c:pt idx="4952">
                  <c:v>0.11332468572476186</c:v>
                </c:pt>
                <c:pt idx="4953">
                  <c:v>0.11332468572476186</c:v>
                </c:pt>
                <c:pt idx="4954">
                  <c:v>0.11332468572476186</c:v>
                </c:pt>
                <c:pt idx="4955">
                  <c:v>0.11332468572476186</c:v>
                </c:pt>
                <c:pt idx="4956">
                  <c:v>0.11332468572476186</c:v>
                </c:pt>
                <c:pt idx="4957">
                  <c:v>0.11332468572476186</c:v>
                </c:pt>
                <c:pt idx="4958">
                  <c:v>0.11332468572476186</c:v>
                </c:pt>
                <c:pt idx="4959">
                  <c:v>0.11332468572476186</c:v>
                </c:pt>
                <c:pt idx="4960">
                  <c:v>0.11332468572476186</c:v>
                </c:pt>
                <c:pt idx="4961">
                  <c:v>0.11332468572476186</c:v>
                </c:pt>
                <c:pt idx="4962">
                  <c:v>0.11332468572476186</c:v>
                </c:pt>
                <c:pt idx="4963">
                  <c:v>0.11332468572476186</c:v>
                </c:pt>
                <c:pt idx="4964">
                  <c:v>0.11332468572476186</c:v>
                </c:pt>
                <c:pt idx="4965">
                  <c:v>0.11332468572476186</c:v>
                </c:pt>
                <c:pt idx="4966">
                  <c:v>0.11332468572476186</c:v>
                </c:pt>
                <c:pt idx="4967">
                  <c:v>0.11332468572476186</c:v>
                </c:pt>
                <c:pt idx="4968">
                  <c:v>0.11332468572476186</c:v>
                </c:pt>
                <c:pt idx="4969">
                  <c:v>0.11332468572476186</c:v>
                </c:pt>
                <c:pt idx="4970">
                  <c:v>0.11332468572476186</c:v>
                </c:pt>
                <c:pt idx="4971">
                  <c:v>0.11332468572476186</c:v>
                </c:pt>
                <c:pt idx="4972">
                  <c:v>0.11332468572476186</c:v>
                </c:pt>
                <c:pt idx="4973">
                  <c:v>0.11332468572476186</c:v>
                </c:pt>
                <c:pt idx="4974">
                  <c:v>0.11332468572476186</c:v>
                </c:pt>
                <c:pt idx="4975">
                  <c:v>0.11332468572476186</c:v>
                </c:pt>
                <c:pt idx="4976">
                  <c:v>0.11332468572476186</c:v>
                </c:pt>
                <c:pt idx="4977">
                  <c:v>0.11332468572476186</c:v>
                </c:pt>
                <c:pt idx="4978">
                  <c:v>0.11332468572476186</c:v>
                </c:pt>
                <c:pt idx="4979">
                  <c:v>0.11332468572476186</c:v>
                </c:pt>
                <c:pt idx="4980">
                  <c:v>0.11332468572476186</c:v>
                </c:pt>
                <c:pt idx="4981">
                  <c:v>0.11332468572476186</c:v>
                </c:pt>
                <c:pt idx="4982">
                  <c:v>0.11332468572476186</c:v>
                </c:pt>
                <c:pt idx="4983">
                  <c:v>0.11332468572476186</c:v>
                </c:pt>
                <c:pt idx="4984">
                  <c:v>0.11332468572476186</c:v>
                </c:pt>
                <c:pt idx="4985">
                  <c:v>0.11332468572476186</c:v>
                </c:pt>
                <c:pt idx="4986">
                  <c:v>0.11332468572476186</c:v>
                </c:pt>
                <c:pt idx="4987">
                  <c:v>0.11332468572476186</c:v>
                </c:pt>
                <c:pt idx="4988">
                  <c:v>0.11332468572476186</c:v>
                </c:pt>
                <c:pt idx="4989">
                  <c:v>0.11332468572476186</c:v>
                </c:pt>
                <c:pt idx="4990">
                  <c:v>0.11332468572476186</c:v>
                </c:pt>
                <c:pt idx="4991">
                  <c:v>0.11332468572476186</c:v>
                </c:pt>
                <c:pt idx="4992">
                  <c:v>0.11332468572476186</c:v>
                </c:pt>
                <c:pt idx="4993">
                  <c:v>0.11332468572476186</c:v>
                </c:pt>
                <c:pt idx="4994">
                  <c:v>0.11332468572476186</c:v>
                </c:pt>
                <c:pt idx="4995">
                  <c:v>0.11332468572476186</c:v>
                </c:pt>
                <c:pt idx="4996">
                  <c:v>0.11332468572476186</c:v>
                </c:pt>
                <c:pt idx="4997">
                  <c:v>0.11332468572476186</c:v>
                </c:pt>
                <c:pt idx="4998">
                  <c:v>0.11332468572476186</c:v>
                </c:pt>
                <c:pt idx="4999">
                  <c:v>0.11332468572476186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B8-4A7A-88F9-3FB27C46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358096"/>
        <c:axId val="457071392"/>
      </c:barChart>
      <c:catAx>
        <c:axId val="29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57071392"/>
        <c:crosses val="autoZero"/>
        <c:auto val="1"/>
        <c:lblAlgn val="ctr"/>
        <c:lblOffset val="100"/>
        <c:noMultiLvlLbl val="0"/>
      </c:catAx>
      <c:valAx>
        <c:axId val="4570713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935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BeskrivendeStatistik!$CA$6</c:f>
          <c:strCache>
            <c:ptCount val="1"/>
            <c:pt idx="0">
              <c:v>Søjlediagram af
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BeskrivendeStatistik!$CA$8</c:f>
              <c:strCache>
                <c:ptCount val="1"/>
                <c:pt idx="0">
                  <c:v>Observationer (n = 12)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[0]!BxS</c:f>
              <c:strCache>
                <c:ptCount val="70"/>
                <c:pt idx="3">
                  <c:v>-1.48</c:v>
                </c:pt>
                <c:pt idx="9">
                  <c:v>-1.147</c:v>
                </c:pt>
                <c:pt idx="15">
                  <c:v>-0.898</c:v>
                </c:pt>
                <c:pt idx="21">
                  <c:v>-0.409</c:v>
                </c:pt>
                <c:pt idx="27">
                  <c:v>-0.307</c:v>
                </c:pt>
                <c:pt idx="33">
                  <c:v>0.084</c:v>
                </c:pt>
                <c:pt idx="39">
                  <c:v>0.914</c:v>
                </c:pt>
                <c:pt idx="45">
                  <c:v>1.299</c:v>
                </c:pt>
                <c:pt idx="51">
                  <c:v>1.38</c:v>
                </c:pt>
                <c:pt idx="57">
                  <c:v>1.811</c:v>
                </c:pt>
                <c:pt idx="63">
                  <c:v>8</c:v>
                </c:pt>
                <c:pt idx="69">
                  <c:v>13</c:v>
                </c:pt>
              </c:strCache>
            </c:strRef>
          </c:cat>
          <c:val>
            <c:numRef>
              <c:f>[0]!Buf</c:f>
              <c:numCache>
                <c:formatCode>General</c:formatCode>
                <c:ptCount val="72"/>
                <c:pt idx="0">
                  <c:v>#N/A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#N/A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#N/A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#N/A</c:v>
                </c:pt>
                <c:pt idx="18">
                  <c:v>#N/A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#N/A</c:v>
                </c:pt>
                <c:pt idx="24">
                  <c:v>#N/A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#N/A</c:v>
                </c:pt>
                <c:pt idx="30">
                  <c:v>#N/A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#N/A</c:v>
                </c:pt>
                <c:pt idx="36">
                  <c:v>#N/A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#N/A</c:v>
                </c:pt>
                <c:pt idx="48">
                  <c:v>#N/A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#N/A</c:v>
                </c:pt>
                <c:pt idx="54">
                  <c:v>#N/A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#N/A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#N/A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0-44A1-B30A-EFAC2C34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47937903"/>
        <c:axId val="31931263"/>
      </c:barChart>
      <c:catAx>
        <c:axId val="2479379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1931263"/>
        <c:crosses val="autoZero"/>
        <c:auto val="1"/>
        <c:lblAlgn val="ctr"/>
        <c:lblOffset val="100"/>
        <c:tickLblSkip val="1"/>
        <c:noMultiLvlLbl val="0"/>
      </c:catAx>
      <c:valAx>
        <c:axId val="319312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47937903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BeskrivendeStatistik!$BI$6</c:f>
          <c:strCache>
            <c:ptCount val="1"/>
            <c:pt idx="0">
              <c:v>Histogram med 15 intervaller
og normalfordeling for
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BeskrivendeStatistik!$BI$8</c:f>
              <c:strCache>
                <c:ptCount val="1"/>
                <c:pt idx="0">
                  <c:v>Observationer (n = 12)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[0]!BfHist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0.6209326687253206</c:v>
                </c:pt>
                <c:pt idx="86">
                  <c:v>0.6209326687253206</c:v>
                </c:pt>
                <c:pt idx="87">
                  <c:v>0.6209326687253206</c:v>
                </c:pt>
                <c:pt idx="88">
                  <c:v>0.6209326687253206</c:v>
                </c:pt>
                <c:pt idx="89">
                  <c:v>0.6209326687253206</c:v>
                </c:pt>
                <c:pt idx="90">
                  <c:v>0.6209326687253206</c:v>
                </c:pt>
                <c:pt idx="91">
                  <c:v>0.6209326687253206</c:v>
                </c:pt>
                <c:pt idx="92">
                  <c:v>0.6209326687253206</c:v>
                </c:pt>
                <c:pt idx="93">
                  <c:v>0.6209326687253206</c:v>
                </c:pt>
                <c:pt idx="94">
                  <c:v>0.6209326687253206</c:v>
                </c:pt>
                <c:pt idx="95">
                  <c:v>0.6209326687253206</c:v>
                </c:pt>
                <c:pt idx="96">
                  <c:v>0.6209326687253206</c:v>
                </c:pt>
                <c:pt idx="97">
                  <c:v>0.6209326687253206</c:v>
                </c:pt>
                <c:pt idx="98">
                  <c:v>0.6209326687253206</c:v>
                </c:pt>
                <c:pt idx="99">
                  <c:v>0.6209326687253206</c:v>
                </c:pt>
                <c:pt idx="100">
                  <c:v>0.6209326687253206</c:v>
                </c:pt>
                <c:pt idx="101">
                  <c:v>0.6209326687253206</c:v>
                </c:pt>
                <c:pt idx="102">
                  <c:v>0.8279102249670941</c:v>
                </c:pt>
                <c:pt idx="103">
                  <c:v>0.8279102249670941</c:v>
                </c:pt>
                <c:pt idx="104">
                  <c:v>0.8279102249670941</c:v>
                </c:pt>
                <c:pt idx="105">
                  <c:v>0.8279102249670941</c:v>
                </c:pt>
                <c:pt idx="106">
                  <c:v>0.8279102249670941</c:v>
                </c:pt>
                <c:pt idx="107">
                  <c:v>0.8279102249670941</c:v>
                </c:pt>
                <c:pt idx="108">
                  <c:v>0.8279102249670941</c:v>
                </c:pt>
                <c:pt idx="109">
                  <c:v>0.8279102249670941</c:v>
                </c:pt>
                <c:pt idx="110">
                  <c:v>0.8279102249670941</c:v>
                </c:pt>
                <c:pt idx="111">
                  <c:v>0.8279102249670941</c:v>
                </c:pt>
                <c:pt idx="112">
                  <c:v>0.8279102249670941</c:v>
                </c:pt>
                <c:pt idx="113">
                  <c:v>0.8279102249670941</c:v>
                </c:pt>
                <c:pt idx="114">
                  <c:v>0.8279102249670941</c:v>
                </c:pt>
                <c:pt idx="115">
                  <c:v>0.8279102249670941</c:v>
                </c:pt>
                <c:pt idx="116">
                  <c:v>0.8279102249670941</c:v>
                </c:pt>
                <c:pt idx="117">
                  <c:v>0.8279102249670941</c:v>
                </c:pt>
                <c:pt idx="118">
                  <c:v>0.8279102249670941</c:v>
                </c:pt>
                <c:pt idx="119">
                  <c:v>0.6209326687253206</c:v>
                </c:pt>
                <c:pt idx="120">
                  <c:v>0.6209326687253206</c:v>
                </c:pt>
                <c:pt idx="121">
                  <c:v>0.6209326687253206</c:v>
                </c:pt>
                <c:pt idx="122">
                  <c:v>0.6209326687253206</c:v>
                </c:pt>
                <c:pt idx="123">
                  <c:v>0.6209326687253206</c:v>
                </c:pt>
                <c:pt idx="124">
                  <c:v>0.6209326687253206</c:v>
                </c:pt>
                <c:pt idx="125">
                  <c:v>0.6209326687253206</c:v>
                </c:pt>
                <c:pt idx="126">
                  <c:v>0.6209326687253206</c:v>
                </c:pt>
                <c:pt idx="127">
                  <c:v>0.6209326687253206</c:v>
                </c:pt>
                <c:pt idx="128">
                  <c:v>0.6209326687253206</c:v>
                </c:pt>
                <c:pt idx="129">
                  <c:v>0.6209326687253206</c:v>
                </c:pt>
                <c:pt idx="130">
                  <c:v>0.6209326687253206</c:v>
                </c:pt>
                <c:pt idx="131">
                  <c:v>0.6209326687253206</c:v>
                </c:pt>
                <c:pt idx="132">
                  <c:v>0.6209326687253206</c:v>
                </c:pt>
                <c:pt idx="133">
                  <c:v>0.6209326687253206</c:v>
                </c:pt>
                <c:pt idx="134">
                  <c:v>0.6209326687253206</c:v>
                </c:pt>
                <c:pt idx="135">
                  <c:v>0.6209326687253206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0.20697755624177352</c:v>
                </c:pt>
                <c:pt idx="188">
                  <c:v>0.20697755624177352</c:v>
                </c:pt>
                <c:pt idx="189">
                  <c:v>0.20697755624177352</c:v>
                </c:pt>
                <c:pt idx="190">
                  <c:v>0.20697755624177352</c:v>
                </c:pt>
                <c:pt idx="191">
                  <c:v>0.20697755624177352</c:v>
                </c:pt>
                <c:pt idx="192">
                  <c:v>0.20697755624177352</c:v>
                </c:pt>
                <c:pt idx="193">
                  <c:v>0.20697755624177352</c:v>
                </c:pt>
                <c:pt idx="194">
                  <c:v>0.20697755624177352</c:v>
                </c:pt>
                <c:pt idx="195">
                  <c:v>0.20697755624177352</c:v>
                </c:pt>
                <c:pt idx="196">
                  <c:v>0.20697755624177352</c:v>
                </c:pt>
                <c:pt idx="197">
                  <c:v>0.20697755624177352</c:v>
                </c:pt>
                <c:pt idx="198">
                  <c:v>0.20697755624177352</c:v>
                </c:pt>
                <c:pt idx="199">
                  <c:v>0.20697755624177352</c:v>
                </c:pt>
                <c:pt idx="200">
                  <c:v>0.20697755624177352</c:v>
                </c:pt>
                <c:pt idx="201">
                  <c:v>0.20697755624177352</c:v>
                </c:pt>
                <c:pt idx="202">
                  <c:v>0.20697755624177352</c:v>
                </c:pt>
                <c:pt idx="203">
                  <c:v>0.20697755624177352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0.20697755624177352</c:v>
                </c:pt>
                <c:pt idx="222">
                  <c:v>0.20697755624177352</c:v>
                </c:pt>
                <c:pt idx="223">
                  <c:v>0.20697755624177352</c:v>
                </c:pt>
                <c:pt idx="224">
                  <c:v>0.20697755624177352</c:v>
                </c:pt>
                <c:pt idx="225">
                  <c:v>0.20697755624177352</c:v>
                </c:pt>
                <c:pt idx="226">
                  <c:v>0.20697755624177352</c:v>
                </c:pt>
                <c:pt idx="227">
                  <c:v>0.20697755624177352</c:v>
                </c:pt>
                <c:pt idx="228">
                  <c:v>0.20697755624177352</c:v>
                </c:pt>
                <c:pt idx="229">
                  <c:v>0.20697755624177352</c:v>
                </c:pt>
                <c:pt idx="230">
                  <c:v>0.20697755624177352</c:v>
                </c:pt>
                <c:pt idx="231">
                  <c:v>0.20697755624177352</c:v>
                </c:pt>
                <c:pt idx="232">
                  <c:v>0.20697755624177352</c:v>
                </c:pt>
                <c:pt idx="233">
                  <c:v>0.20697755624177352</c:v>
                </c:pt>
                <c:pt idx="234">
                  <c:v>0.20697755624177352</c:v>
                </c:pt>
                <c:pt idx="235">
                  <c:v>0.20697755624177352</c:v>
                </c:pt>
                <c:pt idx="236">
                  <c:v>0.20697755624177352</c:v>
                </c:pt>
                <c:pt idx="237">
                  <c:v>0.20697755624177352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4-42F2-AF4F-DF9CBA92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47937903"/>
        <c:axId val="31931263"/>
      </c:barChart>
      <c:lineChart>
        <c:grouping val="standard"/>
        <c:varyColors val="0"/>
        <c:ser>
          <c:idx val="0"/>
          <c:order val="0"/>
          <c:tx>
            <c:strRef>
              <c:f>BeskrivendeStatistik!$BI$10</c:f>
              <c:strCache>
                <c:ptCount val="1"/>
                <c:pt idx="0">
                  <c:v>Normalfordeling (1.854 ; 4.307)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892F54-6287-43B8-A8EC-D1BA8BF7BF6D}" type="CELLRANGE">
                      <a:rPr lang="el-GR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CA4-42F2-AF4F-DF9CBA9228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77AFD3-ACE3-40B9-A3D7-BE248936B94A}" type="CELLRANGE">
                      <a:rPr lang="en-US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CA4-42F2-AF4F-DF9CBA9228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50A5D2-C24F-4973-AA8A-DECE6325411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A4-42F2-AF4F-DF9CBA9228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94251A-6626-4AE0-BAB5-E3A02B29D8C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A4-42F2-AF4F-DF9CBA9228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95DAE0-3317-438D-9689-2CBB26419AB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A4-42F2-AF4F-DF9CBA9228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09693E-B2D3-4300-85D4-0E922A97A51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A4-42F2-AF4F-DF9CBA9228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AFDEAC-F4BA-4ABC-80E1-7966C15C587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A4-42F2-AF4F-DF9CBA9228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45F37C-C603-44FA-9EF4-264CAFBB52E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A4-42F2-AF4F-DF9CBA9228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BF62F9-AC2E-448E-8955-AEAECD07220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A4-42F2-AF4F-DF9CBA9228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0C9FFB-8A3F-478E-8A6F-BAA66DF9E1C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A4-42F2-AF4F-DF9CBA9228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FBCC93-C27F-44E6-9D46-46E1984D3DA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A4-42F2-AF4F-DF9CBA9228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FB88B6-76A6-4FBE-AD71-3E2F003894E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A4-42F2-AF4F-DF9CBA9228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A40B7C-9C6F-4ED3-BB1A-3F220D48756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A4-42F2-AF4F-DF9CBA9228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8E4C4E-6697-4EBB-B6E3-C34966A899A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A4-42F2-AF4F-DF9CBA9228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517548-519C-4B91-BF98-74279DAA6AD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A4-42F2-AF4F-DF9CBA9228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E0F2D7-8B13-47FC-BEF3-6EAF6530CC6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A4-42F2-AF4F-DF9CBA9228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D4C03A-5E58-4BF2-BB15-F1F53D9737D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A4-42F2-AF4F-DF9CBA9228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6CEFC9-D74F-4938-B067-88E75936C29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A4-42F2-AF4F-DF9CBA9228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6BECEA-2CD4-48E6-A98A-9AFA0699F7D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A4-42F2-AF4F-DF9CBA9228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20E477-957A-433A-8733-133F7CBAD81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A4-42F2-AF4F-DF9CBA9228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04233B-2EF3-4C12-A30D-F2A055478D6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A4-42F2-AF4F-DF9CBA9228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B3FC29-5508-4C2E-8D17-C6649345DF4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A4-42F2-AF4F-DF9CBA9228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BA707E-2E18-4DA8-846D-4373F8247FF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A4-42F2-AF4F-DF9CBA9228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F7057D-5F95-44C4-8A52-052FDBF531C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A4-42F2-AF4F-DF9CBA9228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3971A1-EC13-4700-BEBD-6F573F4BA66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A4-42F2-AF4F-DF9CBA9228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0EC953-F74E-4CD5-B6B2-3535835F2BA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A4-42F2-AF4F-DF9CBA9228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EB9C20-1A65-4079-9027-ACED1356148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A4-42F2-AF4F-DF9CBA9228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CD128D-792B-4C75-BABF-EC269543E23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A4-42F2-AF4F-DF9CBA9228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3D887D-9EE5-4B62-B1D4-AB6411E56B6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A4-42F2-AF4F-DF9CBA9228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7C4648-FD58-496F-BD4E-752FA2DA8EE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A4-42F2-AF4F-DF9CBA9228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F655A4-8B36-4D3A-8E7C-2A88A4F91EA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A4-42F2-AF4F-DF9CBA9228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BAD876-0069-4A8A-B4AF-80C8216CBCF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A4-42F2-AF4F-DF9CBA9228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8D7326-CDF0-4DEF-9373-02182F95620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A4-42F2-AF4F-DF9CBA9228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68548D-85F3-4DB4-96F9-88E4154AFF8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A4-42F2-AF4F-DF9CBA9228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25686D-2808-4D6B-8887-3B95BE26936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A4-42F2-AF4F-DF9CBA9228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15DC30-3D1D-407E-BEA8-AE323C4F121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A4-42F2-AF4F-DF9CBA9228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39190D-C13D-4F3B-9A08-0EDE0E7048B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A4-42F2-AF4F-DF9CBA9228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4EBBFD-CA62-44FD-A445-771F412AED8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A4-42F2-AF4F-DF9CBA9228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EC30EE-5664-4600-911D-0111CFA07E1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A4-42F2-AF4F-DF9CBA9228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0D0EDE-E9C7-4EFA-93DF-BE7D21435A3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A4-42F2-AF4F-DF9CBA9228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616613-1B64-4A6E-9606-769A4FEC1FB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A4-42F2-AF4F-DF9CBA9228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615B52-A44E-47E8-BF4F-98D520242F7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A4-42F2-AF4F-DF9CBA9228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36DDED-0E39-425E-B9B3-344C04FC81B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A4-42F2-AF4F-DF9CBA9228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695B80-1FD5-4FCA-B1A1-3130589FE10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A4-42F2-AF4F-DF9CBA9228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01FFF5-090B-47A8-82BB-A678BDBF309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A4-42F2-AF4F-DF9CBA9228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784245-6A4E-4436-93ED-8A7A8DA885A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A4-42F2-AF4F-DF9CBA9228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7A441B-D5F6-455F-A70A-F691DBD2D93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A4-42F2-AF4F-DF9CBA9228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A71B7D-3911-4CD0-AC63-9A9560CFA87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A4-42F2-AF4F-DF9CBA9228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69B7FC-F859-4669-87DC-3942DE55D44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A4-42F2-AF4F-DF9CBA9228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998F16-A971-4EC3-9EA1-1DD1E3C19BB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A4-42F2-AF4F-DF9CBA9228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9B15F1-3E18-4E75-AFFF-2C9C8C54DC5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A4-42F2-AF4F-DF9CBA9228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F12150-012D-4928-BE6C-8290D455B18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A4-42F2-AF4F-DF9CBA9228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C400C9-3884-43E6-B6CC-3C4E0B458E8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A4-42F2-AF4F-DF9CBA9228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97DE2B-2868-4D2E-9B34-FBBA09972D5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A4-42F2-AF4F-DF9CBA9228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3BF5D0-859D-4965-AA18-CD6DB0F71E1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A4-42F2-AF4F-DF9CBA9228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6EC738-F910-40DD-8B1A-CBE4B334E25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A4-42F2-AF4F-DF9CBA9228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9EFEF0-EC3C-4D6D-8090-0D5AAFDDE65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A4-42F2-AF4F-DF9CBA9228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5ED1DC-E960-4D2B-9F97-B4E83502B92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A4-42F2-AF4F-DF9CBA9228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2F7B3D-E990-4D23-9502-734E1A6E9EA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A4-42F2-AF4F-DF9CBA9228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4050C8-2A18-4409-8411-9A8CE23AC47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A4-42F2-AF4F-DF9CBA9228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89A11B-DFA9-47B3-BCC7-C75843E9C82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A4-42F2-AF4F-DF9CBA9228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A6B4F3-BAA2-473D-A4E8-1F59A755FAC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A4-42F2-AF4F-DF9CBA9228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07DBC6-42E4-47D3-A04D-E40DF4047FE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A4-42F2-AF4F-DF9CBA9228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26A8F6-E72F-412E-BB8D-05CE8ACEFD7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A4-42F2-AF4F-DF9CBA9228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D82B66-D3F7-4591-8D9B-DCC1741F793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A4-42F2-AF4F-DF9CBA9228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226C22-8A6D-483A-9486-A7C068EC977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A4-42F2-AF4F-DF9CBA9228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596C41-E2F0-4435-8654-C5EF7CF6B37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A4-42F2-AF4F-DF9CBA9228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C2C603-943F-448D-8AEE-66CCB0313BC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A4-42F2-AF4F-DF9CBA9228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2CD6B0-D696-49B6-975F-9CCF077F97B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A4-42F2-AF4F-DF9CBA9228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0B8250-24F9-4A1B-AAED-1ACD8A5553A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A4-42F2-AF4F-DF9CBA9228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D123B5-2F5C-433D-8A9E-E96A35F9577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A4-42F2-AF4F-DF9CBA9228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246F61-29ED-4542-9B16-96DC0AEA801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A4-42F2-AF4F-DF9CBA9228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A3E252-E3E0-40FC-9B97-F060E417FA5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A4-42F2-AF4F-DF9CBA9228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CAF36A-7227-4F88-B7D3-667DC73EA8B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A4-42F2-AF4F-DF9CBA9228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83644B-2195-4B8D-BAB4-80C46A25FB4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A4-42F2-AF4F-DF9CBA9228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E8900F-E387-4D8B-96D8-1DAB6010705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A4-42F2-AF4F-DF9CBA9228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0405B7-2110-454A-AFE3-0131ED17417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A4-42F2-AF4F-DF9CBA9228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C62EB2-DAB8-4E79-A59E-04DB457EB25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A4-42F2-AF4F-DF9CBA9228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6314C9-1991-485E-A481-07F12A0E32F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A4-42F2-AF4F-DF9CBA9228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587004-36F6-437C-8DA1-1D6ED017A93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A4-42F2-AF4F-DF9CBA9228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311373-4BF3-4D98-A246-8289F1DE261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A4-42F2-AF4F-DF9CBA9228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150FB7-44B4-4C67-8A7A-B879BA00E5B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A4-42F2-AF4F-DF9CBA9228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4E29D7-CB10-413F-86B0-F7FE15B51A2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A4-42F2-AF4F-DF9CBA9228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7F3147-CC5D-4E1B-B473-FB02E822913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A4-42F2-AF4F-DF9CBA9228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A1EFFA-1CE7-4BDF-BDE3-BF38CBC01E7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A4-42F2-AF4F-DF9CBA9228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07B8A1-2679-4B77-9E97-2AEEA2DCE86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A4-42F2-AF4F-DF9CBA9228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5F0DA0-5F5F-456D-BAF8-1277A6EB7A7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A4-42F2-AF4F-DF9CBA9228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529727-BD57-403E-A52F-5781AACA053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A4-42F2-AF4F-DF9CBA9228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6E61F4-CD4B-4220-8DBB-66DB264DC39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A4-42F2-AF4F-DF9CBA9228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2B0D8A-E309-46BA-977F-5B086F05097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A4-42F2-AF4F-DF9CBA9228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6DFAED-4FF6-433C-80EA-6868EFEAAB3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A4-42F2-AF4F-DF9CBA9228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E9AA17-60C3-459A-92A4-C09820AA36A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A4-42F2-AF4F-DF9CBA9228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32E09F-DD9F-4D7B-9581-3A2A07218D7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A4-42F2-AF4F-DF9CBA9228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323E51-08BD-43CA-8B8C-41A1A0292A0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A4-42F2-AF4F-DF9CBA9228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993F84-8A30-4145-A33C-4FB71DB124B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A4-42F2-AF4F-DF9CBA9228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523FFB-02AC-46C7-AE1E-CF9DA240AB6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A4-42F2-AF4F-DF9CBA9228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7328BE-0A47-4740-916E-F6AF1561992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A4-42F2-AF4F-DF9CBA9228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5EB22D-6458-4D54-BD49-3D829716E57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A4-42F2-AF4F-DF9CBA9228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521AF7-2281-4D59-BD83-7116B70395C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A4-42F2-AF4F-DF9CBA9228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C99DE3-8E5A-4A01-A848-77AA4A02B40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A4-42F2-AF4F-DF9CBA9228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EAD0C2-D467-4F51-8B7F-25598695ADB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A4-42F2-AF4F-DF9CBA9228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2F9089-1DBA-4C29-A679-E549EB16C7C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A4-42F2-AF4F-DF9CBA9228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825AB6-C9E0-43A4-98ED-4DA419B126F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A4-42F2-AF4F-DF9CBA9228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CC3BEF-1E20-4421-8CC2-672A51A328E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A4-42F2-AF4F-DF9CBA9228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2D430A-278D-46B4-A1E5-17B4495658F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A4-42F2-AF4F-DF9CBA9228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5676B2-CB67-4B19-9443-54CED4E2941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A4-42F2-AF4F-DF9CBA9228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E2E09A-8293-452B-A19B-711172FEE59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A4-42F2-AF4F-DF9CBA9228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325939-FCDA-4E3E-9312-B7B15C23951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A4-42F2-AF4F-DF9CBA9228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6BC27D-7D10-4B38-AACB-4BEF6C72A38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A4-42F2-AF4F-DF9CBA9228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3F3C17-21FB-4D6E-86E3-639449E9218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A4-42F2-AF4F-DF9CBA9228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DA64D1-DDE3-43A4-BA69-8BB96377CAA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A4-42F2-AF4F-DF9CBA9228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5BD312-3951-41E5-87F7-12CF15DE54F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A4-42F2-AF4F-DF9CBA9228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AD64F3-70F7-4906-8583-30287B7E529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A4-42F2-AF4F-DF9CBA9228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DA8910-B7FF-496E-8964-CBE11ED6E8E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A4-42F2-AF4F-DF9CBA9228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A9E613-6E4E-4D04-99CF-C6940850599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A4-42F2-AF4F-DF9CBA9228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5097AF-6B08-4FB8-BCD3-4AFDED50D77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A4-42F2-AF4F-DF9CBA9228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392C65-E960-4D6A-B4FE-BF9B7284420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A4-42F2-AF4F-DF9CBA9228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C713DB-EDF3-4C18-A645-454B5BAE95C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A4-42F2-AF4F-DF9CBA9228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5D52F0-ACE9-4F6D-BAB2-D072D9FC94A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A4-42F2-AF4F-DF9CBA9228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99CF73-3257-4F21-B41D-07E0FE021B6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A4-42F2-AF4F-DF9CBA9228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100743-5F24-4BE7-804E-90D07E4F224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A4-42F2-AF4F-DF9CBA9228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6666BA-8A2A-4D85-9C3A-B25A187D880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A4-42F2-AF4F-DF9CBA9228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6A762A-9959-4DB3-8522-B6D045592A6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A4-42F2-AF4F-DF9CBA9228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4E6166-6775-4C67-AC4F-FC99BD376B2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A4-42F2-AF4F-DF9CBA9228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192725-827E-44F3-BF12-E42A02C9B44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A4-42F2-AF4F-DF9CBA9228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46543B-8A07-4C36-969B-541B02C4BA2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A4-42F2-AF4F-DF9CBA9228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29D2B6-43ED-4D15-A027-0AA94E8636A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A4-42F2-AF4F-DF9CBA9228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0F1D50-CB07-4873-885C-A498C905A05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A4-42F2-AF4F-DF9CBA9228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4B444A-B266-4773-8D42-6695ED9BF5B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A4-42F2-AF4F-DF9CBA9228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BAFCBD-7CA6-40CE-A375-4EF9EFFF9EA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A4-42F2-AF4F-DF9CBA9228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474596-F0FB-4F9B-AABA-6999924E0DF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A4-42F2-AF4F-DF9CBA9228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B8458D-CCE8-4F40-8D02-41E3E599602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A4-42F2-AF4F-DF9CBA9228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B90F12-3E4D-45B3-89F4-98652A96E7B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A4-42F2-AF4F-DF9CBA9228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D5C9FC-748C-4650-9071-E1A7399BACE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A4-42F2-AF4F-DF9CBA9228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7256D3-79EA-4F2C-B370-5A257310C7C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A4-42F2-AF4F-DF9CBA9228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D72F99-2F19-45DA-B884-2FFC810D4B6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A4-42F2-AF4F-DF9CBA9228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73DED5-7287-41CE-8DF4-0E824691DAF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A4-42F2-AF4F-DF9CBA9228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AB2656-1057-4A5B-9070-4EE59E402A1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A4-42F2-AF4F-DF9CBA9228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9BFD92-30DE-4280-BAE5-1E9E77840E8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A4-42F2-AF4F-DF9CBA9228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17101F-F7F4-47DA-B44C-49CF567A5CC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A4-42F2-AF4F-DF9CBA9228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8D3F25-5765-4445-8965-A3E494D4904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A4-42F2-AF4F-DF9CBA9228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B9F23E-6870-4C6B-8F24-5F6B6069FF7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A4-42F2-AF4F-DF9CBA9228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60F9A9-F898-403B-B60C-0C0CBD348C3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A4-42F2-AF4F-DF9CBA9228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74BD1B-4C37-47E4-ACDB-D435306A94F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A4-42F2-AF4F-DF9CBA9228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F1A9C5-FF7D-4207-BAAC-BA2BEA6B2D1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A4-42F2-AF4F-DF9CBA9228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4FA0BF-5E3F-487B-A1F9-AFA55A69571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A4-42F2-AF4F-DF9CBA9228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34C3BE-3E8E-491F-967D-C7B0F9E9AFC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A4-42F2-AF4F-DF9CBA9228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5B1493-50A5-41C4-A29F-9BEAD3925A8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A4-42F2-AF4F-DF9CBA9228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F8EB09-77FE-46C7-878B-4555E7EE18B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A4-42F2-AF4F-DF9CBA9228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8B5583-A396-4BFD-8EDE-6DD5CC8347E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A4-42F2-AF4F-DF9CBA9228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6032ED-03B8-482A-84A8-EE327A46392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A4-42F2-AF4F-DF9CBA9228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4CFCE2-62D4-4E2D-B2F0-466AEEE5C34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A4-42F2-AF4F-DF9CBA9228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CE66A60-9F4D-432A-9ABA-AA2377BFE93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A4-42F2-AF4F-DF9CBA9228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256658-3DE8-41D7-8096-B7891C6A2EC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A4-42F2-AF4F-DF9CBA9228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7A72BF-E934-495B-A89D-5938CFAC51A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A4-42F2-AF4F-DF9CBA9228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E655A4-E845-4492-865C-7748BD62AA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A4-42F2-AF4F-DF9CBA9228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CC4665-08A1-4DB9-A269-501B5E70A9F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A4-42F2-AF4F-DF9CBA9228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171E33-5DA3-4A5B-90E1-D4908E94749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A4-42F2-AF4F-DF9CBA9228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C0C547-C716-419B-8505-3027DBB9C34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A4-42F2-AF4F-DF9CBA9228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DFEF0B-06B9-449D-AD90-D91B6B33255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A4-42F2-AF4F-DF9CBA9228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68D814-152B-4455-B0F2-CEA896422D9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A4-42F2-AF4F-DF9CBA9228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856279-30B6-4E40-B42F-D0ED5B203A6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A4-42F2-AF4F-DF9CBA9228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A12101-990F-43B9-8701-B6A41B02FD9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A4-42F2-AF4F-DF9CBA9228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36CF1A-78D5-4546-9FE9-C0EE551FEAD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A4-42F2-AF4F-DF9CBA9228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01E8F2-93FA-45D5-885D-AA43DE8E7F2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A4-42F2-AF4F-DF9CBA9228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B6EC4A-C5A3-4218-9295-86513C31397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A4-42F2-AF4F-DF9CBA9228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42335D-8B00-400D-ACDC-734854F456A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A4-42F2-AF4F-DF9CBA9228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77853A-90A2-4984-A15C-54B925D07E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A4-42F2-AF4F-DF9CBA9228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6C74B5-6500-4E26-8C3A-3288AB4CFF3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A4-42F2-AF4F-DF9CBA9228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81A1F3-D7E8-4832-B68C-AFFD0215C46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A4-42F2-AF4F-DF9CBA9228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55CC08-0B07-4ECC-831A-616ADE40869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A4-42F2-AF4F-DF9CBA9228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C7D1D5-25B2-4673-A5AA-B374A628BC7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A4-42F2-AF4F-DF9CBA9228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81F1BD-10CD-4F39-B536-80AEAAE33D7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A4-42F2-AF4F-DF9CBA9228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EFB430-60F6-447A-BA45-B3C27E5FA98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A4-42F2-AF4F-DF9CBA9228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5708F5-8AF1-4842-B448-EFEFFB92C6A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A4-42F2-AF4F-DF9CBA9228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AF89CC-F01A-43EF-85F6-405B53ACB7E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A4-42F2-AF4F-DF9CBA9228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93FB00-16BC-4ACB-B7FD-BBF094A0FA2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A4-42F2-AF4F-DF9CBA9228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869FB4-A55F-4345-A83B-A9C2276AA7A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A4-42F2-AF4F-DF9CBA9228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A647A3-4D0D-4395-AF05-FB609EE44A8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A4-42F2-AF4F-DF9CBA9228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DBD662-FC61-4B31-906D-30EC2DCDD95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A4-42F2-AF4F-DF9CBA9228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A068EC-81C8-4594-9654-787D573A6E2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A4-42F2-AF4F-DF9CBA9228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730357-02C4-48F2-B3A9-E24F958D456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A4-42F2-AF4F-DF9CBA9228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45223D-24B3-4E4E-BCEB-9B3C513ACE8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A4-42F2-AF4F-DF9CBA9228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6D5C24-2D2B-440B-ABFE-8A3F721946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A4-42F2-AF4F-DF9CBA9228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81BA25-C965-4744-A99E-8581BBBD856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A4-42F2-AF4F-DF9CBA9228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9AD793-9529-4F95-B28F-B7AA3D2C30F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A4-42F2-AF4F-DF9CBA9228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8BF2CF-8913-4ED6-BB42-63730EF5B61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A4-42F2-AF4F-DF9CBA9228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0FE1F7-C350-4240-B7FC-6E5E2B625C9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A4-42F2-AF4F-DF9CBA9228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1FDC17-2982-4BB6-90E9-B22D660C24B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A4-42F2-AF4F-DF9CBA9228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925061-F44B-4B64-997B-D4C0310000D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A4-42F2-AF4F-DF9CBA9228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E7CC83-033B-4C73-9079-F907BA8DAAB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A4-42F2-AF4F-DF9CBA9228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FB0ACD-61F2-4993-8379-D981E4468C1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A4-42F2-AF4F-DF9CBA9228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E52F41-20C3-49D3-B80A-A82ABF7D8EF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A4-42F2-AF4F-DF9CBA9228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981802-9F7B-4FB3-8764-3E75A97999A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A4-42F2-AF4F-DF9CBA9228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13AD57-A35D-4BAC-B0C8-7A2994700E3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A4-42F2-AF4F-DF9CBA9228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3E261B-40D6-4211-B109-4455086857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A4-42F2-AF4F-DF9CBA9228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E42799-B8DA-41C7-B91A-1527B44614C2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A4-42F2-AF4F-DF9CBA9228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5B6FFD-060E-492E-91D1-0C70D01D865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A4-42F2-AF4F-DF9CBA9228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374AB3-5A7F-49F9-9566-B96DE32192D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A4-42F2-AF4F-DF9CBA9228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ED7646-00C7-477E-924B-1568A11A20B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A4-42F2-AF4F-DF9CBA9228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0AF7F5-4278-404E-9530-B7A6AE28A27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A4-42F2-AF4F-DF9CBA9228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A96EFF-207F-48C2-A0B8-D7A069C855B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A4-42F2-AF4F-DF9CBA9228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D1F5FF-6FB6-47AE-9F50-8B97D43685A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A4-42F2-AF4F-DF9CBA9228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CD6237-6CB8-450C-9C4C-39DDA80A4DE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A4-42F2-AF4F-DF9CBA9228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D493B3-2842-4619-96F3-34221C7728D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A4-42F2-AF4F-DF9CBA9228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DACA7B-9014-40D9-8E0A-6562B88FE99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A4-42F2-AF4F-DF9CBA9228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2A5BBE-3F99-4643-9B9C-ACF9BA20C90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A4-42F2-AF4F-DF9CBA9228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3F802A-7C51-46E0-8CD8-8121179CE78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A4-42F2-AF4F-DF9CBA9228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1210D5-1F3F-4DD7-9C77-7C2F40B447A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A4-42F2-AF4F-DF9CBA9228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D18F77-4EB1-4EBC-AAB1-014F285E775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A4-42F2-AF4F-DF9CBA9228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1C85CD-4D38-4A31-A924-45E39DE7E83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A4-42F2-AF4F-DF9CBA9228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76DB8F-21AA-48E3-8A05-3DF2306B22D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A4-42F2-AF4F-DF9CBA9228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DC63CE-C03C-4F82-A246-CA33679F0D4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A4-42F2-AF4F-DF9CBA9228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2BDA8B-7D56-4027-8A42-D9D4FE0B1F2C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A4-42F2-AF4F-DF9CBA9228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7E81CA-2CD0-454F-B37B-DDCFB5B639E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A4-42F2-AF4F-DF9CBA9228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4811C8-862A-4F02-B91D-625AF50868F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A4-42F2-AF4F-DF9CBA9228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DEBF59-DD4E-4F82-A90F-24D6DDACC3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A4-42F2-AF4F-DF9CBA9228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F0CCCB-035D-4D4B-8C4A-2A4108C48C8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A4-42F2-AF4F-DF9CBA9228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0F95DB-A426-4A35-8E1D-5B64CC7F456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A4-42F2-AF4F-DF9CBA9228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24FC81-C129-4DA2-B35F-10924095FF6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A4-42F2-AF4F-DF9CBA9228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989425-F8AF-42EE-9C0B-1F0F964E5BB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A4-42F2-AF4F-DF9CBA9228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F0298A-D4CB-4EFE-845B-3FFCBC17117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A4-42F2-AF4F-DF9CBA9228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2B13D7-03CA-49A4-8D0A-026F5039506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A4-42F2-AF4F-DF9CBA9228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ABC873-7194-4DE4-A364-C008B6DA16A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A4-42F2-AF4F-DF9CBA9228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2CAA33-9AA9-4079-A24E-0D15C2690E8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A4-42F2-AF4F-DF9CBA9228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033009-DEB3-415A-BE71-E6F45083BE04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A4-42F2-AF4F-DF9CBA9228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C4640B80-F03B-4522-8D0F-3FD9C23926E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A4-42F2-AF4F-DF9CBA9228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166EAF98-7226-406E-940F-8C6FADB4184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A4-42F2-AF4F-DF9CBA9228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0048FD64-BA02-4087-8B72-1E5FA5CBF14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A4-42F2-AF4F-DF9CBA9228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1FA59ECF-5EA2-4151-8CF9-A6C19B67BB3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A4-42F2-AF4F-DF9CBA9228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D5EB8B35-EE85-451B-9152-5738C87CE84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A4-42F2-AF4F-DF9CBA9228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0FD7707A-3A49-4B7C-B067-ECDBD0A656B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A4-42F2-AF4F-DF9CBA9228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27AA14CF-6276-4862-96B7-BA12CD9D1CD6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A4-42F2-AF4F-DF9CBA9228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5CBAA9E0-86AF-4525-B3E4-BBD4B5ED593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A4-42F2-AF4F-DF9CBA9228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9CB0D72E-115A-4E68-808B-D7E21033255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A4-42F2-AF4F-DF9CBA9228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F43F00AD-5A96-44A7-8679-CC59C38B06FA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A4-42F2-AF4F-DF9CBA9228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CDEE34CC-CF7B-480C-B805-986D05C44D45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A4-42F2-AF4F-DF9CBA9228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52B1F92F-C781-43EB-8288-ACCF5FD32139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A4-42F2-AF4F-DF9CBA9228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42013171-69F5-4B72-B9FA-E4145B89130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A4-42F2-AF4F-DF9CBA9228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058A9F14-05E1-4981-A939-B1E2F657407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A4-42F2-AF4F-DF9CBA9228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9BC68E44-43C4-403C-8BC7-A22603AEF29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A4-42F2-AF4F-DF9CBA9228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EFDC1590-1FB9-42B1-A630-EE76D4EA771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A4-42F2-AF4F-DF9CBA9228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F992C444-5D81-46E1-A603-F5EF5CAA03E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A4-42F2-AF4F-DF9CBA9228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680ADC1A-92C7-4E92-A47D-96209744816E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A4-42F2-AF4F-DF9CBA9228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98BFEA9E-B442-43CA-BFCB-12DEE908A408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A4-42F2-AF4F-DF9CBA9228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DDD266BB-971A-4693-942E-9F66A36D4551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A4-42F2-AF4F-DF9CBA9228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B6A6F2FF-38CC-4ACB-A064-EC04CC471D93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A4-42F2-AF4F-DF9CBA9228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2538DE99-4B32-418E-A4BF-ECA846F76D1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A4-42F2-AF4F-DF9CBA9228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B513A291-C3DE-4E35-A3F0-C0E55A693F8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A4-42F2-AF4F-DF9CBA9228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8BB581AE-6DDD-4C2A-8825-41899116019F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A4-42F2-AF4F-DF9CBA9228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44A219A1-D941-4F9D-8A01-2CDCAD8BF68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A4-42F2-AF4F-DF9CBA9228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90A5248D-FD05-400F-ACD4-FB36B828EFB0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A4-42F2-AF4F-DF9CBA9228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FC8DAD2D-9487-4DC3-825C-63C12D79B33D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A4-42F2-AF4F-DF9CBA9228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82D45BDA-79E1-4A83-B7C6-A2FB081395DB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A4-42F2-AF4F-DF9CBA9228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4B8C1FC2-A0D8-4A5B-9FB4-DC0E09F4AC27}" type="CELLRANGE">
                      <a:rPr lang="da-DK"/>
                      <a:pPr/>
                      <a:t>[CELLRANGE]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A4-42F2-AF4F-DF9CBA9228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[0]!BxHist</c:f>
              <c:strCache>
                <c:ptCount val="255"/>
                <c:pt idx="0">
                  <c:v>-11.07</c:v>
                </c:pt>
                <c:pt idx="17">
                  <c:v>-9.34</c:v>
                </c:pt>
                <c:pt idx="34">
                  <c:v>-7.62</c:v>
                </c:pt>
                <c:pt idx="51">
                  <c:v>-5.9</c:v>
                </c:pt>
                <c:pt idx="68">
                  <c:v>-4.18</c:v>
                </c:pt>
                <c:pt idx="85">
                  <c:v>-2.45</c:v>
                </c:pt>
                <c:pt idx="102">
                  <c:v>-0.73</c:v>
                </c:pt>
                <c:pt idx="119">
                  <c:v>0.99</c:v>
                </c:pt>
                <c:pt idx="136">
                  <c:v>2.72</c:v>
                </c:pt>
                <c:pt idx="153">
                  <c:v>4.44</c:v>
                </c:pt>
                <c:pt idx="170">
                  <c:v>6.16</c:v>
                </c:pt>
                <c:pt idx="187">
                  <c:v>7.88</c:v>
                </c:pt>
                <c:pt idx="204">
                  <c:v>9.61</c:v>
                </c:pt>
                <c:pt idx="221">
                  <c:v>11.33</c:v>
                </c:pt>
                <c:pt idx="238">
                  <c:v>13.05</c:v>
                </c:pt>
                <c:pt idx="254">
                  <c:v>14.77</c:v>
                </c:pt>
              </c:strCache>
            </c:strRef>
          </c:cat>
          <c:val>
            <c:numRef>
              <c:f>[0]!BzHist</c:f>
              <c:numCache>
                <c:formatCode>General</c:formatCode>
                <c:ptCount val="255"/>
                <c:pt idx="0">
                  <c:v>4.4318484119380075E-3</c:v>
                </c:pt>
                <c:pt idx="1">
                  <c:v>4.7559852950567272E-3</c:v>
                </c:pt>
                <c:pt idx="2">
                  <c:v>5.1009817796137192E-3</c:v>
                </c:pt>
                <c:pt idx="3">
                  <c:v>5.4679521393008702E-3</c:v>
                </c:pt>
                <c:pt idx="4">
                  <c:v>5.8580530466154357E-3</c:v>
                </c:pt>
                <c:pt idx="5">
                  <c:v>6.2724839501383011E-3</c:v>
                </c:pt>
                <c:pt idx="6">
                  <c:v>6.7124873553275682E-3</c:v>
                </c:pt>
                <c:pt idx="7">
                  <c:v>7.1793490009733575E-3</c:v>
                </c:pt>
                <c:pt idx="8">
                  <c:v>7.674397923323451E-3</c:v>
                </c:pt>
                <c:pt idx="9">
                  <c:v>8.1990063997801985E-3</c:v>
                </c:pt>
                <c:pt idx="10">
                  <c:v>8.754589763990156E-3</c:v>
                </c:pt>
                <c:pt idx="11">
                  <c:v>9.3426060841007019E-3</c:v>
                </c:pt>
                <c:pt idx="12">
                  <c:v>9.9645556959455598E-3</c:v>
                </c:pt>
                <c:pt idx="13">
                  <c:v>1.0621980582946014E-2</c:v>
                </c:pt>
                <c:pt idx="14">
                  <c:v>1.1316463594578965E-2</c:v>
                </c:pt>
                <c:pt idx="15">
                  <c:v>1.2049627495369133E-2</c:v>
                </c:pt>
                <c:pt idx="16">
                  <c:v>1.2823133836513139E-2</c:v>
                </c:pt>
                <c:pt idx="17">
                  <c:v>1.3638681642439747E-2</c:v>
                </c:pt>
                <c:pt idx="18">
                  <c:v>1.449800590485566E-2</c:v>
                </c:pt>
                <c:pt idx="19">
                  <c:v>1.54028758771209E-2</c:v>
                </c:pt>
                <c:pt idx="20">
                  <c:v>1.6355093162145264E-2</c:v>
                </c:pt>
                <c:pt idx="21">
                  <c:v>1.7356489587397227E-2</c:v>
                </c:pt>
                <c:pt idx="22">
                  <c:v>1.840892486107203E-2</c:v>
                </c:pt>
                <c:pt idx="23">
                  <c:v>1.9514284003976069E-2</c:v>
                </c:pt>
                <c:pt idx="24">
                  <c:v>2.0674474552252395E-2</c:v>
                </c:pt>
                <c:pt idx="25">
                  <c:v>2.1891423526696506E-2</c:v>
                </c:pt>
                <c:pt idx="26">
                  <c:v>2.3167074165093303E-2</c:v>
                </c:pt>
                <c:pt idx="27">
                  <c:v>2.4503382414745537E-2</c:v>
                </c:pt>
                <c:pt idx="28">
                  <c:v>2.5902313183160039E-2</c:v>
                </c:pt>
                <c:pt idx="29">
                  <c:v>2.7365836345710239E-2</c:v>
                </c:pt>
                <c:pt idx="30">
                  <c:v>2.8895922510000907E-2</c:v>
                </c:pt>
                <c:pt idx="31">
                  <c:v>3.0494538537622264E-2</c:v>
                </c:pt>
                <c:pt idx="32">
                  <c:v>3.2163642824992435E-2</c:v>
                </c:pt>
                <c:pt idx="33">
                  <c:v>3.3905180346050105E-2</c:v>
                </c:pt>
                <c:pt idx="34">
                  <c:v>3.5721077460667557E-2</c:v>
                </c:pt>
                <c:pt idx="35">
                  <c:v>3.7613236493806372E-2</c:v>
                </c:pt>
                <c:pt idx="36">
                  <c:v>3.9583530091630813E-2</c:v>
                </c:pt>
                <c:pt idx="37">
                  <c:v>4.1633795362021969E-2</c:v>
                </c:pt>
                <c:pt idx="38">
                  <c:v>4.3765827808196101E-2</c:v>
                </c:pt>
                <c:pt idx="39">
                  <c:v>4.5981375065417315E-2</c:v>
                </c:pt>
                <c:pt idx="40">
                  <c:v>4.8282130452103389E-2</c:v>
                </c:pt>
                <c:pt idx="41">
                  <c:v>5.0669726347948529E-2</c:v>
                </c:pt>
                <c:pt idx="42">
                  <c:v>5.3145727413021412E-2</c:v>
                </c:pt>
                <c:pt idx="43">
                  <c:v>5.5711623663135007E-2</c:v>
                </c:pt>
                <c:pt idx="44">
                  <c:v>5.836882341812101E-2</c:v>
                </c:pt>
                <c:pt idx="45">
                  <c:v>6.1118646140966536E-2</c:v>
                </c:pt>
                <c:pt idx="46">
                  <c:v>6.3962315187079122E-2</c:v>
                </c:pt>
                <c:pt idx="47">
                  <c:v>6.6900950484229685E-2</c:v>
                </c:pt>
                <c:pt idx="48">
                  <c:v>6.9935561164973667E-2</c:v>
                </c:pt>
                <c:pt idx="49">
                  <c:v>7.3067038174560756E-2</c:v>
                </c:pt>
                <c:pt idx="50">
                  <c:v>7.6296146878504542E-2</c:v>
                </c:pt>
                <c:pt idx="51">
                  <c:v>7.9623519695089101E-2</c:v>
                </c:pt>
                <c:pt idx="52">
                  <c:v>8.3049648779127044E-2</c:v>
                </c:pt>
                <c:pt idx="53">
                  <c:v>8.6574878784251505E-2</c:v>
                </c:pt>
                <c:pt idx="54">
                  <c:v>9.0199399731906077E-2</c:v>
                </c:pt>
                <c:pt idx="55">
                  <c:v>9.392324001599342E-2</c:v>
                </c:pt>
                <c:pt idx="56">
                  <c:v>9.7746259572838501E-2</c:v>
                </c:pt>
                <c:pt idx="57">
                  <c:v>0.10166814324671321</c:v>
                </c:pt>
                <c:pt idx="58">
                  <c:v>0.10568839438164808</c:v>
                </c:pt>
                <c:pt idx="59">
                  <c:v>0.1098063286706146</c:v>
                </c:pt>
                <c:pt idx="60">
                  <c:v>0.11402106829339084</c:v>
                </c:pt>
                <c:pt idx="61">
                  <c:v>0.11833153637452416</c:v>
                </c:pt>
                <c:pt idx="62">
                  <c:v>0.12273645179276051</c:v>
                </c:pt>
                <c:pt idx="63">
                  <c:v>0.12723432437312576</c:v>
                </c:pt>
                <c:pt idx="64">
                  <c:v>0.1318234504925114</c:v>
                </c:pt>
                <c:pt idx="65">
                  <c:v>0.13650190912912655</c:v>
                </c:pt>
                <c:pt idx="66">
                  <c:v>0.14126755838553859</c:v>
                </c:pt>
                <c:pt idx="67">
                  <c:v>0.14611803251422095</c:v>
                </c:pt>
                <c:pt idx="68">
                  <c:v>0.1510507394735649</c:v>
                </c:pt>
                <c:pt idx="69">
                  <c:v>0.15606285904118991</c:v>
                </c:pt>
                <c:pt idx="70">
                  <c:v>0.16115134151010232</c:v>
                </c:pt>
                <c:pt idx="71">
                  <c:v>0.16631290699180915</c:v>
                </c:pt>
                <c:pt idx="72">
                  <c:v>0.17154404534889048</c:v>
                </c:pt>
                <c:pt idx="73">
                  <c:v>0.17684101677777864</c:v>
                </c:pt>
                <c:pt idx="74">
                  <c:v>0.18219985306058237</c:v>
                </c:pt>
                <c:pt idx="75">
                  <c:v>0.18761635950273947</c:v>
                </c:pt>
                <c:pt idx="76">
                  <c:v>0.19308611757108682</c:v>
                </c:pt>
                <c:pt idx="77">
                  <c:v>0.19860448824460644</c:v>
                </c:pt>
                <c:pt idx="78">
                  <c:v>0.20416661608765052</c:v>
                </c:pt>
                <c:pt idx="79">
                  <c:v>0.20976743405287621</c:v>
                </c:pt>
                <c:pt idx="80">
                  <c:v>0.21540166901844124</c:v>
                </c:pt>
                <c:pt idx="81">
                  <c:v>0.22106384806123056</c:v>
                </c:pt>
                <c:pt idx="82">
                  <c:v>0.22674830546502484</c:v>
                </c:pt>
                <c:pt idx="83">
                  <c:v>0.23244919045958226</c:v>
                </c:pt>
                <c:pt idx="84">
                  <c:v>0.2381604756836066</c:v>
                </c:pt>
                <c:pt idx="85">
                  <c:v>0.24387596636153336</c:v>
                </c:pt>
                <c:pt idx="86">
                  <c:v>0.24958931018098326</c:v>
                </c:pt>
                <c:pt idx="87">
                  <c:v>0.25529400785464174</c:v>
                </c:pt>
                <c:pt idx="88">
                  <c:v>0.26098342434722177</c:v>
                </c:pt>
                <c:pt idx="89">
                  <c:v>0.26665080074508374</c:v>
                </c:pt>
                <c:pt idx="90">
                  <c:v>0.27228926674302883</c:v>
                </c:pt>
                <c:pt idx="91">
                  <c:v>0.27789185371977293</c:v>
                </c:pt>
                <c:pt idx="92">
                  <c:v>0.28345150837065552</c:v>
                </c:pt>
                <c:pt idx="93">
                  <c:v>0.28896110686327098</c:v>
                </c:pt>
                <c:pt idx="94">
                  <c:v>0.29441346947892549</c:v>
                </c:pt>
                <c:pt idx="95">
                  <c:v>0.29980137570016047</c:v>
                </c:pt>
                <c:pt idx="96">
                  <c:v>0.30511757970203796</c:v>
                </c:pt>
                <c:pt idx="97">
                  <c:v>0.31035482620248367</c:v>
                </c:pt>
                <c:pt idx="98">
                  <c:v>0.31550586662473823</c:v>
                </c:pt>
                <c:pt idx="99">
                  <c:v>0.32056347552289172</c:v>
                </c:pt>
                <c:pt idx="100">
                  <c:v>0.32552046721958716</c:v>
                </c:pt>
                <c:pt idx="101">
                  <c:v>0.33036971260328207</c:v>
                </c:pt>
                <c:pt idx="102">
                  <c:v>0.33510415603097365</c:v>
                </c:pt>
                <c:pt idx="103">
                  <c:v>0.33971683228102528</c:v>
                </c:pt>
                <c:pt idx="104">
                  <c:v>0.34420088349969502</c:v>
                </c:pt>
                <c:pt idx="105">
                  <c:v>0.34854957608416842</c:v>
                </c:pt>
                <c:pt idx="106">
                  <c:v>0.35275631744434299</c:v>
                </c:pt>
                <c:pt idx="107">
                  <c:v>0.35681467258531119</c:v>
                </c:pt>
                <c:pt idx="108">
                  <c:v>0.36071838045244237</c:v>
                </c:pt>
                <c:pt idx="109">
                  <c:v>0.36446136998117984</c:v>
                </c:pt>
                <c:pt idx="110">
                  <c:v>0.36803777579414604</c:v>
                </c:pt>
                <c:pt idx="111">
                  <c:v>0.3714419534888897</c:v>
                </c:pt>
                <c:pt idx="112">
                  <c:v>0.37466849446061029</c:v>
                </c:pt>
                <c:pt idx="113">
                  <c:v>0.3777122402054594</c:v>
                </c:pt>
                <c:pt idx="114">
                  <c:v>0.38056829605153553</c:v>
                </c:pt>
                <c:pt idx="115">
                  <c:v>0.38323204426646018</c:v>
                </c:pt>
                <c:pt idx="116">
                  <c:v>0.38569915649243564</c:v>
                </c:pt>
                <c:pt idx="117">
                  <c:v>0.38796560546193709</c:v>
                </c:pt>
                <c:pt idx="118">
                  <c:v>0.39002767594966714</c:v>
                </c:pt>
                <c:pt idx="119">
                  <c:v>0.39188197491909466</c:v>
                </c:pt>
                <c:pt idx="120">
                  <c:v>0.39352544082479718</c:v>
                </c:pt>
                <c:pt idx="121">
                  <c:v>0.39495535203491233</c:v>
                </c:pt>
                <c:pt idx="122">
                  <c:v>0.39616933434126872</c:v>
                </c:pt>
                <c:pt idx="123">
                  <c:v>0.39716536752818871</c:v>
                </c:pt>
                <c:pt idx="124">
                  <c:v>0.39794179097452625</c:v>
                </c:pt>
                <c:pt idx="125">
                  <c:v>0.39849730826719421</c:v>
                </c:pt>
                <c:pt idx="126">
                  <c:v>0.39883099080824164</c:v>
                </c:pt>
                <c:pt idx="127">
                  <c:v>0.3989422804014327</c:v>
                </c:pt>
                <c:pt idx="128">
                  <c:v>0.39883099080824164</c:v>
                </c:pt>
                <c:pt idx="129">
                  <c:v>0.39849730826719421</c:v>
                </c:pt>
                <c:pt idx="130">
                  <c:v>0.39794179097452625</c:v>
                </c:pt>
                <c:pt idx="131">
                  <c:v>0.39716536752818871</c:v>
                </c:pt>
                <c:pt idx="132">
                  <c:v>0.39616933434126872</c:v>
                </c:pt>
                <c:pt idx="133">
                  <c:v>0.39495535203491233</c:v>
                </c:pt>
                <c:pt idx="134">
                  <c:v>0.39352544082479718</c:v>
                </c:pt>
                <c:pt idx="135">
                  <c:v>0.39188197491909466</c:v>
                </c:pt>
                <c:pt idx="136">
                  <c:v>0.39002767594966714</c:v>
                </c:pt>
                <c:pt idx="137">
                  <c:v>0.38796560546193709</c:v>
                </c:pt>
                <c:pt idx="138">
                  <c:v>0.38569915649243564</c:v>
                </c:pt>
                <c:pt idx="139">
                  <c:v>0.38323204426646018</c:v>
                </c:pt>
                <c:pt idx="140">
                  <c:v>0.38056829605153553</c:v>
                </c:pt>
                <c:pt idx="141">
                  <c:v>0.3777122402054594</c:v>
                </c:pt>
                <c:pt idx="142">
                  <c:v>0.37466849446061029</c:v>
                </c:pt>
                <c:pt idx="143">
                  <c:v>0.37144195348888975</c:v>
                </c:pt>
                <c:pt idx="144">
                  <c:v>0.36803777579414604</c:v>
                </c:pt>
                <c:pt idx="145">
                  <c:v>0.36446136998117984</c:v>
                </c:pt>
                <c:pt idx="146">
                  <c:v>0.36071838045244237</c:v>
                </c:pt>
                <c:pt idx="147">
                  <c:v>0.35681467258531119</c:v>
                </c:pt>
                <c:pt idx="148">
                  <c:v>0.35275631744434299</c:v>
                </c:pt>
                <c:pt idx="149">
                  <c:v>0.34854957608416842</c:v>
                </c:pt>
                <c:pt idx="150">
                  <c:v>0.34420088349969502</c:v>
                </c:pt>
                <c:pt idx="151">
                  <c:v>0.33971683228102528</c:v>
                </c:pt>
                <c:pt idx="152">
                  <c:v>0.33510415603097365</c:v>
                </c:pt>
                <c:pt idx="153">
                  <c:v>0.33036971260328218</c:v>
                </c:pt>
                <c:pt idx="154">
                  <c:v>0.32552046721958727</c:v>
                </c:pt>
                <c:pt idx="155">
                  <c:v>0.32056347552289172</c:v>
                </c:pt>
                <c:pt idx="156">
                  <c:v>0.31550586662473823</c:v>
                </c:pt>
                <c:pt idx="157">
                  <c:v>0.31035482620248367</c:v>
                </c:pt>
                <c:pt idx="158">
                  <c:v>0.30511757970203796</c:v>
                </c:pt>
                <c:pt idx="159">
                  <c:v>0.29980137570016047</c:v>
                </c:pt>
                <c:pt idx="160">
                  <c:v>0.29441346947892549</c:v>
                </c:pt>
                <c:pt idx="161">
                  <c:v>0.28896110686327098</c:v>
                </c:pt>
                <c:pt idx="162">
                  <c:v>0.28345150837065552</c:v>
                </c:pt>
                <c:pt idx="163">
                  <c:v>0.27789185371977293</c:v>
                </c:pt>
                <c:pt idx="164">
                  <c:v>0.272289266743029</c:v>
                </c:pt>
                <c:pt idx="165">
                  <c:v>0.26665080074508385</c:v>
                </c:pt>
                <c:pt idx="166">
                  <c:v>0.26098342434722177</c:v>
                </c:pt>
                <c:pt idx="167">
                  <c:v>0.25529400785464174</c:v>
                </c:pt>
                <c:pt idx="168">
                  <c:v>0.24958931018098326</c:v>
                </c:pt>
                <c:pt idx="169">
                  <c:v>0.24387596636153336</c:v>
                </c:pt>
                <c:pt idx="170">
                  <c:v>0.2381604756836066</c:v>
                </c:pt>
                <c:pt idx="171">
                  <c:v>0.23244919045958226</c:v>
                </c:pt>
                <c:pt idx="172">
                  <c:v>0.22674830546502489</c:v>
                </c:pt>
                <c:pt idx="173">
                  <c:v>0.22106384806123058</c:v>
                </c:pt>
                <c:pt idx="174">
                  <c:v>0.21540166901844132</c:v>
                </c:pt>
                <c:pt idx="175">
                  <c:v>0.20976743405287629</c:v>
                </c:pt>
                <c:pt idx="176">
                  <c:v>0.20416661608765058</c:v>
                </c:pt>
                <c:pt idx="177">
                  <c:v>0.19860448824460655</c:v>
                </c:pt>
                <c:pt idx="178">
                  <c:v>0.19308611757108693</c:v>
                </c:pt>
                <c:pt idx="179">
                  <c:v>0.18761635950273958</c:v>
                </c:pt>
                <c:pt idx="180">
                  <c:v>0.18219985306058248</c:v>
                </c:pt>
                <c:pt idx="181">
                  <c:v>0.17684101677777875</c:v>
                </c:pt>
                <c:pt idx="182">
                  <c:v>0.17154404534889039</c:v>
                </c:pt>
                <c:pt idx="183">
                  <c:v>0.16631290699180909</c:v>
                </c:pt>
                <c:pt idx="184">
                  <c:v>0.1611513415101023</c:v>
                </c:pt>
                <c:pt idx="185">
                  <c:v>0.15606285904118986</c:v>
                </c:pt>
                <c:pt idx="186">
                  <c:v>0.15105073947356487</c:v>
                </c:pt>
                <c:pt idx="187">
                  <c:v>0.1461180325142209</c:v>
                </c:pt>
                <c:pt idx="188">
                  <c:v>0.14126755838553859</c:v>
                </c:pt>
                <c:pt idx="189">
                  <c:v>0.13650190912912655</c:v>
                </c:pt>
                <c:pt idx="190">
                  <c:v>0.1318234504925114</c:v>
                </c:pt>
                <c:pt idx="191">
                  <c:v>0.12723432437312576</c:v>
                </c:pt>
                <c:pt idx="192">
                  <c:v>0.12273645179276051</c:v>
                </c:pt>
                <c:pt idx="193">
                  <c:v>0.11833153637452423</c:v>
                </c:pt>
                <c:pt idx="194">
                  <c:v>0.11402106829339088</c:v>
                </c:pt>
                <c:pt idx="195">
                  <c:v>0.10980632867061464</c:v>
                </c:pt>
                <c:pt idx="196">
                  <c:v>0.10568839438164815</c:v>
                </c:pt>
                <c:pt idx="197">
                  <c:v>0.10166814324671322</c:v>
                </c:pt>
                <c:pt idx="198">
                  <c:v>9.7746259572838598E-2</c:v>
                </c:pt>
                <c:pt idx="199">
                  <c:v>9.3923240015993517E-2</c:v>
                </c:pt>
                <c:pt idx="200">
                  <c:v>9.0199399731906132E-2</c:v>
                </c:pt>
                <c:pt idx="201">
                  <c:v>8.657487878425156E-2</c:v>
                </c:pt>
                <c:pt idx="202">
                  <c:v>8.3049648779127114E-2</c:v>
                </c:pt>
                <c:pt idx="203">
                  <c:v>7.9623519695089018E-2</c:v>
                </c:pt>
                <c:pt idx="204">
                  <c:v>7.6296146878504514E-2</c:v>
                </c:pt>
                <c:pt idx="205">
                  <c:v>7.3067038174560742E-2</c:v>
                </c:pt>
                <c:pt idx="206">
                  <c:v>6.9935561164973653E-2</c:v>
                </c:pt>
                <c:pt idx="207">
                  <c:v>6.6900950484229643E-2</c:v>
                </c:pt>
                <c:pt idx="208">
                  <c:v>6.3962315187079094E-2</c:v>
                </c:pt>
                <c:pt idx="209">
                  <c:v>6.1118646140966536E-2</c:v>
                </c:pt>
                <c:pt idx="210">
                  <c:v>5.836882341812101E-2</c:v>
                </c:pt>
                <c:pt idx="211">
                  <c:v>5.5711623663135007E-2</c:v>
                </c:pt>
                <c:pt idx="212">
                  <c:v>5.3145727413021412E-2</c:v>
                </c:pt>
                <c:pt idx="213">
                  <c:v>5.0669726347948529E-2</c:v>
                </c:pt>
                <c:pt idx="214">
                  <c:v>4.8282130452103389E-2</c:v>
                </c:pt>
                <c:pt idx="215">
                  <c:v>4.5981375065417315E-2</c:v>
                </c:pt>
                <c:pt idx="216">
                  <c:v>4.3765827808196101E-2</c:v>
                </c:pt>
                <c:pt idx="217">
                  <c:v>4.1633795362021969E-2</c:v>
                </c:pt>
                <c:pt idx="218">
                  <c:v>3.9583530091630813E-2</c:v>
                </c:pt>
                <c:pt idx="219">
                  <c:v>3.7613236493806407E-2</c:v>
                </c:pt>
                <c:pt idx="220">
                  <c:v>3.5721077460667591E-2</c:v>
                </c:pt>
                <c:pt idx="221">
                  <c:v>3.3905180346050147E-2</c:v>
                </c:pt>
                <c:pt idx="222">
                  <c:v>3.2163642824992462E-2</c:v>
                </c:pt>
                <c:pt idx="223">
                  <c:v>3.0494538537622302E-2</c:v>
                </c:pt>
                <c:pt idx="224">
                  <c:v>2.8895922510000935E-2</c:v>
                </c:pt>
                <c:pt idx="225">
                  <c:v>2.7365836345710208E-2</c:v>
                </c:pt>
                <c:pt idx="226">
                  <c:v>2.5902313183160039E-2</c:v>
                </c:pt>
                <c:pt idx="227">
                  <c:v>2.4503382414745537E-2</c:v>
                </c:pt>
                <c:pt idx="228">
                  <c:v>2.3167074165093303E-2</c:v>
                </c:pt>
                <c:pt idx="229">
                  <c:v>2.1891423526696506E-2</c:v>
                </c:pt>
                <c:pt idx="230">
                  <c:v>2.0674474552252395E-2</c:v>
                </c:pt>
                <c:pt idx="231">
                  <c:v>1.9514284003976069E-2</c:v>
                </c:pt>
                <c:pt idx="232">
                  <c:v>1.840892486107203E-2</c:v>
                </c:pt>
                <c:pt idx="233">
                  <c:v>1.7356489587397227E-2</c:v>
                </c:pt>
                <c:pt idx="234">
                  <c:v>1.6355093162145264E-2</c:v>
                </c:pt>
                <c:pt idx="235">
                  <c:v>1.54028758771209E-2</c:v>
                </c:pt>
                <c:pt idx="236">
                  <c:v>1.449800590485566E-2</c:v>
                </c:pt>
                <c:pt idx="237">
                  <c:v>1.3638681642439747E-2</c:v>
                </c:pt>
                <c:pt idx="238">
                  <c:v>1.2823133836513139E-2</c:v>
                </c:pt>
                <c:pt idx="239">
                  <c:v>1.2049627495369144E-2</c:v>
                </c:pt>
                <c:pt idx="240">
                  <c:v>1.131646359457898E-2</c:v>
                </c:pt>
                <c:pt idx="241">
                  <c:v>1.0621980582946028E-2</c:v>
                </c:pt>
                <c:pt idx="242">
                  <c:v>9.9645556959455719E-3</c:v>
                </c:pt>
                <c:pt idx="243">
                  <c:v>9.3426060841007141E-3</c:v>
                </c:pt>
                <c:pt idx="244">
                  <c:v>8.7545897639901629E-3</c:v>
                </c:pt>
                <c:pt idx="245">
                  <c:v>8.1990063997802055E-3</c:v>
                </c:pt>
                <c:pt idx="246">
                  <c:v>7.6743979233234441E-3</c:v>
                </c:pt>
                <c:pt idx="247">
                  <c:v>7.1793490009733505E-3</c:v>
                </c:pt>
                <c:pt idx="248">
                  <c:v>6.7124873553275569E-3</c:v>
                </c:pt>
                <c:pt idx="249">
                  <c:v>6.2724839501383011E-3</c:v>
                </c:pt>
                <c:pt idx="250">
                  <c:v>5.8580530466154357E-3</c:v>
                </c:pt>
                <c:pt idx="251">
                  <c:v>5.4679521393008702E-3</c:v>
                </c:pt>
                <c:pt idx="252">
                  <c:v>5.1009817796137192E-3</c:v>
                </c:pt>
                <c:pt idx="253">
                  <c:v>4.7559852950567272E-3</c:v>
                </c:pt>
                <c:pt idx="254">
                  <c:v>4.4318484119380075E-3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datalabelsRange>
                <c15:f>[0]!Bx2Hist</c15:f>
                <c15:dlblRangeCache>
                  <c:ptCount val="255"/>
                  <c:pt idx="0">
                    <c:v>-3σ</c:v>
                  </c:pt>
                  <c:pt idx="43">
                    <c:v>-2σ</c:v>
                  </c:pt>
                  <c:pt idx="85">
                    <c:v>-1σ</c:v>
                  </c:pt>
                  <c:pt idx="127">
                    <c:v>0σ</c:v>
                  </c:pt>
                  <c:pt idx="170">
                    <c:v>1σ</c:v>
                  </c:pt>
                  <c:pt idx="212">
                    <c:v>2σ</c:v>
                  </c:pt>
                  <c:pt idx="254">
                    <c:v>3σ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0-ACA4-42F2-AF4F-DF9CBA92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37903"/>
        <c:axId val="31931263"/>
      </c:lineChart>
      <c:catAx>
        <c:axId val="2479379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1931263"/>
        <c:crosses val="autoZero"/>
        <c:auto val="1"/>
        <c:lblAlgn val="ctr"/>
        <c:lblOffset val="100"/>
        <c:tickLblSkip val="1"/>
        <c:noMultiLvlLbl val="0"/>
      </c:catAx>
      <c:valAx>
        <c:axId val="31931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793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BeskrivendeStatistik!$BB$18</c:f>
          <c:strCache>
            <c:ptCount val="1"/>
            <c:pt idx="0">
              <c:v>Normalfraktildiagram af
Eksempel 1 (interval)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BeskrivendeStatistik!$BB$20</c:f>
              <c:strCache>
                <c:ptCount val="1"/>
                <c:pt idx="0">
                  <c:v>Observationer (n = 12)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alpha val="7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[0]!BsData</c:f>
              <c:numCache>
                <c:formatCode>General</c:formatCode>
                <c:ptCount val="12"/>
                <c:pt idx="0">
                  <c:v>-1.479592604535932</c:v>
                </c:pt>
                <c:pt idx="1">
                  <c:v>-1.1469596428732241</c:v>
                </c:pt>
                <c:pt idx="2">
                  <c:v>-0.89773712069108735</c:v>
                </c:pt>
                <c:pt idx="3">
                  <c:v>-0.40935481016144565</c:v>
                </c:pt>
                <c:pt idx="4">
                  <c:v>-0.30723615599325882</c:v>
                </c:pt>
                <c:pt idx="5">
                  <c:v>8.4427372017371785E-2</c:v>
                </c:pt>
                <c:pt idx="6">
                  <c:v>0.91409189597286977</c:v>
                </c:pt>
                <c:pt idx="7">
                  <c:v>1.2989587493526971</c:v>
                </c:pt>
                <c:pt idx="8">
                  <c:v>1.3803796539630533</c:v>
                </c:pt>
                <c:pt idx="9">
                  <c:v>1.8110756828005981</c:v>
                </c:pt>
                <c:pt idx="10">
                  <c:v>8</c:v>
                </c:pt>
                <c:pt idx="11">
                  <c:v>13</c:v>
                </c:pt>
              </c:numCache>
            </c:numRef>
          </c:xVal>
          <c:yVal>
            <c:numRef>
              <c:f>[0]!BfZ</c:f>
              <c:numCache>
                <c:formatCode>General</c:formatCode>
                <c:ptCount val="12"/>
                <c:pt idx="0">
                  <c:v>-1.7316643961222451</c:v>
                </c:pt>
                <c:pt idx="1">
                  <c:v>-1.1503493803760083</c:v>
                </c:pt>
                <c:pt idx="2">
                  <c:v>-0.81221780149991241</c:v>
                </c:pt>
                <c:pt idx="3">
                  <c:v>-0.54852228269809788</c:v>
                </c:pt>
                <c:pt idx="4">
                  <c:v>-0.3186393639643752</c:v>
                </c:pt>
                <c:pt idx="5">
                  <c:v>-0.10463345561407539</c:v>
                </c:pt>
                <c:pt idx="6">
                  <c:v>0.10463345561407525</c:v>
                </c:pt>
                <c:pt idx="7">
                  <c:v>0.3186393639643752</c:v>
                </c:pt>
                <c:pt idx="8">
                  <c:v>0.54852228269809822</c:v>
                </c:pt>
                <c:pt idx="9">
                  <c:v>0.81221780149991241</c:v>
                </c:pt>
                <c:pt idx="10">
                  <c:v>1.1503493803760083</c:v>
                </c:pt>
                <c:pt idx="11">
                  <c:v>1.7316643961222455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3-4F86-B0F4-2D5C20606D08}"/>
            </c:ext>
          </c:extLst>
        </c:ser>
        <c:ser>
          <c:idx val="0"/>
          <c:order val="1"/>
          <c:tx>
            <c:strRef>
              <c:f>BeskrivendeStatistik!$BB$22</c:f>
              <c:strCache>
                <c:ptCount val="1"/>
                <c:pt idx="0">
                  <c:v>Normalfordeling (1.854 ; 4.307)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[0]!BsData</c:f>
              <c:numCache>
                <c:formatCode>General</c:formatCode>
                <c:ptCount val="12"/>
                <c:pt idx="0">
                  <c:v>-1.479592604535932</c:v>
                </c:pt>
                <c:pt idx="1">
                  <c:v>-1.1469596428732241</c:v>
                </c:pt>
                <c:pt idx="2">
                  <c:v>-0.89773712069108735</c:v>
                </c:pt>
                <c:pt idx="3">
                  <c:v>-0.40935481016144565</c:v>
                </c:pt>
                <c:pt idx="4">
                  <c:v>-0.30723615599325882</c:v>
                </c:pt>
                <c:pt idx="5">
                  <c:v>8.4427372017371785E-2</c:v>
                </c:pt>
                <c:pt idx="6">
                  <c:v>0.91409189597286977</c:v>
                </c:pt>
                <c:pt idx="7">
                  <c:v>1.2989587493526971</c:v>
                </c:pt>
                <c:pt idx="8">
                  <c:v>1.3803796539630533</c:v>
                </c:pt>
                <c:pt idx="9">
                  <c:v>1.8110756828005981</c:v>
                </c:pt>
                <c:pt idx="10">
                  <c:v>8</c:v>
                </c:pt>
                <c:pt idx="11">
                  <c:v>13</c:v>
                </c:pt>
              </c:numCache>
            </c:numRef>
          </c:xVal>
          <c:yVal>
            <c:numRef>
              <c:f>[0]!BzData</c:f>
              <c:numCache>
                <c:formatCode>General</c:formatCode>
                <c:ptCount val="12"/>
                <c:pt idx="0">
                  <c:v>-0.77401919912526185</c:v>
                </c:pt>
                <c:pt idx="1">
                  <c:v>-0.69678601922273553</c:v>
                </c:pt>
                <c:pt idx="2">
                  <c:v>-0.63891969173901442</c:v>
                </c:pt>
                <c:pt idx="3">
                  <c:v>-0.52552347669826049</c:v>
                </c:pt>
                <c:pt idx="4">
                  <c:v>-0.50181281269986555</c:v>
                </c:pt>
                <c:pt idx="5">
                  <c:v>-0.41087347954148701</c:v>
                </c:pt>
                <c:pt idx="6">
                  <c:v>-0.21823583738750846</c:v>
                </c:pt>
                <c:pt idx="7">
                  <c:v>-0.12887460638676285</c:v>
                </c:pt>
                <c:pt idx="8">
                  <c:v>-0.10996969888101016</c:v>
                </c:pt>
                <c:pt idx="9">
                  <c:v>-9.9675111476018041E-3</c:v>
                </c:pt>
                <c:pt idx="10">
                  <c:v>1.4270226861079138</c:v>
                </c:pt>
                <c:pt idx="11">
                  <c:v>2.5879596467215951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D3-4F86-B0F4-2D5C20606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2559"/>
        <c:axId val="2117143967"/>
      </c:scatterChart>
      <c:valAx>
        <c:axId val="224125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Værdier og forventede værdier i observationssæt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BFBFBF"/>
            </a:solidFill>
            <a:round/>
          </a:ln>
          <a:effectLst/>
        </c:spPr>
        <c:txPr>
          <a:bodyPr rot="-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17143967"/>
        <c:crosses val="autoZero"/>
        <c:crossBetween val="midCat"/>
      </c:valAx>
      <c:valAx>
        <c:axId val="211714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Standardafvigelse i normalfordeling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2412559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B$6" max="20" min="2" page="10" val="15"/>
</file>

<file path=xl/ctrlProps/ctrlProp2.xml><?xml version="1.0" encoding="utf-8"?>
<formControlPr xmlns="http://schemas.microsoft.com/office/spreadsheetml/2009/9/main" objectType="Spin" dx="22" fmlaLink="$B$7" max="20" min="2" page="10" val="6"/>
</file>

<file path=xl/ctrlProps/ctrlProp3.xml><?xml version="1.0" encoding="utf-8"?>
<formControlPr xmlns="http://schemas.microsoft.com/office/spreadsheetml/2009/9/main" objectType="Spin" dx="22" fmlaLink="$B$6" max="20" min="2" page="10" val="15"/>
</file>

<file path=xl/ctrlProps/ctrlProp4.xml><?xml version="1.0" encoding="utf-8"?>
<formControlPr xmlns="http://schemas.microsoft.com/office/spreadsheetml/2009/9/main" objectType="Spin" dx="22" fmlaLink="$B$7" max="20" min="2" page="10" val="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creativecommons.org/licenses/by-sa/4.0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1035632</xdr:colOff>
      <xdr:row>73</xdr:row>
      <xdr:rowOff>171897</xdr:rowOff>
    </xdr:from>
    <xdr:to>
      <xdr:col>6</xdr:col>
      <xdr:colOff>534169</xdr:colOff>
      <xdr:row>83</xdr:row>
      <xdr:rowOff>97041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12427532" y="13668822"/>
          <a:ext cx="2632262" cy="1734894"/>
          <a:chOff x="10424300" y="8001000"/>
          <a:chExt cx="2613949" cy="1664172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424300" y="8001000"/>
            <a:ext cx="2613949" cy="1141066"/>
          </a:xfrm>
          <a:prstGeom prst="rect">
            <a:avLst/>
          </a:prstGeom>
        </xdr:spPr>
      </xdr:pic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10443707" y="9136960"/>
            <a:ext cx="2562556" cy="5282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3: Valg af observationssæt til analyse fra drop-down menu</a:t>
            </a:r>
            <a:endParaRPr lang="da-DK" sz="1100"/>
          </a:p>
        </xdr:txBody>
      </xdr:sp>
    </xdr:grpSp>
    <xdr:clientData/>
  </xdr:twoCellAnchor>
  <xdr:twoCellAnchor editAs="oneCell">
    <xdr:from>
      <xdr:col>0</xdr:col>
      <xdr:colOff>0</xdr:colOff>
      <xdr:row>78</xdr:row>
      <xdr:rowOff>17556</xdr:rowOff>
    </xdr:from>
    <xdr:to>
      <xdr:col>1</xdr:col>
      <xdr:colOff>115644</xdr:colOff>
      <xdr:row>96</xdr:row>
      <xdr:rowOff>15921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0" y="14419356"/>
          <a:ext cx="5030544" cy="3255915"/>
          <a:chOff x="0" y="8763972"/>
          <a:chExt cx="5027231" cy="3108151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1" y="11565448"/>
            <a:ext cx="4990029" cy="306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4: Normalfraktildiagram til visuel test af om observationssættet er normalfordelt</a:t>
            </a:r>
            <a:endParaRPr lang="da-DK" sz="1100"/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-408" t="6441" r="50210" b="46636"/>
          <a:stretch/>
        </xdr:blipFill>
        <xdr:spPr>
          <a:xfrm>
            <a:off x="0" y="8763972"/>
            <a:ext cx="5027231" cy="282038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97</xdr:row>
      <xdr:rowOff>60942</xdr:rowOff>
    </xdr:from>
    <xdr:to>
      <xdr:col>1</xdr:col>
      <xdr:colOff>73735</xdr:colOff>
      <xdr:row>114</xdr:row>
      <xdr:rowOff>154696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0" y="17901267"/>
          <a:ext cx="4988635" cy="3170329"/>
          <a:chOff x="0" y="12087205"/>
          <a:chExt cx="4989126" cy="3041496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49835" t="6630" r="479" b="46171"/>
          <a:stretch/>
        </xdr:blipFill>
        <xdr:spPr>
          <a:xfrm>
            <a:off x="0" y="12087205"/>
            <a:ext cx="4989126" cy="2808731"/>
          </a:xfrm>
          <a:prstGeom prst="rect">
            <a:avLst/>
          </a:prstGeom>
        </xdr:spPr>
      </xdr:pic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" y="14818708"/>
            <a:ext cx="4934436" cy="30999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5: Histogram til visuel test af om observationssættet er normalfordelt</a:t>
            </a:r>
            <a:endParaRPr lang="da-DK" sz="1100"/>
          </a:p>
        </xdr:txBody>
      </xdr:sp>
    </xdr:grpSp>
    <xdr:clientData/>
  </xdr:twoCellAnchor>
  <xdr:twoCellAnchor editAs="oneCell">
    <xdr:from>
      <xdr:col>0</xdr:col>
      <xdr:colOff>0</xdr:colOff>
      <xdr:row>114</xdr:row>
      <xdr:rowOff>163082</xdr:rowOff>
    </xdr:from>
    <xdr:to>
      <xdr:col>1</xdr:col>
      <xdr:colOff>56030</xdr:colOff>
      <xdr:row>132</xdr:row>
      <xdr:rowOff>39509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0" y="21079982"/>
          <a:ext cx="4970930" cy="3133977"/>
          <a:chOff x="0" y="14903974"/>
          <a:chExt cx="4974740" cy="2968206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0" y="14903974"/>
            <a:ext cx="4974740" cy="2716432"/>
          </a:xfrm>
          <a:prstGeom prst="rect">
            <a:avLst/>
          </a:prstGeom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" y="17572678"/>
            <a:ext cx="4930140" cy="29950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6: Andelsdiagram til visualisering af andele</a:t>
            </a:r>
            <a:endParaRPr lang="da-DK" sz="1100"/>
          </a:p>
        </xdr:txBody>
      </xdr:sp>
    </xdr:grpSp>
    <xdr:clientData/>
  </xdr:twoCellAnchor>
  <xdr:twoCellAnchor editAs="oneCell">
    <xdr:from>
      <xdr:col>0</xdr:col>
      <xdr:colOff>0</xdr:colOff>
      <xdr:row>132</xdr:row>
      <xdr:rowOff>72390</xdr:rowOff>
    </xdr:from>
    <xdr:to>
      <xdr:col>1</xdr:col>
      <xdr:colOff>53340</xdr:colOff>
      <xdr:row>150</xdr:row>
      <xdr:rowOff>2547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0" y="24246840"/>
          <a:ext cx="4968240" cy="3187707"/>
          <a:chOff x="0" y="17903190"/>
          <a:chExt cx="4972050" cy="3002975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378" r="557"/>
          <a:stretch/>
        </xdr:blipFill>
        <xdr:spPr>
          <a:xfrm>
            <a:off x="0" y="17903190"/>
            <a:ext cx="4972050" cy="2750476"/>
          </a:xfrm>
          <a:prstGeom prst="rect">
            <a:avLst/>
          </a:prstGeom>
        </xdr:spPr>
      </xdr:pic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0" y="20615740"/>
            <a:ext cx="4970522" cy="290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7: Kvartilsæt diagram visualisering af kvartiler</a:t>
            </a:r>
            <a:endParaRPr lang="da-DK" sz="1100"/>
          </a:p>
        </xdr:txBody>
      </xdr:sp>
    </xdr:grpSp>
    <xdr:clientData/>
  </xdr:twoCellAnchor>
  <xdr:twoCellAnchor editAs="oneCell">
    <xdr:from>
      <xdr:col>0</xdr:col>
      <xdr:colOff>0</xdr:colOff>
      <xdr:row>155</xdr:row>
      <xdr:rowOff>36193</xdr:rowOff>
    </xdr:from>
    <xdr:to>
      <xdr:col>1</xdr:col>
      <xdr:colOff>93345</xdr:colOff>
      <xdr:row>163</xdr:row>
      <xdr:rowOff>55243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0" y="28373068"/>
          <a:ext cx="5008245" cy="1466850"/>
          <a:chOff x="0" y="21259800"/>
          <a:chExt cx="9077325" cy="2500977"/>
        </a:xfrm>
      </xdr:grpSpPr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31133"/>
          <a:stretch/>
        </xdr:blipFill>
        <xdr:spPr>
          <a:xfrm>
            <a:off x="0" y="21259800"/>
            <a:ext cx="9077325" cy="2112382"/>
          </a:xfrm>
          <a:prstGeom prst="rect">
            <a:avLst/>
          </a:prstGeom>
        </xdr:spPr>
      </xdr:pic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0" y="23336251"/>
            <a:ext cx="9076012" cy="42452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9: Resultattabellen findes under diagrammerne</a:t>
            </a:r>
            <a:endParaRPr lang="da-DK" sz="1100"/>
          </a:p>
        </xdr:txBody>
      </xdr:sp>
    </xdr:grpSp>
    <xdr:clientData/>
  </xdr:twoCellAnchor>
  <xdr:twoCellAnchor editAs="oneCell">
    <xdr:from>
      <xdr:col>4</xdr:col>
      <xdr:colOff>940031</xdr:colOff>
      <xdr:row>152</xdr:row>
      <xdr:rowOff>7624</xdr:rowOff>
    </xdr:from>
    <xdr:to>
      <xdr:col>4</xdr:col>
      <xdr:colOff>2380211</xdr:colOff>
      <xdr:row>160</xdr:row>
      <xdr:rowOff>99057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2331931" y="27801574"/>
          <a:ext cx="1440180" cy="1539233"/>
          <a:chOff x="0" y="23831550"/>
          <a:chExt cx="1447800" cy="1468988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0" y="23831550"/>
            <a:ext cx="1445714" cy="908572"/>
          </a:xfrm>
          <a:prstGeom prst="rect">
            <a:avLst/>
          </a:prstGeom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0" y="24747852"/>
            <a:ext cx="1447800" cy="55268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8: Hjem fanen indeholder formattering af celler</a:t>
            </a:r>
            <a:endParaRPr lang="da-DK" sz="1100"/>
          </a:p>
        </xdr:txBody>
      </xdr:sp>
    </xdr:grpSp>
    <xdr:clientData/>
  </xdr:twoCellAnchor>
  <xdr:twoCellAnchor editAs="oneCell">
    <xdr:from>
      <xdr:col>5</xdr:col>
      <xdr:colOff>102178</xdr:colOff>
      <xdr:row>152</xdr:row>
      <xdr:rowOff>2</xdr:rowOff>
    </xdr:from>
    <xdr:to>
      <xdr:col>8</xdr:col>
      <xdr:colOff>531321</xdr:colOff>
      <xdr:row>164</xdr:row>
      <xdr:rowOff>38101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942003" y="27793952"/>
          <a:ext cx="2486543" cy="2209799"/>
          <a:chOff x="13274040" y="24688802"/>
          <a:chExt cx="2451735" cy="2095498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13053"/>
          <a:stretch/>
        </xdr:blipFill>
        <xdr:spPr>
          <a:xfrm>
            <a:off x="13274040" y="24688802"/>
            <a:ext cx="2451735" cy="1676399"/>
          </a:xfrm>
          <a:prstGeom prst="rect">
            <a:avLst/>
          </a:prstGeom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 txBox="1"/>
        </xdr:nvSpPr>
        <xdr:spPr>
          <a:xfrm>
            <a:off x="13277850" y="26325195"/>
            <a:ext cx="2444115" cy="459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10: Kendte populationsværdier indtastes i felterne over data tabellen</a:t>
            </a:r>
            <a:endParaRPr lang="da-DK" sz="1100"/>
          </a:p>
        </xdr:txBody>
      </xdr:sp>
    </xdr:grpSp>
    <xdr:clientData/>
  </xdr:twoCellAnchor>
  <xdr:twoCellAnchor editAs="oneCell">
    <xdr:from>
      <xdr:col>0</xdr:col>
      <xdr:colOff>0</xdr:colOff>
      <xdr:row>22</xdr:row>
      <xdr:rowOff>9525</xdr:rowOff>
    </xdr:from>
    <xdr:to>
      <xdr:col>0</xdr:col>
      <xdr:colOff>1000430</xdr:colOff>
      <xdr:row>24</xdr:row>
      <xdr:rowOff>0</xdr:rowOff>
    </xdr:to>
    <xdr:pic>
      <xdr:nvPicPr>
        <xdr:cNvPr id="11" name="Pictur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48125"/>
          <a:ext cx="1000430" cy="352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3014171</xdr:colOff>
      <xdr:row>54</xdr:row>
      <xdr:rowOff>154984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GrpSpPr/>
      </xdr:nvGrpSpPr>
      <xdr:grpSpPr>
        <a:xfrm>
          <a:off x="0" y="6867525"/>
          <a:ext cx="3014171" cy="3231559"/>
          <a:chOff x="704022" y="4116457"/>
          <a:chExt cx="3563811" cy="3402910"/>
        </a:xfrm>
      </xdr:grpSpPr>
      <xdr:pic>
        <xdr:nvPicPr>
          <xdr:cNvPr id="102" name="Picture 101" descr="Den sikreste måde at indsætte data på i tabellen.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704022" y="4116457"/>
            <a:ext cx="3563811" cy="3184323"/>
          </a:xfrm>
          <a:prstGeom prst="rect">
            <a:avLst/>
          </a:prstGeom>
          <a:ln w="9525">
            <a:solidFill>
              <a:schemeClr val="tx1">
                <a:lumMod val="75000"/>
                <a:lumOff val="25000"/>
              </a:schemeClr>
            </a:solidFill>
          </a:ln>
        </xdr:spPr>
      </xdr:pic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 txBox="1"/>
        </xdr:nvSpPr>
        <xdr:spPr>
          <a:xfrm>
            <a:off x="704600" y="7303356"/>
            <a:ext cx="3554296" cy="21601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1: Den sikreste måde at indsætte data på</a:t>
            </a:r>
            <a:endParaRPr lang="da-DK" sz="1100"/>
          </a:p>
        </xdr:txBody>
      </xdr:sp>
    </xdr:grpSp>
    <xdr:clientData/>
  </xdr:twoCellAnchor>
  <xdr:twoCellAnchor>
    <xdr:from>
      <xdr:col>0</xdr:col>
      <xdr:colOff>0</xdr:colOff>
      <xdr:row>58</xdr:row>
      <xdr:rowOff>47625</xdr:rowOff>
    </xdr:from>
    <xdr:to>
      <xdr:col>0</xdr:col>
      <xdr:colOff>4852394</xdr:colOff>
      <xdr:row>60</xdr:row>
      <xdr:rowOff>19613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0" y="10715625"/>
          <a:ext cx="4852394" cy="333938"/>
          <a:chOff x="5734049" y="9201150"/>
          <a:chExt cx="7897328" cy="543488"/>
        </a:xfrm>
      </xdr:grpSpPr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5734049" y="9458326"/>
            <a:ext cx="7896225" cy="2863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/>
          <a:lstStyle/>
          <a:p>
            <a:r>
              <a:rPr lang="da-DK" sz="1100"/>
              <a:t>Figur</a:t>
            </a:r>
            <a:r>
              <a:rPr lang="da-DK" sz="1100" baseline="0"/>
              <a:t> 2: Navigation findes i menuen under arket</a:t>
            </a:r>
            <a:endParaRPr lang="da-DK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734050" y="9201150"/>
            <a:ext cx="7897327" cy="28579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39221</xdr:colOff>
      <xdr:row>24</xdr:row>
      <xdr:rowOff>77067</xdr:rowOff>
    </xdr:from>
    <xdr:to>
      <xdr:col>11</xdr:col>
      <xdr:colOff>1102783</xdr:colOff>
      <xdr:row>39</xdr:row>
      <xdr:rowOff>154801</xdr:rowOff>
    </xdr:to>
    <xdr:graphicFrame macro="">
      <xdr:nvGraphicFramePr>
        <xdr:cNvPr id="10" name="Kvartilsæ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0</xdr:colOff>
      <xdr:row>8</xdr:row>
      <xdr:rowOff>22616</xdr:rowOff>
    </xdr:from>
    <xdr:to>
      <xdr:col>5</xdr:col>
      <xdr:colOff>1807073</xdr:colOff>
      <xdr:row>24</xdr:row>
      <xdr:rowOff>23110</xdr:rowOff>
    </xdr:to>
    <xdr:graphicFrame macro="">
      <xdr:nvGraphicFramePr>
        <xdr:cNvPr id="12" name="Boksplot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13607</xdr:colOff>
      <xdr:row>24</xdr:row>
      <xdr:rowOff>68982</xdr:rowOff>
    </xdr:from>
    <xdr:to>
      <xdr:col>5</xdr:col>
      <xdr:colOff>1764090</xdr:colOff>
      <xdr:row>39</xdr:row>
      <xdr:rowOff>146716</xdr:rowOff>
    </xdr:to>
    <xdr:graphicFrame macro="">
      <xdr:nvGraphicFramePr>
        <xdr:cNvPr id="14" name="Kvartilsæt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30814</xdr:colOff>
      <xdr:row>8</xdr:row>
      <xdr:rowOff>0</xdr:rowOff>
    </xdr:from>
    <xdr:to>
      <xdr:col>11</xdr:col>
      <xdr:colOff>1111985</xdr:colOff>
      <xdr:row>24</xdr:row>
      <xdr:rowOff>494</xdr:rowOff>
    </xdr:to>
    <xdr:graphicFrame macro="">
      <xdr:nvGraphicFramePr>
        <xdr:cNvPr id="18" name="Søjlediagram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1847291</xdr:colOff>
      <xdr:row>8</xdr:row>
      <xdr:rowOff>9831</xdr:rowOff>
    </xdr:from>
    <xdr:to>
      <xdr:col>7</xdr:col>
      <xdr:colOff>1507877</xdr:colOff>
      <xdr:row>24</xdr:row>
      <xdr:rowOff>3601</xdr:rowOff>
    </xdr:to>
    <xdr:graphicFrame macro="">
      <xdr:nvGraphicFramePr>
        <xdr:cNvPr id="19" name="Histogram med normalfordeli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</xdr:col>
      <xdr:colOff>1846730</xdr:colOff>
      <xdr:row>24</xdr:row>
      <xdr:rowOff>77068</xdr:rowOff>
    </xdr:from>
    <xdr:to>
      <xdr:col>7</xdr:col>
      <xdr:colOff>1494316</xdr:colOff>
      <xdr:row>39</xdr:row>
      <xdr:rowOff>148158</xdr:rowOff>
    </xdr:to>
    <xdr:graphicFrame macro="">
      <xdr:nvGraphicFramePr>
        <xdr:cNvPr id="20" name="Normalfraktildiagram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828675</xdr:colOff>
          <xdr:row>8</xdr:row>
          <xdr:rowOff>152400</xdr:rowOff>
        </xdr:from>
        <xdr:to>
          <xdr:col>7</xdr:col>
          <xdr:colOff>1133475</xdr:colOff>
          <xdr:row>11</xdr:row>
          <xdr:rowOff>114300</xdr:rowOff>
        </xdr:to>
        <xdr:sp macro="" textlink="">
          <xdr:nvSpPr>
            <xdr:cNvPr id="2081" name="Histogram intervalspinne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4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504825</xdr:colOff>
          <xdr:row>25</xdr:row>
          <xdr:rowOff>66675</xdr:rowOff>
        </xdr:from>
        <xdr:to>
          <xdr:col>11</xdr:col>
          <xdr:colOff>819150</xdr:colOff>
          <xdr:row>28</xdr:row>
          <xdr:rowOff>28575</xdr:rowOff>
        </xdr:to>
        <xdr:sp macro="" textlink="">
          <xdr:nvSpPr>
            <xdr:cNvPr id="2082" name="Spinner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4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64187</xdr:colOff>
          <xdr:row>26</xdr:row>
          <xdr:rowOff>47625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9:$L$40" spid="_x0000_s216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0" y="1685925"/>
              <a:ext cx="8141387" cy="3124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19050</xdr:colOff>
      <xdr:row>26</xdr:row>
      <xdr:rowOff>28575</xdr:rowOff>
    </xdr:from>
    <xdr:to>
      <xdr:col>3</xdr:col>
      <xdr:colOff>19050</xdr:colOff>
      <xdr:row>39</xdr:row>
      <xdr:rowOff>161925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8096250" y="4791075"/>
          <a:ext cx="1295400" cy="2486025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8</xdr:row>
      <xdr:rowOff>28575</xdr:rowOff>
    </xdr:from>
    <xdr:to>
      <xdr:col>3</xdr:col>
      <xdr:colOff>0</xdr:colOff>
      <xdr:row>9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8096250" y="1533525"/>
          <a:ext cx="1276350" cy="15240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9</xdr:row>
          <xdr:rowOff>85725</xdr:rowOff>
        </xdr:from>
        <xdr:to>
          <xdr:col>1</xdr:col>
          <xdr:colOff>228600</xdr:colOff>
          <xdr:row>10</xdr:row>
          <xdr:rowOff>171450</xdr:rowOff>
        </xdr:to>
        <xdr:sp macro="" textlink="">
          <xdr:nvSpPr>
            <xdr:cNvPr id="2156" name="Histogram intervalspinner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4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2809875</xdr:colOff>
          <xdr:row>18</xdr:row>
          <xdr:rowOff>47625</xdr:rowOff>
        </xdr:from>
        <xdr:to>
          <xdr:col>1</xdr:col>
          <xdr:colOff>2981325</xdr:colOff>
          <xdr:row>19</xdr:row>
          <xdr:rowOff>142875</xdr:rowOff>
        </xdr:to>
        <xdr:sp macro="" textlink="">
          <xdr:nvSpPr>
            <xdr:cNvPr id="2157" name="Spinner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4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Business Academy Aarhus, 2017, Danish">
  <a:themeElements>
    <a:clrScheme name="Custom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62B2C4"/>
      </a:accent1>
      <a:accent2>
        <a:srgbClr val="FF7000"/>
      </a:accent2>
      <a:accent3>
        <a:srgbClr val="79B57F"/>
      </a:accent3>
      <a:accent4>
        <a:srgbClr val="B52933"/>
      </a:accent4>
      <a:accent5>
        <a:srgbClr val="613C8D"/>
      </a:accent5>
      <a:accent6>
        <a:srgbClr val="FDD100"/>
      </a:accent6>
      <a:hlink>
        <a:srgbClr val="1F497D"/>
      </a:hlink>
      <a:folHlink>
        <a:srgbClr val="7030A0"/>
      </a:folHlink>
    </a:clrScheme>
    <a:fontScheme name="Tw Cen MT">
      <a:majorFont>
        <a:latin typeface="Tw Cen MT"/>
        <a:ea typeface=""/>
        <a:cs typeface=""/>
      </a:majorFont>
      <a:minorFont>
        <a:latin typeface="Tw Cen MT"/>
        <a:ea typeface=""/>
        <a:cs typeface="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usiness Academy Aarhus, 2017, Danish" id="{554348F3-738D-4A8D-BE87-7A68E9448968}" vid="{932C7983-0D3C-4E06-B35C-E8232403A98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sa/4.0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993A-409D-44F9-8542-1665387421B3}">
  <sheetPr codeName="Sheet2">
    <tabColor theme="0"/>
  </sheetPr>
  <dimension ref="A1:D175"/>
  <sheetViews>
    <sheetView showGridLines="0" tabSelected="1" zoomScaleNormal="100" workbookViewId="0"/>
  </sheetViews>
  <sheetFormatPr defaultRowHeight="14.25" x14ac:dyDescent="0.2"/>
  <cols>
    <col min="1" max="1" width="64.5" customWidth="1"/>
    <col min="2" max="2" width="2.75" customWidth="1"/>
    <col min="3" max="4" width="41.125" customWidth="1"/>
    <col min="5" max="5" width="32.125" customWidth="1"/>
  </cols>
  <sheetData>
    <row r="1" spans="1:4" s="1" customFormat="1" ht="18.75" x14ac:dyDescent="0.2">
      <c r="A1" s="1" t="s">
        <v>33</v>
      </c>
      <c r="C1" s="1" t="s">
        <v>259</v>
      </c>
    </row>
    <row r="2" spans="1:4" x14ac:dyDescent="0.2">
      <c r="A2" s="4" t="s">
        <v>34</v>
      </c>
      <c r="B2" s="4"/>
    </row>
    <row r="3" spans="1:4" x14ac:dyDescent="0.2">
      <c r="A3" s="4" t="s">
        <v>3</v>
      </c>
      <c r="B3" s="4"/>
    </row>
    <row r="4" spans="1:4" x14ac:dyDescent="0.2">
      <c r="A4" s="4"/>
      <c r="B4" s="4"/>
    </row>
    <row r="5" spans="1:4" x14ac:dyDescent="0.2">
      <c r="B5" s="4"/>
    </row>
    <row r="6" spans="1:4" x14ac:dyDescent="0.2">
      <c r="B6" s="4"/>
    </row>
    <row r="7" spans="1:4" x14ac:dyDescent="0.2">
      <c r="B7" s="4"/>
    </row>
    <row r="8" spans="1:4" x14ac:dyDescent="0.2">
      <c r="B8" s="4"/>
    </row>
    <row r="9" spans="1:4" x14ac:dyDescent="0.2">
      <c r="A9" s="3" t="s">
        <v>261</v>
      </c>
      <c r="B9" s="4"/>
    </row>
    <row r="10" spans="1:4" x14ac:dyDescent="0.2">
      <c r="A10" t="s">
        <v>28</v>
      </c>
      <c r="B10" s="4"/>
      <c r="C10" s="9" t="s">
        <v>30</v>
      </c>
      <c r="D10" s="6" t="s">
        <v>29</v>
      </c>
    </row>
    <row r="11" spans="1:4" x14ac:dyDescent="0.2">
      <c r="A11" t="s">
        <v>260</v>
      </c>
      <c r="B11" s="4"/>
      <c r="C11" s="10" t="s">
        <v>32</v>
      </c>
      <c r="D11" s="7" t="s">
        <v>31</v>
      </c>
    </row>
    <row r="13" spans="1:4" x14ac:dyDescent="0.2">
      <c r="A13" s="8"/>
      <c r="B13" s="4"/>
    </row>
    <row r="14" spans="1:4" x14ac:dyDescent="0.2">
      <c r="A14" s="8"/>
      <c r="B14" s="4"/>
    </row>
    <row r="15" spans="1:4" x14ac:dyDescent="0.2">
      <c r="B15" s="4"/>
    </row>
    <row r="16" spans="1:4" x14ac:dyDescent="0.2">
      <c r="B16" s="4"/>
    </row>
    <row r="17" spans="1:2" x14ac:dyDescent="0.2">
      <c r="B17" s="4"/>
    </row>
    <row r="18" spans="1:2" x14ac:dyDescent="0.2">
      <c r="B18" s="4"/>
    </row>
    <row r="21" spans="1:2" x14ac:dyDescent="0.2">
      <c r="B21" s="4"/>
    </row>
    <row r="22" spans="1:2" x14ac:dyDescent="0.2">
      <c r="B22" s="4"/>
    </row>
    <row r="23" spans="1:2" x14ac:dyDescent="0.2">
      <c r="B23" s="4"/>
    </row>
    <row r="24" spans="1:2" x14ac:dyDescent="0.2">
      <c r="B24" s="4"/>
    </row>
    <row r="25" spans="1:2" x14ac:dyDescent="0.2">
      <c r="A25" s="18" t="s">
        <v>104</v>
      </c>
      <c r="B25" s="4"/>
    </row>
    <row r="26" spans="1:2" x14ac:dyDescent="0.2">
      <c r="B26" s="4"/>
    </row>
    <row r="27" spans="1:2" s="17" customFormat="1" ht="18.75" x14ac:dyDescent="0.2">
      <c r="A27" s="11" t="s">
        <v>13</v>
      </c>
    </row>
    <row r="28" spans="1:2" x14ac:dyDescent="0.2">
      <c r="A28" s="4" t="s">
        <v>93</v>
      </c>
      <c r="B28" s="4"/>
    </row>
    <row r="29" spans="1:2" x14ac:dyDescent="0.2">
      <c r="B29" s="4"/>
    </row>
    <row r="30" spans="1:2" ht="18.75" x14ac:dyDescent="0.2">
      <c r="A30" s="15" t="s">
        <v>30</v>
      </c>
      <c r="B30" s="4"/>
    </row>
    <row r="31" spans="1:2" x14ac:dyDescent="0.2">
      <c r="A31" s="4"/>
      <c r="B31" s="4"/>
    </row>
    <row r="32" spans="1:2" x14ac:dyDescent="0.2">
      <c r="A32" s="3" t="s">
        <v>254</v>
      </c>
      <c r="B32" s="4"/>
    </row>
    <row r="33" spans="1:3" x14ac:dyDescent="0.2">
      <c r="A33" s="2" t="s">
        <v>5</v>
      </c>
      <c r="B33" s="4"/>
      <c r="C33" s="5" t="s">
        <v>253</v>
      </c>
    </row>
    <row r="34" spans="1:3" x14ac:dyDescent="0.2">
      <c r="B34" s="4"/>
      <c r="C34" s="4" t="s">
        <v>92</v>
      </c>
    </row>
    <row r="35" spans="1:3" x14ac:dyDescent="0.2">
      <c r="B35" s="4"/>
      <c r="C35" s="4" t="s">
        <v>91</v>
      </c>
    </row>
    <row r="36" spans="1:3" x14ac:dyDescent="0.2">
      <c r="B36" s="4"/>
    </row>
    <row r="37" spans="1:3" x14ac:dyDescent="0.2">
      <c r="A37" s="3" t="s">
        <v>255</v>
      </c>
      <c r="B37" s="4"/>
    </row>
    <row r="38" spans="1:3" x14ac:dyDescent="0.2">
      <c r="B38" s="4"/>
      <c r="C38" s="4" t="s">
        <v>256</v>
      </c>
    </row>
    <row r="39" spans="1:3" x14ac:dyDescent="0.2">
      <c r="B39" s="4"/>
      <c r="C39" s="4" t="s">
        <v>257</v>
      </c>
    </row>
    <row r="40" spans="1:3" x14ac:dyDescent="0.2">
      <c r="B40" s="4"/>
    </row>
    <row r="41" spans="1:3" x14ac:dyDescent="0.2">
      <c r="B41" s="4"/>
    </row>
    <row r="42" spans="1:3" x14ac:dyDescent="0.2">
      <c r="B42" s="4"/>
    </row>
    <row r="43" spans="1:3" x14ac:dyDescent="0.2">
      <c r="B43" s="4"/>
    </row>
    <row r="44" spans="1:3" x14ac:dyDescent="0.2">
      <c r="B44" s="4"/>
    </row>
    <row r="45" spans="1:3" x14ac:dyDescent="0.2">
      <c r="B45" s="4"/>
    </row>
    <row r="46" spans="1:3" x14ac:dyDescent="0.2">
      <c r="B46" s="4"/>
    </row>
    <row r="47" spans="1:3" x14ac:dyDescent="0.2">
      <c r="B47" s="4"/>
    </row>
    <row r="48" spans="1:3" x14ac:dyDescent="0.2">
      <c r="B48" s="4"/>
    </row>
    <row r="49" spans="1:3" x14ac:dyDescent="0.2">
      <c r="B49" s="4"/>
    </row>
    <row r="50" spans="1:3" x14ac:dyDescent="0.2">
      <c r="B50" s="4"/>
    </row>
    <row r="51" spans="1:3" x14ac:dyDescent="0.2">
      <c r="B51" s="4"/>
    </row>
    <row r="52" spans="1:3" x14ac:dyDescent="0.2">
      <c r="B52" s="4"/>
    </row>
    <row r="53" spans="1:3" x14ac:dyDescent="0.2">
      <c r="B53" s="4"/>
    </row>
    <row r="54" spans="1:3" x14ac:dyDescent="0.2">
      <c r="B54" s="4"/>
    </row>
    <row r="55" spans="1:3" x14ac:dyDescent="0.2">
      <c r="B55" s="4"/>
    </row>
    <row r="56" spans="1:3" x14ac:dyDescent="0.2">
      <c r="B56" s="4"/>
    </row>
    <row r="57" spans="1:3" x14ac:dyDescent="0.2">
      <c r="A57" s="3" t="s">
        <v>258</v>
      </c>
      <c r="B57" s="4"/>
    </row>
    <row r="58" spans="1:3" x14ac:dyDescent="0.2">
      <c r="B58" s="4"/>
      <c r="C58" s="4" t="s">
        <v>81</v>
      </c>
    </row>
    <row r="59" spans="1:3" x14ac:dyDescent="0.2">
      <c r="B59" s="4"/>
      <c r="C59" s="12" t="s">
        <v>80</v>
      </c>
    </row>
    <row r="64" spans="1:3" s="36" customFormat="1" x14ac:dyDescent="0.2"/>
    <row r="69" spans="1:3" s="13" customFormat="1" ht="18.75" x14ac:dyDescent="0.2">
      <c r="A69" s="13" t="s">
        <v>14</v>
      </c>
    </row>
    <row r="70" spans="1:3" x14ac:dyDescent="0.2">
      <c r="A70" s="4" t="s">
        <v>94</v>
      </c>
      <c r="B70" s="4"/>
    </row>
    <row r="71" spans="1:3" x14ac:dyDescent="0.2">
      <c r="B71" s="4"/>
    </row>
    <row r="72" spans="1:3" ht="18.75" x14ac:dyDescent="0.2">
      <c r="A72" s="16" t="s">
        <v>32</v>
      </c>
      <c r="B72" s="4"/>
    </row>
    <row r="73" spans="1:3" x14ac:dyDescent="0.2">
      <c r="B73" s="4"/>
    </row>
    <row r="74" spans="1:3" x14ac:dyDescent="0.2">
      <c r="A74" s="3" t="s">
        <v>35</v>
      </c>
      <c r="B74" s="4"/>
    </row>
    <row r="75" spans="1:3" x14ac:dyDescent="0.2">
      <c r="A75" s="2" t="s">
        <v>12</v>
      </c>
      <c r="B75" s="4"/>
      <c r="C75" s="4" t="s">
        <v>90</v>
      </c>
    </row>
    <row r="76" spans="1:3" x14ac:dyDescent="0.2">
      <c r="B76" s="4"/>
      <c r="C76" s="4" t="s">
        <v>89</v>
      </c>
    </row>
    <row r="78" spans="1:3" x14ac:dyDescent="0.2">
      <c r="A78" s="3" t="s">
        <v>54</v>
      </c>
    </row>
    <row r="79" spans="1:3" x14ac:dyDescent="0.2">
      <c r="C79" t="s">
        <v>37</v>
      </c>
    </row>
    <row r="80" spans="1:3" x14ac:dyDescent="0.2">
      <c r="C80" s="4" t="s">
        <v>85</v>
      </c>
    </row>
    <row r="81" spans="3:3" x14ac:dyDescent="0.2">
      <c r="C81" s="4" t="s">
        <v>86</v>
      </c>
    </row>
    <row r="82" spans="3:3" x14ac:dyDescent="0.2">
      <c r="C82" s="4" t="s">
        <v>87</v>
      </c>
    </row>
    <row r="83" spans="3:3" x14ac:dyDescent="0.2">
      <c r="C83" s="12" t="s">
        <v>88</v>
      </c>
    </row>
    <row r="84" spans="3:3" x14ac:dyDescent="0.2">
      <c r="C84" s="4" t="s">
        <v>36</v>
      </c>
    </row>
    <row r="85" spans="3:3" x14ac:dyDescent="0.2">
      <c r="C85" s="4" t="s">
        <v>38</v>
      </c>
    </row>
    <row r="86" spans="3:3" x14ac:dyDescent="0.2">
      <c r="C86" s="4" t="s">
        <v>40</v>
      </c>
    </row>
    <row r="87" spans="3:3" x14ac:dyDescent="0.2">
      <c r="C87" s="4" t="s">
        <v>41</v>
      </c>
    </row>
    <row r="99" spans="3:3" x14ac:dyDescent="0.2">
      <c r="C99" t="s">
        <v>39</v>
      </c>
    </row>
    <row r="100" spans="3:3" x14ac:dyDescent="0.2">
      <c r="C100" s="4" t="s">
        <v>84</v>
      </c>
    </row>
    <row r="101" spans="3:3" x14ac:dyDescent="0.2">
      <c r="C101" s="4" t="s">
        <v>45</v>
      </c>
    </row>
    <row r="102" spans="3:3" x14ac:dyDescent="0.2">
      <c r="C102" s="4" t="s">
        <v>42</v>
      </c>
    </row>
    <row r="103" spans="3:3" x14ac:dyDescent="0.2">
      <c r="C103" s="4" t="s">
        <v>43</v>
      </c>
    </row>
    <row r="116" spans="3:3" x14ac:dyDescent="0.2">
      <c r="C116" t="s">
        <v>44</v>
      </c>
    </row>
    <row r="117" spans="3:3" x14ac:dyDescent="0.2">
      <c r="C117" s="4" t="s">
        <v>83</v>
      </c>
    </row>
    <row r="118" spans="3:3" x14ac:dyDescent="0.2">
      <c r="C118" s="4" t="s">
        <v>46</v>
      </c>
    </row>
    <row r="134" spans="2:3" x14ac:dyDescent="0.2">
      <c r="C134" t="s">
        <v>47</v>
      </c>
    </row>
    <row r="135" spans="2:3" x14ac:dyDescent="0.2">
      <c r="C135" s="4" t="s">
        <v>82</v>
      </c>
    </row>
    <row r="136" spans="2:3" x14ac:dyDescent="0.2">
      <c r="C136" s="4" t="s">
        <v>52</v>
      </c>
    </row>
    <row r="137" spans="2:3" x14ac:dyDescent="0.2">
      <c r="C137" s="4" t="s">
        <v>53</v>
      </c>
    </row>
    <row r="138" spans="2:3" x14ac:dyDescent="0.2">
      <c r="C138" s="4" t="s">
        <v>48</v>
      </c>
    </row>
    <row r="139" spans="2:3" x14ac:dyDescent="0.2">
      <c r="C139" s="4" t="s">
        <v>50</v>
      </c>
    </row>
    <row r="140" spans="2:3" x14ac:dyDescent="0.2">
      <c r="B140" s="4"/>
      <c r="C140" s="4" t="s">
        <v>51</v>
      </c>
    </row>
    <row r="141" spans="2:3" x14ac:dyDescent="0.2">
      <c r="B141" s="4"/>
      <c r="C141" s="4" t="s">
        <v>49</v>
      </c>
    </row>
    <row r="142" spans="2:3" x14ac:dyDescent="0.2">
      <c r="B142" s="4"/>
    </row>
    <row r="143" spans="2:3" x14ac:dyDescent="0.2">
      <c r="B143" s="4"/>
    </row>
    <row r="144" spans="2:3" x14ac:dyDescent="0.2">
      <c r="B144" s="4"/>
    </row>
    <row r="145" spans="1:3" x14ac:dyDescent="0.2">
      <c r="B145" s="4"/>
    </row>
    <row r="146" spans="1:3" x14ac:dyDescent="0.2">
      <c r="B146" s="4"/>
    </row>
    <row r="147" spans="1:3" x14ac:dyDescent="0.2">
      <c r="B147" s="4"/>
    </row>
    <row r="148" spans="1:3" x14ac:dyDescent="0.2">
      <c r="B148" s="4"/>
    </row>
    <row r="149" spans="1:3" x14ac:dyDescent="0.2">
      <c r="B149" s="4"/>
    </row>
    <row r="150" spans="1:3" x14ac:dyDescent="0.2">
      <c r="B150" s="4"/>
    </row>
    <row r="151" spans="1:3" x14ac:dyDescent="0.2">
      <c r="B151" s="4"/>
    </row>
    <row r="152" spans="1:3" x14ac:dyDescent="0.2">
      <c r="A152" s="3" t="s">
        <v>95</v>
      </c>
      <c r="B152" s="4"/>
    </row>
    <row r="153" spans="1:3" x14ac:dyDescent="0.2">
      <c r="A153" s="14" t="s">
        <v>55</v>
      </c>
      <c r="B153" s="4"/>
      <c r="C153" s="4" t="s">
        <v>56</v>
      </c>
    </row>
    <row r="154" spans="1:3" x14ac:dyDescent="0.2">
      <c r="B154" s="4"/>
    </row>
    <row r="155" spans="1:3" x14ac:dyDescent="0.2">
      <c r="B155" s="4"/>
    </row>
    <row r="156" spans="1:3" x14ac:dyDescent="0.2">
      <c r="B156" s="4"/>
      <c r="C156" t="s">
        <v>74</v>
      </c>
    </row>
    <row r="157" spans="1:3" x14ac:dyDescent="0.2">
      <c r="B157" s="4"/>
      <c r="C157" s="4" t="s">
        <v>79</v>
      </c>
    </row>
    <row r="158" spans="1:3" x14ac:dyDescent="0.2">
      <c r="B158" s="4"/>
      <c r="C158" s="4" t="s">
        <v>75</v>
      </c>
    </row>
    <row r="159" spans="1:3" x14ac:dyDescent="0.2">
      <c r="B159" s="4"/>
      <c r="C159" s="4" t="s">
        <v>78</v>
      </c>
    </row>
    <row r="160" spans="1:3" x14ac:dyDescent="0.2">
      <c r="B160" s="4"/>
      <c r="C160" s="12" t="s">
        <v>76</v>
      </c>
    </row>
    <row r="161" spans="2:3" x14ac:dyDescent="0.2">
      <c r="B161" s="4"/>
      <c r="C161" s="12" t="s">
        <v>77</v>
      </c>
    </row>
    <row r="162" spans="2:3" x14ac:dyDescent="0.2">
      <c r="B162" s="4"/>
    </row>
    <row r="163" spans="2:3" x14ac:dyDescent="0.2">
      <c r="B163" s="4"/>
    </row>
    <row r="164" spans="2:3" x14ac:dyDescent="0.2">
      <c r="B164" s="4"/>
    </row>
    <row r="165" spans="2:3" x14ac:dyDescent="0.2">
      <c r="B165" s="4"/>
    </row>
    <row r="167" spans="2:3" s="35" customFormat="1" x14ac:dyDescent="0.2"/>
    <row r="168" spans="2:3" x14ac:dyDescent="0.2">
      <c r="B168" s="4"/>
    </row>
    <row r="169" spans="2:3" x14ac:dyDescent="0.2">
      <c r="B169" s="4"/>
    </row>
    <row r="170" spans="2:3" x14ac:dyDescent="0.2">
      <c r="B170" s="4"/>
    </row>
    <row r="171" spans="2:3" x14ac:dyDescent="0.2">
      <c r="B171" s="4"/>
    </row>
    <row r="172" spans="2:3" x14ac:dyDescent="0.2">
      <c r="B172" s="4"/>
    </row>
    <row r="173" spans="2:3" x14ac:dyDescent="0.2">
      <c r="B173" s="4"/>
    </row>
    <row r="174" spans="2:3" x14ac:dyDescent="0.2">
      <c r="B174" s="4"/>
    </row>
    <row r="175" spans="2:3" x14ac:dyDescent="0.2">
      <c r="B175" s="4"/>
    </row>
  </sheetData>
  <phoneticPr fontId="14" type="noConversion"/>
  <hyperlinks>
    <hyperlink ref="C10" location="Data!A1" display="Gå til Data                                                                                             " xr:uid="{9B8CED4D-F14C-41F1-803E-2B7A27A06F63}"/>
    <hyperlink ref="C11" location="'Beskrivende Statistik'!A1" display="Gå til Beskrivende Statistik                                                                      " xr:uid="{0CCFED1C-A94F-445C-8DCF-8384137842AC}"/>
    <hyperlink ref="D10" location="V_Manual_Data" display="Gå til Manual i brug af Data arket                                          " xr:uid="{A7144529-0FD3-42E4-A567-5FBAD4D70DA0}"/>
    <hyperlink ref="D11" location="V_Manual_Beskrivende_Statistik" display="Gå til Manual i brug af Beskrivende Statistik arket                                     " xr:uid="{2908E2D1-899F-4BF6-B064-D3BBDD27E7AC}"/>
    <hyperlink ref="A30" location="Data!A1" display="Gå til Data                                                                                             " xr:uid="{C05C224F-FFE7-4D48-BA4F-5EDD23C44E5C}"/>
    <hyperlink ref="A72" location="'Beskrivende Statistik'!A1" display="Gå til Beskrivende Statistik                                                                      " xr:uid="{BEBC285A-5868-40EC-8213-81E12CB25F4E}"/>
    <hyperlink ref="A25" r:id="rId1" xr:uid="{CE916863-CD22-4D14-AD70-B2D06A131314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25ABF-FC12-4AD0-97F4-64A873F0B28D}">
  <sheetPr codeName="Sheet4">
    <tabColor theme="4"/>
  </sheetPr>
  <dimension ref="A1:CV13"/>
  <sheetViews>
    <sheetView workbookViewId="0"/>
  </sheetViews>
  <sheetFormatPr defaultRowHeight="14.25" x14ac:dyDescent="0.2"/>
  <cols>
    <col min="1" max="100" width="19.125" customWidth="1"/>
  </cols>
  <sheetData>
    <row r="1" spans="1:100" s="3" customFormat="1" x14ac:dyDescent="0.2">
      <c r="A1" s="60" t="s">
        <v>15</v>
      </c>
      <c r="B1" s="60" t="s">
        <v>97</v>
      </c>
      <c r="C1" s="60" t="s">
        <v>96</v>
      </c>
      <c r="D1" s="60" t="s">
        <v>100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</row>
    <row r="2" spans="1:100" x14ac:dyDescent="0.2">
      <c r="A2">
        <v>1.2989587493526971</v>
      </c>
      <c r="B2">
        <v>2</v>
      </c>
      <c r="C2" t="b">
        <v>0</v>
      </c>
      <c r="D2" t="b">
        <v>0</v>
      </c>
    </row>
    <row r="3" spans="1:100" x14ac:dyDescent="0.2">
      <c r="A3">
        <v>-1.1469596428732241</v>
      </c>
      <c r="B3">
        <v>-3.2725647568992748</v>
      </c>
      <c r="C3" t="b">
        <v>0</v>
      </c>
      <c r="D3" t="b">
        <v>1</v>
      </c>
    </row>
    <row r="4" spans="1:100" x14ac:dyDescent="0.2">
      <c r="A4">
        <v>-0.40935481016144565</v>
      </c>
      <c r="B4">
        <v>2.0315172703350726</v>
      </c>
      <c r="C4" t="b">
        <v>0</v>
      </c>
      <c r="D4" t="b">
        <v>0</v>
      </c>
    </row>
    <row r="5" spans="1:100" x14ac:dyDescent="0.2">
      <c r="A5">
        <v>-1.479592604535932</v>
      </c>
      <c r="B5">
        <v>-2.2379718387660041</v>
      </c>
      <c r="C5" t="b">
        <v>0</v>
      </c>
      <c r="D5" t="b">
        <v>0</v>
      </c>
    </row>
    <row r="6" spans="1:100" x14ac:dyDescent="0.2">
      <c r="A6">
        <v>1.8110756828005981</v>
      </c>
      <c r="B6">
        <v>4</v>
      </c>
      <c r="C6" t="b">
        <v>0</v>
      </c>
      <c r="D6" t="b">
        <v>0</v>
      </c>
    </row>
    <row r="7" spans="1:100" x14ac:dyDescent="0.2">
      <c r="A7">
        <v>8</v>
      </c>
      <c r="B7">
        <v>5</v>
      </c>
      <c r="C7" t="b">
        <v>1</v>
      </c>
      <c r="D7" t="b">
        <v>1</v>
      </c>
    </row>
    <row r="8" spans="1:100" x14ac:dyDescent="0.2">
      <c r="A8">
        <v>-0.30723615599325882</v>
      </c>
      <c r="B8">
        <v>2.0228895016109072</v>
      </c>
      <c r="C8" t="b">
        <v>0</v>
      </c>
      <c r="D8" t="b">
        <v>0</v>
      </c>
    </row>
    <row r="9" spans="1:100" x14ac:dyDescent="0.2">
      <c r="A9">
        <v>13</v>
      </c>
      <c r="B9">
        <v>9</v>
      </c>
      <c r="C9" t="b">
        <v>0</v>
      </c>
      <c r="D9" t="b">
        <v>1</v>
      </c>
    </row>
    <row r="10" spans="1:100" x14ac:dyDescent="0.2">
      <c r="A10">
        <v>1.3803796539630533</v>
      </c>
      <c r="B10">
        <v>6.3251059591845431</v>
      </c>
      <c r="C10" t="b">
        <v>1</v>
      </c>
      <c r="D10" t="b">
        <v>1</v>
      </c>
    </row>
    <row r="11" spans="1:100" x14ac:dyDescent="0.2">
      <c r="A11">
        <v>8.4427372017371785E-2</v>
      </c>
      <c r="B11">
        <v>5.4220501567463426</v>
      </c>
      <c r="C11" t="b">
        <v>1</v>
      </c>
      <c r="D11" t="b">
        <v>1</v>
      </c>
    </row>
    <row r="12" spans="1:100" x14ac:dyDescent="0.2">
      <c r="A12">
        <v>0.91409189597286977</v>
      </c>
      <c r="B12">
        <v>9.7085240838788316</v>
      </c>
      <c r="C12" t="b">
        <v>0</v>
      </c>
      <c r="D12" t="b">
        <v>0</v>
      </c>
    </row>
    <row r="13" spans="1:100" x14ac:dyDescent="0.2">
      <c r="A13">
        <v>-0.89773712069108735</v>
      </c>
      <c r="B13">
        <v>9.7085240838788316</v>
      </c>
      <c r="C13" t="b">
        <v>0</v>
      </c>
      <c r="D13" t="b">
        <v>0</v>
      </c>
    </row>
  </sheetData>
  <phoneticPr fontId="14" type="noConversion"/>
  <dataValidations xWindow="103" yWindow="250" count="2">
    <dataValidation allowBlank="1" showInputMessage="1" showErrorMessage="1" promptTitle="Eksempel overskrift" prompt="Overskriften til hvert observationssæt skal være unik." sqref="A1" xr:uid="{08870AA2-D5D3-4885-A05F-5AF496214B3F}"/>
    <dataValidation allowBlank="1" showInputMessage="1" showErrorMessage="1" promptTitle="Eksempel data" prompt="Data må ikke indeholde blanke celler._x000a_Data skal enten være tal eller Sand/Falsk." sqref="A2:A13" xr:uid="{C3CBEA53-4036-4D82-B754-5A683357DBA4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61A48-E0ED-449C-85DB-8AD2A6266EE9}">
  <sheetPr codeName="Sheet5"/>
  <dimension ref="A1:CW6"/>
  <sheetViews>
    <sheetView showGridLines="0" workbookViewId="0">
      <selection activeCell="C15" sqref="C15"/>
    </sheetView>
  </sheetViews>
  <sheetFormatPr defaultRowHeight="14.25" x14ac:dyDescent="0.2"/>
  <cols>
    <col min="1" max="1" width="19.125" customWidth="1"/>
  </cols>
  <sheetData>
    <row r="1" spans="1:101" x14ac:dyDescent="0.2">
      <c r="A1" t="s">
        <v>98</v>
      </c>
      <c r="B1" cm="1">
        <f t="array" ref="B1">SUM(--_xlfn.ANCHORARRAY(B4))</f>
        <v>4</v>
      </c>
    </row>
    <row r="2" spans="1:101" x14ac:dyDescent="0.2">
      <c r="A2" t="s">
        <v>247</v>
      </c>
      <c r="B2">
        <f>MAX(B5:CW5)</f>
        <v>12</v>
      </c>
    </row>
    <row r="3" spans="1:101" x14ac:dyDescent="0.2">
      <c r="A3" t="s">
        <v>249</v>
      </c>
      <c r="B3">
        <f>_xlfn.XMATCH(TRUE,_xlfn.ANCHORARRAY(B4),0,-1)</f>
        <v>4</v>
      </c>
    </row>
    <row r="4" spans="1:101" x14ac:dyDescent="0.2">
      <c r="A4" t="s">
        <v>248</v>
      </c>
      <c r="B4" t="b" cm="1">
        <f t="array" ref="B4:CW4">NOT(ISBLANK(Data!A1:CV1))</f>
        <v>1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 t="b">
        <v>0</v>
      </c>
      <c r="AF4" t="b">
        <v>0</v>
      </c>
      <c r="AG4" t="b">
        <v>0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  <c r="AW4" t="b">
        <v>0</v>
      </c>
      <c r="AX4" t="b">
        <v>0</v>
      </c>
      <c r="AY4" t="b">
        <v>0</v>
      </c>
      <c r="AZ4" t="b">
        <v>0</v>
      </c>
      <c r="BA4" t="b">
        <v>0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0</v>
      </c>
      <c r="BH4" t="b">
        <v>0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 t="b">
        <v>0</v>
      </c>
      <c r="CC4" t="b">
        <v>0</v>
      </c>
      <c r="CD4" t="b">
        <v>0</v>
      </c>
      <c r="CE4" t="b">
        <v>0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0</v>
      </c>
      <c r="CV4" t="b">
        <v>0</v>
      </c>
      <c r="CW4" t="b">
        <v>0</v>
      </c>
    </row>
    <row r="5" spans="1:101" x14ac:dyDescent="0.2">
      <c r="A5" t="s">
        <v>20</v>
      </c>
      <c r="B5">
        <f>IF(B4,COUNTA(INDEX(Data!$A:$CV,,B6))-1,0)</f>
        <v>12</v>
      </c>
      <c r="C5">
        <f>IF(C4,COUNTA(INDEX(Data!$A:$CV,,C6))-1,0)</f>
        <v>12</v>
      </c>
      <c r="D5">
        <f>IF(D4,COUNTA(INDEX(Data!$A:$CV,,D6))-1,0)</f>
        <v>12</v>
      </c>
      <c r="E5">
        <f>IF(E4,COUNTA(INDEX(Data!$A:$CV,,E6))-1,0)</f>
        <v>12</v>
      </c>
      <c r="F5">
        <f>IF(F4,COUNTA(INDEX(Data!$A:$CV,,F6))-1,0)</f>
        <v>0</v>
      </c>
      <c r="G5">
        <f>IF(G4,COUNTA(INDEX(Data!$A:$CV,,G6))-1,0)</f>
        <v>0</v>
      </c>
      <c r="H5">
        <f>IF(H4,COUNTA(INDEX(Data!$A:$CV,,H6))-1,0)</f>
        <v>0</v>
      </c>
      <c r="I5">
        <f>IF(I4,COUNTA(INDEX(Data!$A:$CV,,I6))-1,0)</f>
        <v>0</v>
      </c>
      <c r="J5">
        <f>IF(J4,COUNTA(INDEX(Data!$A:$CV,,J6))-1,0)</f>
        <v>0</v>
      </c>
      <c r="K5">
        <f>IF(K4,COUNTA(INDEX(Data!$A:$CV,,K6))-1,0)</f>
        <v>0</v>
      </c>
      <c r="L5">
        <f>IF(L4,COUNTA(INDEX(Data!$A:$CV,,L6))-1,0)</f>
        <v>0</v>
      </c>
      <c r="M5">
        <f>IF(M4,COUNTA(INDEX(Data!$A:$CV,,M6))-1,0)</f>
        <v>0</v>
      </c>
      <c r="N5">
        <f>IF(N4,COUNTA(INDEX(Data!$A:$CV,,N6))-1,0)</f>
        <v>0</v>
      </c>
      <c r="O5">
        <f>IF(O4,COUNTA(INDEX(Data!$A:$CV,,O6))-1,0)</f>
        <v>0</v>
      </c>
      <c r="P5">
        <f>IF(P4,COUNTA(INDEX(Data!$A:$CV,,P6))-1,0)</f>
        <v>0</v>
      </c>
      <c r="Q5">
        <f>IF(Q4,COUNTA(INDEX(Data!$A:$CV,,Q6))-1,0)</f>
        <v>0</v>
      </c>
      <c r="R5">
        <f>IF(R4,COUNTA(INDEX(Data!$A:$CV,,R6))-1,0)</f>
        <v>0</v>
      </c>
      <c r="S5">
        <f>IF(S4,COUNTA(INDEX(Data!$A:$CV,,S6))-1,0)</f>
        <v>0</v>
      </c>
      <c r="T5">
        <f>IF(T4,COUNTA(INDEX(Data!$A:$CV,,T6))-1,0)</f>
        <v>0</v>
      </c>
      <c r="U5">
        <f>IF(U4,COUNTA(INDEX(Data!$A:$CV,,U6))-1,0)</f>
        <v>0</v>
      </c>
      <c r="V5">
        <f>IF(V4,COUNTA(INDEX(Data!$A:$CV,,V6))-1,0)</f>
        <v>0</v>
      </c>
      <c r="W5">
        <f>IF(W4,COUNTA(INDEX(Data!$A:$CV,,W6))-1,0)</f>
        <v>0</v>
      </c>
      <c r="X5">
        <f>IF(X4,COUNTA(INDEX(Data!$A:$CV,,X6))-1,0)</f>
        <v>0</v>
      </c>
      <c r="Y5">
        <f>IF(Y4,COUNTA(INDEX(Data!$A:$CV,,Y6))-1,0)</f>
        <v>0</v>
      </c>
      <c r="Z5">
        <f>IF(Z4,COUNTA(INDEX(Data!$A:$CV,,Z6))-1,0)</f>
        <v>0</v>
      </c>
      <c r="AA5">
        <f>IF(AA4,COUNTA(INDEX(Data!$A:$CV,,AA6))-1,0)</f>
        <v>0</v>
      </c>
      <c r="AB5">
        <f>IF(AB4,COUNTA(INDEX(Data!$A:$CV,,AB6))-1,0)</f>
        <v>0</v>
      </c>
      <c r="AC5">
        <f>IF(AC4,COUNTA(INDEX(Data!$A:$CV,,AC6))-1,0)</f>
        <v>0</v>
      </c>
      <c r="AD5">
        <f>IF(AD4,COUNTA(INDEX(Data!$A:$CV,,AD6))-1,0)</f>
        <v>0</v>
      </c>
      <c r="AE5">
        <f>IF(AE4,COUNTA(INDEX(Data!$A:$CV,,AE6))-1,0)</f>
        <v>0</v>
      </c>
      <c r="AF5">
        <f>IF(AF4,COUNTA(INDEX(Data!$A:$CV,,AF6))-1,0)</f>
        <v>0</v>
      </c>
      <c r="AG5">
        <f>IF(AG4,COUNTA(INDEX(Data!$A:$CV,,AG6))-1,0)</f>
        <v>0</v>
      </c>
      <c r="AH5">
        <f>IF(AH4,COUNTA(INDEX(Data!$A:$CV,,AH6))-1,0)</f>
        <v>0</v>
      </c>
      <c r="AI5">
        <f>IF(AI4,COUNTA(INDEX(Data!$A:$CV,,AI6))-1,0)</f>
        <v>0</v>
      </c>
      <c r="AJ5">
        <f>IF(AJ4,COUNTA(INDEX(Data!$A:$CV,,AJ6))-1,0)</f>
        <v>0</v>
      </c>
      <c r="AK5">
        <f>IF(AK4,COUNTA(INDEX(Data!$A:$CV,,AK6))-1,0)</f>
        <v>0</v>
      </c>
      <c r="AL5">
        <f>IF(AL4,COUNTA(INDEX(Data!$A:$CV,,AL6))-1,0)</f>
        <v>0</v>
      </c>
      <c r="AM5">
        <f>IF(AM4,COUNTA(INDEX(Data!$A:$CV,,AM6))-1,0)</f>
        <v>0</v>
      </c>
      <c r="AN5">
        <f>IF(AN4,COUNTA(INDEX(Data!$A:$CV,,AN6))-1,0)</f>
        <v>0</v>
      </c>
      <c r="AO5">
        <f>IF(AO4,COUNTA(INDEX(Data!$A:$CV,,AO6))-1,0)</f>
        <v>0</v>
      </c>
      <c r="AP5">
        <f>IF(AP4,COUNTA(INDEX(Data!$A:$CV,,AP6))-1,0)</f>
        <v>0</v>
      </c>
      <c r="AQ5">
        <f>IF(AQ4,COUNTA(INDEX(Data!$A:$CV,,AQ6))-1,0)</f>
        <v>0</v>
      </c>
      <c r="AR5">
        <f>IF(AR4,COUNTA(INDEX(Data!$A:$CV,,AR6))-1,0)</f>
        <v>0</v>
      </c>
      <c r="AS5">
        <f>IF(AS4,COUNTA(INDEX(Data!$A:$CV,,AS6))-1,0)</f>
        <v>0</v>
      </c>
      <c r="AT5">
        <f>IF(AT4,COUNTA(INDEX(Data!$A:$CV,,AT6))-1,0)</f>
        <v>0</v>
      </c>
      <c r="AU5">
        <f>IF(AU4,COUNTA(INDEX(Data!$A:$CV,,AU6))-1,0)</f>
        <v>0</v>
      </c>
      <c r="AV5">
        <f>IF(AV4,COUNTA(INDEX(Data!$A:$CV,,AV6))-1,0)</f>
        <v>0</v>
      </c>
      <c r="AW5">
        <f>IF(AW4,COUNTA(INDEX(Data!$A:$CV,,AW6))-1,0)</f>
        <v>0</v>
      </c>
      <c r="AX5">
        <f>IF(AX4,COUNTA(INDEX(Data!$A:$CV,,AX6))-1,0)</f>
        <v>0</v>
      </c>
      <c r="AY5">
        <f>IF(AY4,COUNTA(INDEX(Data!$A:$CV,,AY6))-1,0)</f>
        <v>0</v>
      </c>
      <c r="AZ5">
        <f>IF(AZ4,COUNTA(INDEX(Data!$A:$CV,,AZ6))-1,0)</f>
        <v>0</v>
      </c>
      <c r="BA5">
        <f>IF(BA4,COUNTA(INDEX(Data!$A:$CV,,BA6))-1,0)</f>
        <v>0</v>
      </c>
      <c r="BB5">
        <f>IF(BB4,COUNTA(INDEX(Data!$A:$CV,,BB6))-1,0)</f>
        <v>0</v>
      </c>
      <c r="BC5">
        <f>IF(BC4,COUNTA(INDEX(Data!$A:$CV,,BC6))-1,0)</f>
        <v>0</v>
      </c>
      <c r="BD5">
        <f>IF(BD4,COUNTA(INDEX(Data!$A:$CV,,BD6))-1,0)</f>
        <v>0</v>
      </c>
      <c r="BE5">
        <f>IF(BE4,COUNTA(INDEX(Data!$A:$CV,,BE6))-1,0)</f>
        <v>0</v>
      </c>
      <c r="BF5">
        <f>IF(BF4,COUNTA(INDEX(Data!$A:$CV,,BF6))-1,0)</f>
        <v>0</v>
      </c>
      <c r="BG5">
        <f>IF(BG4,COUNTA(INDEX(Data!$A:$CV,,BG6))-1,0)</f>
        <v>0</v>
      </c>
      <c r="BH5">
        <f>IF(BH4,COUNTA(INDEX(Data!$A:$CV,,BH6))-1,0)</f>
        <v>0</v>
      </c>
      <c r="BI5">
        <f>IF(BI4,COUNTA(INDEX(Data!$A:$CV,,BI6))-1,0)</f>
        <v>0</v>
      </c>
      <c r="BJ5">
        <f>IF(BJ4,COUNTA(INDEX(Data!$A:$CV,,BJ6))-1,0)</f>
        <v>0</v>
      </c>
      <c r="BK5">
        <f>IF(BK4,COUNTA(INDEX(Data!$A:$CV,,BK6))-1,0)</f>
        <v>0</v>
      </c>
      <c r="BL5">
        <f>IF(BL4,COUNTA(INDEX(Data!$A:$CV,,BL6))-1,0)</f>
        <v>0</v>
      </c>
      <c r="BM5">
        <f>IF(BM4,COUNTA(INDEX(Data!$A:$CV,,BM6))-1,0)</f>
        <v>0</v>
      </c>
      <c r="BN5">
        <f>IF(BN4,COUNTA(INDEX(Data!$A:$CV,,BN6))-1,0)</f>
        <v>0</v>
      </c>
      <c r="BO5">
        <f>IF(BO4,COUNTA(INDEX(Data!$A:$CV,,BO6))-1,0)</f>
        <v>0</v>
      </c>
      <c r="BP5">
        <f>IF(BP4,COUNTA(INDEX(Data!$A:$CV,,BP6))-1,0)</f>
        <v>0</v>
      </c>
      <c r="BQ5">
        <f>IF(BQ4,COUNTA(INDEX(Data!$A:$CV,,BQ6))-1,0)</f>
        <v>0</v>
      </c>
      <c r="BR5">
        <f>IF(BR4,COUNTA(INDEX(Data!$A:$CV,,BR6))-1,0)</f>
        <v>0</v>
      </c>
      <c r="BS5">
        <f>IF(BS4,COUNTA(INDEX(Data!$A:$CV,,BS6))-1,0)</f>
        <v>0</v>
      </c>
      <c r="BT5">
        <f>IF(BT4,COUNTA(INDEX(Data!$A:$CV,,BT6))-1,0)</f>
        <v>0</v>
      </c>
      <c r="BU5">
        <f>IF(BU4,COUNTA(INDEX(Data!$A:$CV,,BU6))-1,0)</f>
        <v>0</v>
      </c>
      <c r="BV5">
        <f>IF(BV4,COUNTA(INDEX(Data!$A:$CV,,BV6))-1,0)</f>
        <v>0</v>
      </c>
      <c r="BW5">
        <f>IF(BW4,COUNTA(INDEX(Data!$A:$CV,,BW6))-1,0)</f>
        <v>0</v>
      </c>
      <c r="BX5">
        <f>IF(BX4,COUNTA(INDEX(Data!$A:$CV,,BX6))-1,0)</f>
        <v>0</v>
      </c>
      <c r="BY5">
        <f>IF(BY4,COUNTA(INDEX(Data!$A:$CV,,BY6))-1,0)</f>
        <v>0</v>
      </c>
      <c r="BZ5">
        <f>IF(BZ4,COUNTA(INDEX(Data!$A:$CV,,BZ6))-1,0)</f>
        <v>0</v>
      </c>
      <c r="CA5">
        <f>IF(CA4,COUNTA(INDEX(Data!$A:$CV,,CA6))-1,0)</f>
        <v>0</v>
      </c>
      <c r="CB5">
        <f>IF(CB4,COUNTA(INDEX(Data!$A:$CV,,CB6))-1,0)</f>
        <v>0</v>
      </c>
      <c r="CC5">
        <f>IF(CC4,COUNTA(INDEX(Data!$A:$CV,,CC6))-1,0)</f>
        <v>0</v>
      </c>
      <c r="CD5">
        <f>IF(CD4,COUNTA(INDEX(Data!$A:$CV,,CD6))-1,0)</f>
        <v>0</v>
      </c>
      <c r="CE5">
        <f>IF(CE4,COUNTA(INDEX(Data!$A:$CV,,CE6))-1,0)</f>
        <v>0</v>
      </c>
      <c r="CF5">
        <f>IF(CF4,COUNTA(INDEX(Data!$A:$CV,,CF6))-1,0)</f>
        <v>0</v>
      </c>
      <c r="CG5">
        <f>IF(CG4,COUNTA(INDEX(Data!$A:$CV,,CG6))-1,0)</f>
        <v>0</v>
      </c>
      <c r="CH5">
        <f>IF(CH4,COUNTA(INDEX(Data!$A:$CV,,CH6))-1,0)</f>
        <v>0</v>
      </c>
      <c r="CI5">
        <f>IF(CI4,COUNTA(INDEX(Data!$A:$CV,,CI6))-1,0)</f>
        <v>0</v>
      </c>
      <c r="CJ5">
        <f>IF(CJ4,COUNTA(INDEX(Data!$A:$CV,,CJ6))-1,0)</f>
        <v>0</v>
      </c>
      <c r="CK5">
        <f>IF(CK4,COUNTA(INDEX(Data!$A:$CV,,CK6))-1,0)</f>
        <v>0</v>
      </c>
      <c r="CL5">
        <f>IF(CL4,COUNTA(INDEX(Data!$A:$CV,,CL6))-1,0)</f>
        <v>0</v>
      </c>
      <c r="CM5">
        <f>IF(CM4,COUNTA(INDEX(Data!$A:$CV,,CM6))-1,0)</f>
        <v>0</v>
      </c>
      <c r="CN5">
        <f>IF(CN4,COUNTA(INDEX(Data!$A:$CV,,CN6))-1,0)</f>
        <v>0</v>
      </c>
      <c r="CO5">
        <f>IF(CO4,COUNTA(INDEX(Data!$A:$CV,,CO6))-1,0)</f>
        <v>0</v>
      </c>
      <c r="CP5">
        <f>IF(CP4,COUNTA(INDEX(Data!$A:$CV,,CP6))-1,0)</f>
        <v>0</v>
      </c>
      <c r="CQ5">
        <f>IF(CQ4,COUNTA(INDEX(Data!$A:$CV,,CQ6))-1,0)</f>
        <v>0</v>
      </c>
      <c r="CR5">
        <f>IF(CR4,COUNTA(INDEX(Data!$A:$CV,,CR6))-1,0)</f>
        <v>0</v>
      </c>
      <c r="CS5">
        <f>IF(CS4,COUNTA(INDEX(Data!$A:$CV,,CS6))-1,0)</f>
        <v>0</v>
      </c>
      <c r="CT5">
        <f>IF(CT4,COUNTA(INDEX(Data!$A:$CV,,CT6))-1,0)</f>
        <v>0</v>
      </c>
      <c r="CU5">
        <f>IF(CU4,COUNTA(INDEX(Data!$A:$CV,,CU6))-1,0)</f>
        <v>0</v>
      </c>
      <c r="CV5">
        <f>IF(CV4,COUNTA(INDEX(Data!$A:$CV,,CV6))-1,0)</f>
        <v>0</v>
      </c>
      <c r="CW5">
        <f>IF(CW4,COUNTA(INDEX(Data!$A:$CV,,CW6))-1,0)</f>
        <v>0</v>
      </c>
    </row>
    <row r="6" spans="1:101" x14ac:dyDescent="0.2">
      <c r="A6" t="s">
        <v>116</v>
      </c>
      <c r="B6" cm="1">
        <f t="array" ref="B6:E6">_xlfn.SEQUENCE(,B3)</f>
        <v>1</v>
      </c>
      <c r="C6">
        <v>2</v>
      </c>
      <c r="D6">
        <v>3</v>
      </c>
      <c r="E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4A4-CE0E-4196-B177-1BC5375F3726}">
  <sheetPr codeName="Sheet16"/>
  <dimension ref="A1:G10"/>
  <sheetViews>
    <sheetView showGridLines="0" workbookViewId="0">
      <selection activeCell="C15" sqref="C15"/>
    </sheetView>
  </sheetViews>
  <sheetFormatPr defaultRowHeight="14.25" x14ac:dyDescent="0.2"/>
  <cols>
    <col min="1" max="3" width="33" customWidth="1"/>
    <col min="4" max="4" width="20" bestFit="1" customWidth="1"/>
    <col min="5" max="5" width="17.375" bestFit="1" customWidth="1"/>
    <col min="6" max="6" width="26.5" bestFit="1" customWidth="1"/>
    <col min="7" max="7" width="38.25" bestFit="1" customWidth="1"/>
    <col min="8" max="8" width="21.25" customWidth="1"/>
  </cols>
  <sheetData>
    <row r="1" spans="1:7" ht="18.75" x14ac:dyDescent="0.2">
      <c r="A1" s="1" t="s">
        <v>239</v>
      </c>
      <c r="B1" s="1" t="s">
        <v>242</v>
      </c>
      <c r="C1" s="1" t="s">
        <v>252</v>
      </c>
      <c r="D1" s="1" t="s">
        <v>243</v>
      </c>
      <c r="E1" s="1" t="s">
        <v>244</v>
      </c>
      <c r="F1" s="1" t="s">
        <v>245</v>
      </c>
      <c r="G1" s="1" t="s">
        <v>246</v>
      </c>
    </row>
    <row r="2" spans="1:7" x14ac:dyDescent="0.2">
      <c r="A2" t="s">
        <v>240</v>
      </c>
      <c r="B2" t="b">
        <f>TRUE()</f>
        <v>1</v>
      </c>
      <c r="C2" t="str" cm="1">
        <f t="array" ref="C2:C5">TRANSPOSE(_xlfn._xlws.FILTER(Data!A1:CV1,NOT(ISBLANK(Data!A1:CV1))))</f>
        <v>Eksempel 1 (interval)</v>
      </c>
      <c r="D2" s="27" t="s">
        <v>25</v>
      </c>
      <c r="E2" s="27" t="s">
        <v>59</v>
      </c>
      <c r="F2" t="s">
        <v>25</v>
      </c>
      <c r="G2" t="s">
        <v>59</v>
      </c>
    </row>
    <row r="3" spans="1:7" x14ac:dyDescent="0.2">
      <c r="A3" t="s">
        <v>241</v>
      </c>
      <c r="B3" t="b">
        <f>FALSE()</f>
        <v>0</v>
      </c>
      <c r="C3" t="str">
        <v>Eksempel 2 (interval)</v>
      </c>
      <c r="D3" s="27" t="s">
        <v>102</v>
      </c>
      <c r="E3" s="27" t="s">
        <v>60</v>
      </c>
      <c r="F3" t="s">
        <v>62</v>
      </c>
      <c r="G3" t="s">
        <v>60</v>
      </c>
    </row>
    <row r="4" spans="1:7" x14ac:dyDescent="0.2">
      <c r="C4" t="str">
        <v>Eksempel 3 (nominal)</v>
      </c>
      <c r="D4" s="27" t="s">
        <v>103</v>
      </c>
      <c r="E4" s="27" t="s">
        <v>71</v>
      </c>
      <c r="F4" t="s">
        <v>63</v>
      </c>
      <c r="G4" t="s">
        <v>68</v>
      </c>
    </row>
    <row r="5" spans="1:7" x14ac:dyDescent="0.2">
      <c r="C5" t="str">
        <v>Eksempel 4 (nominal)</v>
      </c>
      <c r="D5" s="27" t="s">
        <v>58</v>
      </c>
      <c r="E5" s="27" t="s">
        <v>72</v>
      </c>
      <c r="F5" t="s">
        <v>64</v>
      </c>
      <c r="G5" t="s">
        <v>70</v>
      </c>
    </row>
    <row r="6" spans="1:7" x14ac:dyDescent="0.2">
      <c r="F6" t="s">
        <v>65</v>
      </c>
      <c r="G6" t="s">
        <v>71</v>
      </c>
    </row>
    <row r="7" spans="1:7" x14ac:dyDescent="0.2">
      <c r="F7" t="s">
        <v>66</v>
      </c>
      <c r="G7" t="s">
        <v>72</v>
      </c>
    </row>
    <row r="8" spans="1:7" x14ac:dyDescent="0.2">
      <c r="F8" t="s">
        <v>67</v>
      </c>
      <c r="G8" t="s">
        <v>73</v>
      </c>
    </row>
    <row r="9" spans="1:7" x14ac:dyDescent="0.2">
      <c r="G9" t="s">
        <v>61</v>
      </c>
    </row>
    <row r="10" spans="1:7" x14ac:dyDescent="0.2">
      <c r="G10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E7A68-7054-4B5A-9363-EB775D8E635D}">
  <sheetPr codeName="Sheet1">
    <tabColor theme="6"/>
  </sheetPr>
  <dimension ref="A1:FC9718"/>
  <sheetViews>
    <sheetView showGridLines="0" zoomScaleNormal="100" workbookViewId="0"/>
  </sheetViews>
  <sheetFormatPr defaultColWidth="8.75" defaultRowHeight="14.25" x14ac:dyDescent="0.2"/>
  <cols>
    <col min="1" max="1" width="65" style="21" customWidth="1"/>
    <col min="2" max="2" width="41" style="21" customWidth="1"/>
    <col min="3" max="3" width="17" style="21" customWidth="1"/>
    <col min="4" max="4" width="9.625" style="21" customWidth="1"/>
    <col min="5" max="5" width="32.375" style="21" customWidth="1"/>
    <col min="6" max="6" width="34.125" style="21" customWidth="1"/>
    <col min="7" max="7" width="35.5" style="21" customWidth="1"/>
    <col min="8" max="9" width="20.25" style="21" customWidth="1"/>
    <col min="10" max="12" width="15.375" style="21" customWidth="1"/>
    <col min="13" max="13" width="14.375" style="21" bestFit="1" customWidth="1"/>
    <col min="14" max="50" width="9.5" style="21" customWidth="1"/>
    <col min="51" max="53" width="20.25" style="21" customWidth="1"/>
    <col min="54" max="54" width="27.625" style="21" customWidth="1"/>
    <col min="55" max="57" width="10.875" style="21" customWidth="1"/>
    <col min="58" max="59" width="10.875" customWidth="1"/>
    <col min="61" max="61" width="33.75" customWidth="1"/>
    <col min="62" max="71" width="8.125" customWidth="1"/>
    <col min="72" max="77" width="8.125" style="21" customWidth="1"/>
    <col min="78" max="78" width="10.125" style="21" customWidth="1"/>
    <col min="79" max="79" width="35.875" style="21" customWidth="1"/>
    <col min="80" max="88" width="8.875" style="21" customWidth="1"/>
    <col min="89" max="89" width="14.25" style="21" customWidth="1"/>
    <col min="90" max="90" width="34.75" style="21" customWidth="1"/>
    <col min="91" max="104" width="9.75" style="21" customWidth="1"/>
    <col min="105" max="106" width="9.75" customWidth="1"/>
    <col min="107" max="107" width="14.5" customWidth="1"/>
    <col min="108" max="108" width="27.375" bestFit="1" customWidth="1"/>
    <col min="109" max="110" width="17.875" customWidth="1"/>
    <col min="111" max="116" width="8" customWidth="1"/>
    <col min="117" max="117" width="6.5" customWidth="1"/>
    <col min="118" max="118" width="34.5" customWidth="1"/>
    <col min="119" max="131" width="10.5" customWidth="1"/>
    <col min="132" max="132" width="6.875" customWidth="1"/>
    <col min="133" max="133" width="8.75" customWidth="1"/>
    <col min="134" max="134" width="17" customWidth="1"/>
    <col min="135" max="138" width="10.125" customWidth="1"/>
    <col min="139" max="140" width="8.75" customWidth="1"/>
    <col min="141" max="141" width="14.75" customWidth="1"/>
    <col min="142" max="142" width="9.125" customWidth="1"/>
    <col min="143" max="143" width="9.625" customWidth="1"/>
    <col min="144" max="146" width="23.75" customWidth="1"/>
    <col min="151" max="151" width="15.375" customWidth="1"/>
    <col min="152" max="152" width="17.25" bestFit="1" customWidth="1"/>
    <col min="153" max="153" width="15.375" customWidth="1"/>
    <col min="154" max="154" width="19.75" bestFit="1" customWidth="1"/>
    <col min="155" max="155" width="12.125" customWidth="1"/>
    <col min="156" max="156" width="12.75" bestFit="1" customWidth="1"/>
    <col min="157" max="157" width="13.375" customWidth="1"/>
    <col min="158" max="158" width="13.375" style="21" bestFit="1" customWidth="1"/>
    <col min="159" max="159" width="13.375" style="21" customWidth="1"/>
    <col min="160" max="161" width="8.75" style="21"/>
    <col min="162" max="162" width="20.625" style="21" bestFit="1" customWidth="1"/>
    <col min="163" max="16384" width="8.75" style="21"/>
  </cols>
  <sheetData>
    <row r="1" spans="1:159" s="22" customFormat="1" ht="18.75" x14ac:dyDescent="0.2">
      <c r="A1" s="32" t="s">
        <v>6</v>
      </c>
      <c r="B1" s="37" t="s">
        <v>57</v>
      </c>
      <c r="C1" s="21"/>
      <c r="D1" s="21"/>
      <c r="EB1" s="48"/>
      <c r="EC1" s="48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</row>
    <row r="2" spans="1:159" x14ac:dyDescent="0.2">
      <c r="A2" s="30" t="s">
        <v>7</v>
      </c>
      <c r="EB2" s="48"/>
      <c r="EC2" s="48"/>
    </row>
    <row r="3" spans="1:159" x14ac:dyDescent="0.2">
      <c r="A3" s="23"/>
      <c r="EB3" s="48"/>
      <c r="EC3" s="48"/>
    </row>
    <row r="4" spans="1:159" x14ac:dyDescent="0.2">
      <c r="A4" s="3" t="s">
        <v>10</v>
      </c>
      <c r="EB4" s="48"/>
      <c r="EC4" s="48"/>
    </row>
    <row r="5" spans="1:159" x14ac:dyDescent="0.2">
      <c r="A5" s="28" t="s">
        <v>11</v>
      </c>
      <c r="B5" s="20" t="s">
        <v>15</v>
      </c>
      <c r="BB5" s="51" t="s">
        <v>115</v>
      </c>
      <c r="BC5" s="51" t="s">
        <v>142</v>
      </c>
      <c r="BD5" s="51" t="s">
        <v>4</v>
      </c>
      <c r="BE5" s="51" t="s">
        <v>120</v>
      </c>
      <c r="BF5" s="51" t="s">
        <v>121</v>
      </c>
      <c r="BG5" s="51" t="s">
        <v>122</v>
      </c>
      <c r="BH5" s="29"/>
      <c r="BI5" s="51" t="s">
        <v>129</v>
      </c>
      <c r="BJ5" s="51" t="s">
        <v>126</v>
      </c>
      <c r="BK5" s="51" t="s">
        <v>134</v>
      </c>
      <c r="BL5" s="51" t="s">
        <v>135</v>
      </c>
      <c r="BM5" s="51" t="s">
        <v>137</v>
      </c>
      <c r="BN5" s="51" t="s">
        <v>234</v>
      </c>
      <c r="BO5" s="51" t="s">
        <v>237</v>
      </c>
      <c r="BP5" s="51" t="s">
        <v>238</v>
      </c>
      <c r="BQ5" s="51" t="s">
        <v>136</v>
      </c>
      <c r="BR5" s="51" t="s">
        <v>143</v>
      </c>
      <c r="BS5" s="51" t="s">
        <v>146</v>
      </c>
      <c r="BT5" s="51" t="s">
        <v>148</v>
      </c>
      <c r="BU5" s="51" t="s">
        <v>144</v>
      </c>
      <c r="BV5" s="51" t="s">
        <v>145</v>
      </c>
      <c r="BW5" s="51" t="s">
        <v>149</v>
      </c>
      <c r="BX5" s="51" t="s">
        <v>151</v>
      </c>
      <c r="BY5" s="51" t="s">
        <v>230</v>
      </c>
      <c r="BZ5" s="29"/>
      <c r="CA5" s="51" t="s">
        <v>155</v>
      </c>
      <c r="CB5" s="54" t="s">
        <v>161</v>
      </c>
      <c r="CC5" s="54" t="s">
        <v>167</v>
      </c>
      <c r="CD5" s="54" t="s">
        <v>162</v>
      </c>
      <c r="CE5" s="54" t="s">
        <v>165</v>
      </c>
      <c r="CF5" s="54" t="s">
        <v>157</v>
      </c>
      <c r="CG5" s="54" t="s">
        <v>158</v>
      </c>
      <c r="CH5" s="54" t="s">
        <v>160</v>
      </c>
      <c r="CI5" s="54" t="s">
        <v>166</v>
      </c>
      <c r="CJ5" s="54" t="s">
        <v>163</v>
      </c>
      <c r="CK5" s="48"/>
      <c r="CL5" s="51" t="s">
        <v>168</v>
      </c>
      <c r="CM5" s="54" t="s">
        <v>179</v>
      </c>
      <c r="CN5" s="55" t="s">
        <v>171</v>
      </c>
      <c r="CO5" s="51" t="s">
        <v>188</v>
      </c>
      <c r="CP5" s="51" t="s">
        <v>176</v>
      </c>
      <c r="CQ5" s="51" t="s">
        <v>172</v>
      </c>
      <c r="CR5" s="51" t="s">
        <v>180</v>
      </c>
      <c r="CS5" s="51" t="s">
        <v>181</v>
      </c>
      <c r="CT5" s="51" t="s">
        <v>178</v>
      </c>
      <c r="CU5" s="54" t="s">
        <v>175</v>
      </c>
      <c r="CV5" s="52" t="s">
        <v>177</v>
      </c>
      <c r="CW5" s="52" t="s">
        <v>182</v>
      </c>
      <c r="CX5" s="50" t="s">
        <v>183</v>
      </c>
      <c r="CY5" s="51" t="s">
        <v>184</v>
      </c>
      <c r="CZ5" s="51" t="s">
        <v>185</v>
      </c>
      <c r="DA5" s="52" t="s">
        <v>186</v>
      </c>
      <c r="DB5" s="54" t="s">
        <v>187</v>
      </c>
      <c r="DC5" s="57"/>
      <c r="DD5" s="51" t="s">
        <v>189</v>
      </c>
      <c r="DE5" s="52" t="s">
        <v>207</v>
      </c>
      <c r="DF5" s="52" t="s">
        <v>208</v>
      </c>
      <c r="DG5" s="54" t="s">
        <v>201</v>
      </c>
      <c r="DH5" s="55" t="s">
        <v>203</v>
      </c>
      <c r="DI5" s="55" t="s">
        <v>202</v>
      </c>
      <c r="DJ5" s="55" t="s">
        <v>211</v>
      </c>
      <c r="DK5" s="55" t="s">
        <v>212</v>
      </c>
      <c r="DL5" s="51" t="s">
        <v>204</v>
      </c>
      <c r="DM5" s="29"/>
      <c r="DN5" s="51" t="s">
        <v>213</v>
      </c>
      <c r="DO5" s="56" t="s">
        <v>222</v>
      </c>
      <c r="DP5" s="56" t="s">
        <v>218</v>
      </c>
      <c r="DQ5" s="56" t="s">
        <v>217</v>
      </c>
      <c r="DR5" s="56" t="s">
        <v>229</v>
      </c>
      <c r="DS5" s="51" t="s">
        <v>221</v>
      </c>
      <c r="DT5" s="51" t="s">
        <v>216</v>
      </c>
      <c r="DU5" s="56" t="s">
        <v>223</v>
      </c>
      <c r="DV5" s="56" t="s">
        <v>224</v>
      </c>
      <c r="DW5" s="56" t="s">
        <v>225</v>
      </c>
      <c r="DX5" s="56" t="s">
        <v>219</v>
      </c>
      <c r="DY5" s="56" t="s">
        <v>220</v>
      </c>
      <c r="DZ5" s="55" t="s">
        <v>227</v>
      </c>
      <c r="EA5" s="55" t="s">
        <v>226</v>
      </c>
      <c r="EB5" s="48"/>
      <c r="EC5" s="48"/>
    </row>
    <row r="6" spans="1:159" x14ac:dyDescent="0.2">
      <c r="A6" s="51" t="s">
        <v>125</v>
      </c>
      <c r="B6" s="20">
        <v>15</v>
      </c>
      <c r="BB6" s="39">
        <f>_xlfn.XMATCH(B5,DataHeaders,0)</f>
        <v>1</v>
      </c>
      <c r="BC6" s="29" cm="1">
        <f t="array" ref="BC6:BC17">_xlfn.SEQUENCE(BB8)</f>
        <v>1</v>
      </c>
      <c r="BD6" s="48" cm="1">
        <f t="array" ref="BD6:BD17">INDEX(Data,_xlfn.SEQUENCE(BB8),BB6)</f>
        <v>1.2989587493526971</v>
      </c>
      <c r="BE6" s="29" cm="1">
        <f t="array" ref="BE6:BE17">_xlfn._xlws.SORT(_xlfn.ANCHORARRAY(BD6))</f>
        <v>-1.479592604535932</v>
      </c>
      <c r="BF6" s="29" cm="1">
        <f t="array" ref="BF6:BF17">IFERROR((_xlfn.ANCHORARRAY(BE6)-BB10)/BB12,NA())</f>
        <v>-0.77401919912526185</v>
      </c>
      <c r="BG6" s="29" cm="1">
        <f t="array" ref="BG6:BG17">IF(ISNA(_xlfn.ANCHORARRAY(BF6)),NA(),_xlfn.NORM.INV((_xlfn.ANCHORARRAY(BC6)-0.5)/BB8,0,1))</f>
        <v>-1.7316643961222451</v>
      </c>
      <c r="BH6" s="29"/>
      <c r="BI6" s="39" t="str">
        <f>"Histogram med "&amp;B6&amp;" intervaller
og normalfordeling for
"&amp;B5</f>
        <v>Histogram med 15 intervaller
og normalfordeling for
Eksempel 1 (interval)</v>
      </c>
      <c r="BJ6" s="29" cm="1">
        <f t="array" ref="BJ6:BJ20">_xlfn.SEQUENCE(B6)</f>
        <v>1</v>
      </c>
      <c r="BK6" s="29" cm="1">
        <f t="array" ref="BK6:BK20">BI18+(_xlfn.ANCHORARRAY(BJ6)-1)*BI22</f>
        <v>-11.06659377856206</v>
      </c>
      <c r="BL6" s="29" cm="1">
        <f t="array" ref="BL6:BL20">BI18+_xlfn.ANCHORARRAY(BJ6)*BI22</f>
        <v>-9.3438473523109895</v>
      </c>
      <c r="BM6" s="29" cm="1">
        <f t="array" ref="BM6:BM20">MMULT(--((TRANSPOSE(_xlfn.ANCHORARRAY(BD6))&gt;=_xlfn.ANCHORARRAY(BK6))*(TRANSPOSE(_xlfn.ANCHORARRAY(BD6))&lt;_xlfn.ANCHORARRAY(BL6))),_xlfn.ANCHORARRAY(BQ6))+IF(_xlfn.ANCHORARRAY(BJ6)=B6,COUNTIF(_xlfn.ANCHORARRAY(BD6),"="&amp;BI20),0)</f>
        <v>0</v>
      </c>
      <c r="BN6" s="29" cm="1">
        <f t="array" ref="BN6:BN12">_xlfn.SEQUENCE(BI44)</f>
        <v>1</v>
      </c>
      <c r="BO6" s="29" cm="1">
        <f t="array" ref="BO6:BO12">(_xlfn.ANCHORARRAY(BN6)-BI46)*IF(BI42,2,1)</f>
        <v>-3</v>
      </c>
      <c r="BP6" s="29" cm="1">
        <f t="array" ref="BP6:BP12">_xlfn.XMATCH(_xlfn.ANCHORARRAY(BO6),_xlfn.ANCHORARRAY(BS6),1)</f>
        <v>1</v>
      </c>
      <c r="BQ6" s="29" cm="1">
        <f t="array" ref="BQ6:BQ17">_xlfn.SEQUENCE(BB8,,1,0)</f>
        <v>1</v>
      </c>
      <c r="BR6" s="29" cm="1">
        <f t="array" ref="BR6:BR260">_xlfn.SEQUENCE(BI28)</f>
        <v>1</v>
      </c>
      <c r="BS6" s="29" cm="1">
        <f t="array" ref="BS6:BS260">BI14+(_xlfn.ANCHORARRAY(BR6)-1)*BI30</f>
        <v>-3</v>
      </c>
      <c r="BT6" s="29" cm="1">
        <f t="array" ref="BT6:BT260">IFERROR(_xlfn.NORM.DIST(_xlfn.ANCHORARRAY(BS6),0,1,FALSE),NA())</f>
        <v>4.4318484119380075E-3</v>
      </c>
      <c r="BU6" s="29" cm="1">
        <f t="array" ref="BU6:BU260">ROUNDUP(_xlfn.ANCHORARRAY(BR6)/BI26,0)</f>
        <v>1</v>
      </c>
      <c r="BV6" s="29" cm="1">
        <f t="array" ref="BV6:BV260">INDEX(_xlfn.ANCHORARRAY(BM6),_xlfn.ANCHORARRAY(BU6))</f>
        <v>0</v>
      </c>
      <c r="BW6" s="29" cm="1">
        <f t="array" ref="BW6:BW260">IFERROR(_xlfn.ANCHORARRAY(BV6)/SUM(_xlfn.ANCHORARRAY(BV6))*SUM(_xlfn.ANCHORARRAY(BT6)),NA())</f>
        <v>0</v>
      </c>
      <c r="BX6" s="29" cm="1">
        <f t="array" ref="BX6:BX260">IFERROR(IF(MOD(_xlfn.ANCHORARRAY(BR6),BI26)=1,ROUND(INDEX(_xlfn.ANCHORARRAY(BK6),_xlfn.ANCHORARRAY(BU6)),BI36),IF(_xlfn.ANCHORARRAY(BR6)=BI28,ROUND(BI20,BI36),"")),"")</f>
        <v>-11.07</v>
      </c>
      <c r="BY6" s="29" t="str" cm="1">
        <f t="array" ref="BY6:BY260">_xlfn.XLOOKUP(_xlfn.ANCHORARRAY(BR6),_xlfn.ANCHORARRAY(BP6),_xlfn.ANCHORARRAY(BO6)&amp;"σ","")</f>
        <v>-3σ</v>
      </c>
      <c r="BZ6" s="29"/>
      <c r="CA6" s="39" t="str">
        <f>IF(ISNA(CA12),"Søjlediagram kan ikke vise over 1000 unikke værdier","Søjlediagram af
"&amp;B5)</f>
        <v>Søjlediagram af
Eksempel 1 (interval)</v>
      </c>
      <c r="CB6" s="48" cm="1">
        <f t="array" ref="CB6:CB17">_xlfn.UNIQUE(BsData)</f>
        <v>-1.479592604535932</v>
      </c>
      <c r="CC6" s="48" cm="1">
        <f t="array" ref="CC6:CC17">IF(ISLOGICAL(_xlfn.ANCHORARRAY(CB6)),_xlfn.ANCHORARRAY(CB6),ROUND(_xlfn.ANCHORARRAY(CB6),CA24))</f>
        <v>-1.48</v>
      </c>
      <c r="CD6" s="48" cm="1">
        <f t="array" ref="CD6:CD17">MMULT(--(TRANSPOSE(_xlfn.ANCHORARRAY(BD6))=_xlfn.ANCHORARRAY(CB6)),_xlfn.ANCHORARRAY(BQ6))</f>
        <v>1</v>
      </c>
      <c r="CE6" s="48" t="str" cm="1">
        <f t="array" ref="CE6:CE17">ROUND(_xlfn.ANCHORARRAY(CD6)/SUM(_xlfn.ANCHORARRAY(CD6))*100,0)&amp;"%"</f>
        <v>8%</v>
      </c>
      <c r="CF6" s="48" cm="1">
        <f t="array" ref="CF6:CF77">_xlfn.SEQUENCE(CA14)</f>
        <v>1</v>
      </c>
      <c r="CG6" s="48" cm="1">
        <f t="array" ref="CG6:CG77">ROUNDUP(_xlfn.ANCHORARRAY(CF6)/CA12,0)</f>
        <v>1</v>
      </c>
      <c r="CH6" s="48" cm="1">
        <f t="array" ref="CH6:CH77">(MOD(_xlfn.ANCHORARRAY(CF6),CA12)=1)+(MOD(_xlfn.ANCHORARRAY(CF6),CA12)=0)</f>
        <v>1</v>
      </c>
      <c r="CI6" s="48" t="e" cm="1">
        <f t="array" ref="CI6:CI77">IF(_xlfn.ANCHORARRAY(CH6)=0,INDEX(_xlfn.ANCHORARRAY(CD6),_xlfn.ANCHORARRAY(CG6)),NA())</f>
        <v>#N/A</v>
      </c>
      <c r="CJ6" s="48" t="str" cm="1">
        <f t="array" ref="CJ6:CJ77">IF(MOD(_xlfn.ANCHORARRAY(CF6),CA12)=CA16,INDEX(_xlfn.ANCHORARRAY(CC6),_xlfn.ANCHORARRAY(CG6))&amp;IF(CA18," ("&amp;INDEX(_xlfn.ANCHORARRAY(CE6),_xlfn.ANCHORARRAY(CG6))&amp;")",""),"")</f>
        <v/>
      </c>
      <c r="CK6" s="48"/>
      <c r="CL6" s="39" t="str">
        <f>"Kvartilsæt for
"&amp;B5</f>
        <v>Kvartilsæt for
Eksempel 1 (interval)</v>
      </c>
      <c r="CM6" s="48" cm="1">
        <f t="array" ref="CM6:CM10">_xlfn.SEQUENCE(CL13,,0)</f>
        <v>0</v>
      </c>
      <c r="CN6" s="48" cm="1">
        <f t="array" ref="CN6:CN10">IF(_xlfn.ANCHORARRAY(CM6)=0,CL17,IF(_xlfn.ANCHORARRAY(CM6)=CL13-1,CL19,_xlfn.QUARTILE.EXC(_xlfn.ANCHORARRAY(BD6),_xlfn.ANCHORARRAY(CM6))))</f>
        <v>-1.479592604535932</v>
      </c>
      <c r="CO6" s="29" cm="1">
        <f t="array" ref="CO6:CO10">ROUND(_xlfn.ANCHORARRAY(CN6),CL31)</f>
        <v>-1.48</v>
      </c>
      <c r="CP6" s="29" cm="1">
        <f t="array" ref="CP6:CP10">ROUND((_xlfn.ANCHORARRAY(CN6)-CL17)/CL21*(CL25),0)</f>
        <v>0</v>
      </c>
      <c r="CQ6" s="29" cm="1">
        <f t="array" ref="CQ6:CQ9">_xlfn.SEQUENCE(CL15)</f>
        <v>1</v>
      </c>
      <c r="CR6" s="29" cm="1">
        <f t="array" ref="CR6:CR9">INDEX(_xlfn.ANCHORARRAY(CP6),_xlfn.ANCHORARRAY(CQ6)+1)-INDEX(_xlfn.ANCHORARRAY(CP6),_xlfn.ANCHORARRAY(CQ6))</f>
        <v>243</v>
      </c>
      <c r="CS6" s="48" cm="1">
        <f t="array" ref="CS6:CS9">CL25/IF(_xlfn.ANCHORARRAY(CR6)=0,1,_xlfn.ANCHORARRAY(CR6))/SUM(CL25/IF(_xlfn.ANCHORARRAY(CR6)=0,1,_xlfn.ANCHORARRAY(CR6)))*CL15</f>
        <v>1.8192576091040986</v>
      </c>
      <c r="CT6" s="29" cm="1">
        <f t="array" ref="CT6:CT10">_xlfn.SEQUENCE(CL13,,1,0)</f>
        <v>1</v>
      </c>
      <c r="CU6" s="29" cm="1">
        <f t="array" ref="CU6:CU5005">_xlfn.SEQUENCE(CL25)</f>
        <v>1</v>
      </c>
      <c r="CV6" s="57" cm="1">
        <f t="array" ref="CV6:CV5005">MMULT(--(_xlfn.ANCHORARRAY(CU6)&gt;TRANSPOSE(_xlfn.ANCHORARRAY(CP6))),_xlfn.ANCHORARRAY(CT6))</f>
        <v>1</v>
      </c>
      <c r="CW6" s="48" cm="1">
        <f t="array" ref="CW6:CW5005">INDEX(_xlfn.ANCHORARRAY(CS6),_xlfn.ANCHORARRAY(CV6))</f>
        <v>1.8192576091040986</v>
      </c>
      <c r="CX6" s="48" cm="1">
        <f t="array" ref="CX6:CX5005">IF(_xlfn.ANCHORARRAY(CV6)=1,_xlfn.ANCHORARRAY(CW6),NA())</f>
        <v>1.8192576091040986</v>
      </c>
      <c r="CY6" s="48" t="e" cm="1">
        <f t="array" ref="CY6:CY5005">IF(_xlfn.ANCHORARRAY(CV6)=2,_xlfn.ANCHORARRAY(CW6),NA())</f>
        <v>#N/A</v>
      </c>
      <c r="CZ6" s="48" t="e" cm="1">
        <f t="array" ref="CZ6:CZ5005">IF(_xlfn.ANCHORARRAY(CV6)=3,_xlfn.ANCHORARRAY(CW6),NA())</f>
        <v>#N/A</v>
      </c>
      <c r="DA6" s="48" t="e" cm="1">
        <f t="array" ref="DA6:DA5005">IF(_xlfn.ANCHORARRAY(CV6)=4,_xlfn.ANCHORARRAY(CW6),NA())</f>
        <v>#N/A</v>
      </c>
      <c r="DB6" s="57" cm="1">
        <f t="array" ref="DB6:DB5005">IF(MMULT(--(_xlfn.ANCHORARRAY(CU6)=TRANSPOSE(_xlfn.ANCHORARRAY(CP6)+1)),_xlfn.ANCHORARRAY(CT6))=1,INDEX(_xlfn.ANCHORARRAY(CO6),_xlfn.ANCHORARRAY(CV6)),IF(_xlfn.ANCHORARRAY(CU6)=CL25,CL19,""))</f>
        <v>-1.48</v>
      </c>
      <c r="DC6" s="57"/>
      <c r="DD6" s="39" t="str">
        <f>"Boksplot af
"&amp;B5</f>
        <v>Boksplot af
Eksempel 1 (interval)</v>
      </c>
      <c r="DE6" s="49">
        <f>$DD$32</f>
        <v>-1.479592604535932</v>
      </c>
      <c r="DF6" s="49">
        <v>-1</v>
      </c>
      <c r="DG6" s="48" cm="1">
        <f t="array" ref="DG6:DG17">_xlfn.SEQUENCE(BB8)</f>
        <v>1</v>
      </c>
      <c r="DH6" s="48" cm="1">
        <f t="array" ref="DH6:DH17">BsData</f>
        <v>-1.479592604535932</v>
      </c>
      <c r="DI6" s="57" cm="1">
        <f t="array" ref="DI6:DI17">(_xlfn.ANCHORARRAY(DH6)&lt;=DD28)+(_xlfn.ANCHORARRAY(DH6)&gt;=DD30)</f>
        <v>0</v>
      </c>
      <c r="DJ6" s="29" cm="1">
        <f t="array" ref="DJ6:DJ7">IFERROR(_xlfn._xlws.FILTER(_xlfn.ANCHORARRAY(DH6),_xlfn.ANCHORARRAY(DI6)=1),NA())</f>
        <v>8</v>
      </c>
      <c r="DK6" s="29" cm="1">
        <f t="array" ref="DK6:DK7">IFERROR(_xlfn.SEQUENCE(SUM(_xlfn.ANCHORARRAY(DI6)),,0,0),NA())</f>
        <v>0</v>
      </c>
      <c r="DL6" s="29" cm="1">
        <f t="array" ref="DL6:DL15">_xlfn._xlws.FILTER(_xlfn.ANCHORARRAY(DH6),_xlfn.ANCHORARRAY(DI6)=0)</f>
        <v>-1.479592604535932</v>
      </c>
      <c r="DM6" s="29"/>
      <c r="DN6" s="39" t="str">
        <f>"Fraktildiagram med "&amp;B7&amp;" intervaller
for "&amp;B5</f>
        <v>Fraktildiagram med 6 intervaller
for Eksempel 1 (interval)</v>
      </c>
      <c r="DO6" s="48" cm="1">
        <f t="array" ref="DO6:DO12">_xlfn.SEQUENCE(B7+1,,0)</f>
        <v>0</v>
      </c>
      <c r="DP6" s="58" cm="1">
        <f t="array" ref="DP6:DP12">_xlfn.ANCHORARRAY(DO6)/B7</f>
        <v>0</v>
      </c>
      <c r="DQ6" s="31" cm="1">
        <f t="array" ref="DQ6:DQ12">_xlfn.PERCENTILE.INC(_xlfn.ANCHORARRAY(BD6),_xlfn.ANCHORARRAY(DP6))</f>
        <v>-1.479592604535932</v>
      </c>
      <c r="DR6" s="29" t="str" cm="1">
        <f t="array" ref="DR6:DR12">ROUND(_xlfn.ANCHORARRAY(DQ6),DN24)&amp;" ("&amp;ROUND(_xlfn.ANCHORARRAY(DP6)*100,0)&amp;"%)"</f>
        <v>-1.5 (0%)</v>
      </c>
      <c r="DS6" s="29" cm="1">
        <f t="array" ref="DS6:DS12">ROUND((_xlfn.ANCHORARRAY(DQ6)-DN14)/DN18*(DN12),0)</f>
        <v>0</v>
      </c>
      <c r="DT6" s="29" cm="1">
        <f t="array" ref="DT6:DT11">_xlfn.SEQUENCE(B7)</f>
        <v>1</v>
      </c>
      <c r="DU6" s="48" cm="1">
        <f t="array" ref="DU6:DU11">INDEX(_xlfn.ANCHORARRAY(DS6),_xlfn.ANCHORARRAY(DT6)+1)-INDEX(_xlfn.ANCHORARRAY(DS6),_xlfn.ANCHORARRAY(DT6))</f>
        <v>9</v>
      </c>
      <c r="DV6" s="48" cm="1">
        <f t="array" ref="DV6:DV11">DN12/IF(_xlfn.ANCHORARRAY(DU6)=0,1,_xlfn.ANCHORARRAY(DU6))/SUM(DN12/IF(_xlfn.ANCHORARRAY(DU6)=0,1,_xlfn.ANCHORARRAY(DU6)))*B7</f>
        <v>1.7350867949805218</v>
      </c>
      <c r="DW6" s="48" cm="1">
        <f t="array" ref="DW6:DW12">_xlfn.SEQUENCE(B7+1,,1,0)</f>
        <v>1</v>
      </c>
      <c r="DX6" s="31" cm="1">
        <f t="array" ref="DX6:DX257">_xlfn.SEQUENCE(DN12)</f>
        <v>1</v>
      </c>
      <c r="DY6" s="57" cm="1">
        <f t="array" ref="DY6:DY257">MMULT(--(_xlfn.ANCHORARRAY(DX6)&gt;TRANSPOSE(_xlfn.ANCHORARRAY(DS6))),_xlfn.ANCHORARRAY(DW6))</f>
        <v>1</v>
      </c>
      <c r="DZ6" s="48" cm="1">
        <f t="array" ref="DZ6:DZ257">INDEX(_xlfn.ANCHORARRAY(DV6),_xlfn.ANCHORARRAY(DY6))</f>
        <v>1.7350867949805218</v>
      </c>
      <c r="EA6" s="57" t="str" cm="1">
        <f t="array" ref="EA6:EA257">IF(MMULT(--(_xlfn.ANCHORARRAY(DX6)=TRANSPOSE(_xlfn.ANCHORARRAY(DS6)+1)),_xlfn.ANCHORARRAY(DW6))=1,INDEX(_xlfn.ANCHORARRAY(DR6),_xlfn.ANCHORARRAY(DY6)),IF(_xlfn.ANCHORARRAY(DX6)=DN12,INDEX(_xlfn.ANCHORARRAY(DR6),B7+1),""))</f>
        <v>-1.5 (0%)</v>
      </c>
      <c r="EB6" s="48"/>
      <c r="EC6" s="48"/>
    </row>
    <row r="7" spans="1:159" x14ac:dyDescent="0.2">
      <c r="A7" s="51" t="s">
        <v>214</v>
      </c>
      <c r="B7" s="2">
        <v>6</v>
      </c>
      <c r="BB7" s="51" t="s">
        <v>20</v>
      </c>
      <c r="BC7" s="29">
        <v>2</v>
      </c>
      <c r="BD7" s="29">
        <v>-1.1469596428732241</v>
      </c>
      <c r="BE7" s="29">
        <v>-1.1469596428732241</v>
      </c>
      <c r="BF7" s="29">
        <v>-0.69678601922273553</v>
      </c>
      <c r="BG7" s="29">
        <v>-1.1503493803760083</v>
      </c>
      <c r="BH7" s="29"/>
      <c r="BI7" s="51" t="s">
        <v>138</v>
      </c>
      <c r="BJ7" s="29">
        <v>2</v>
      </c>
      <c r="BK7" s="29">
        <v>-9.3438473523109895</v>
      </c>
      <c r="BL7" s="29">
        <v>-7.6211009260599187</v>
      </c>
      <c r="BM7" s="29">
        <v>0</v>
      </c>
      <c r="BN7" s="29">
        <v>2</v>
      </c>
      <c r="BO7" s="29">
        <v>-2</v>
      </c>
      <c r="BP7" s="29">
        <v>44</v>
      </c>
      <c r="BQ7" s="29">
        <v>1</v>
      </c>
      <c r="BR7" s="29">
        <v>2</v>
      </c>
      <c r="BS7" s="29">
        <v>-2.9763779527559056</v>
      </c>
      <c r="BT7" s="29">
        <v>4.7559852950567272E-3</v>
      </c>
      <c r="BU7" s="29">
        <v>1</v>
      </c>
      <c r="BV7" s="29">
        <v>0</v>
      </c>
      <c r="BW7" s="29">
        <v>0</v>
      </c>
      <c r="BX7" s="29" t="str">
        <v/>
      </c>
      <c r="BY7" s="29" t="str">
        <v/>
      </c>
      <c r="BZ7" s="29"/>
      <c r="CA7" s="51" t="s">
        <v>156</v>
      </c>
      <c r="CB7" s="48">
        <v>-1.1469596428732241</v>
      </c>
      <c r="CC7" s="48">
        <v>-1.147</v>
      </c>
      <c r="CD7" s="48">
        <v>1</v>
      </c>
      <c r="CE7" s="48" t="str">
        <v>8%</v>
      </c>
      <c r="CF7" s="48">
        <v>2</v>
      </c>
      <c r="CG7" s="48">
        <v>1</v>
      </c>
      <c r="CH7" s="48">
        <v>0</v>
      </c>
      <c r="CI7" s="48">
        <v>1</v>
      </c>
      <c r="CJ7" s="48" t="str">
        <v/>
      </c>
      <c r="CK7" s="48"/>
      <c r="CL7" s="51" t="s">
        <v>169</v>
      </c>
      <c r="CM7" s="48">
        <v>1</v>
      </c>
      <c r="CN7" s="48">
        <v>-0.77564154305867694</v>
      </c>
      <c r="CO7" s="57">
        <v>-0.77600000000000002</v>
      </c>
      <c r="CP7" s="29">
        <v>243</v>
      </c>
      <c r="CQ7" s="57">
        <v>2</v>
      </c>
      <c r="CR7" s="48">
        <v>440</v>
      </c>
      <c r="CS7" s="57">
        <v>1.0047263613915816</v>
      </c>
      <c r="CT7" s="57">
        <v>1</v>
      </c>
      <c r="CU7" s="57">
        <v>2</v>
      </c>
      <c r="CV7" s="57">
        <v>1</v>
      </c>
      <c r="CW7" s="48">
        <v>1.8192576091040986</v>
      </c>
      <c r="CX7" s="48">
        <v>1.8192576091040986</v>
      </c>
      <c r="CY7" s="48" t="e">
        <v>#N/A</v>
      </c>
      <c r="CZ7" s="48" t="e">
        <v>#N/A</v>
      </c>
      <c r="DA7" s="48" t="e">
        <v>#N/A</v>
      </c>
      <c r="DB7" s="57" t="str">
        <v/>
      </c>
      <c r="DC7" s="57"/>
      <c r="DD7" s="51" t="s">
        <v>190</v>
      </c>
      <c r="DE7" s="49">
        <f>$DD$32</f>
        <v>-1.479592604535932</v>
      </c>
      <c r="DF7" s="49">
        <v>1</v>
      </c>
      <c r="DG7" s="57">
        <v>2</v>
      </c>
      <c r="DH7" s="29">
        <v>-1.1469596428732241</v>
      </c>
      <c r="DI7" s="29">
        <v>0</v>
      </c>
      <c r="DJ7" s="29">
        <v>13</v>
      </c>
      <c r="DK7" s="29">
        <v>0</v>
      </c>
      <c r="DL7" s="29">
        <v>-1.1469596428732241</v>
      </c>
      <c r="DM7" s="29"/>
      <c r="DN7" s="51" t="s">
        <v>140</v>
      </c>
      <c r="DO7" s="48">
        <v>1</v>
      </c>
      <c r="DP7" s="58">
        <v>0.16666666666666666</v>
      </c>
      <c r="DQ7" s="31">
        <v>-0.93927420772144354</v>
      </c>
      <c r="DR7" s="31" t="str">
        <v>-0.9 (17%)</v>
      </c>
      <c r="DS7" s="48">
        <v>9</v>
      </c>
      <c r="DT7" s="48">
        <v>2</v>
      </c>
      <c r="DU7" s="48">
        <v>11</v>
      </c>
      <c r="DV7" s="48">
        <v>1.4196164686204271</v>
      </c>
      <c r="DW7" s="48">
        <v>1</v>
      </c>
      <c r="DX7" s="48">
        <v>2</v>
      </c>
      <c r="DY7" s="48">
        <v>1</v>
      </c>
      <c r="DZ7" s="48">
        <v>1.7350867949805218</v>
      </c>
      <c r="EA7" s="48" t="str">
        <v/>
      </c>
      <c r="EB7" s="48"/>
      <c r="EC7" s="48"/>
    </row>
    <row r="8" spans="1:159" x14ac:dyDescent="0.2">
      <c r="BB8" s="39" cm="1">
        <f t="array" ref="BB8">INDEX(DataBeregning!B5:CW5,BeskrivendeStatistik!BB6)</f>
        <v>12</v>
      </c>
      <c r="BC8" s="29">
        <v>3</v>
      </c>
      <c r="BD8" s="29">
        <v>-0.40935481016144565</v>
      </c>
      <c r="BE8" s="29">
        <v>-0.89773712069108735</v>
      </c>
      <c r="BF8" s="29">
        <v>-0.63891969173901442</v>
      </c>
      <c r="BG8" s="29">
        <v>-0.81221780149991241</v>
      </c>
      <c r="BH8" s="29"/>
      <c r="BI8" s="39" t="str">
        <f>"Observationer (n = "&amp;BB8&amp;")"</f>
        <v>Observationer (n = 12)</v>
      </c>
      <c r="BJ8" s="29">
        <v>3</v>
      </c>
      <c r="BK8" s="29">
        <v>-7.6211009260599187</v>
      </c>
      <c r="BL8" s="29">
        <v>-5.898354499808848</v>
      </c>
      <c r="BM8" s="29">
        <v>0</v>
      </c>
      <c r="BN8" s="29">
        <v>3</v>
      </c>
      <c r="BO8" s="29">
        <v>-1</v>
      </c>
      <c r="BP8" s="29">
        <v>86</v>
      </c>
      <c r="BQ8" s="29">
        <v>1</v>
      </c>
      <c r="BR8" s="29">
        <v>3</v>
      </c>
      <c r="BS8" s="29">
        <v>-2.9527559055118111</v>
      </c>
      <c r="BT8" s="29">
        <v>5.1009817796137192E-3</v>
      </c>
      <c r="BU8" s="29">
        <v>1</v>
      </c>
      <c r="BV8" s="29">
        <v>0</v>
      </c>
      <c r="BW8" s="29">
        <v>0</v>
      </c>
      <c r="BX8" s="29" t="str">
        <v/>
      </c>
      <c r="BY8" s="29" t="str">
        <v/>
      </c>
      <c r="BZ8" s="29"/>
      <c r="CA8" s="39" t="str">
        <f>"Observationer (n = "&amp;BB8&amp;")"</f>
        <v>Observationer (n = 12)</v>
      </c>
      <c r="CB8" s="48">
        <v>-0.89773712069108735</v>
      </c>
      <c r="CC8" s="48">
        <v>-0.89800000000000002</v>
      </c>
      <c r="CD8" s="48">
        <v>1</v>
      </c>
      <c r="CE8" s="48" t="str">
        <v>8%</v>
      </c>
      <c r="CF8" s="48">
        <v>3</v>
      </c>
      <c r="CG8" s="48">
        <v>1</v>
      </c>
      <c r="CH8" s="48">
        <v>0</v>
      </c>
      <c r="CI8" s="48">
        <v>1</v>
      </c>
      <c r="CJ8" s="48" t="str">
        <v/>
      </c>
      <c r="CK8" s="48"/>
      <c r="CL8" s="39" t="s">
        <v>21</v>
      </c>
      <c r="CM8" s="48">
        <v>2</v>
      </c>
      <c r="CN8" s="48">
        <v>0.49925963399512074</v>
      </c>
      <c r="CO8" s="57">
        <v>0.499</v>
      </c>
      <c r="CP8" s="29">
        <v>683</v>
      </c>
      <c r="CQ8" s="57">
        <v>3</v>
      </c>
      <c r="CR8" s="48">
        <v>416</v>
      </c>
      <c r="CS8" s="57">
        <v>1.0626913437795575</v>
      </c>
      <c r="CT8" s="57">
        <v>1</v>
      </c>
      <c r="CU8" s="57">
        <v>3</v>
      </c>
      <c r="CV8" s="57">
        <v>1</v>
      </c>
      <c r="CW8" s="48">
        <v>1.8192576091040986</v>
      </c>
      <c r="CX8" s="48">
        <v>1.8192576091040986</v>
      </c>
      <c r="CY8" s="48" t="e">
        <v>#N/A</v>
      </c>
      <c r="CZ8" s="48" t="e">
        <v>#N/A</v>
      </c>
      <c r="DA8" s="48" t="e">
        <v>#N/A</v>
      </c>
      <c r="DB8" s="57" t="str">
        <v/>
      </c>
      <c r="DC8" s="57"/>
      <c r="DD8" s="39" t="s">
        <v>99</v>
      </c>
      <c r="DE8" s="49">
        <f>$DD$32</f>
        <v>-1.479592604535932</v>
      </c>
      <c r="DF8" s="49">
        <v>0</v>
      </c>
      <c r="DG8" s="57">
        <v>3</v>
      </c>
      <c r="DH8" s="29">
        <v>-0.89773712069108735</v>
      </c>
      <c r="DI8" s="29">
        <v>0</v>
      </c>
      <c r="DJ8" s="29"/>
      <c r="DK8" s="29"/>
      <c r="DL8" s="29">
        <v>-0.89773712069108735</v>
      </c>
      <c r="DM8" s="29"/>
      <c r="DN8" s="40">
        <v>250</v>
      </c>
      <c r="DO8" s="48">
        <v>2</v>
      </c>
      <c r="DP8" s="58">
        <v>0.33333333333333331</v>
      </c>
      <c r="DQ8" s="31">
        <v>-0.3412757073826545</v>
      </c>
      <c r="DR8" s="31" t="str">
        <v>-0.3 (33%)</v>
      </c>
      <c r="DS8" s="59">
        <v>20</v>
      </c>
      <c r="DT8" s="59">
        <v>3</v>
      </c>
      <c r="DU8" s="48">
        <v>14</v>
      </c>
      <c r="DV8" s="48">
        <v>1.1154129396303354</v>
      </c>
      <c r="DW8" s="48">
        <v>1</v>
      </c>
      <c r="DX8" s="48">
        <v>3</v>
      </c>
      <c r="DY8" s="48">
        <v>1</v>
      </c>
      <c r="DZ8" s="48">
        <v>1.7350867949805218</v>
      </c>
      <c r="EA8" s="48" t="str">
        <v/>
      </c>
      <c r="EB8" s="48"/>
      <c r="EC8" s="48"/>
      <c r="FB8" s="25"/>
      <c r="FC8" s="25"/>
    </row>
    <row r="9" spans="1:159" x14ac:dyDescent="0.2">
      <c r="A9" s="24" t="s">
        <v>250</v>
      </c>
      <c r="BB9" s="51" t="s">
        <v>112</v>
      </c>
      <c r="BC9" s="29">
        <v>4</v>
      </c>
      <c r="BD9" s="29">
        <v>-1.479592604535932</v>
      </c>
      <c r="BE9" s="29">
        <v>-0.40935481016144565</v>
      </c>
      <c r="BF9" s="29">
        <v>-0.52552347669826049</v>
      </c>
      <c r="BG9" s="29">
        <v>-0.54852228269809788</v>
      </c>
      <c r="BH9" s="29"/>
      <c r="BI9" s="51" t="s">
        <v>139</v>
      </c>
      <c r="BJ9" s="29">
        <v>4</v>
      </c>
      <c r="BK9" s="29">
        <v>-5.898354499808848</v>
      </c>
      <c r="BL9" s="29">
        <v>-4.1756080735577772</v>
      </c>
      <c r="BM9" s="29">
        <v>0</v>
      </c>
      <c r="BN9" s="29">
        <v>4</v>
      </c>
      <c r="BO9" s="29">
        <v>0</v>
      </c>
      <c r="BP9" s="29">
        <v>128</v>
      </c>
      <c r="BQ9" s="29">
        <v>1</v>
      </c>
      <c r="BR9" s="29">
        <v>4</v>
      </c>
      <c r="BS9" s="29">
        <v>-2.9291338582677167</v>
      </c>
      <c r="BT9" s="29">
        <v>5.4679521393008702E-3</v>
      </c>
      <c r="BU9" s="29">
        <v>1</v>
      </c>
      <c r="BV9" s="29">
        <v>0</v>
      </c>
      <c r="BW9" s="29">
        <v>0</v>
      </c>
      <c r="BX9" s="29" t="str">
        <v/>
      </c>
      <c r="BY9" s="29" t="str">
        <v/>
      </c>
      <c r="BZ9" s="29"/>
      <c r="CA9" s="51" t="s">
        <v>106</v>
      </c>
      <c r="CB9" s="48">
        <v>-0.40935481016144565</v>
      </c>
      <c r="CC9" s="48">
        <v>-0.40899999999999997</v>
      </c>
      <c r="CD9" s="48">
        <v>1</v>
      </c>
      <c r="CE9" s="48" t="str">
        <v>8%</v>
      </c>
      <c r="CF9" s="48">
        <v>4</v>
      </c>
      <c r="CG9" s="48">
        <v>1</v>
      </c>
      <c r="CH9" s="48">
        <v>0</v>
      </c>
      <c r="CI9" s="48">
        <v>1</v>
      </c>
      <c r="CJ9" s="48" t="str">
        <v>-1.48</v>
      </c>
      <c r="CK9" s="48"/>
      <c r="CL9" s="39" t="s">
        <v>22</v>
      </c>
      <c r="CM9" s="48">
        <v>3</v>
      </c>
      <c r="CN9" s="48">
        <v>1.7034016755912118</v>
      </c>
      <c r="CO9" s="57">
        <v>1.7030000000000001</v>
      </c>
      <c r="CP9" s="29">
        <v>1099</v>
      </c>
      <c r="CQ9" s="57">
        <v>4</v>
      </c>
      <c r="CR9" s="48">
        <v>3901</v>
      </c>
      <c r="CS9" s="57">
        <v>0.11332468572476186</v>
      </c>
      <c r="CT9" s="57">
        <v>1</v>
      </c>
      <c r="CU9" s="57">
        <v>4</v>
      </c>
      <c r="CV9" s="57">
        <v>1</v>
      </c>
      <c r="CW9" s="48">
        <v>1.8192576091040986</v>
      </c>
      <c r="CX9" s="48">
        <v>1.8192576091040986</v>
      </c>
      <c r="CY9" s="48" t="e">
        <v>#N/A</v>
      </c>
      <c r="CZ9" s="48" t="e">
        <v>#N/A</v>
      </c>
      <c r="DA9" s="48" t="e">
        <v>#N/A</v>
      </c>
      <c r="DB9" s="57" t="str">
        <v/>
      </c>
      <c r="DC9" s="57"/>
      <c r="DD9" s="51" t="s">
        <v>191</v>
      </c>
      <c r="DE9" s="49">
        <f>$DD$14</f>
        <v>-0.77564154305867694</v>
      </c>
      <c r="DF9" s="49">
        <v>0</v>
      </c>
      <c r="DG9" s="57">
        <v>4</v>
      </c>
      <c r="DH9" s="29">
        <v>-0.40935481016144565</v>
      </c>
      <c r="DI9" s="29">
        <v>0</v>
      </c>
      <c r="DJ9" s="29"/>
      <c r="DK9" s="29"/>
      <c r="DL9" s="29">
        <v>-0.40935481016144565</v>
      </c>
      <c r="DM9" s="29"/>
      <c r="DN9" s="51" t="s">
        <v>150</v>
      </c>
      <c r="DO9" s="48">
        <v>3</v>
      </c>
      <c r="DP9" s="58">
        <v>0.5</v>
      </c>
      <c r="DQ9" s="31">
        <v>0.49925963399512074</v>
      </c>
      <c r="DR9" s="31" t="str">
        <v>0.5 (50%)</v>
      </c>
      <c r="DS9" s="59">
        <v>34</v>
      </c>
      <c r="DT9" s="59">
        <v>4</v>
      </c>
      <c r="DU9" s="48">
        <v>15</v>
      </c>
      <c r="DV9" s="48">
        <v>1.0410520769883131</v>
      </c>
      <c r="DW9" s="48">
        <v>1</v>
      </c>
      <c r="DX9" s="48">
        <v>4</v>
      </c>
      <c r="DY9" s="48">
        <v>1</v>
      </c>
      <c r="DZ9" s="48">
        <v>1.7350867949805218</v>
      </c>
      <c r="EA9" s="48" t="str">
        <v/>
      </c>
      <c r="EB9" s="48"/>
      <c r="EC9" s="48"/>
      <c r="FB9" s="25"/>
      <c r="FC9" s="25"/>
    </row>
    <row r="10" spans="1:159" x14ac:dyDescent="0.2">
      <c r="BB10" s="39">
        <f>AVERAGE(BsData)</f>
        <v>1.8540044183209698</v>
      </c>
      <c r="BC10" s="29">
        <v>5</v>
      </c>
      <c r="BD10" s="29">
        <v>1.8110756828005981</v>
      </c>
      <c r="BE10" s="29">
        <v>-0.30723615599325882</v>
      </c>
      <c r="BF10" s="29">
        <v>-0.50181281269986555</v>
      </c>
      <c r="BG10" s="29">
        <v>-0.3186393639643752</v>
      </c>
      <c r="BH10" s="29"/>
      <c r="BI10" s="39" t="str">
        <f>IFERROR("Normalfordeling ("&amp;BB14&amp;" ; "&amp;BB16&amp;")","")</f>
        <v>Normalfordeling (1.854 ; 4.307)</v>
      </c>
      <c r="BJ10" s="29">
        <v>5</v>
      </c>
      <c r="BK10" s="29">
        <v>-4.1756080735577772</v>
      </c>
      <c r="BL10" s="29">
        <v>-2.4528616473067064</v>
      </c>
      <c r="BM10" s="29">
        <v>0</v>
      </c>
      <c r="BN10" s="29">
        <v>5</v>
      </c>
      <c r="BO10" s="29">
        <v>1</v>
      </c>
      <c r="BP10" s="29">
        <v>171</v>
      </c>
      <c r="BQ10" s="29">
        <v>1</v>
      </c>
      <c r="BR10" s="29">
        <v>5</v>
      </c>
      <c r="BS10" s="29">
        <v>-2.9055118110236222</v>
      </c>
      <c r="BT10" s="29">
        <v>5.8580530466154357E-3</v>
      </c>
      <c r="BU10" s="29">
        <v>1</v>
      </c>
      <c r="BV10" s="29">
        <v>0</v>
      </c>
      <c r="BW10" s="29">
        <v>0</v>
      </c>
      <c r="BX10" s="29" t="str">
        <v/>
      </c>
      <c r="BY10" s="29" t="str">
        <v/>
      </c>
      <c r="BZ10" s="29"/>
      <c r="CA10" s="39">
        <f>COUNTA(_xlfn.UNIQUE(_xlfn.ANCHORARRAY(BD6)))</f>
        <v>12</v>
      </c>
      <c r="CB10" s="48">
        <v>-0.30723615599325882</v>
      </c>
      <c r="CC10" s="48">
        <v>-0.307</v>
      </c>
      <c r="CD10" s="48">
        <v>1</v>
      </c>
      <c r="CE10" s="48" t="str">
        <v>8%</v>
      </c>
      <c r="CF10" s="48">
        <v>5</v>
      </c>
      <c r="CG10" s="48">
        <v>1</v>
      </c>
      <c r="CH10" s="48">
        <v>0</v>
      </c>
      <c r="CI10" s="48">
        <v>1</v>
      </c>
      <c r="CJ10" s="48" t="str">
        <v/>
      </c>
      <c r="CK10" s="48"/>
      <c r="CL10" s="39" t="s">
        <v>23</v>
      </c>
      <c r="CM10" s="48">
        <v>4</v>
      </c>
      <c r="CN10" s="48">
        <v>13</v>
      </c>
      <c r="CO10" s="57">
        <v>13</v>
      </c>
      <c r="CP10" s="29">
        <v>5000</v>
      </c>
      <c r="CQ10" s="57"/>
      <c r="CR10" s="57"/>
      <c r="CS10" s="57"/>
      <c r="CT10" s="57">
        <v>1</v>
      </c>
      <c r="CU10" s="57">
        <v>5</v>
      </c>
      <c r="CV10" s="57">
        <v>1</v>
      </c>
      <c r="CW10" s="48">
        <v>1.8192576091040986</v>
      </c>
      <c r="CX10" s="48">
        <v>1.8192576091040986</v>
      </c>
      <c r="CY10" s="48" t="e">
        <v>#N/A</v>
      </c>
      <c r="CZ10" s="48" t="e">
        <v>#N/A</v>
      </c>
      <c r="DA10" s="48" t="e">
        <v>#N/A</v>
      </c>
      <c r="DB10" s="57" t="str">
        <v/>
      </c>
      <c r="DC10" s="57"/>
      <c r="DD10" s="39" t="s">
        <v>194</v>
      </c>
      <c r="DE10" s="49">
        <f>$DD$14</f>
        <v>-0.77564154305867694</v>
      </c>
      <c r="DF10" s="49">
        <v>-1</v>
      </c>
      <c r="DG10" s="57">
        <v>5</v>
      </c>
      <c r="DH10" s="29">
        <v>-0.30723615599325882</v>
      </c>
      <c r="DI10" s="29">
        <v>0</v>
      </c>
      <c r="DJ10" s="29"/>
      <c r="DK10" s="29"/>
      <c r="DL10" s="29">
        <v>-0.30723615599325882</v>
      </c>
      <c r="DM10" s="29"/>
      <c r="DN10" s="39">
        <f>ROUNDUP(DN8/B7,0)</f>
        <v>42</v>
      </c>
      <c r="DO10" s="48">
        <v>4</v>
      </c>
      <c r="DP10" s="58">
        <v>0.66666666666666663</v>
      </c>
      <c r="DQ10" s="31">
        <v>1.3260990508894823</v>
      </c>
      <c r="DR10" s="31" t="str">
        <v>1.3 (67%)</v>
      </c>
      <c r="DS10" s="59">
        <v>49</v>
      </c>
      <c r="DT10" s="59">
        <v>5</v>
      </c>
      <c r="DU10" s="48">
        <v>26</v>
      </c>
      <c r="DV10" s="48">
        <v>0.60060696749325759</v>
      </c>
      <c r="DW10" s="48">
        <v>1</v>
      </c>
      <c r="DX10" s="48">
        <v>5</v>
      </c>
      <c r="DY10" s="48">
        <v>1</v>
      </c>
      <c r="DZ10" s="48">
        <v>1.7350867949805218</v>
      </c>
      <c r="EA10" s="48" t="str">
        <v/>
      </c>
      <c r="EB10" s="48"/>
      <c r="EC10" s="48"/>
      <c r="FB10" s="25"/>
      <c r="FC10" s="25"/>
    </row>
    <row r="11" spans="1:159" x14ac:dyDescent="0.2">
      <c r="BB11" s="51" t="s">
        <v>113</v>
      </c>
      <c r="BC11" s="29">
        <v>6</v>
      </c>
      <c r="BD11" s="29">
        <v>8</v>
      </c>
      <c r="BE11" s="29">
        <v>8.4427372017371785E-2</v>
      </c>
      <c r="BF11" s="29">
        <v>-0.41087347954148701</v>
      </c>
      <c r="BG11" s="29">
        <v>-0.10463345561407539</v>
      </c>
      <c r="BH11" s="29"/>
      <c r="BI11" s="51" t="s">
        <v>130</v>
      </c>
      <c r="BJ11" s="29">
        <v>6</v>
      </c>
      <c r="BK11" s="29">
        <v>-2.4528616473067064</v>
      </c>
      <c r="BL11" s="29">
        <v>-0.73011522105563564</v>
      </c>
      <c r="BM11" s="29">
        <v>3</v>
      </c>
      <c r="BN11" s="29">
        <v>6</v>
      </c>
      <c r="BO11" s="29">
        <v>2</v>
      </c>
      <c r="BP11" s="29">
        <v>213</v>
      </c>
      <c r="BQ11" s="29">
        <v>1</v>
      </c>
      <c r="BR11" s="29">
        <v>6</v>
      </c>
      <c r="BS11" s="29">
        <v>-2.8818897637795278</v>
      </c>
      <c r="BT11" s="29">
        <v>6.2724839501383011E-3</v>
      </c>
      <c r="BU11" s="29">
        <v>1</v>
      </c>
      <c r="BV11" s="29">
        <v>0</v>
      </c>
      <c r="BW11" s="29">
        <v>0</v>
      </c>
      <c r="BX11" s="29" t="str">
        <v/>
      </c>
      <c r="BY11" s="29" t="str">
        <v/>
      </c>
      <c r="BZ11" s="29"/>
      <c r="CA11" s="48" t="s">
        <v>159</v>
      </c>
      <c r="CB11" s="48">
        <v>8.4427372017371785E-2</v>
      </c>
      <c r="CC11" s="48">
        <v>8.4000000000000005E-2</v>
      </c>
      <c r="CD11" s="48">
        <v>1</v>
      </c>
      <c r="CE11" s="48" t="str">
        <v>8%</v>
      </c>
      <c r="CF11" s="48">
        <v>6</v>
      </c>
      <c r="CG11" s="48">
        <v>1</v>
      </c>
      <c r="CH11" s="48">
        <v>1</v>
      </c>
      <c r="CI11" s="48" t="e">
        <v>#N/A</v>
      </c>
      <c r="CJ11" s="48" t="str">
        <v/>
      </c>
      <c r="CK11" s="48"/>
      <c r="CL11" s="39" t="s">
        <v>24</v>
      </c>
      <c r="CM11" s="48"/>
      <c r="CN11" s="48"/>
      <c r="CO11" s="57"/>
      <c r="CP11" s="57"/>
      <c r="CQ11" s="57"/>
      <c r="CR11" s="57"/>
      <c r="CS11" s="57"/>
      <c r="CT11" s="57"/>
      <c r="CU11" s="57">
        <v>6</v>
      </c>
      <c r="CV11" s="57">
        <v>1</v>
      </c>
      <c r="CW11" s="48">
        <v>1.8192576091040986</v>
      </c>
      <c r="CX11" s="48">
        <v>1.8192576091040986</v>
      </c>
      <c r="CY11" s="48" t="e">
        <v>#N/A</v>
      </c>
      <c r="CZ11" s="48" t="e">
        <v>#N/A</v>
      </c>
      <c r="DA11" s="48" t="e">
        <v>#N/A</v>
      </c>
      <c r="DB11" s="57" t="str">
        <v/>
      </c>
      <c r="DC11" s="57"/>
      <c r="DD11" s="52" t="s">
        <v>192</v>
      </c>
      <c r="DE11" s="49">
        <f>$DD$18</f>
        <v>1.7034016755912118</v>
      </c>
      <c r="DF11" s="49">
        <v>-1</v>
      </c>
      <c r="DG11" s="57">
        <v>6</v>
      </c>
      <c r="DH11" s="29">
        <v>8.4427372017371785E-2</v>
      </c>
      <c r="DI11" s="29">
        <v>0</v>
      </c>
      <c r="DJ11" s="29"/>
      <c r="DK11" s="29"/>
      <c r="DL11" s="29">
        <v>8.4427372017371785E-2</v>
      </c>
      <c r="DM11" s="29"/>
      <c r="DN11" s="51" t="s">
        <v>141</v>
      </c>
      <c r="DO11" s="48">
        <v>5</v>
      </c>
      <c r="DP11" s="58">
        <v>0.83333333333333337</v>
      </c>
      <c r="DQ11" s="31">
        <v>2.8425630690005059</v>
      </c>
      <c r="DR11" s="31" t="str">
        <v>2.8 (83%)</v>
      </c>
      <c r="DS11" s="59">
        <v>75</v>
      </c>
      <c r="DT11" s="48">
        <v>6</v>
      </c>
      <c r="DU11" s="48">
        <v>177</v>
      </c>
      <c r="DV11" s="48">
        <v>8.8224752287145186E-2</v>
      </c>
      <c r="DW11" s="48">
        <v>1</v>
      </c>
      <c r="DX11" s="48">
        <v>6</v>
      </c>
      <c r="DY11" s="48">
        <v>1</v>
      </c>
      <c r="DZ11" s="48">
        <v>1.7350867949805218</v>
      </c>
      <c r="EA11" s="48" t="str">
        <v/>
      </c>
      <c r="EB11" s="48"/>
      <c r="EC11" s="48"/>
      <c r="FB11" s="25"/>
      <c r="FC11" s="25"/>
    </row>
    <row r="12" spans="1:159" x14ac:dyDescent="0.2">
      <c r="BB12" s="39">
        <f>_xlfn.STDEV.S(BsData)</f>
        <v>4.3068660656276769</v>
      </c>
      <c r="BC12" s="29">
        <v>7</v>
      </c>
      <c r="BD12" s="29">
        <v>-0.30723615599325882</v>
      </c>
      <c r="BE12" s="29">
        <v>0.91409189597286977</v>
      </c>
      <c r="BF12" s="29">
        <v>-0.21823583738750846</v>
      </c>
      <c r="BG12" s="29">
        <v>0.10463345561407525</v>
      </c>
      <c r="BH12" s="29"/>
      <c r="BI12" s="39" cm="1">
        <f t="array" ref="BI12">MAX(ABS(BzData))</f>
        <v>2.5879596467215951</v>
      </c>
      <c r="BJ12" s="29">
        <v>7</v>
      </c>
      <c r="BK12" s="29">
        <v>-0.73011522105563564</v>
      </c>
      <c r="BL12" s="29">
        <v>0.99263120519543513</v>
      </c>
      <c r="BM12" s="29">
        <v>4</v>
      </c>
      <c r="BN12" s="29">
        <v>7</v>
      </c>
      <c r="BO12" s="29">
        <v>3</v>
      </c>
      <c r="BP12" s="29">
        <v>255</v>
      </c>
      <c r="BQ12" s="29">
        <v>1</v>
      </c>
      <c r="BR12" s="29">
        <v>7</v>
      </c>
      <c r="BS12" s="29">
        <v>-2.8582677165354329</v>
      </c>
      <c r="BT12" s="29">
        <v>6.7124873553275682E-3</v>
      </c>
      <c r="BU12" s="29">
        <v>1</v>
      </c>
      <c r="BV12" s="29">
        <v>0</v>
      </c>
      <c r="BW12" s="29">
        <v>0</v>
      </c>
      <c r="BX12" s="29" t="str">
        <v/>
      </c>
      <c r="BY12" s="29" t="str">
        <v/>
      </c>
      <c r="BZ12" s="29"/>
      <c r="CA12" s="39">
        <f>IF(CA10&gt;1000,NA(),6)</f>
        <v>6</v>
      </c>
      <c r="CB12" s="48">
        <v>0.91409189597286977</v>
      </c>
      <c r="CC12" s="48">
        <v>0.91400000000000003</v>
      </c>
      <c r="CD12" s="48">
        <v>1</v>
      </c>
      <c r="CE12" s="48" t="str">
        <v>8%</v>
      </c>
      <c r="CF12" s="48">
        <v>7</v>
      </c>
      <c r="CG12" s="48">
        <v>2</v>
      </c>
      <c r="CH12" s="48">
        <v>1</v>
      </c>
      <c r="CI12" s="48" t="e">
        <v>#N/A</v>
      </c>
      <c r="CJ12" s="48" t="str">
        <v/>
      </c>
      <c r="CK12" s="48"/>
      <c r="CL12" s="55" t="s">
        <v>173</v>
      </c>
      <c r="CM12" s="48"/>
      <c r="CN12" s="48"/>
      <c r="CO12" s="57"/>
      <c r="CP12" s="57"/>
      <c r="CQ12" s="57"/>
      <c r="CR12" s="57"/>
      <c r="CS12" s="57"/>
      <c r="CT12" s="57"/>
      <c r="CU12" s="57">
        <v>7</v>
      </c>
      <c r="CV12" s="57">
        <v>1</v>
      </c>
      <c r="CW12" s="48">
        <v>1.8192576091040986</v>
      </c>
      <c r="CX12" s="48">
        <v>1.8192576091040986</v>
      </c>
      <c r="CY12" s="48" t="e">
        <v>#N/A</v>
      </c>
      <c r="CZ12" s="48" t="e">
        <v>#N/A</v>
      </c>
      <c r="DA12" s="48" t="e">
        <v>#N/A</v>
      </c>
      <c r="DB12" s="57" t="str">
        <v/>
      </c>
      <c r="DC12" s="57"/>
      <c r="DD12" s="49" t="s">
        <v>193</v>
      </c>
      <c r="DE12" s="49">
        <f>$DD$18</f>
        <v>1.7034016755912118</v>
      </c>
      <c r="DF12" s="49">
        <v>1</v>
      </c>
      <c r="DG12" s="57">
        <v>7</v>
      </c>
      <c r="DH12" s="29">
        <v>0.91409189597286977</v>
      </c>
      <c r="DI12" s="29">
        <v>0</v>
      </c>
      <c r="DJ12" s="29"/>
      <c r="DK12" s="29"/>
      <c r="DL12" s="29">
        <v>0.91409189597286977</v>
      </c>
      <c r="DM12" s="29"/>
      <c r="DN12" s="39">
        <f>DN10*B7</f>
        <v>252</v>
      </c>
      <c r="DO12" s="48">
        <v>6</v>
      </c>
      <c r="DP12" s="58">
        <v>1</v>
      </c>
      <c r="DQ12" s="31">
        <v>13</v>
      </c>
      <c r="DR12" s="31" t="str">
        <v>13 (100%)</v>
      </c>
      <c r="DS12" s="48">
        <v>252</v>
      </c>
      <c r="DT12" s="48"/>
      <c r="DU12" s="48"/>
      <c r="DV12" s="48"/>
      <c r="DW12" s="48">
        <v>1</v>
      </c>
      <c r="DX12" s="48">
        <v>7</v>
      </c>
      <c r="DY12" s="48">
        <v>1</v>
      </c>
      <c r="DZ12" s="48">
        <v>1.7350867949805218</v>
      </c>
      <c r="EA12" s="48" t="str">
        <v/>
      </c>
      <c r="EB12" s="48"/>
      <c r="EC12" s="48"/>
      <c r="FB12" s="25"/>
      <c r="FC12" s="25"/>
    </row>
    <row r="13" spans="1:159" x14ac:dyDescent="0.2">
      <c r="BB13" s="51" t="s">
        <v>123</v>
      </c>
      <c r="BC13" s="29">
        <v>8</v>
      </c>
      <c r="BD13" s="29">
        <v>13</v>
      </c>
      <c r="BE13" s="29">
        <v>1.2989587493526971</v>
      </c>
      <c r="BF13" s="29">
        <v>-0.12887460638676285</v>
      </c>
      <c r="BG13" s="29">
        <v>0.3186393639643752</v>
      </c>
      <c r="BH13" s="29"/>
      <c r="BI13" s="51" t="s">
        <v>131</v>
      </c>
      <c r="BJ13" s="29">
        <v>8</v>
      </c>
      <c r="BK13" s="29">
        <v>0.99263120519543513</v>
      </c>
      <c r="BL13" s="29">
        <v>2.7153776314465059</v>
      </c>
      <c r="BM13" s="29">
        <v>3</v>
      </c>
      <c r="BN13" s="29"/>
      <c r="BO13" s="29"/>
      <c r="BP13" s="29"/>
      <c r="BQ13" s="29">
        <v>1</v>
      </c>
      <c r="BR13" s="29">
        <v>8</v>
      </c>
      <c r="BS13" s="29">
        <v>-2.8346456692913384</v>
      </c>
      <c r="BT13" s="29">
        <v>7.1793490009733575E-3</v>
      </c>
      <c r="BU13" s="29">
        <v>1</v>
      </c>
      <c r="BV13" s="29">
        <v>0</v>
      </c>
      <c r="BW13" s="29">
        <v>0</v>
      </c>
      <c r="BX13" s="29" t="str">
        <v/>
      </c>
      <c r="BY13" s="29" t="str">
        <v/>
      </c>
      <c r="BZ13" s="29"/>
      <c r="CA13" s="51" t="s">
        <v>141</v>
      </c>
      <c r="CB13" s="48">
        <v>1.2989587493526971</v>
      </c>
      <c r="CC13" s="48">
        <v>1.2989999999999999</v>
      </c>
      <c r="CD13" s="48">
        <v>1</v>
      </c>
      <c r="CE13" s="48" t="str">
        <v>8%</v>
      </c>
      <c r="CF13" s="48">
        <v>8</v>
      </c>
      <c r="CG13" s="48">
        <v>2</v>
      </c>
      <c r="CH13" s="48">
        <v>0</v>
      </c>
      <c r="CI13" s="48">
        <v>1</v>
      </c>
      <c r="CJ13" s="48" t="str">
        <v/>
      </c>
      <c r="CK13" s="48"/>
      <c r="CL13" s="40">
        <v>5</v>
      </c>
      <c r="CM13" s="48"/>
      <c r="CN13" s="48"/>
      <c r="CO13" s="57"/>
      <c r="CP13" s="57"/>
      <c r="CQ13" s="57"/>
      <c r="CR13" s="57"/>
      <c r="CS13" s="57"/>
      <c r="CT13" s="57"/>
      <c r="CU13" s="57">
        <v>8</v>
      </c>
      <c r="CV13" s="57">
        <v>1</v>
      </c>
      <c r="CW13" s="48">
        <v>1.8192576091040986</v>
      </c>
      <c r="CX13" s="48">
        <v>1.8192576091040986</v>
      </c>
      <c r="CY13" s="48" t="e">
        <v>#N/A</v>
      </c>
      <c r="CZ13" s="48" t="e">
        <v>#N/A</v>
      </c>
      <c r="DA13" s="48" t="e">
        <v>#N/A</v>
      </c>
      <c r="DB13" s="57" t="str">
        <v/>
      </c>
      <c r="DC13" s="57"/>
      <c r="DD13" s="55" t="s">
        <v>21</v>
      </c>
      <c r="DE13" s="49">
        <f>$DD$14</f>
        <v>-0.77564154305867694</v>
      </c>
      <c r="DF13" s="49">
        <v>1</v>
      </c>
      <c r="DG13" s="57">
        <v>8</v>
      </c>
      <c r="DH13" s="29">
        <v>1.2989587493526971</v>
      </c>
      <c r="DI13" s="29">
        <v>0</v>
      </c>
      <c r="DJ13" s="29"/>
      <c r="DK13" s="29"/>
      <c r="DL13" s="29">
        <v>1.2989587493526971</v>
      </c>
      <c r="DM13" s="29"/>
      <c r="DN13" s="51" t="s">
        <v>26</v>
      </c>
      <c r="DO13" s="48"/>
      <c r="DP13" s="58"/>
      <c r="DQ13" s="31"/>
      <c r="DR13" s="31"/>
      <c r="DS13" s="48"/>
      <c r="DT13" s="48"/>
      <c r="DU13" s="48"/>
      <c r="DV13" s="48"/>
      <c r="DW13" s="48"/>
      <c r="DX13" s="48">
        <v>8</v>
      </c>
      <c r="DY13" s="48">
        <v>1</v>
      </c>
      <c r="DZ13" s="48">
        <v>1.7350867949805218</v>
      </c>
      <c r="EA13" s="48" t="str">
        <v/>
      </c>
      <c r="EB13" s="48"/>
      <c r="EC13" s="48"/>
      <c r="FB13" s="25"/>
      <c r="FC13" s="25"/>
    </row>
    <row r="14" spans="1:159" x14ac:dyDescent="0.2">
      <c r="BB14" s="39">
        <f>ROUND(BB10,3)</f>
        <v>1.8540000000000001</v>
      </c>
      <c r="BC14" s="29">
        <v>9</v>
      </c>
      <c r="BD14" s="29">
        <v>1.3803796539630533</v>
      </c>
      <c r="BE14" s="29">
        <v>1.3803796539630533</v>
      </c>
      <c r="BF14" s="29">
        <v>-0.10996969888101016</v>
      </c>
      <c r="BG14" s="29">
        <v>0.54852228269809822</v>
      </c>
      <c r="BH14" s="29"/>
      <c r="BI14" s="39">
        <f>MIN(-3,-BI12)</f>
        <v>-3</v>
      </c>
      <c r="BJ14" s="29">
        <v>9</v>
      </c>
      <c r="BK14" s="29">
        <v>2.7153776314465059</v>
      </c>
      <c r="BL14" s="29">
        <v>4.4381240576975767</v>
      </c>
      <c r="BM14" s="29">
        <v>0</v>
      </c>
      <c r="BN14" s="29"/>
      <c r="BO14" s="29"/>
      <c r="BP14" s="29"/>
      <c r="BQ14" s="29">
        <v>1</v>
      </c>
      <c r="BR14" s="29">
        <v>9</v>
      </c>
      <c r="BS14" s="29">
        <v>-2.811023622047244</v>
      </c>
      <c r="BT14" s="29">
        <v>7.674397923323451E-3</v>
      </c>
      <c r="BU14" s="29">
        <v>1</v>
      </c>
      <c r="BV14" s="29">
        <v>0</v>
      </c>
      <c r="BW14" s="29">
        <v>0</v>
      </c>
      <c r="BX14" s="29" t="str">
        <v/>
      </c>
      <c r="BY14" s="29" t="str">
        <v/>
      </c>
      <c r="BZ14" s="29"/>
      <c r="CA14" s="39">
        <f>CA10*CA12</f>
        <v>72</v>
      </c>
      <c r="CB14" s="48">
        <v>1.3803796539630533</v>
      </c>
      <c r="CC14" s="48">
        <v>1.38</v>
      </c>
      <c r="CD14" s="48">
        <v>1</v>
      </c>
      <c r="CE14" s="48" t="str">
        <v>8%</v>
      </c>
      <c r="CF14" s="48">
        <v>9</v>
      </c>
      <c r="CG14" s="48">
        <v>2</v>
      </c>
      <c r="CH14" s="48">
        <v>0</v>
      </c>
      <c r="CI14" s="48">
        <v>1</v>
      </c>
      <c r="CJ14" s="48" t="str">
        <v/>
      </c>
      <c r="CK14" s="48"/>
      <c r="CL14" s="55" t="s">
        <v>170</v>
      </c>
      <c r="CM14" s="48"/>
      <c r="CN14" s="48"/>
      <c r="CO14" s="57"/>
      <c r="CP14" s="57"/>
      <c r="CQ14" s="57"/>
      <c r="CR14" s="57"/>
      <c r="CS14" s="57"/>
      <c r="CT14" s="57"/>
      <c r="CU14" s="57">
        <v>9</v>
      </c>
      <c r="CV14" s="57">
        <v>1</v>
      </c>
      <c r="CW14" s="48">
        <v>1.8192576091040986</v>
      </c>
      <c r="CX14" s="48">
        <v>1.8192576091040986</v>
      </c>
      <c r="CY14" s="48" t="e">
        <v>#N/A</v>
      </c>
      <c r="CZ14" s="48" t="e">
        <v>#N/A</v>
      </c>
      <c r="DA14" s="48" t="e">
        <v>#N/A</v>
      </c>
      <c r="DB14" s="57" t="str">
        <v/>
      </c>
      <c r="DC14" s="57"/>
      <c r="DD14" s="40">
        <f>_xlfn.QUARTILE.EXC(_xlfn.ANCHORARRAY(BD6),1)</f>
        <v>-0.77564154305867694</v>
      </c>
      <c r="DE14" s="49">
        <f>$DD$14</f>
        <v>-0.77564154305867694</v>
      </c>
      <c r="DF14" s="49">
        <v>-1</v>
      </c>
      <c r="DG14" s="57">
        <v>9</v>
      </c>
      <c r="DH14" s="29">
        <v>1.3803796539630533</v>
      </c>
      <c r="DI14" s="29">
        <v>0</v>
      </c>
      <c r="DJ14" s="29"/>
      <c r="DK14" s="29"/>
      <c r="DL14" s="29">
        <v>1.3803796539630533</v>
      </c>
      <c r="DM14" s="29"/>
      <c r="DN14" s="39">
        <f>MIN(_xlfn.ANCHORARRAY(BD6))</f>
        <v>-1.479592604535932</v>
      </c>
      <c r="DO14" s="48"/>
      <c r="DP14" s="58"/>
      <c r="DQ14" s="31"/>
      <c r="DR14" s="31"/>
      <c r="DS14" s="48"/>
      <c r="DT14" s="48"/>
      <c r="DU14" s="48"/>
      <c r="DV14" s="48"/>
      <c r="DW14" s="48"/>
      <c r="DX14" s="48">
        <v>9</v>
      </c>
      <c r="DY14" s="48">
        <v>1</v>
      </c>
      <c r="DZ14" s="48">
        <v>1.7350867949805218</v>
      </c>
      <c r="EA14" s="48" t="str">
        <v/>
      </c>
      <c r="EB14" s="48"/>
      <c r="EC14" s="48"/>
      <c r="FB14" s="25"/>
      <c r="FC14" s="25"/>
    </row>
    <row r="15" spans="1:159" x14ac:dyDescent="0.2">
      <c r="BB15" s="51" t="s">
        <v>124</v>
      </c>
      <c r="BC15" s="29">
        <v>10</v>
      </c>
      <c r="BD15" s="29">
        <v>8.4427372017371785E-2</v>
      </c>
      <c r="BE15" s="29">
        <v>1.8110756828005981</v>
      </c>
      <c r="BF15" s="29">
        <v>-9.9675111476018041E-3</v>
      </c>
      <c r="BG15" s="29">
        <v>0.81221780149991241</v>
      </c>
      <c r="BH15" s="29"/>
      <c r="BI15" s="51" t="s">
        <v>132</v>
      </c>
      <c r="BJ15" s="29">
        <v>10</v>
      </c>
      <c r="BK15" s="29">
        <v>4.4381240576975767</v>
      </c>
      <c r="BL15" s="29">
        <v>6.1608704839486474</v>
      </c>
      <c r="BM15" s="29">
        <v>0</v>
      </c>
      <c r="BN15" s="29"/>
      <c r="BO15" s="29"/>
      <c r="BP15" s="29"/>
      <c r="BQ15" s="29">
        <v>1</v>
      </c>
      <c r="BR15" s="29">
        <v>10</v>
      </c>
      <c r="BS15" s="29">
        <v>-2.7874015748031495</v>
      </c>
      <c r="BT15" s="29">
        <v>8.1990063997801985E-3</v>
      </c>
      <c r="BU15" s="29">
        <v>1</v>
      </c>
      <c r="BV15" s="29">
        <v>0</v>
      </c>
      <c r="BW15" s="29">
        <v>0</v>
      </c>
      <c r="BX15" s="29" t="str">
        <v/>
      </c>
      <c r="BY15" s="29" t="str">
        <v/>
      </c>
      <c r="BZ15" s="29"/>
      <c r="CA15" s="51" t="s">
        <v>164</v>
      </c>
      <c r="CB15" s="48">
        <v>1.8110756828005981</v>
      </c>
      <c r="CC15" s="48">
        <v>1.8109999999999999</v>
      </c>
      <c r="CD15" s="48">
        <v>1</v>
      </c>
      <c r="CE15" s="48" t="str">
        <v>8%</v>
      </c>
      <c r="CF15" s="48">
        <v>10</v>
      </c>
      <c r="CG15" s="48">
        <v>2</v>
      </c>
      <c r="CH15" s="48">
        <v>0</v>
      </c>
      <c r="CI15" s="48">
        <v>1</v>
      </c>
      <c r="CJ15" s="48" t="str">
        <v>-1.147</v>
      </c>
      <c r="CK15" s="48"/>
      <c r="CL15" s="40">
        <v>4</v>
      </c>
      <c r="CM15" s="48"/>
      <c r="CN15" s="48"/>
      <c r="CO15" s="57"/>
      <c r="CP15" s="57"/>
      <c r="CQ15" s="57"/>
      <c r="CR15" s="57"/>
      <c r="CS15" s="57"/>
      <c r="CT15" s="57"/>
      <c r="CU15" s="57">
        <v>10</v>
      </c>
      <c r="CV15" s="57">
        <v>1</v>
      </c>
      <c r="CW15" s="48">
        <v>1.8192576091040986</v>
      </c>
      <c r="CX15" s="48">
        <v>1.8192576091040986</v>
      </c>
      <c r="CY15" s="48" t="e">
        <v>#N/A</v>
      </c>
      <c r="CZ15" s="48" t="e">
        <v>#N/A</v>
      </c>
      <c r="DA15" s="48" t="e">
        <v>#N/A</v>
      </c>
      <c r="DB15" s="57" t="str">
        <v/>
      </c>
      <c r="DC15" s="57"/>
      <c r="DD15" s="55" t="s">
        <v>193</v>
      </c>
      <c r="DE15" s="49">
        <f>$DD$18</f>
        <v>1.7034016755912118</v>
      </c>
      <c r="DF15" s="49">
        <v>-1</v>
      </c>
      <c r="DG15" s="57">
        <v>10</v>
      </c>
      <c r="DH15" s="29">
        <v>1.8110756828005981</v>
      </c>
      <c r="DI15" s="29">
        <v>0</v>
      </c>
      <c r="DJ15" s="29"/>
      <c r="DK15" s="29"/>
      <c r="DL15" s="29">
        <v>1.8110756828005981</v>
      </c>
      <c r="DM15" s="29"/>
      <c r="DN15" s="51" t="s">
        <v>105</v>
      </c>
      <c r="DO15" s="48"/>
      <c r="DP15" s="29"/>
      <c r="DQ15" s="29"/>
      <c r="DR15" s="29"/>
      <c r="DS15" s="48"/>
      <c r="DT15" s="48"/>
      <c r="DU15" s="48"/>
      <c r="DV15" s="48"/>
      <c r="DW15" s="48"/>
      <c r="DX15" s="48">
        <v>10</v>
      </c>
      <c r="DY15" s="48">
        <v>2</v>
      </c>
      <c r="DZ15" s="48">
        <v>1.4196164686204271</v>
      </c>
      <c r="EA15" s="48" t="str">
        <v>-0.9 (17%)</v>
      </c>
      <c r="EB15" s="48"/>
      <c r="EC15" s="48"/>
      <c r="FB15" s="25"/>
      <c r="FC15" s="25"/>
    </row>
    <row r="16" spans="1:159" x14ac:dyDescent="0.2">
      <c r="BB16" s="39">
        <f>ROUND(BB12,3)</f>
        <v>4.3070000000000004</v>
      </c>
      <c r="BC16" s="29">
        <v>11</v>
      </c>
      <c r="BD16" s="29">
        <v>0.91409189597286977</v>
      </c>
      <c r="BE16" s="29">
        <v>8</v>
      </c>
      <c r="BF16" s="29">
        <v>1.4270226861079138</v>
      </c>
      <c r="BG16" s="29">
        <v>1.1503493803760083</v>
      </c>
      <c r="BH16" s="29"/>
      <c r="BI16" s="39">
        <f>MAX(3,BI12)</f>
        <v>3</v>
      </c>
      <c r="BJ16" s="29">
        <v>11</v>
      </c>
      <c r="BK16" s="29">
        <v>6.1608704839486474</v>
      </c>
      <c r="BL16" s="29">
        <v>7.8836169101997182</v>
      </c>
      <c r="BM16" s="29">
        <v>0</v>
      </c>
      <c r="BN16" s="29"/>
      <c r="BO16" s="29"/>
      <c r="BP16" s="29"/>
      <c r="BQ16" s="29">
        <v>1</v>
      </c>
      <c r="BR16" s="29">
        <v>11</v>
      </c>
      <c r="BS16" s="29">
        <v>-2.7637795275590551</v>
      </c>
      <c r="BT16" s="29">
        <v>8.754589763990156E-3</v>
      </c>
      <c r="BU16" s="29">
        <v>1</v>
      </c>
      <c r="BV16" s="29">
        <v>0</v>
      </c>
      <c r="BW16" s="29">
        <v>0</v>
      </c>
      <c r="BX16" s="29" t="str">
        <v/>
      </c>
      <c r="BY16" s="29" t="str">
        <v/>
      </c>
      <c r="BZ16" s="29"/>
      <c r="CA16" s="39">
        <v>4</v>
      </c>
      <c r="CB16" s="48">
        <v>8</v>
      </c>
      <c r="CC16" s="48">
        <v>8</v>
      </c>
      <c r="CD16" s="48">
        <v>1</v>
      </c>
      <c r="CE16" s="48" t="str">
        <v>8%</v>
      </c>
      <c r="CF16" s="48">
        <v>11</v>
      </c>
      <c r="CG16" s="48">
        <v>2</v>
      </c>
      <c r="CH16" s="48">
        <v>0</v>
      </c>
      <c r="CI16" s="48">
        <v>1</v>
      </c>
      <c r="CJ16" s="48" t="str">
        <v/>
      </c>
      <c r="CK16" s="48"/>
      <c r="CL16" s="55" t="s">
        <v>26</v>
      </c>
      <c r="CM16" s="48"/>
      <c r="CN16" s="48"/>
      <c r="CO16" s="29"/>
      <c r="CP16" s="57"/>
      <c r="CQ16" s="57"/>
      <c r="CR16" s="57"/>
      <c r="CS16" s="57"/>
      <c r="CT16" s="57"/>
      <c r="CU16" s="57">
        <v>11</v>
      </c>
      <c r="CV16" s="57">
        <v>1</v>
      </c>
      <c r="CW16" s="48">
        <v>1.8192576091040986</v>
      </c>
      <c r="CX16" s="48">
        <v>1.8192576091040986</v>
      </c>
      <c r="CY16" s="48" t="e">
        <v>#N/A</v>
      </c>
      <c r="CZ16" s="48" t="e">
        <v>#N/A</v>
      </c>
      <c r="DA16" s="48" t="e">
        <v>#N/A</v>
      </c>
      <c r="DB16" s="57" t="str">
        <v/>
      </c>
      <c r="DC16" s="57"/>
      <c r="DD16" s="40">
        <f>_xlfn.QUARTILE.EXC(_xlfn.ANCHORARRAY(BD6),2)</f>
        <v>0.49925963399512074</v>
      </c>
      <c r="DE16" s="49">
        <f>$DD$18</f>
        <v>1.7034016755912118</v>
      </c>
      <c r="DF16" s="49">
        <v>0</v>
      </c>
      <c r="DG16" s="57">
        <v>11</v>
      </c>
      <c r="DH16" s="29">
        <v>8</v>
      </c>
      <c r="DI16" s="29">
        <v>1</v>
      </c>
      <c r="DJ16" s="29"/>
      <c r="DK16" s="29"/>
      <c r="DL16" s="29"/>
      <c r="DM16" s="29"/>
      <c r="DN16" s="39">
        <f>MAX(_xlfn.ANCHORARRAY(BD6))</f>
        <v>13</v>
      </c>
      <c r="DO16" s="48"/>
      <c r="DP16" s="29"/>
      <c r="DQ16" s="29"/>
      <c r="DR16" s="29"/>
      <c r="DS16" s="48"/>
      <c r="DT16" s="48"/>
      <c r="DU16" s="48"/>
      <c r="DV16" s="48"/>
      <c r="DW16" s="48"/>
      <c r="DX16" s="48">
        <v>11</v>
      </c>
      <c r="DY16" s="48">
        <v>2</v>
      </c>
      <c r="DZ16" s="48">
        <v>1.4196164686204271</v>
      </c>
      <c r="EA16" s="48" t="str">
        <v/>
      </c>
      <c r="EB16" s="48"/>
      <c r="EC16" s="48"/>
      <c r="FB16" s="25"/>
      <c r="FC16" s="25"/>
    </row>
    <row r="17" spans="1:159" x14ac:dyDescent="0.2">
      <c r="BB17" s="51" t="s">
        <v>117</v>
      </c>
      <c r="BC17" s="29">
        <v>12</v>
      </c>
      <c r="BD17" s="29">
        <v>-0.89773712069108735</v>
      </c>
      <c r="BE17" s="29">
        <v>13</v>
      </c>
      <c r="BF17" s="29">
        <v>2.5879596467215951</v>
      </c>
      <c r="BG17" s="29">
        <v>1.7316643961222455</v>
      </c>
      <c r="BH17" s="29"/>
      <c r="BI17" s="51" t="s">
        <v>127</v>
      </c>
      <c r="BJ17" s="29">
        <v>12</v>
      </c>
      <c r="BK17" s="29">
        <v>7.8836169101997182</v>
      </c>
      <c r="BL17" s="29">
        <v>9.606363336450789</v>
      </c>
      <c r="BM17" s="29">
        <v>1</v>
      </c>
      <c r="BN17" s="29"/>
      <c r="BO17" s="29"/>
      <c r="BP17" s="29"/>
      <c r="BQ17" s="29">
        <v>1</v>
      </c>
      <c r="BR17" s="29">
        <v>12</v>
      </c>
      <c r="BS17" s="29">
        <v>-2.7401574803149606</v>
      </c>
      <c r="BT17" s="29">
        <v>9.3426060841007019E-3</v>
      </c>
      <c r="BU17" s="29">
        <v>1</v>
      </c>
      <c r="BV17" s="29">
        <v>0</v>
      </c>
      <c r="BW17" s="29">
        <v>0</v>
      </c>
      <c r="BX17" s="29" t="str">
        <v/>
      </c>
      <c r="BY17" s="29" t="str">
        <v/>
      </c>
      <c r="BZ17" s="29"/>
      <c r="CA17" s="51" t="s">
        <v>110</v>
      </c>
      <c r="CB17" s="48">
        <v>13</v>
      </c>
      <c r="CC17" s="48">
        <v>13</v>
      </c>
      <c r="CD17" s="48">
        <v>1</v>
      </c>
      <c r="CE17" s="48" t="str">
        <v>8%</v>
      </c>
      <c r="CF17" s="48">
        <v>12</v>
      </c>
      <c r="CG17" s="48">
        <v>2</v>
      </c>
      <c r="CH17" s="48">
        <v>1</v>
      </c>
      <c r="CI17" s="48" t="e">
        <v>#N/A</v>
      </c>
      <c r="CJ17" s="48" t="str">
        <v/>
      </c>
      <c r="CK17" s="48"/>
      <c r="CL17" s="40">
        <f>MIN(_xlfn.ANCHORARRAY(BD6))</f>
        <v>-1.479592604535932</v>
      </c>
      <c r="CM17" s="48"/>
      <c r="CN17" s="29"/>
      <c r="CO17" s="29"/>
      <c r="CP17" s="57"/>
      <c r="CQ17" s="57"/>
      <c r="CR17" s="57"/>
      <c r="CS17" s="57"/>
      <c r="CT17" s="57"/>
      <c r="CU17" s="57">
        <v>12</v>
      </c>
      <c r="CV17" s="57">
        <v>1</v>
      </c>
      <c r="CW17" s="48">
        <v>1.8192576091040986</v>
      </c>
      <c r="CX17" s="48">
        <v>1.8192576091040986</v>
      </c>
      <c r="CY17" s="48" t="e">
        <v>#N/A</v>
      </c>
      <c r="CZ17" s="48" t="e">
        <v>#N/A</v>
      </c>
      <c r="DA17" s="48" t="e">
        <v>#N/A</v>
      </c>
      <c r="DB17" s="57" t="str">
        <v/>
      </c>
      <c r="DC17" s="57"/>
      <c r="DD17" s="55" t="s">
        <v>23</v>
      </c>
      <c r="DE17" s="49">
        <f>$DD$34</f>
        <v>1.8110756828005981</v>
      </c>
      <c r="DF17" s="49">
        <v>0</v>
      </c>
      <c r="DG17" s="57">
        <v>12</v>
      </c>
      <c r="DH17" s="29">
        <v>13</v>
      </c>
      <c r="DI17" s="29">
        <v>1</v>
      </c>
      <c r="DJ17" s="29"/>
      <c r="DK17" s="29"/>
      <c r="DL17" s="29"/>
      <c r="DM17" s="29"/>
      <c r="DN17" s="51" t="s">
        <v>101</v>
      </c>
      <c r="DO17" s="29"/>
      <c r="DP17" s="29"/>
      <c r="DQ17" s="29"/>
      <c r="DR17" s="29"/>
      <c r="DS17" s="48"/>
      <c r="DT17" s="48"/>
      <c r="DU17" s="48"/>
      <c r="DV17" s="48"/>
      <c r="DW17" s="48"/>
      <c r="DX17" s="48">
        <v>12</v>
      </c>
      <c r="DY17" s="48">
        <v>2</v>
      </c>
      <c r="DZ17" s="48">
        <v>1.4196164686204271</v>
      </c>
      <c r="EA17" s="48" t="str">
        <v/>
      </c>
      <c r="EB17" s="48"/>
      <c r="EC17" s="48"/>
      <c r="FB17" s="25"/>
      <c r="FC17" s="25"/>
    </row>
    <row r="18" spans="1:159" x14ac:dyDescent="0.2">
      <c r="BB18" s="39" t="str">
        <f>"Normalfraktildiagram af
"&amp;B5</f>
        <v>Normalfraktildiagram af
Eksempel 1 (interval)</v>
      </c>
      <c r="BC18" s="29"/>
      <c r="BD18" s="29"/>
      <c r="BE18" s="29"/>
      <c r="BF18" s="29"/>
      <c r="BG18" s="29"/>
      <c r="BH18" s="29"/>
      <c r="BI18" s="39">
        <f>BI14*BB12+BB10</f>
        <v>-11.06659377856206</v>
      </c>
      <c r="BJ18" s="29">
        <v>13</v>
      </c>
      <c r="BK18" s="29">
        <v>9.606363336450789</v>
      </c>
      <c r="BL18" s="29">
        <v>11.32910976270186</v>
      </c>
      <c r="BM18" s="29">
        <v>0</v>
      </c>
      <c r="BN18" s="29"/>
      <c r="BO18" s="29"/>
      <c r="BP18" s="29"/>
      <c r="BQ18" s="29"/>
      <c r="BR18" s="29">
        <v>13</v>
      </c>
      <c r="BS18" s="29">
        <v>-2.7165354330708662</v>
      </c>
      <c r="BT18" s="29">
        <v>9.9645556959455598E-3</v>
      </c>
      <c r="BU18" s="29">
        <v>1</v>
      </c>
      <c r="BV18" s="29">
        <v>0</v>
      </c>
      <c r="BW18" s="29">
        <v>0</v>
      </c>
      <c r="BX18" s="29" t="str">
        <v/>
      </c>
      <c r="BY18" s="29" t="str">
        <v/>
      </c>
      <c r="BZ18" s="29"/>
      <c r="CA18" s="39" t="b">
        <f>CA10&lt;=10</f>
        <v>0</v>
      </c>
      <c r="CB18" s="48"/>
      <c r="CC18" s="48"/>
      <c r="CD18" s="48"/>
      <c r="CE18" s="48"/>
      <c r="CF18" s="48">
        <v>13</v>
      </c>
      <c r="CG18" s="48">
        <v>3</v>
      </c>
      <c r="CH18" s="48">
        <v>1</v>
      </c>
      <c r="CI18" s="48" t="e">
        <v>#N/A</v>
      </c>
      <c r="CJ18" s="48" t="str">
        <v/>
      </c>
      <c r="CK18" s="48"/>
      <c r="CL18" s="55" t="s">
        <v>27</v>
      </c>
      <c r="CM18" s="48"/>
      <c r="CN18" s="29"/>
      <c r="CO18" s="29"/>
      <c r="CP18" s="57"/>
      <c r="CQ18" s="57"/>
      <c r="CR18" s="57"/>
      <c r="CS18" s="57"/>
      <c r="CT18" s="57"/>
      <c r="CU18" s="57">
        <v>13</v>
      </c>
      <c r="CV18" s="57">
        <v>1</v>
      </c>
      <c r="CW18" s="48">
        <v>1.8192576091040986</v>
      </c>
      <c r="CX18" s="48">
        <v>1.8192576091040986</v>
      </c>
      <c r="CY18" s="48" t="e">
        <v>#N/A</v>
      </c>
      <c r="CZ18" s="48" t="e">
        <v>#N/A</v>
      </c>
      <c r="DA18" s="48" t="e">
        <v>#N/A</v>
      </c>
      <c r="DB18" s="57" t="str">
        <v/>
      </c>
      <c r="DC18" s="57"/>
      <c r="DD18" s="40">
        <f>_xlfn.QUARTILE.EXC(_xlfn.ANCHORARRAY(BD6),3)</f>
        <v>1.7034016755912118</v>
      </c>
      <c r="DE18" s="49">
        <f>$DD$34</f>
        <v>1.8110756828005981</v>
      </c>
      <c r="DF18" s="49">
        <v>-1</v>
      </c>
      <c r="DG18" s="57"/>
      <c r="DH18" s="29"/>
      <c r="DI18" s="29"/>
      <c r="DJ18" s="29"/>
      <c r="DK18" s="29"/>
      <c r="DL18" s="29"/>
      <c r="DM18" s="29"/>
      <c r="DN18" s="39">
        <f>DN16-DN14</f>
        <v>14.479592604535933</v>
      </c>
      <c r="DO18" s="29"/>
      <c r="DP18" s="29"/>
      <c r="DQ18" s="29"/>
      <c r="DR18" s="57"/>
      <c r="DS18" s="48"/>
      <c r="DT18" s="48"/>
      <c r="DU18" s="48"/>
      <c r="DV18" s="48"/>
      <c r="DW18" s="48"/>
      <c r="DX18" s="48">
        <v>13</v>
      </c>
      <c r="DY18" s="48">
        <v>2</v>
      </c>
      <c r="DZ18" s="48">
        <v>1.4196164686204271</v>
      </c>
      <c r="EA18" s="48" t="str">
        <v/>
      </c>
      <c r="EB18" s="48"/>
      <c r="EC18" s="48"/>
      <c r="FB18" s="25"/>
      <c r="FC18" s="25"/>
    </row>
    <row r="19" spans="1:159" x14ac:dyDescent="0.2">
      <c r="BB19" s="51" t="s">
        <v>118</v>
      </c>
      <c r="BC19" s="29"/>
      <c r="BD19" s="29"/>
      <c r="BE19" s="29"/>
      <c r="BF19" s="29"/>
      <c r="BG19" s="29"/>
      <c r="BH19" s="29"/>
      <c r="BI19" s="51" t="s">
        <v>128</v>
      </c>
      <c r="BJ19" s="29">
        <v>14</v>
      </c>
      <c r="BK19" s="29">
        <v>11.32910976270186</v>
      </c>
      <c r="BL19" s="29">
        <v>13.051856188952931</v>
      </c>
      <c r="BM19" s="29">
        <v>1</v>
      </c>
      <c r="BN19" s="29"/>
      <c r="BO19" s="29"/>
      <c r="BP19" s="29"/>
      <c r="BQ19" s="29"/>
      <c r="BR19" s="29">
        <v>14</v>
      </c>
      <c r="BS19" s="29">
        <v>-2.6929133858267718</v>
      </c>
      <c r="BT19" s="29">
        <v>1.0621980582946014E-2</v>
      </c>
      <c r="BU19" s="29">
        <v>1</v>
      </c>
      <c r="BV19" s="29">
        <v>0</v>
      </c>
      <c r="BW19" s="29">
        <v>0</v>
      </c>
      <c r="BX19" s="29" t="str">
        <v/>
      </c>
      <c r="BY19" s="29" t="str">
        <v/>
      </c>
      <c r="BZ19" s="29"/>
      <c r="CA19" s="51" t="s">
        <v>153</v>
      </c>
      <c r="CB19" s="48"/>
      <c r="CC19" s="48"/>
      <c r="CD19" s="48"/>
      <c r="CE19" s="48"/>
      <c r="CF19" s="48">
        <v>14</v>
      </c>
      <c r="CG19" s="48">
        <v>3</v>
      </c>
      <c r="CH19" s="48">
        <v>0</v>
      </c>
      <c r="CI19" s="48">
        <v>1</v>
      </c>
      <c r="CJ19" s="48" t="str">
        <v/>
      </c>
      <c r="CK19" s="48"/>
      <c r="CL19" s="40">
        <f>MAX(_xlfn.ANCHORARRAY(BD6))</f>
        <v>13</v>
      </c>
      <c r="CM19" s="48"/>
      <c r="CN19" s="29"/>
      <c r="CO19" s="29"/>
      <c r="CP19" s="57"/>
      <c r="CQ19" s="57"/>
      <c r="CR19" s="57"/>
      <c r="CS19" s="57"/>
      <c r="CT19" s="57"/>
      <c r="CU19" s="57">
        <v>14</v>
      </c>
      <c r="CV19" s="57">
        <v>1</v>
      </c>
      <c r="CW19" s="48">
        <v>1.8192576091040986</v>
      </c>
      <c r="CX19" s="48">
        <v>1.8192576091040986</v>
      </c>
      <c r="CY19" s="48" t="e">
        <v>#N/A</v>
      </c>
      <c r="CZ19" s="48" t="e">
        <v>#N/A</v>
      </c>
      <c r="DA19" s="48" t="e">
        <v>#N/A</v>
      </c>
      <c r="DB19" s="57" t="str">
        <v/>
      </c>
      <c r="DC19" s="57"/>
      <c r="DD19" s="52" t="s">
        <v>195</v>
      </c>
      <c r="DE19" s="49">
        <f>$DD$34</f>
        <v>1.8110756828005981</v>
      </c>
      <c r="DF19" s="49">
        <v>1</v>
      </c>
      <c r="DG19" s="57"/>
      <c r="DH19" s="29"/>
      <c r="DI19" s="29"/>
      <c r="DJ19" s="29"/>
      <c r="DK19" s="29"/>
      <c r="DL19" s="29"/>
      <c r="DM19" s="29"/>
      <c r="DN19" s="51" t="s">
        <v>153</v>
      </c>
      <c r="DO19" s="29"/>
      <c r="DP19" s="29"/>
      <c r="DQ19" s="29"/>
      <c r="DR19" s="57"/>
      <c r="DS19" s="48"/>
      <c r="DT19" s="48"/>
      <c r="DU19" s="48"/>
      <c r="DV19" s="48"/>
      <c r="DW19" s="48"/>
      <c r="DX19" s="48">
        <v>14</v>
      </c>
      <c r="DY19" s="48">
        <v>2</v>
      </c>
      <c r="DZ19" s="48">
        <v>1.4196164686204271</v>
      </c>
      <c r="EA19" s="48" t="str">
        <v/>
      </c>
      <c r="EB19" s="48"/>
      <c r="EC19" s="48"/>
      <c r="FB19" s="25"/>
      <c r="FC19" s="25"/>
    </row>
    <row r="20" spans="1:159" x14ac:dyDescent="0.2">
      <c r="BB20" s="39" t="str">
        <f>"Observationer (n = "&amp;BB8&amp;")"</f>
        <v>Observationer (n = 12)</v>
      </c>
      <c r="BC20" s="29"/>
      <c r="BD20" s="29"/>
      <c r="BE20" s="29"/>
      <c r="BF20" s="29"/>
      <c r="BG20" s="29"/>
      <c r="BH20" s="29"/>
      <c r="BI20" s="39">
        <f>BI16*BB12+BB10</f>
        <v>14.774602615204001</v>
      </c>
      <c r="BJ20" s="29">
        <v>15</v>
      </c>
      <c r="BK20" s="29">
        <v>13.051856188952931</v>
      </c>
      <c r="BL20" s="29">
        <v>14.774602615204001</v>
      </c>
      <c r="BM20" s="29">
        <v>0</v>
      </c>
      <c r="BN20" s="29"/>
      <c r="BO20" s="29"/>
      <c r="BP20" s="29"/>
      <c r="BQ20" s="29"/>
      <c r="BR20" s="29">
        <v>15</v>
      </c>
      <c r="BS20" s="29">
        <v>-2.6692913385826773</v>
      </c>
      <c r="BT20" s="29">
        <v>1.1316463594578965E-2</v>
      </c>
      <c r="BU20" s="29">
        <v>1</v>
      </c>
      <c r="BV20" s="29">
        <v>0</v>
      </c>
      <c r="BW20" s="29">
        <v>0</v>
      </c>
      <c r="BX20" s="29" t="str">
        <v/>
      </c>
      <c r="BY20" s="29" t="str">
        <v/>
      </c>
      <c r="BZ20" s="29"/>
      <c r="CA20" s="39">
        <f>MAX(LEN(ROUND(ABS(MAX(_xlfn.ANCHORARRAY(CB6))),0)),LEN(ROUND(ABS(MIN(_xlfn.ANCHORARRAY(CB6))),0)))</f>
        <v>2</v>
      </c>
      <c r="CB20" s="48"/>
      <c r="CC20" s="48"/>
      <c r="CD20" s="48"/>
      <c r="CE20" s="48"/>
      <c r="CF20" s="48">
        <v>15</v>
      </c>
      <c r="CG20" s="48">
        <v>3</v>
      </c>
      <c r="CH20" s="48">
        <v>0</v>
      </c>
      <c r="CI20" s="48">
        <v>1</v>
      </c>
      <c r="CJ20" s="48" t="str">
        <v/>
      </c>
      <c r="CK20" s="48"/>
      <c r="CL20" s="55" t="s">
        <v>101</v>
      </c>
      <c r="CM20" s="48"/>
      <c r="CN20" s="29"/>
      <c r="CO20" s="29"/>
      <c r="CP20" s="57"/>
      <c r="CQ20" s="57"/>
      <c r="CR20" s="57"/>
      <c r="CS20" s="57"/>
      <c r="CT20" s="57"/>
      <c r="CU20" s="57">
        <v>15</v>
      </c>
      <c r="CV20" s="57">
        <v>1</v>
      </c>
      <c r="CW20" s="48">
        <v>1.8192576091040986</v>
      </c>
      <c r="CX20" s="48">
        <v>1.8192576091040986</v>
      </c>
      <c r="CY20" s="48" t="e">
        <v>#N/A</v>
      </c>
      <c r="CZ20" s="48" t="e">
        <v>#N/A</v>
      </c>
      <c r="DA20" s="48" t="e">
        <v>#N/A</v>
      </c>
      <c r="DB20" s="57" t="str">
        <v/>
      </c>
      <c r="DC20" s="57"/>
      <c r="DD20" s="49">
        <v>-1</v>
      </c>
      <c r="DE20" s="52" t="s">
        <v>209</v>
      </c>
      <c r="DF20" s="52" t="s">
        <v>210</v>
      </c>
      <c r="DG20" s="57"/>
      <c r="DH20" s="29"/>
      <c r="DI20" s="29"/>
      <c r="DJ20" s="29"/>
      <c r="DK20" s="29"/>
      <c r="DL20" s="29"/>
      <c r="DM20" s="29"/>
      <c r="DN20" s="39">
        <f>MAX(LEN(ROUND(ABS(MAX(_xlfn.ANCHORARRAY(DQ6))),0)),LEN(ROUND(ABS(MIN(_xlfn.ANCHORARRAY(DQ6))),0)))</f>
        <v>2</v>
      </c>
      <c r="DO20" s="29"/>
      <c r="DP20" s="29"/>
      <c r="DQ20" s="29"/>
      <c r="DR20" s="57"/>
      <c r="DS20" s="48"/>
      <c r="DT20" s="48"/>
      <c r="DU20" s="48"/>
      <c r="DV20" s="48"/>
      <c r="DW20" s="48"/>
      <c r="DX20" s="48">
        <v>15</v>
      </c>
      <c r="DY20" s="48">
        <v>2</v>
      </c>
      <c r="DZ20" s="48">
        <v>1.4196164686204271</v>
      </c>
      <c r="EA20" s="48" t="str">
        <v/>
      </c>
      <c r="EB20" s="48"/>
      <c r="EC20" s="48"/>
      <c r="ED20" s="48"/>
      <c r="FB20" s="25"/>
      <c r="FC20" s="25"/>
    </row>
    <row r="21" spans="1:159" x14ac:dyDescent="0.2">
      <c r="BB21" s="51" t="s">
        <v>119</v>
      </c>
      <c r="BC21" s="29"/>
      <c r="BD21" s="29"/>
      <c r="BE21" s="29"/>
      <c r="BF21" s="29"/>
      <c r="BG21" s="29"/>
      <c r="BH21" s="29"/>
      <c r="BI21" s="51" t="s">
        <v>133</v>
      </c>
      <c r="BJ21" s="29"/>
      <c r="BK21" s="29"/>
      <c r="BL21" s="29"/>
      <c r="BM21" s="29"/>
      <c r="BN21" s="29"/>
      <c r="BO21" s="29"/>
      <c r="BP21" s="29"/>
      <c r="BQ21" s="29"/>
      <c r="BR21" s="29">
        <v>16</v>
      </c>
      <c r="BS21" s="29">
        <v>-2.6456692913385829</v>
      </c>
      <c r="BT21" s="29">
        <v>1.2049627495369133E-2</v>
      </c>
      <c r="BU21" s="29">
        <v>1</v>
      </c>
      <c r="BV21" s="29">
        <v>0</v>
      </c>
      <c r="BW21" s="29">
        <v>0</v>
      </c>
      <c r="BX21" s="29" t="str">
        <v/>
      </c>
      <c r="BY21" s="29" t="str">
        <v/>
      </c>
      <c r="BZ21" s="29"/>
      <c r="CA21" s="51" t="s">
        <v>154</v>
      </c>
      <c r="CB21" s="48"/>
      <c r="CC21" s="48"/>
      <c r="CD21" s="48"/>
      <c r="CE21" s="48"/>
      <c r="CF21" s="48">
        <v>16</v>
      </c>
      <c r="CG21" s="48">
        <v>3</v>
      </c>
      <c r="CH21" s="48">
        <v>0</v>
      </c>
      <c r="CI21" s="48">
        <v>1</v>
      </c>
      <c r="CJ21" s="48" t="str">
        <v>-0.898</v>
      </c>
      <c r="CK21" s="48"/>
      <c r="CL21" s="40">
        <f>CL19-CL17</f>
        <v>14.479592604535933</v>
      </c>
      <c r="CM21" s="48"/>
      <c r="CN21" s="29"/>
      <c r="CO21" s="29"/>
      <c r="CP21" s="57"/>
      <c r="CQ21" s="57"/>
      <c r="CR21" s="57"/>
      <c r="CS21" s="57"/>
      <c r="CT21" s="57"/>
      <c r="CU21" s="57">
        <v>16</v>
      </c>
      <c r="CV21" s="57">
        <v>1</v>
      </c>
      <c r="CW21" s="48">
        <v>1.8192576091040986</v>
      </c>
      <c r="CX21" s="48">
        <v>1.8192576091040986</v>
      </c>
      <c r="CY21" s="48" t="e">
        <v>#N/A</v>
      </c>
      <c r="CZ21" s="48" t="e">
        <v>#N/A</v>
      </c>
      <c r="DA21" s="48" t="e">
        <v>#N/A</v>
      </c>
      <c r="DB21" s="57" t="str">
        <v/>
      </c>
      <c r="DC21" s="57"/>
      <c r="DD21" s="52" t="s">
        <v>196</v>
      </c>
      <c r="DE21" s="49">
        <f>$DD$16</f>
        <v>0.49925963399512074</v>
      </c>
      <c r="DF21" s="49">
        <v>-1</v>
      </c>
      <c r="DG21" s="57"/>
      <c r="DH21" s="29"/>
      <c r="DI21" s="29"/>
      <c r="DJ21" s="29"/>
      <c r="DK21" s="29"/>
      <c r="DL21" s="29"/>
      <c r="DM21" s="29"/>
      <c r="DN21" s="51" t="s">
        <v>154</v>
      </c>
      <c r="DO21" s="29"/>
      <c r="DP21" s="29"/>
      <c r="DQ21" s="29"/>
      <c r="DR21" s="57"/>
      <c r="DS21" s="48"/>
      <c r="DT21" s="48"/>
      <c r="DU21" s="48"/>
      <c r="DV21" s="48"/>
      <c r="DW21" s="48"/>
      <c r="DX21" s="48">
        <v>16</v>
      </c>
      <c r="DY21" s="48">
        <v>2</v>
      </c>
      <c r="DZ21" s="48">
        <v>1.4196164686204271</v>
      </c>
      <c r="EA21" s="48" t="str">
        <v/>
      </c>
      <c r="EB21" s="48"/>
      <c r="EC21" s="48"/>
      <c r="ED21" s="48"/>
      <c r="FB21" s="25"/>
      <c r="FC21" s="25"/>
    </row>
    <row r="22" spans="1:159" x14ac:dyDescent="0.2">
      <c r="BB22" s="39" t="str">
        <f>IFERROR("Normalfordeling ("&amp;BB14&amp;" ; "&amp;BB16&amp;")","")</f>
        <v>Normalfordeling (1.854 ; 4.307)</v>
      </c>
      <c r="BC22" s="29"/>
      <c r="BD22" s="29"/>
      <c r="BE22" s="29"/>
      <c r="BF22" s="29"/>
      <c r="BG22" s="29"/>
      <c r="BH22" s="29"/>
      <c r="BI22" s="39">
        <f>(BI20-BI18)/B6</f>
        <v>1.7227464262510708</v>
      </c>
      <c r="BJ22" s="29"/>
      <c r="BK22" s="29"/>
      <c r="BL22" s="29"/>
      <c r="BM22" s="29"/>
      <c r="BN22" s="29"/>
      <c r="BO22" s="29"/>
      <c r="BP22" s="29"/>
      <c r="BQ22" s="29"/>
      <c r="BR22" s="29">
        <v>17</v>
      </c>
      <c r="BS22" s="29">
        <v>-2.622047244094488</v>
      </c>
      <c r="BT22" s="29">
        <v>1.2823133836513139E-2</v>
      </c>
      <c r="BU22" s="29">
        <v>1</v>
      </c>
      <c r="BV22" s="29">
        <v>0</v>
      </c>
      <c r="BW22" s="29">
        <v>0</v>
      </c>
      <c r="BX22" s="29" t="str">
        <v/>
      </c>
      <c r="BY22" s="29" t="str">
        <v/>
      </c>
      <c r="BZ22" s="29"/>
      <c r="CA22" s="39">
        <f>7-ROUNDDOWN(CA10/5,0)</f>
        <v>5</v>
      </c>
      <c r="CB22" s="29"/>
      <c r="CC22" s="48"/>
      <c r="CD22" s="48"/>
      <c r="CE22" s="48"/>
      <c r="CF22" s="48">
        <v>17</v>
      </c>
      <c r="CG22" s="48">
        <v>3</v>
      </c>
      <c r="CH22" s="48">
        <v>0</v>
      </c>
      <c r="CI22" s="48">
        <v>1</v>
      </c>
      <c r="CJ22" s="48" t="str">
        <v/>
      </c>
      <c r="CK22" s="48"/>
      <c r="CL22" s="55" t="s">
        <v>174</v>
      </c>
      <c r="CM22" s="48"/>
      <c r="CN22" s="29"/>
      <c r="CO22" s="29"/>
      <c r="CP22" s="57"/>
      <c r="CQ22" s="57"/>
      <c r="CR22" s="57"/>
      <c r="CS22" s="57"/>
      <c r="CT22" s="57"/>
      <c r="CU22" s="57">
        <v>17</v>
      </c>
      <c r="CV22" s="57">
        <v>1</v>
      </c>
      <c r="CW22" s="48">
        <v>1.8192576091040986</v>
      </c>
      <c r="CX22" s="48">
        <v>1.8192576091040986</v>
      </c>
      <c r="CY22" s="48" t="e">
        <v>#N/A</v>
      </c>
      <c r="CZ22" s="48" t="e">
        <v>#N/A</v>
      </c>
      <c r="DA22" s="48" t="e">
        <v>#N/A</v>
      </c>
      <c r="DB22" s="57" t="str">
        <v/>
      </c>
      <c r="DC22" s="57"/>
      <c r="DD22" s="49">
        <v>1</v>
      </c>
      <c r="DE22" s="49">
        <f>$DD$16</f>
        <v>0.49925963399512074</v>
      </c>
      <c r="DF22" s="49">
        <v>1</v>
      </c>
      <c r="DG22" s="57"/>
      <c r="DH22" s="29"/>
      <c r="DI22" s="29"/>
      <c r="DJ22" s="29"/>
      <c r="DK22" s="29"/>
      <c r="DL22" s="29"/>
      <c r="DM22" s="29"/>
      <c r="DN22" s="39">
        <f>4-ROUNDDOWN(B7/5,0)</f>
        <v>3</v>
      </c>
      <c r="DO22" s="29"/>
      <c r="DP22" s="29"/>
      <c r="DQ22" s="29"/>
      <c r="DR22" s="57"/>
      <c r="DS22" s="48"/>
      <c r="DT22" s="48"/>
      <c r="DU22" s="48"/>
      <c r="DV22" s="48"/>
      <c r="DW22" s="48"/>
      <c r="DX22" s="48">
        <v>17</v>
      </c>
      <c r="DY22" s="48">
        <v>2</v>
      </c>
      <c r="DZ22" s="48">
        <v>1.4196164686204271</v>
      </c>
      <c r="EA22" s="48" t="str">
        <v/>
      </c>
      <c r="EB22" s="48"/>
      <c r="EC22" s="48"/>
      <c r="ED22" s="48"/>
      <c r="FB22" s="25"/>
      <c r="FC22" s="25"/>
    </row>
    <row r="23" spans="1:159" x14ac:dyDescent="0.2">
      <c r="C23" s="23"/>
      <c r="D23" s="23"/>
      <c r="BB23" s="29"/>
      <c r="BC23" s="29"/>
      <c r="BD23" s="29"/>
      <c r="BE23" s="29"/>
      <c r="BF23" s="29"/>
      <c r="BG23" s="29"/>
      <c r="BH23" s="29"/>
      <c r="BI23" s="51" t="s">
        <v>140</v>
      </c>
      <c r="BJ23" s="29"/>
      <c r="BK23" s="19"/>
      <c r="BL23" s="19"/>
      <c r="BM23" s="19"/>
      <c r="BN23" s="19"/>
      <c r="BO23" s="19"/>
      <c r="BP23" s="19"/>
      <c r="BQ23" s="19"/>
      <c r="BR23" s="19">
        <v>18</v>
      </c>
      <c r="BS23" s="29">
        <v>-2.5984251968503935</v>
      </c>
      <c r="BT23" s="29">
        <v>1.3638681642439747E-2</v>
      </c>
      <c r="BU23" s="29">
        <v>2</v>
      </c>
      <c r="BV23" s="29">
        <v>0</v>
      </c>
      <c r="BW23" s="29">
        <v>0</v>
      </c>
      <c r="BX23" s="29">
        <v>-9.34</v>
      </c>
      <c r="BY23" s="29" t="str">
        <v/>
      </c>
      <c r="BZ23" s="29"/>
      <c r="CA23" s="51" t="s">
        <v>152</v>
      </c>
      <c r="CB23" s="48"/>
      <c r="CC23" s="48"/>
      <c r="CD23" s="48"/>
      <c r="CE23" s="48"/>
      <c r="CF23" s="48">
        <v>18</v>
      </c>
      <c r="CG23" s="48">
        <v>3</v>
      </c>
      <c r="CH23" s="48">
        <v>1</v>
      </c>
      <c r="CI23" s="48" t="e">
        <v>#N/A</v>
      </c>
      <c r="CJ23" s="48" t="str">
        <v/>
      </c>
      <c r="CK23" s="48"/>
      <c r="CL23" s="40">
        <v>250</v>
      </c>
      <c r="CM23" s="48"/>
      <c r="CN23" s="29"/>
      <c r="CO23" s="29"/>
      <c r="CP23" s="57"/>
      <c r="CQ23" s="57"/>
      <c r="CR23" s="57"/>
      <c r="CS23" s="57"/>
      <c r="CT23" s="57"/>
      <c r="CU23" s="57">
        <v>18</v>
      </c>
      <c r="CV23" s="57">
        <v>1</v>
      </c>
      <c r="CW23" s="48">
        <v>1.8192576091040986</v>
      </c>
      <c r="CX23" s="48">
        <v>1.8192576091040986</v>
      </c>
      <c r="CY23" s="48" t="e">
        <v>#N/A</v>
      </c>
      <c r="CZ23" s="48" t="e">
        <v>#N/A</v>
      </c>
      <c r="DA23" s="48" t="e">
        <v>#N/A</v>
      </c>
      <c r="DB23" s="57" t="str">
        <v/>
      </c>
      <c r="DC23" s="57"/>
      <c r="DD23" s="55" t="s">
        <v>197</v>
      </c>
      <c r="DE23" s="57"/>
      <c r="DF23" s="57"/>
      <c r="DG23" s="57"/>
      <c r="DH23" s="29"/>
      <c r="DI23" s="29"/>
      <c r="DJ23" s="29"/>
      <c r="DK23" s="29"/>
      <c r="DL23" s="29"/>
      <c r="DM23" s="29"/>
      <c r="DN23" s="51" t="s">
        <v>152</v>
      </c>
      <c r="DO23" s="29"/>
      <c r="DP23" s="29"/>
      <c r="DQ23" s="29"/>
      <c r="DR23" s="57"/>
      <c r="DS23" s="48"/>
      <c r="DT23" s="48"/>
      <c r="DU23" s="48"/>
      <c r="DV23" s="48"/>
      <c r="DW23" s="48"/>
      <c r="DX23" s="48">
        <v>18</v>
      </c>
      <c r="DY23" s="48">
        <v>2</v>
      </c>
      <c r="DZ23" s="48">
        <v>1.4196164686204271</v>
      </c>
      <c r="EA23" s="48" t="str">
        <v/>
      </c>
      <c r="EB23" s="48"/>
      <c r="EC23" s="48"/>
      <c r="ED23" s="48"/>
      <c r="FB23" s="25"/>
      <c r="FC23" s="25"/>
    </row>
    <row r="24" spans="1:159" x14ac:dyDescent="0.2">
      <c r="C24" s="23"/>
      <c r="D24" s="23"/>
      <c r="BB24" s="29"/>
      <c r="BC24" s="29"/>
      <c r="BD24" s="29"/>
      <c r="BE24" s="29"/>
      <c r="BF24" s="29"/>
      <c r="BG24" s="29"/>
      <c r="BH24" s="29"/>
      <c r="BI24" s="40">
        <v>250</v>
      </c>
      <c r="BJ24" s="29"/>
      <c r="BK24" s="19"/>
      <c r="BL24" s="19"/>
      <c r="BM24" s="19"/>
      <c r="BN24" s="19"/>
      <c r="BO24" s="19"/>
      <c r="BP24" s="19"/>
      <c r="BQ24" s="19"/>
      <c r="BR24" s="19">
        <v>19</v>
      </c>
      <c r="BS24" s="29">
        <v>-2.5748031496062991</v>
      </c>
      <c r="BT24" s="29">
        <v>1.449800590485566E-2</v>
      </c>
      <c r="BU24" s="29">
        <v>2</v>
      </c>
      <c r="BV24" s="29">
        <v>0</v>
      </c>
      <c r="BW24" s="29">
        <v>0</v>
      </c>
      <c r="BX24" s="29" t="str">
        <v/>
      </c>
      <c r="BY24" s="29" t="str">
        <v/>
      </c>
      <c r="BZ24" s="29"/>
      <c r="CA24" s="39">
        <f>MIN(3,MAX(0,CA22-CA20))</f>
        <v>3</v>
      </c>
      <c r="CB24" s="48"/>
      <c r="CC24" s="48"/>
      <c r="CD24" s="48"/>
      <c r="CE24" s="48"/>
      <c r="CF24" s="48">
        <v>19</v>
      </c>
      <c r="CG24" s="48">
        <v>4</v>
      </c>
      <c r="CH24" s="48">
        <v>1</v>
      </c>
      <c r="CI24" s="48" t="e">
        <v>#N/A</v>
      </c>
      <c r="CJ24" s="48" t="str">
        <v/>
      </c>
      <c r="CK24" s="48"/>
      <c r="CL24" s="51" t="s">
        <v>141</v>
      </c>
      <c r="CM24" s="48"/>
      <c r="CN24" s="29"/>
      <c r="CO24" s="29"/>
      <c r="CP24" s="57"/>
      <c r="CQ24" s="57"/>
      <c r="CR24" s="57"/>
      <c r="CS24" s="57"/>
      <c r="CT24" s="57"/>
      <c r="CU24" s="57">
        <v>19</v>
      </c>
      <c r="CV24" s="57">
        <v>1</v>
      </c>
      <c r="CW24" s="48">
        <v>1.8192576091040986</v>
      </c>
      <c r="CX24" s="48">
        <v>1.8192576091040986</v>
      </c>
      <c r="CY24" s="48" t="e">
        <v>#N/A</v>
      </c>
      <c r="CZ24" s="48" t="e">
        <v>#N/A</v>
      </c>
      <c r="DA24" s="48" t="e">
        <v>#N/A</v>
      </c>
      <c r="DB24" s="57" t="str">
        <v/>
      </c>
      <c r="DC24" s="57"/>
      <c r="DD24" s="40">
        <f>DD18-DD14</f>
        <v>2.4790432186498887</v>
      </c>
      <c r="DE24" s="57"/>
      <c r="DF24" s="57"/>
      <c r="DG24" s="57"/>
      <c r="DH24" s="57"/>
      <c r="DI24" s="57"/>
      <c r="DJ24" s="25"/>
      <c r="DK24" s="29"/>
      <c r="DL24" s="29"/>
      <c r="DM24" s="29"/>
      <c r="DN24" s="39">
        <f>MIN(1,MAX(0,DN22-DN20))</f>
        <v>1</v>
      </c>
      <c r="DO24" s="57"/>
      <c r="DP24" s="57"/>
      <c r="DQ24" s="57"/>
      <c r="DR24" s="57"/>
      <c r="DS24" s="48"/>
      <c r="DT24" s="48"/>
      <c r="DU24" s="48"/>
      <c r="DV24" s="48"/>
      <c r="DW24" s="48"/>
      <c r="DX24" s="48">
        <v>19</v>
      </c>
      <c r="DY24" s="48">
        <v>2</v>
      </c>
      <c r="DZ24" s="48">
        <v>1.4196164686204271</v>
      </c>
      <c r="EA24" s="48" t="str">
        <v/>
      </c>
      <c r="EB24" s="48"/>
      <c r="EC24" s="48"/>
      <c r="ED24" s="48"/>
      <c r="FB24" s="25"/>
      <c r="FC24" s="25"/>
    </row>
    <row r="25" spans="1:159" x14ac:dyDescent="0.2">
      <c r="C25" s="23"/>
      <c r="D25" s="23"/>
      <c r="BB25" s="29"/>
      <c r="BC25" s="29"/>
      <c r="BD25" s="29"/>
      <c r="BE25" s="29"/>
      <c r="BF25" s="29"/>
      <c r="BG25" s="29"/>
      <c r="BH25" s="29"/>
      <c r="BI25" s="51" t="s">
        <v>150</v>
      </c>
      <c r="BJ25" s="29"/>
      <c r="BK25" s="19"/>
      <c r="BL25" s="19"/>
      <c r="BM25" s="19"/>
      <c r="BN25" s="19"/>
      <c r="BO25" s="19"/>
      <c r="BP25" s="19"/>
      <c r="BQ25" s="19"/>
      <c r="BR25" s="19">
        <v>20</v>
      </c>
      <c r="BS25" s="29">
        <v>-2.5511811023622046</v>
      </c>
      <c r="BT25" s="29">
        <v>1.54028758771209E-2</v>
      </c>
      <c r="BU25" s="29">
        <v>2</v>
      </c>
      <c r="BV25" s="29">
        <v>0</v>
      </c>
      <c r="BW25" s="29">
        <v>0</v>
      </c>
      <c r="BX25" s="29" t="str">
        <v/>
      </c>
      <c r="BY25" s="29" t="str">
        <v/>
      </c>
      <c r="BZ25" s="29"/>
      <c r="CA25" s="29"/>
      <c r="CB25" s="48"/>
      <c r="CC25" s="48"/>
      <c r="CD25" s="48"/>
      <c r="CE25" s="48"/>
      <c r="CF25" s="48">
        <v>20</v>
      </c>
      <c r="CG25" s="48">
        <v>4</v>
      </c>
      <c r="CH25" s="48">
        <v>0</v>
      </c>
      <c r="CI25" s="48">
        <v>1</v>
      </c>
      <c r="CJ25" s="48" t="str">
        <v/>
      </c>
      <c r="CK25" s="48"/>
      <c r="CL25" s="49">
        <v>5000</v>
      </c>
      <c r="CM25" s="48"/>
      <c r="CN25" s="29"/>
      <c r="CO25" s="29"/>
      <c r="CP25" s="57"/>
      <c r="CQ25" s="57"/>
      <c r="CR25" s="57"/>
      <c r="CS25" s="57"/>
      <c r="CT25" s="57"/>
      <c r="CU25" s="57">
        <v>20</v>
      </c>
      <c r="CV25" s="57">
        <v>1</v>
      </c>
      <c r="CW25" s="48">
        <v>1.8192576091040986</v>
      </c>
      <c r="CX25" s="48">
        <v>1.8192576091040986</v>
      </c>
      <c r="CY25" s="48" t="e">
        <v>#N/A</v>
      </c>
      <c r="CZ25" s="48" t="e">
        <v>#N/A</v>
      </c>
      <c r="DA25" s="48" t="e">
        <v>#N/A</v>
      </c>
      <c r="DB25" s="57" t="str">
        <v/>
      </c>
      <c r="DC25" s="57"/>
      <c r="DD25" s="52" t="s">
        <v>198</v>
      </c>
      <c r="DE25" s="57"/>
      <c r="DF25" s="57"/>
      <c r="DG25" s="57"/>
      <c r="DH25" s="57"/>
      <c r="DI25" s="57"/>
      <c r="DJ25" s="25"/>
      <c r="DK25" s="29"/>
      <c r="DL25" s="29"/>
      <c r="DM25" s="29"/>
      <c r="DN25" s="51" t="s">
        <v>228</v>
      </c>
      <c r="DO25" s="57"/>
      <c r="DP25" s="57"/>
      <c r="DQ25" s="57"/>
      <c r="DR25" s="57"/>
      <c r="DS25" s="48"/>
      <c r="DT25" s="48"/>
      <c r="DU25" s="48"/>
      <c r="DV25" s="48"/>
      <c r="DW25" s="48"/>
      <c r="DX25" s="48">
        <v>20</v>
      </c>
      <c r="DY25" s="48">
        <v>2</v>
      </c>
      <c r="DZ25" s="48">
        <v>1.4196164686204271</v>
      </c>
      <c r="EA25" s="48" t="str">
        <v/>
      </c>
      <c r="EB25" s="48"/>
      <c r="EC25" s="48"/>
      <c r="ED25" s="48"/>
      <c r="FB25" s="25"/>
      <c r="FC25" s="25"/>
    </row>
    <row r="26" spans="1:159" x14ac:dyDescent="0.2">
      <c r="C26" s="23"/>
      <c r="D26" s="23"/>
      <c r="BB26" s="29"/>
      <c r="BC26" s="29"/>
      <c r="BD26" s="29"/>
      <c r="BE26" s="29"/>
      <c r="BF26" s="29"/>
      <c r="BG26" s="29"/>
      <c r="BH26" s="29"/>
      <c r="BI26" s="39">
        <f>ROUNDUP(BI24/B6,0)</f>
        <v>17</v>
      </c>
      <c r="BJ26" s="29"/>
      <c r="BK26" s="19"/>
      <c r="BL26" s="19"/>
      <c r="BM26" s="19"/>
      <c r="BN26" s="19"/>
      <c r="BO26" s="19"/>
      <c r="BP26" s="19"/>
      <c r="BQ26" s="19"/>
      <c r="BR26" s="19">
        <v>21</v>
      </c>
      <c r="BS26" s="29">
        <v>-2.5275590551181102</v>
      </c>
      <c r="BT26" s="29">
        <v>1.6355093162145264E-2</v>
      </c>
      <c r="BU26" s="29">
        <v>2</v>
      </c>
      <c r="BV26" s="29">
        <v>0</v>
      </c>
      <c r="BW26" s="29">
        <v>0</v>
      </c>
      <c r="BX26" s="29" t="str">
        <v/>
      </c>
      <c r="BY26" s="29" t="str">
        <v/>
      </c>
      <c r="BZ26" s="29"/>
      <c r="CA26" s="29"/>
      <c r="CB26" s="48"/>
      <c r="CC26" s="48"/>
      <c r="CD26" s="48"/>
      <c r="CE26" s="48"/>
      <c r="CF26" s="48">
        <v>21</v>
      </c>
      <c r="CG26" s="48">
        <v>4</v>
      </c>
      <c r="CH26" s="48">
        <v>0</v>
      </c>
      <c r="CI26" s="48">
        <v>1</v>
      </c>
      <c r="CJ26" s="48" t="str">
        <v/>
      </c>
      <c r="CK26" s="48"/>
      <c r="CL26" s="51" t="s">
        <v>153</v>
      </c>
      <c r="CM26" s="48"/>
      <c r="CN26" s="29"/>
      <c r="CO26" s="29"/>
      <c r="CP26" s="57"/>
      <c r="CQ26" s="57"/>
      <c r="CR26" s="57"/>
      <c r="CS26" s="57"/>
      <c r="CT26" s="57"/>
      <c r="CU26" s="57">
        <v>21</v>
      </c>
      <c r="CV26" s="57">
        <v>1</v>
      </c>
      <c r="CW26" s="48">
        <v>1.8192576091040986</v>
      </c>
      <c r="CX26" s="48">
        <v>1.8192576091040986</v>
      </c>
      <c r="CY26" s="48" t="e">
        <v>#N/A</v>
      </c>
      <c r="CZ26" s="48" t="e">
        <v>#N/A</v>
      </c>
      <c r="DA26" s="48" t="e">
        <v>#N/A</v>
      </c>
      <c r="DB26" s="57" t="str">
        <v/>
      </c>
      <c r="DC26" s="57"/>
      <c r="DD26" s="49">
        <v>1.5</v>
      </c>
      <c r="DE26" s="57"/>
      <c r="DF26" s="57"/>
      <c r="DG26" s="57"/>
      <c r="DH26" s="57"/>
      <c r="DI26" s="57"/>
      <c r="DJ26" s="25"/>
      <c r="DK26" s="29"/>
      <c r="DL26" s="29"/>
      <c r="DM26" s="29"/>
      <c r="DN26" s="39" t="s">
        <v>215</v>
      </c>
      <c r="DO26" s="57"/>
      <c r="DP26" s="57"/>
      <c r="DQ26" s="57"/>
      <c r="DR26" s="57"/>
      <c r="DS26" s="48"/>
      <c r="DT26" s="48"/>
      <c r="DU26" s="48"/>
      <c r="DV26" s="48"/>
      <c r="DW26" s="48"/>
      <c r="DX26" s="48">
        <v>21</v>
      </c>
      <c r="DY26" s="48">
        <v>3</v>
      </c>
      <c r="DZ26" s="48">
        <v>1.1154129396303354</v>
      </c>
      <c r="EA26" s="48" t="str">
        <v>-0.3 (33%)</v>
      </c>
      <c r="EB26" s="48"/>
      <c r="EC26" s="48"/>
      <c r="ED26" s="48"/>
      <c r="FB26" s="25"/>
      <c r="FC26" s="25"/>
    </row>
    <row r="27" spans="1:159" x14ac:dyDescent="0.2">
      <c r="C27" s="23"/>
      <c r="D27" s="23"/>
      <c r="BB27" s="29"/>
      <c r="BC27" s="29"/>
      <c r="BD27" s="29"/>
      <c r="BE27" s="29"/>
      <c r="BF27" s="29"/>
      <c r="BG27" s="29"/>
      <c r="BH27" s="29"/>
      <c r="BI27" s="51" t="s">
        <v>141</v>
      </c>
      <c r="BJ27" s="29"/>
      <c r="BK27" s="19"/>
      <c r="BL27" s="19"/>
      <c r="BM27" s="19"/>
      <c r="BN27" s="19"/>
      <c r="BO27" s="19"/>
      <c r="BP27" s="19"/>
      <c r="BQ27" s="19"/>
      <c r="BR27" s="19">
        <v>22</v>
      </c>
      <c r="BS27" s="29">
        <v>-2.5039370078740157</v>
      </c>
      <c r="BT27" s="29">
        <v>1.7356489587397227E-2</v>
      </c>
      <c r="BU27" s="29">
        <v>2</v>
      </c>
      <c r="BV27" s="29">
        <v>0</v>
      </c>
      <c r="BW27" s="29">
        <v>0</v>
      </c>
      <c r="BX27" s="29" t="str">
        <v/>
      </c>
      <c r="BY27" s="29" t="str">
        <v/>
      </c>
      <c r="BZ27" s="29"/>
      <c r="CA27" s="29"/>
      <c r="CB27" s="48"/>
      <c r="CC27" s="48"/>
      <c r="CD27" s="48"/>
      <c r="CE27" s="48"/>
      <c r="CF27" s="48">
        <v>22</v>
      </c>
      <c r="CG27" s="48">
        <v>4</v>
      </c>
      <c r="CH27" s="48">
        <v>0</v>
      </c>
      <c r="CI27" s="48">
        <v>1</v>
      </c>
      <c r="CJ27" s="48" t="str">
        <v>-0.409</v>
      </c>
      <c r="CK27" s="48"/>
      <c r="CL27" s="39">
        <f>MAX(LEN(ROUND(ABS(MAX(_xlfn.ANCHORARRAY(CN6))),0)),LEN(ROUND(ABS(MIN(_xlfn.ANCHORARRAY(CN6))),0)))</f>
        <v>2</v>
      </c>
      <c r="CM27" s="48"/>
      <c r="CN27" s="29"/>
      <c r="CO27" s="29"/>
      <c r="CP27" s="57"/>
      <c r="CQ27" s="57"/>
      <c r="CR27" s="57"/>
      <c r="CS27" s="57"/>
      <c r="CT27" s="57"/>
      <c r="CU27" s="57">
        <v>22</v>
      </c>
      <c r="CV27" s="57">
        <v>1</v>
      </c>
      <c r="CW27" s="48">
        <v>1.8192576091040986</v>
      </c>
      <c r="CX27" s="48">
        <v>1.8192576091040986</v>
      </c>
      <c r="CY27" s="48" t="e">
        <v>#N/A</v>
      </c>
      <c r="CZ27" s="48" t="e">
        <v>#N/A</v>
      </c>
      <c r="DA27" s="48" t="e">
        <v>#N/A</v>
      </c>
      <c r="DB27" s="57" t="str">
        <v/>
      </c>
      <c r="DC27" s="57"/>
      <c r="DD27" s="52" t="s">
        <v>199</v>
      </c>
      <c r="DE27" s="57"/>
      <c r="DF27" s="57"/>
      <c r="DG27" s="57"/>
      <c r="DH27" s="57"/>
      <c r="DI27" s="57"/>
      <c r="DJ27" s="25"/>
      <c r="DK27" s="29"/>
      <c r="DL27" s="29"/>
      <c r="DM27" s="29"/>
      <c r="DN27" s="29"/>
      <c r="DO27" s="57"/>
      <c r="DP27" s="57"/>
      <c r="DQ27" s="57"/>
      <c r="DR27" s="57"/>
      <c r="DS27" s="48"/>
      <c r="DT27" s="48"/>
      <c r="DU27" s="48"/>
      <c r="DV27" s="48"/>
      <c r="DW27" s="48"/>
      <c r="DX27" s="48">
        <v>22</v>
      </c>
      <c r="DY27" s="48">
        <v>3</v>
      </c>
      <c r="DZ27" s="48">
        <v>1.1154129396303354</v>
      </c>
      <c r="EA27" s="48" t="str">
        <v/>
      </c>
      <c r="EB27" s="48"/>
      <c r="EC27" s="48"/>
      <c r="ED27" s="48"/>
      <c r="FB27" s="25"/>
      <c r="FC27" s="25"/>
    </row>
    <row r="28" spans="1:159" x14ac:dyDescent="0.2">
      <c r="C28" s="23"/>
      <c r="D28" s="23"/>
      <c r="G28" s="26"/>
      <c r="BB28" s="29"/>
      <c r="BC28" s="29"/>
      <c r="BD28" s="29"/>
      <c r="BE28" s="29"/>
      <c r="BF28" s="29"/>
      <c r="BG28" s="29"/>
      <c r="BH28" s="29"/>
      <c r="BI28" s="39">
        <f>BI26*B6</f>
        <v>255</v>
      </c>
      <c r="BJ28" s="29"/>
      <c r="BK28" s="19"/>
      <c r="BL28" s="19"/>
      <c r="BM28" s="19"/>
      <c r="BN28" s="19"/>
      <c r="BO28" s="19"/>
      <c r="BP28" s="19"/>
      <c r="BQ28" s="19"/>
      <c r="BR28" s="19">
        <v>23</v>
      </c>
      <c r="BS28" s="29">
        <v>-2.4803149606299213</v>
      </c>
      <c r="BT28" s="29">
        <v>1.840892486107203E-2</v>
      </c>
      <c r="BU28" s="29">
        <v>2</v>
      </c>
      <c r="BV28" s="29">
        <v>0</v>
      </c>
      <c r="BW28" s="29">
        <v>0</v>
      </c>
      <c r="BX28" s="29" t="str">
        <v/>
      </c>
      <c r="BY28" s="29" t="str">
        <v/>
      </c>
      <c r="BZ28" s="29"/>
      <c r="CA28" s="29"/>
      <c r="CB28" s="48"/>
      <c r="CC28" s="48"/>
      <c r="CD28" s="48"/>
      <c r="CE28" s="48"/>
      <c r="CF28" s="48">
        <v>23</v>
      </c>
      <c r="CG28" s="48">
        <v>4</v>
      </c>
      <c r="CH28" s="48">
        <v>0</v>
      </c>
      <c r="CI28" s="48">
        <v>1</v>
      </c>
      <c r="CJ28" s="48" t="str">
        <v/>
      </c>
      <c r="CK28" s="48"/>
      <c r="CL28" s="51" t="s">
        <v>154</v>
      </c>
      <c r="CM28" s="48"/>
      <c r="CN28" s="29"/>
      <c r="CO28" s="29"/>
      <c r="CP28" s="57"/>
      <c r="CQ28" s="57"/>
      <c r="CR28" s="57"/>
      <c r="CS28" s="57"/>
      <c r="CT28" s="57"/>
      <c r="CU28" s="57">
        <v>23</v>
      </c>
      <c r="CV28" s="57">
        <v>1</v>
      </c>
      <c r="CW28" s="48">
        <v>1.8192576091040986</v>
      </c>
      <c r="CX28" s="48">
        <v>1.8192576091040986</v>
      </c>
      <c r="CY28" s="48" t="e">
        <v>#N/A</v>
      </c>
      <c r="CZ28" s="48" t="e">
        <v>#N/A</v>
      </c>
      <c r="DA28" s="48" t="e">
        <v>#N/A</v>
      </c>
      <c r="DB28" s="57" t="str">
        <v/>
      </c>
      <c r="DC28" s="57"/>
      <c r="DD28" s="49">
        <f>DD14-DD24*DD26</f>
        <v>-4.4942063710335098</v>
      </c>
      <c r="DE28" s="57"/>
      <c r="DF28" s="57"/>
      <c r="DG28" s="57"/>
      <c r="DH28" s="57"/>
      <c r="DI28" s="57"/>
      <c r="DJ28" s="25"/>
      <c r="DK28" s="29"/>
      <c r="DL28" s="29"/>
      <c r="DM28" s="29"/>
      <c r="DO28" s="57"/>
      <c r="DP28" s="57"/>
      <c r="DQ28" s="57"/>
      <c r="DR28" s="57"/>
      <c r="DS28" s="48"/>
      <c r="DT28" s="48"/>
      <c r="DU28" s="48"/>
      <c r="DV28" s="48"/>
      <c r="DW28" s="48"/>
      <c r="DX28" s="48">
        <v>23</v>
      </c>
      <c r="DY28" s="48">
        <v>3</v>
      </c>
      <c r="DZ28" s="48">
        <v>1.1154129396303354</v>
      </c>
      <c r="EA28" s="48" t="str">
        <v/>
      </c>
      <c r="EB28" s="48"/>
      <c r="EC28" s="48"/>
      <c r="ED28" s="48"/>
    </row>
    <row r="29" spans="1:159" x14ac:dyDescent="0.2">
      <c r="A29" s="3" t="s">
        <v>251</v>
      </c>
      <c r="B29"/>
      <c r="C29" s="23"/>
      <c r="D29" s="23"/>
      <c r="BB29" s="29"/>
      <c r="BC29" s="29"/>
      <c r="BD29" s="29"/>
      <c r="BE29" s="29"/>
      <c r="BF29" s="29"/>
      <c r="BG29" s="29"/>
      <c r="BH29" s="29"/>
      <c r="BI29" s="51" t="s">
        <v>147</v>
      </c>
      <c r="BJ29" s="29"/>
      <c r="BK29" s="19"/>
      <c r="BL29" s="19"/>
      <c r="BM29" s="19"/>
      <c r="BN29" s="19"/>
      <c r="BO29" s="19"/>
      <c r="BP29" s="19"/>
      <c r="BQ29" s="19"/>
      <c r="BR29" s="19">
        <v>24</v>
      </c>
      <c r="BS29" s="29">
        <v>-2.4566929133858268</v>
      </c>
      <c r="BT29" s="29">
        <v>1.9514284003976069E-2</v>
      </c>
      <c r="BU29" s="29">
        <v>2</v>
      </c>
      <c r="BV29" s="29">
        <v>0</v>
      </c>
      <c r="BW29" s="29">
        <v>0</v>
      </c>
      <c r="BX29" s="29" t="str">
        <v/>
      </c>
      <c r="BY29" s="29" t="str">
        <v/>
      </c>
      <c r="BZ29" s="29"/>
      <c r="CA29" s="29"/>
      <c r="CB29" s="48"/>
      <c r="CC29" s="48"/>
      <c r="CD29" s="48"/>
      <c r="CE29" s="48"/>
      <c r="CF29" s="48">
        <v>24</v>
      </c>
      <c r="CG29" s="48">
        <v>4</v>
      </c>
      <c r="CH29" s="48">
        <v>1</v>
      </c>
      <c r="CI29" s="48" t="e">
        <v>#N/A</v>
      </c>
      <c r="CJ29" s="48" t="str">
        <v/>
      </c>
      <c r="CK29" s="48"/>
      <c r="CL29" s="39">
        <f>7-ROUNDDOWN(CL13/5,0)</f>
        <v>6</v>
      </c>
      <c r="CM29" s="48"/>
      <c r="CN29" s="29"/>
      <c r="CO29" s="29"/>
      <c r="CP29" s="57"/>
      <c r="CQ29" s="57"/>
      <c r="CR29" s="57"/>
      <c r="CS29" s="57"/>
      <c r="CT29" s="57"/>
      <c r="CU29" s="57">
        <v>24</v>
      </c>
      <c r="CV29" s="57">
        <v>1</v>
      </c>
      <c r="CW29" s="48">
        <v>1.8192576091040986</v>
      </c>
      <c r="CX29" s="48">
        <v>1.8192576091040986</v>
      </c>
      <c r="CY29" s="48" t="e">
        <v>#N/A</v>
      </c>
      <c r="CZ29" s="48" t="e">
        <v>#N/A</v>
      </c>
      <c r="DA29" s="48" t="e">
        <v>#N/A</v>
      </c>
      <c r="DB29" s="57" t="str">
        <v/>
      </c>
      <c r="DC29" s="57"/>
      <c r="DD29" s="52" t="s">
        <v>200</v>
      </c>
      <c r="DE29" s="57"/>
      <c r="DF29" s="57"/>
      <c r="DG29" s="57"/>
      <c r="DH29" s="57"/>
      <c r="DI29" s="57"/>
      <c r="DJ29" s="25"/>
      <c r="DK29" s="29"/>
      <c r="DL29" s="29"/>
      <c r="DM29" s="29"/>
      <c r="DO29" s="57"/>
      <c r="DP29" s="57"/>
      <c r="DQ29" s="57"/>
      <c r="DR29" s="57"/>
      <c r="DS29" s="48"/>
      <c r="DT29" s="48"/>
      <c r="DU29" s="48"/>
      <c r="DV29" s="48"/>
      <c r="DW29" s="48"/>
      <c r="DX29" s="48">
        <v>24</v>
      </c>
      <c r="DY29" s="48">
        <v>3</v>
      </c>
      <c r="DZ29" s="48">
        <v>1.1154129396303354</v>
      </c>
      <c r="EA29" s="48" t="str">
        <v/>
      </c>
      <c r="EB29" s="48"/>
      <c r="EC29" s="48"/>
      <c r="ED29" s="48"/>
    </row>
    <row r="30" spans="1:159" x14ac:dyDescent="0.2">
      <c r="A30" s="33" t="s">
        <v>20</v>
      </c>
      <c r="B30" s="46">
        <f>COUNTA(_xlfn.ANCHORARRAY(BD6))</f>
        <v>12</v>
      </c>
      <c r="C30" s="23"/>
      <c r="D30" s="23"/>
      <c r="BB30" s="29"/>
      <c r="BC30" s="29"/>
      <c r="BD30" s="29"/>
      <c r="BE30" s="29"/>
      <c r="BF30" s="29"/>
      <c r="BG30" s="29"/>
      <c r="BH30" s="29"/>
      <c r="BI30" s="39">
        <f>(BI16-BI14)/(BI28-1)</f>
        <v>2.3622047244094488E-2</v>
      </c>
      <c r="BJ30" s="29"/>
      <c r="BK30" s="19"/>
      <c r="BL30" s="19"/>
      <c r="BM30" s="19"/>
      <c r="BN30" s="19"/>
      <c r="BO30" s="19"/>
      <c r="BP30" s="19"/>
      <c r="BQ30" s="19"/>
      <c r="BR30" s="19">
        <v>25</v>
      </c>
      <c r="BS30" s="29">
        <v>-2.4330708661417324</v>
      </c>
      <c r="BT30" s="29">
        <v>2.0674474552252395E-2</v>
      </c>
      <c r="BU30" s="29">
        <v>2</v>
      </c>
      <c r="BV30" s="29">
        <v>0</v>
      </c>
      <c r="BW30" s="29">
        <v>0</v>
      </c>
      <c r="BX30" s="29" t="str">
        <v/>
      </c>
      <c r="BY30" s="29" t="str">
        <v/>
      </c>
      <c r="BZ30" s="29"/>
      <c r="CA30" s="29"/>
      <c r="CB30" s="48"/>
      <c r="CC30" s="48"/>
      <c r="CD30" s="48"/>
      <c r="CE30" s="48"/>
      <c r="CF30" s="48">
        <v>25</v>
      </c>
      <c r="CG30" s="48">
        <v>5</v>
      </c>
      <c r="CH30" s="48">
        <v>1</v>
      </c>
      <c r="CI30" s="48" t="e">
        <v>#N/A</v>
      </c>
      <c r="CJ30" s="48" t="str">
        <v/>
      </c>
      <c r="CK30" s="48"/>
      <c r="CL30" s="51" t="s">
        <v>152</v>
      </c>
      <c r="CM30" s="48"/>
      <c r="CN30" s="29"/>
      <c r="CO30" s="29"/>
      <c r="CP30" s="57"/>
      <c r="CQ30" s="57"/>
      <c r="CR30" s="57"/>
      <c r="CS30" s="57"/>
      <c r="CT30" s="57"/>
      <c r="CU30" s="57">
        <v>25</v>
      </c>
      <c r="CV30" s="57">
        <v>1</v>
      </c>
      <c r="CW30" s="48">
        <v>1.8192576091040986</v>
      </c>
      <c r="CX30" s="48">
        <v>1.8192576091040986</v>
      </c>
      <c r="CY30" s="48" t="e">
        <v>#N/A</v>
      </c>
      <c r="CZ30" s="48" t="e">
        <v>#N/A</v>
      </c>
      <c r="DA30" s="48" t="e">
        <v>#N/A</v>
      </c>
      <c r="DB30" s="57" t="str">
        <v/>
      </c>
      <c r="DC30" s="57"/>
      <c r="DD30" s="49">
        <f>DD18+DD24*DD26</f>
        <v>5.4219665035660451</v>
      </c>
      <c r="DE30" s="57"/>
      <c r="DF30" s="57"/>
      <c r="DG30" s="57"/>
      <c r="DH30" s="57"/>
      <c r="DI30" s="57"/>
      <c r="DJ30" s="25"/>
      <c r="DK30" s="29"/>
      <c r="DL30" s="29"/>
      <c r="DM30" s="29"/>
      <c r="DN30" s="29"/>
      <c r="DO30" s="57"/>
      <c r="DP30" s="57"/>
      <c r="DQ30" s="57"/>
      <c r="DR30" s="57"/>
      <c r="DS30" s="48"/>
      <c r="DT30" s="48"/>
      <c r="DU30" s="48"/>
      <c r="DV30" s="48"/>
      <c r="DW30" s="48"/>
      <c r="DX30" s="48">
        <v>25</v>
      </c>
      <c r="DY30" s="48">
        <v>3</v>
      </c>
      <c r="DZ30" s="48">
        <v>1.1154129396303354</v>
      </c>
      <c r="EA30" s="48" t="str">
        <v/>
      </c>
      <c r="EB30" s="48"/>
      <c r="EC30" s="48"/>
      <c r="ED30" s="48"/>
    </row>
    <row r="31" spans="1:159" x14ac:dyDescent="0.2">
      <c r="A31" s="33" t="s">
        <v>0</v>
      </c>
      <c r="B31" s="38">
        <f>IFERROR(AVERAGE(_xlfn.ANCHORARRAY(BD6)),NA())</f>
        <v>1.8540044183209705</v>
      </c>
      <c r="C31" s="23"/>
      <c r="D31" s="23"/>
      <c r="BB31" s="29"/>
      <c r="BC31" s="29"/>
      <c r="BD31" s="29"/>
      <c r="BE31" s="29"/>
      <c r="BF31" s="29"/>
      <c r="BG31" s="29"/>
      <c r="BH31" s="29"/>
      <c r="BI31" s="51" t="s">
        <v>153</v>
      </c>
      <c r="BJ31" s="29"/>
      <c r="BK31" s="19"/>
      <c r="BL31" s="19"/>
      <c r="BM31" s="19"/>
      <c r="BN31" s="19"/>
      <c r="BO31" s="19"/>
      <c r="BP31" s="19"/>
      <c r="BQ31" s="19"/>
      <c r="BR31" s="19">
        <v>26</v>
      </c>
      <c r="BS31" s="29">
        <v>-2.409448818897638</v>
      </c>
      <c r="BT31" s="29">
        <v>2.1891423526696506E-2</v>
      </c>
      <c r="BU31" s="29">
        <v>2</v>
      </c>
      <c r="BV31" s="29">
        <v>0</v>
      </c>
      <c r="BW31" s="29">
        <v>0</v>
      </c>
      <c r="BX31" s="29" t="str">
        <v/>
      </c>
      <c r="BY31" s="29" t="str">
        <v/>
      </c>
      <c r="BZ31" s="29"/>
      <c r="CA31" s="29"/>
      <c r="CB31" s="48"/>
      <c r="CC31" s="48"/>
      <c r="CD31" s="48"/>
      <c r="CE31" s="48"/>
      <c r="CF31" s="48">
        <v>26</v>
      </c>
      <c r="CG31" s="48">
        <v>5</v>
      </c>
      <c r="CH31" s="48">
        <v>0</v>
      </c>
      <c r="CI31" s="48">
        <v>1</v>
      </c>
      <c r="CJ31" s="48" t="str">
        <v/>
      </c>
      <c r="CK31" s="48"/>
      <c r="CL31" s="39">
        <f>MIN(3,MAX(0,CL29-CL27))</f>
        <v>3</v>
      </c>
      <c r="CM31" s="48"/>
      <c r="CN31" s="29"/>
      <c r="CO31" s="29"/>
      <c r="CP31" s="57"/>
      <c r="CQ31" s="57"/>
      <c r="CR31" s="57"/>
      <c r="CS31" s="57"/>
      <c r="CT31" s="57"/>
      <c r="CU31" s="57">
        <v>26</v>
      </c>
      <c r="CV31" s="57">
        <v>1</v>
      </c>
      <c r="CW31" s="48">
        <v>1.8192576091040986</v>
      </c>
      <c r="CX31" s="48">
        <v>1.8192576091040986</v>
      </c>
      <c r="CY31" s="48" t="e">
        <v>#N/A</v>
      </c>
      <c r="CZ31" s="48" t="e">
        <v>#N/A</v>
      </c>
      <c r="DA31" s="48" t="e">
        <v>#N/A</v>
      </c>
      <c r="DB31" s="57" t="str">
        <v/>
      </c>
      <c r="DC31" s="57"/>
      <c r="DD31" s="52" t="s">
        <v>206</v>
      </c>
      <c r="DE31" s="57"/>
      <c r="DF31" s="57"/>
      <c r="DG31" s="57"/>
      <c r="DH31" s="57"/>
      <c r="DI31" s="57"/>
      <c r="DJ31" s="25"/>
      <c r="DK31" s="29"/>
      <c r="DL31" s="29"/>
      <c r="DM31" s="29"/>
      <c r="DN31" s="29"/>
      <c r="DO31" s="57"/>
      <c r="DP31" s="57"/>
      <c r="DQ31" s="57"/>
      <c r="DR31" s="57"/>
      <c r="DS31" s="48"/>
      <c r="DT31" s="48"/>
      <c r="DU31" s="48"/>
      <c r="DV31" s="48"/>
      <c r="DW31" s="48"/>
      <c r="DX31" s="48">
        <v>26</v>
      </c>
      <c r="DY31" s="48">
        <v>3</v>
      </c>
      <c r="DZ31" s="48">
        <v>1.1154129396303354</v>
      </c>
      <c r="EA31" s="48" t="str">
        <v/>
      </c>
      <c r="EB31" s="48"/>
      <c r="EC31" s="48"/>
      <c r="ED31" s="48"/>
    </row>
    <row r="32" spans="1:159" x14ac:dyDescent="0.2">
      <c r="A32" s="33" t="s">
        <v>113</v>
      </c>
      <c r="B32" s="38">
        <f>IFERROR(_xlfn.STDEV.S(_xlfn.ANCHORARRAY(BD6)),NA())</f>
        <v>4.3068660656276769</v>
      </c>
      <c r="C32" s="23"/>
      <c r="D32" s="23"/>
      <c r="BB32" s="48"/>
      <c r="BC32" s="29"/>
      <c r="BD32" s="29"/>
      <c r="BE32" s="29"/>
      <c r="BF32" s="29"/>
      <c r="BG32" s="29"/>
      <c r="BH32" s="29"/>
      <c r="BI32" s="39">
        <f>MAX(LEN(ROUND(ABS(BI18),0)),LEN(ROUND(ABS(BI20),0)))</f>
        <v>2</v>
      </c>
      <c r="BJ32" s="29"/>
      <c r="BK32" s="19"/>
      <c r="BL32" s="19"/>
      <c r="BM32" s="19"/>
      <c r="BN32" s="19"/>
      <c r="BO32" s="19"/>
      <c r="BP32" s="19"/>
      <c r="BQ32" s="19"/>
      <c r="BR32" s="19">
        <v>27</v>
      </c>
      <c r="BS32" s="29">
        <v>-2.3858267716535435</v>
      </c>
      <c r="BT32" s="29">
        <v>2.3167074165093303E-2</v>
      </c>
      <c r="BU32" s="29">
        <v>2</v>
      </c>
      <c r="BV32" s="29">
        <v>0</v>
      </c>
      <c r="BW32" s="29">
        <v>0</v>
      </c>
      <c r="BX32" s="29" t="str">
        <v/>
      </c>
      <c r="BY32" s="29" t="str">
        <v/>
      </c>
      <c r="BZ32" s="29"/>
      <c r="CA32" s="29"/>
      <c r="CB32" s="48"/>
      <c r="CC32" s="48"/>
      <c r="CD32" s="48"/>
      <c r="CE32" s="48"/>
      <c r="CF32" s="48">
        <v>27</v>
      </c>
      <c r="CG32" s="48">
        <v>5</v>
      </c>
      <c r="CH32" s="48">
        <v>0</v>
      </c>
      <c r="CI32" s="48">
        <v>1</v>
      </c>
      <c r="CJ32" s="48" t="str">
        <v/>
      </c>
      <c r="CK32" s="48"/>
      <c r="CL32" s="48"/>
      <c r="CM32" s="48"/>
      <c r="CN32" s="29"/>
      <c r="CO32" s="29"/>
      <c r="CP32" s="57"/>
      <c r="CQ32" s="57"/>
      <c r="CR32" s="57"/>
      <c r="CS32" s="57"/>
      <c r="CT32" s="57"/>
      <c r="CU32" s="57">
        <v>27</v>
      </c>
      <c r="CV32" s="57">
        <v>1</v>
      </c>
      <c r="CW32" s="48">
        <v>1.8192576091040986</v>
      </c>
      <c r="CX32" s="48">
        <v>1.8192576091040986</v>
      </c>
      <c r="CY32" s="48" t="e">
        <v>#N/A</v>
      </c>
      <c r="CZ32" s="48" t="e">
        <v>#N/A</v>
      </c>
      <c r="DA32" s="48" t="e">
        <v>#N/A</v>
      </c>
      <c r="DB32" s="57" t="str">
        <v/>
      </c>
      <c r="DC32" s="57"/>
      <c r="DD32" s="49">
        <f>MIN(_xlfn.ANCHORARRAY(DL6))</f>
        <v>-1.479592604535932</v>
      </c>
      <c r="DE32" s="57"/>
      <c r="DF32" s="57"/>
      <c r="DG32" s="57"/>
      <c r="DH32" s="57"/>
      <c r="DI32" s="57"/>
      <c r="DJ32" s="25"/>
      <c r="DK32" s="29"/>
      <c r="DL32" s="29"/>
      <c r="DM32" s="29"/>
      <c r="DN32" s="29"/>
      <c r="DO32" s="57"/>
      <c r="DP32" s="57"/>
      <c r="DQ32" s="57"/>
      <c r="DR32" s="57"/>
      <c r="DS32" s="48"/>
      <c r="DT32" s="48"/>
      <c r="DU32" s="48"/>
      <c r="DV32" s="48"/>
      <c r="DW32" s="48"/>
      <c r="DX32" s="48">
        <v>27</v>
      </c>
      <c r="DY32" s="48">
        <v>3</v>
      </c>
      <c r="DZ32" s="48">
        <v>1.1154129396303354</v>
      </c>
      <c r="EA32" s="48" t="str">
        <v/>
      </c>
      <c r="EB32" s="48"/>
      <c r="EC32" s="48"/>
      <c r="ED32" s="48"/>
    </row>
    <row r="33" spans="1:134" x14ac:dyDescent="0.2">
      <c r="A33" s="33" t="s">
        <v>114</v>
      </c>
      <c r="B33" s="38">
        <f>IFERROR(_xlfn.STDEV.S(_xlfn.ANCHORARRAY(BD6))^2,NA())</f>
        <v>18.549095307255225</v>
      </c>
      <c r="C33" s="23"/>
      <c r="D33" s="23"/>
      <c r="BB33" s="48"/>
      <c r="BC33" s="29"/>
      <c r="BD33" s="29"/>
      <c r="BE33" s="29"/>
      <c r="BF33" s="29"/>
      <c r="BG33" s="29"/>
      <c r="BH33" s="29"/>
      <c r="BI33" s="51" t="s">
        <v>154</v>
      </c>
      <c r="BJ33" s="29"/>
      <c r="BK33" s="19"/>
      <c r="BL33" s="19"/>
      <c r="BM33" s="19"/>
      <c r="BN33" s="19"/>
      <c r="BO33" s="19"/>
      <c r="BP33" s="19"/>
      <c r="BQ33" s="19"/>
      <c r="BR33" s="19">
        <v>28</v>
      </c>
      <c r="BS33" s="29">
        <v>-2.3622047244094491</v>
      </c>
      <c r="BT33" s="29">
        <v>2.4503382414745537E-2</v>
      </c>
      <c r="BU33" s="29">
        <v>2</v>
      </c>
      <c r="BV33" s="29">
        <v>0</v>
      </c>
      <c r="BW33" s="29">
        <v>0</v>
      </c>
      <c r="BX33" s="29" t="str">
        <v/>
      </c>
      <c r="BY33" s="29" t="str">
        <v/>
      </c>
      <c r="BZ33" s="29"/>
      <c r="CA33" s="29"/>
      <c r="CB33" s="48"/>
      <c r="CC33" s="48"/>
      <c r="CD33" s="48"/>
      <c r="CE33" s="48"/>
      <c r="CF33" s="48">
        <v>28</v>
      </c>
      <c r="CG33" s="48">
        <v>5</v>
      </c>
      <c r="CH33" s="48">
        <v>0</v>
      </c>
      <c r="CI33" s="48">
        <v>1</v>
      </c>
      <c r="CJ33" s="48" t="str">
        <v>-0.307</v>
      </c>
      <c r="CK33" s="48"/>
      <c r="CL33" s="48"/>
      <c r="CM33" s="48"/>
      <c r="CN33" s="29"/>
      <c r="CO33" s="29"/>
      <c r="CP33" s="57"/>
      <c r="CQ33" s="57"/>
      <c r="CR33" s="57"/>
      <c r="CS33" s="57"/>
      <c r="CT33" s="57"/>
      <c r="CU33" s="57">
        <v>28</v>
      </c>
      <c r="CV33" s="57">
        <v>1</v>
      </c>
      <c r="CW33" s="48">
        <v>1.8192576091040986</v>
      </c>
      <c r="CX33" s="48">
        <v>1.8192576091040986</v>
      </c>
      <c r="CY33" s="48" t="e">
        <v>#N/A</v>
      </c>
      <c r="CZ33" s="48" t="e">
        <v>#N/A</v>
      </c>
      <c r="DA33" s="48" t="e">
        <v>#N/A</v>
      </c>
      <c r="DB33" s="57" t="str">
        <v/>
      </c>
      <c r="DC33" s="57"/>
      <c r="DD33" s="52" t="s">
        <v>205</v>
      </c>
      <c r="DE33" s="57"/>
      <c r="DF33" s="57"/>
      <c r="DG33" s="57"/>
      <c r="DH33" s="57"/>
      <c r="DI33" s="57"/>
      <c r="DJ33" s="25"/>
      <c r="DK33" s="29"/>
      <c r="DL33" s="29"/>
      <c r="DM33" s="29"/>
      <c r="DN33" s="29"/>
      <c r="DO33" s="57"/>
      <c r="DP33" s="57"/>
      <c r="DQ33" s="57"/>
      <c r="DR33" s="57"/>
      <c r="DS33" s="48"/>
      <c r="DT33" s="48"/>
      <c r="DU33" s="48"/>
      <c r="DV33" s="48"/>
      <c r="DW33" s="48"/>
      <c r="DX33" s="48">
        <v>28</v>
      </c>
      <c r="DY33" s="48">
        <v>3</v>
      </c>
      <c r="DZ33" s="48">
        <v>1.1154129396303354</v>
      </c>
      <c r="EA33" s="48" t="str">
        <v/>
      </c>
      <c r="EB33" s="48"/>
      <c r="EC33" s="48"/>
      <c r="ED33" s="48"/>
    </row>
    <row r="34" spans="1:134" x14ac:dyDescent="0.2">
      <c r="A34" s="33" t="s">
        <v>1</v>
      </c>
      <c r="B34" s="43" t="e">
        <f>_xlfn.SINGLE(IF(OR(COUNTIF(_xlfn.ANCHORARRAY(BD6),TRUE)&gt;0,COUNTIF(_xlfn.ANCHORARRAY(BD6),FALSE)&gt;0),COUNTIF(_xlfn.ANCHORARRAY(BD6),TRUE)/COUNTA(_xlfn.ANCHORARRAY(BD6)),NA()))</f>
        <v>#N/A</v>
      </c>
      <c r="C34" s="23"/>
      <c r="D34" s="23"/>
      <c r="BB34" s="48"/>
      <c r="BC34" s="29"/>
      <c r="BD34" s="29"/>
      <c r="BE34" s="29"/>
      <c r="BF34" s="29"/>
      <c r="BG34" s="29"/>
      <c r="BH34" s="29"/>
      <c r="BI34" s="39">
        <f>7-ROUNDDOWN(B6/5,0)</f>
        <v>4</v>
      </c>
      <c r="BJ34" s="29"/>
      <c r="BK34" s="19"/>
      <c r="BL34" s="19"/>
      <c r="BM34" s="19"/>
      <c r="BN34" s="19"/>
      <c r="BO34" s="19"/>
      <c r="BP34" s="19"/>
      <c r="BQ34" s="19"/>
      <c r="BR34" s="19">
        <v>29</v>
      </c>
      <c r="BS34" s="29">
        <v>-2.3385826771653546</v>
      </c>
      <c r="BT34" s="29">
        <v>2.5902313183160039E-2</v>
      </c>
      <c r="BU34" s="29">
        <v>2</v>
      </c>
      <c r="BV34" s="29">
        <v>0</v>
      </c>
      <c r="BW34" s="29">
        <v>0</v>
      </c>
      <c r="BX34" s="29" t="str">
        <v/>
      </c>
      <c r="BY34" s="29" t="str">
        <v/>
      </c>
      <c r="BZ34" s="29"/>
      <c r="CA34" s="29"/>
      <c r="CB34" s="48"/>
      <c r="CC34" s="48"/>
      <c r="CD34" s="48"/>
      <c r="CE34" s="48"/>
      <c r="CF34" s="48">
        <v>29</v>
      </c>
      <c r="CG34" s="48">
        <v>5</v>
      </c>
      <c r="CH34" s="48">
        <v>0</v>
      </c>
      <c r="CI34" s="48">
        <v>1</v>
      </c>
      <c r="CJ34" s="48" t="str">
        <v/>
      </c>
      <c r="CK34" s="48"/>
      <c r="CL34" s="48"/>
      <c r="CM34" s="48"/>
      <c r="CN34" s="29"/>
      <c r="CO34" s="29"/>
      <c r="CP34" s="57"/>
      <c r="CQ34" s="57"/>
      <c r="CR34" s="57"/>
      <c r="CS34" s="57"/>
      <c r="CT34" s="57"/>
      <c r="CU34" s="57">
        <v>29</v>
      </c>
      <c r="CV34" s="57">
        <v>1</v>
      </c>
      <c r="CW34" s="48">
        <v>1.8192576091040986</v>
      </c>
      <c r="CX34" s="48">
        <v>1.8192576091040986</v>
      </c>
      <c r="CY34" s="48" t="e">
        <v>#N/A</v>
      </c>
      <c r="CZ34" s="48" t="e">
        <v>#N/A</v>
      </c>
      <c r="DA34" s="48" t="e">
        <v>#N/A</v>
      </c>
      <c r="DB34" s="57" t="str">
        <v/>
      </c>
      <c r="DC34" s="57"/>
      <c r="DD34" s="49">
        <f>MAX(_xlfn.ANCHORARRAY(DL6))</f>
        <v>1.8110756828005981</v>
      </c>
      <c r="DE34" s="57"/>
      <c r="DF34" s="57"/>
      <c r="DG34" s="57"/>
      <c r="DH34" s="57"/>
      <c r="DI34" s="57"/>
      <c r="DJ34" s="25"/>
      <c r="DK34" s="29"/>
      <c r="DL34" s="29"/>
      <c r="DM34" s="29"/>
      <c r="DN34" s="29"/>
      <c r="DO34" s="57"/>
      <c r="DP34" s="57"/>
      <c r="DQ34" s="57"/>
      <c r="DR34" s="57"/>
      <c r="DS34" s="48"/>
      <c r="DT34" s="48"/>
      <c r="DU34" s="48"/>
      <c r="DV34" s="48"/>
      <c r="DW34" s="48"/>
      <c r="DX34" s="48">
        <v>29</v>
      </c>
      <c r="DY34" s="48">
        <v>3</v>
      </c>
      <c r="DZ34" s="48">
        <v>1.1154129396303354</v>
      </c>
      <c r="EA34" s="48" t="str">
        <v/>
      </c>
      <c r="EB34" s="48"/>
      <c r="EC34" s="48"/>
      <c r="ED34" s="48"/>
    </row>
    <row r="35" spans="1:134" x14ac:dyDescent="0.2">
      <c r="A35" s="33" t="s">
        <v>2</v>
      </c>
      <c r="B35" s="38">
        <f>IFERROR(AVERAGE(_xlfn.ANCHORARRAY(BD6)),NA())</f>
        <v>1.8540044183209705</v>
      </c>
      <c r="C35" s="23"/>
      <c r="D35" s="23"/>
      <c r="BB35" s="48"/>
      <c r="BC35" s="29"/>
      <c r="BD35" s="29"/>
      <c r="BE35" s="29"/>
      <c r="BF35" s="29"/>
      <c r="BG35" s="29"/>
      <c r="BH35" s="29"/>
      <c r="BI35" s="51" t="s">
        <v>152</v>
      </c>
      <c r="BJ35" s="29"/>
      <c r="BK35" s="19"/>
      <c r="BL35" s="19"/>
      <c r="BM35" s="19"/>
      <c r="BN35" s="19"/>
      <c r="BO35" s="19"/>
      <c r="BP35" s="19"/>
      <c r="BQ35" s="19"/>
      <c r="BR35" s="19">
        <v>30</v>
      </c>
      <c r="BS35" s="29">
        <v>-2.3149606299212597</v>
      </c>
      <c r="BT35" s="29">
        <v>2.7365836345710239E-2</v>
      </c>
      <c r="BU35" s="29">
        <v>2</v>
      </c>
      <c r="BV35" s="29">
        <v>0</v>
      </c>
      <c r="BW35" s="29">
        <v>0</v>
      </c>
      <c r="BX35" s="29" t="str">
        <v/>
      </c>
      <c r="BY35" s="29" t="str">
        <v/>
      </c>
      <c r="BZ35" s="29"/>
      <c r="CA35" s="29"/>
      <c r="CB35" s="48"/>
      <c r="CC35" s="48"/>
      <c r="CD35" s="48"/>
      <c r="CE35" s="48"/>
      <c r="CF35" s="48">
        <v>30</v>
      </c>
      <c r="CG35" s="48">
        <v>5</v>
      </c>
      <c r="CH35" s="48">
        <v>1</v>
      </c>
      <c r="CI35" s="48" t="e">
        <v>#N/A</v>
      </c>
      <c r="CJ35" s="48" t="str">
        <v/>
      </c>
      <c r="CK35" s="48"/>
      <c r="CL35" s="48"/>
      <c r="CM35" s="48"/>
      <c r="CN35" s="29"/>
      <c r="CO35" s="29"/>
      <c r="CP35" s="57"/>
      <c r="CQ35" s="57"/>
      <c r="CR35" s="57"/>
      <c r="CS35" s="57"/>
      <c r="CT35" s="57"/>
      <c r="CU35" s="57">
        <v>30</v>
      </c>
      <c r="CV35" s="57">
        <v>1</v>
      </c>
      <c r="CW35" s="48">
        <v>1.8192576091040986</v>
      </c>
      <c r="CX35" s="48">
        <v>1.8192576091040986</v>
      </c>
      <c r="CY35" s="48" t="e">
        <v>#N/A</v>
      </c>
      <c r="CZ35" s="48" t="e">
        <v>#N/A</v>
      </c>
      <c r="DA35" s="48" t="e">
        <v>#N/A</v>
      </c>
      <c r="DB35" s="57" t="str">
        <v/>
      </c>
      <c r="DC35" s="57"/>
      <c r="DD35" s="29"/>
      <c r="DE35" s="57"/>
      <c r="DF35" s="57"/>
      <c r="DG35" s="57"/>
      <c r="DH35" s="57"/>
      <c r="DI35" s="57"/>
      <c r="DJ35" s="25"/>
      <c r="DK35" s="29"/>
      <c r="DL35" s="29"/>
      <c r="DM35" s="29"/>
      <c r="DN35" s="29"/>
      <c r="DO35" s="57"/>
      <c r="DP35" s="57"/>
      <c r="DQ35" s="57"/>
      <c r="DR35" s="57"/>
      <c r="DS35" s="48"/>
      <c r="DT35" s="48"/>
      <c r="DU35" s="48"/>
      <c r="DV35" s="48"/>
      <c r="DW35" s="48"/>
      <c r="DX35" s="48">
        <v>30</v>
      </c>
      <c r="DY35" s="48">
        <v>3</v>
      </c>
      <c r="DZ35" s="48">
        <v>1.1154129396303354</v>
      </c>
      <c r="EA35" s="48" t="str">
        <v/>
      </c>
      <c r="EB35" s="48"/>
      <c r="EC35" s="48"/>
      <c r="ED35" s="48"/>
    </row>
    <row r="36" spans="1:134" x14ac:dyDescent="0.2">
      <c r="A36" s="45" t="s">
        <v>26</v>
      </c>
      <c r="B36" s="44">
        <f>IF(ISNA($B$31),NA(),MIN(_xlfn.ANCHORARRAY(BD6)))</f>
        <v>-1.479592604535932</v>
      </c>
      <c r="BB36" s="48"/>
      <c r="BC36" s="29"/>
      <c r="BD36" s="29"/>
      <c r="BE36" s="29"/>
      <c r="BF36" s="29"/>
      <c r="BG36" s="29"/>
      <c r="BH36" s="29"/>
      <c r="BI36" s="39">
        <f>MIN(3,MAX(0,BI34-BI32))</f>
        <v>2</v>
      </c>
      <c r="BJ36" s="29"/>
      <c r="BK36" s="29"/>
      <c r="BL36" s="29"/>
      <c r="BM36" s="48"/>
      <c r="BN36" s="29"/>
      <c r="BO36" s="29"/>
      <c r="BP36" s="29"/>
      <c r="BQ36" s="29"/>
      <c r="BR36" s="48">
        <v>31</v>
      </c>
      <c r="BS36" s="29">
        <v>-2.2913385826771653</v>
      </c>
      <c r="BT36" s="29">
        <v>2.8895922510000907E-2</v>
      </c>
      <c r="BU36" s="29">
        <v>2</v>
      </c>
      <c r="BV36" s="29">
        <v>0</v>
      </c>
      <c r="BW36" s="29">
        <v>0</v>
      </c>
      <c r="BX36" s="29" t="str">
        <v/>
      </c>
      <c r="BY36" s="29" t="str">
        <v/>
      </c>
      <c r="BZ36" s="29"/>
      <c r="CA36" s="29"/>
      <c r="CB36" s="48"/>
      <c r="CC36" s="48"/>
      <c r="CD36" s="48"/>
      <c r="CE36" s="48"/>
      <c r="CF36" s="48">
        <v>31</v>
      </c>
      <c r="CG36" s="48">
        <v>6</v>
      </c>
      <c r="CH36" s="48">
        <v>1</v>
      </c>
      <c r="CI36" s="48" t="e">
        <v>#N/A</v>
      </c>
      <c r="CJ36" s="48" t="str">
        <v/>
      </c>
      <c r="CK36" s="48"/>
      <c r="CL36" s="48"/>
      <c r="CM36" s="48"/>
      <c r="CN36" s="29"/>
      <c r="CO36" s="29"/>
      <c r="CP36" s="57"/>
      <c r="CQ36" s="57"/>
      <c r="CR36" s="57"/>
      <c r="CS36" s="57"/>
      <c r="CT36" s="57"/>
      <c r="CU36" s="57">
        <v>31</v>
      </c>
      <c r="CV36" s="57">
        <v>1</v>
      </c>
      <c r="CW36" s="48">
        <v>1.8192576091040986</v>
      </c>
      <c r="CX36" s="48">
        <v>1.8192576091040986</v>
      </c>
      <c r="CY36" s="48" t="e">
        <v>#N/A</v>
      </c>
      <c r="CZ36" s="48" t="e">
        <v>#N/A</v>
      </c>
      <c r="DA36" s="48" t="e">
        <v>#N/A</v>
      </c>
      <c r="DB36" s="57" t="str">
        <v/>
      </c>
      <c r="DC36" s="57"/>
      <c r="DD36" s="29"/>
      <c r="DE36" s="57"/>
      <c r="DF36" s="57"/>
      <c r="DG36" s="57"/>
      <c r="DH36" s="57"/>
      <c r="DI36" s="57"/>
      <c r="DJ36" s="25"/>
      <c r="DK36" s="29"/>
      <c r="DL36" s="29"/>
      <c r="DM36" s="29"/>
      <c r="DN36" s="29"/>
      <c r="DO36" s="57"/>
      <c r="DP36" s="57"/>
      <c r="DQ36" s="57"/>
      <c r="DR36" s="57"/>
      <c r="DS36" s="48"/>
      <c r="DT36" s="48"/>
      <c r="DU36" s="48"/>
      <c r="DV36" s="48"/>
      <c r="DW36" s="48"/>
      <c r="DX36" s="48">
        <v>31</v>
      </c>
      <c r="DY36" s="48">
        <v>3</v>
      </c>
      <c r="DZ36" s="48">
        <v>1.1154129396303354</v>
      </c>
      <c r="EA36" s="48" t="str">
        <v/>
      </c>
      <c r="EB36" s="48"/>
      <c r="EC36" s="48"/>
      <c r="ED36" s="48"/>
    </row>
    <row r="37" spans="1:134" x14ac:dyDescent="0.2">
      <c r="A37" s="33" t="s">
        <v>108</v>
      </c>
      <c r="B37" s="38">
        <f>IFERROR(_xlfn.QUARTILE.EXC(_xlfn.ANCHORARRAY(BD6),1),NA())</f>
        <v>-0.77564154305867694</v>
      </c>
      <c r="BB37" s="48"/>
      <c r="BC37" s="29"/>
      <c r="BD37" s="29"/>
      <c r="BE37" s="29"/>
      <c r="BF37" s="29"/>
      <c r="BG37" s="29"/>
      <c r="BH37" s="29"/>
      <c r="BI37" s="51" t="s">
        <v>232</v>
      </c>
      <c r="BJ37" s="29"/>
      <c r="BK37" s="29"/>
      <c r="BL37" s="29"/>
      <c r="BM37" s="48"/>
      <c r="BN37" s="29"/>
      <c r="BO37" s="29"/>
      <c r="BP37" s="29"/>
      <c r="BQ37" s="29"/>
      <c r="BR37" s="48">
        <v>32</v>
      </c>
      <c r="BS37" s="48">
        <v>-2.2677165354330708</v>
      </c>
      <c r="BT37" s="29">
        <v>3.0494538537622264E-2</v>
      </c>
      <c r="BU37" s="29">
        <v>2</v>
      </c>
      <c r="BV37" s="29">
        <v>0</v>
      </c>
      <c r="BW37" s="29">
        <v>0</v>
      </c>
      <c r="BX37" s="29" t="str">
        <v/>
      </c>
      <c r="BY37" s="29" t="str">
        <v/>
      </c>
      <c r="BZ37" s="29"/>
      <c r="CA37" s="29"/>
      <c r="CB37" s="29"/>
      <c r="CC37" s="48"/>
      <c r="CD37" s="48"/>
      <c r="CE37" s="48"/>
      <c r="CF37" s="48">
        <v>32</v>
      </c>
      <c r="CG37" s="48">
        <v>6</v>
      </c>
      <c r="CH37" s="48">
        <v>0</v>
      </c>
      <c r="CI37" s="48">
        <v>1</v>
      </c>
      <c r="CJ37" s="48" t="str">
        <v/>
      </c>
      <c r="CK37" s="48"/>
      <c r="CL37" s="48"/>
      <c r="CM37" s="48"/>
      <c r="CN37" s="29"/>
      <c r="CO37" s="29"/>
      <c r="CP37" s="57"/>
      <c r="CQ37" s="57"/>
      <c r="CR37" s="57"/>
      <c r="CS37" s="57"/>
      <c r="CT37" s="57"/>
      <c r="CU37" s="57">
        <v>32</v>
      </c>
      <c r="CV37" s="57">
        <v>1</v>
      </c>
      <c r="CW37" s="48">
        <v>1.8192576091040986</v>
      </c>
      <c r="CX37" s="48">
        <v>1.8192576091040986</v>
      </c>
      <c r="CY37" s="48" t="e">
        <v>#N/A</v>
      </c>
      <c r="CZ37" s="48" t="e">
        <v>#N/A</v>
      </c>
      <c r="DA37" s="48" t="e">
        <v>#N/A</v>
      </c>
      <c r="DB37" s="57" t="str">
        <v/>
      </c>
      <c r="DC37" s="57"/>
      <c r="DD37" s="57"/>
      <c r="DE37" s="57"/>
      <c r="DF37" s="57"/>
      <c r="DG37" s="57"/>
      <c r="DH37" s="57"/>
      <c r="DI37" s="57"/>
      <c r="DJ37" s="25"/>
      <c r="DK37" s="29"/>
      <c r="DL37" s="29"/>
      <c r="DM37" s="29"/>
      <c r="DN37" s="29"/>
      <c r="DO37" s="57"/>
      <c r="DP37" s="57"/>
      <c r="DQ37" s="57"/>
      <c r="DR37" s="57"/>
      <c r="DS37" s="48"/>
      <c r="DT37" s="48"/>
      <c r="DU37" s="48"/>
      <c r="DV37" s="48"/>
      <c r="DW37" s="48"/>
      <c r="DX37" s="48">
        <v>32</v>
      </c>
      <c r="DY37" s="48">
        <v>3</v>
      </c>
      <c r="DZ37" s="48">
        <v>1.1154129396303354</v>
      </c>
      <c r="EA37" s="48" t="str">
        <v/>
      </c>
      <c r="EB37" s="48"/>
      <c r="EC37" s="48"/>
      <c r="ED37" s="48"/>
    </row>
    <row r="38" spans="1:134" x14ac:dyDescent="0.2">
      <c r="A38" s="28" t="s">
        <v>16</v>
      </c>
      <c r="B38" s="38">
        <f>IFERROR(MEDIAN(_xlfn.ANCHORARRAY(BD6)),NA())</f>
        <v>0.49925963399512074</v>
      </c>
      <c r="BB38" s="48"/>
      <c r="BC38" s="29"/>
      <c r="BD38" s="29"/>
      <c r="BE38" s="29"/>
      <c r="BF38" s="29"/>
      <c r="BG38" s="29"/>
      <c r="BH38" s="29"/>
      <c r="BI38" s="39">
        <f>MAX(6,ROUND(BI12,0)*2)+1</f>
        <v>7</v>
      </c>
      <c r="BJ38" s="29"/>
      <c r="BK38" s="29"/>
      <c r="BL38" s="29"/>
      <c r="BM38" s="48"/>
      <c r="BN38" s="29"/>
      <c r="BO38" s="29"/>
      <c r="BP38" s="29"/>
      <c r="BQ38" s="29"/>
      <c r="BR38" s="48">
        <v>33</v>
      </c>
      <c r="BS38" s="48">
        <v>-2.2440944881889764</v>
      </c>
      <c r="BT38" s="29">
        <v>3.2163642824992435E-2</v>
      </c>
      <c r="BU38" s="29">
        <v>2</v>
      </c>
      <c r="BV38" s="29">
        <v>0</v>
      </c>
      <c r="BW38" s="29">
        <v>0</v>
      </c>
      <c r="BX38" s="29" t="str">
        <v/>
      </c>
      <c r="BY38" s="29" t="str">
        <v/>
      </c>
      <c r="BZ38" s="29"/>
      <c r="CA38" s="29"/>
      <c r="CB38" s="29"/>
      <c r="CC38" s="48"/>
      <c r="CD38" s="48"/>
      <c r="CE38" s="48"/>
      <c r="CF38" s="48">
        <v>33</v>
      </c>
      <c r="CG38" s="48">
        <v>6</v>
      </c>
      <c r="CH38" s="48">
        <v>0</v>
      </c>
      <c r="CI38" s="48">
        <v>1</v>
      </c>
      <c r="CJ38" s="48" t="str">
        <v/>
      </c>
      <c r="CK38" s="48"/>
      <c r="CL38" s="48"/>
      <c r="CM38" s="48"/>
      <c r="CN38" s="29"/>
      <c r="CO38" s="29"/>
      <c r="CP38" s="57"/>
      <c r="CQ38" s="57"/>
      <c r="CR38" s="57"/>
      <c r="CS38" s="57"/>
      <c r="CT38" s="57"/>
      <c r="CU38" s="57">
        <v>33</v>
      </c>
      <c r="CV38" s="57">
        <v>1</v>
      </c>
      <c r="CW38" s="48">
        <v>1.8192576091040986</v>
      </c>
      <c r="CX38" s="48">
        <v>1.8192576091040986</v>
      </c>
      <c r="CY38" s="48" t="e">
        <v>#N/A</v>
      </c>
      <c r="CZ38" s="48" t="e">
        <v>#N/A</v>
      </c>
      <c r="DA38" s="48" t="e">
        <v>#N/A</v>
      </c>
      <c r="DB38" s="57" t="str">
        <v/>
      </c>
      <c r="DC38" s="57"/>
      <c r="DD38" s="57"/>
      <c r="DE38" s="57"/>
      <c r="DF38" s="57"/>
      <c r="DG38" s="57"/>
      <c r="DH38" s="57"/>
      <c r="DI38" s="57"/>
      <c r="DJ38" s="25"/>
      <c r="DK38" s="29"/>
      <c r="DL38" s="29"/>
      <c r="DM38" s="29"/>
      <c r="DN38" s="29"/>
      <c r="DO38" s="57"/>
      <c r="DP38" s="57"/>
      <c r="DQ38" s="57"/>
      <c r="DR38" s="57"/>
      <c r="DS38" s="48"/>
      <c r="DT38" s="48"/>
      <c r="DU38" s="48"/>
      <c r="DV38" s="48"/>
      <c r="DW38" s="48"/>
      <c r="DX38" s="48">
        <v>33</v>
      </c>
      <c r="DY38" s="48">
        <v>3</v>
      </c>
      <c r="DZ38" s="48">
        <v>1.1154129396303354</v>
      </c>
      <c r="EA38" s="48" t="str">
        <v/>
      </c>
      <c r="EB38" s="48"/>
      <c r="EC38" s="48"/>
      <c r="ED38" s="48"/>
    </row>
    <row r="39" spans="1:134" x14ac:dyDescent="0.2">
      <c r="A39" s="45" t="s">
        <v>109</v>
      </c>
      <c r="B39" s="38">
        <f>IFERROR(_xlfn.QUARTILE.EXC(_xlfn.ANCHORARRAY(BD6),3),NA())</f>
        <v>1.7034016755912118</v>
      </c>
      <c r="BB39" s="48"/>
      <c r="BC39" s="29"/>
      <c r="BD39" s="29"/>
      <c r="BE39" s="29"/>
      <c r="BF39" s="29"/>
      <c r="BG39" s="29"/>
      <c r="BH39" s="29"/>
      <c r="BI39" s="51" t="s">
        <v>233</v>
      </c>
      <c r="BJ39" s="29"/>
      <c r="BK39" s="29"/>
      <c r="BL39" s="29"/>
      <c r="BM39" s="29"/>
      <c r="BN39" s="29"/>
      <c r="BO39" s="29"/>
      <c r="BP39" s="29"/>
      <c r="BQ39" s="29"/>
      <c r="BR39" s="29">
        <v>34</v>
      </c>
      <c r="BS39" s="29">
        <v>-2.2204724409448819</v>
      </c>
      <c r="BT39" s="29">
        <v>3.3905180346050105E-2</v>
      </c>
      <c r="BU39" s="29">
        <v>2</v>
      </c>
      <c r="BV39" s="29">
        <v>0</v>
      </c>
      <c r="BW39" s="29">
        <v>0</v>
      </c>
      <c r="BX39" s="29" t="str">
        <v/>
      </c>
      <c r="BY39" s="29" t="str">
        <v/>
      </c>
      <c r="BZ39" s="29"/>
      <c r="CA39" s="29"/>
      <c r="CB39" s="29"/>
      <c r="CC39" s="48"/>
      <c r="CD39" s="48"/>
      <c r="CE39" s="48"/>
      <c r="CF39" s="48">
        <v>34</v>
      </c>
      <c r="CG39" s="48">
        <v>6</v>
      </c>
      <c r="CH39" s="48">
        <v>0</v>
      </c>
      <c r="CI39" s="48">
        <v>1</v>
      </c>
      <c r="CJ39" s="48" t="str">
        <v>0.084</v>
      </c>
      <c r="CK39" s="48"/>
      <c r="CL39" s="48"/>
      <c r="CM39" s="48"/>
      <c r="CN39" s="29"/>
      <c r="CO39" s="29"/>
      <c r="CP39" s="57"/>
      <c r="CQ39" s="57"/>
      <c r="CR39" s="57"/>
      <c r="CS39" s="57"/>
      <c r="CT39" s="57"/>
      <c r="CU39" s="57">
        <v>34</v>
      </c>
      <c r="CV39" s="57">
        <v>1</v>
      </c>
      <c r="CW39" s="48">
        <v>1.8192576091040986</v>
      </c>
      <c r="CX39" s="48">
        <v>1.8192576091040986</v>
      </c>
      <c r="CY39" s="48" t="e">
        <v>#N/A</v>
      </c>
      <c r="CZ39" s="48" t="e">
        <v>#N/A</v>
      </c>
      <c r="DA39" s="48" t="e">
        <v>#N/A</v>
      </c>
      <c r="DB39" s="57" t="str">
        <v/>
      </c>
      <c r="DC39" s="57"/>
      <c r="DD39" s="57"/>
      <c r="DE39" s="57"/>
      <c r="DF39" s="57"/>
      <c r="DG39" s="57"/>
      <c r="DH39" s="57"/>
      <c r="DI39" s="57"/>
      <c r="DJ39" s="25"/>
      <c r="DK39" s="29"/>
      <c r="DL39" s="29"/>
      <c r="DM39" s="29"/>
      <c r="DN39" s="29"/>
      <c r="DO39" s="57"/>
      <c r="DP39" s="57"/>
      <c r="DQ39" s="57"/>
      <c r="DR39" s="57"/>
      <c r="DS39" s="48"/>
      <c r="DT39" s="48"/>
      <c r="DU39" s="48"/>
      <c r="DV39" s="48"/>
      <c r="DW39" s="48"/>
      <c r="DX39" s="48">
        <v>34</v>
      </c>
      <c r="DY39" s="48">
        <v>3</v>
      </c>
      <c r="DZ39" s="48">
        <v>1.1154129396303354</v>
      </c>
      <c r="EA39" s="48" t="str">
        <v/>
      </c>
      <c r="EB39" s="48"/>
      <c r="EC39" s="48"/>
      <c r="ED39" s="48"/>
    </row>
    <row r="40" spans="1:134" x14ac:dyDescent="0.2">
      <c r="A40" s="45" t="s">
        <v>105</v>
      </c>
      <c r="B40" s="44">
        <f>IF(ISNA($B$31),NA(),MAX(_xlfn.ANCHORARRAY(BD6)))</f>
        <v>13</v>
      </c>
      <c r="BB40" s="48"/>
      <c r="BC40" s="29"/>
      <c r="BD40" s="29"/>
      <c r="BE40" s="29"/>
      <c r="BF40" s="29"/>
      <c r="BG40" s="29"/>
      <c r="BH40" s="29"/>
      <c r="BI40" s="39">
        <v>11</v>
      </c>
      <c r="BJ40" s="29"/>
      <c r="BK40" s="29"/>
      <c r="BL40" s="29"/>
      <c r="BM40" s="29"/>
      <c r="BN40" s="29"/>
      <c r="BO40" s="29"/>
      <c r="BP40" s="29"/>
      <c r="BQ40" s="29"/>
      <c r="BR40" s="29">
        <v>35</v>
      </c>
      <c r="BS40" s="29">
        <v>-2.1968503937007875</v>
      </c>
      <c r="BT40" s="29">
        <v>3.5721077460667557E-2</v>
      </c>
      <c r="BU40" s="29">
        <v>3</v>
      </c>
      <c r="BV40" s="29">
        <v>0</v>
      </c>
      <c r="BW40" s="29">
        <v>0</v>
      </c>
      <c r="BX40" s="29">
        <v>-7.62</v>
      </c>
      <c r="BY40" s="29" t="str">
        <v/>
      </c>
      <c r="BZ40" s="29"/>
      <c r="CA40" s="29"/>
      <c r="CB40" s="29"/>
      <c r="CC40" s="48"/>
      <c r="CD40" s="48"/>
      <c r="CE40" s="48"/>
      <c r="CF40" s="48">
        <v>35</v>
      </c>
      <c r="CG40" s="48">
        <v>6</v>
      </c>
      <c r="CH40" s="48">
        <v>0</v>
      </c>
      <c r="CI40" s="48">
        <v>1</v>
      </c>
      <c r="CJ40" s="48" t="str">
        <v/>
      </c>
      <c r="CK40" s="48"/>
      <c r="CL40" s="48"/>
      <c r="CM40" s="48"/>
      <c r="CN40" s="29"/>
      <c r="CO40" s="29"/>
      <c r="CP40" s="57"/>
      <c r="CQ40" s="57"/>
      <c r="CR40" s="57"/>
      <c r="CS40" s="57"/>
      <c r="CT40" s="57"/>
      <c r="CU40" s="57">
        <v>35</v>
      </c>
      <c r="CV40" s="57">
        <v>1</v>
      </c>
      <c r="CW40" s="48">
        <v>1.8192576091040986</v>
      </c>
      <c r="CX40" s="48">
        <v>1.8192576091040986</v>
      </c>
      <c r="CY40" s="48" t="e">
        <v>#N/A</v>
      </c>
      <c r="CZ40" s="48" t="e">
        <v>#N/A</v>
      </c>
      <c r="DA40" s="48" t="e">
        <v>#N/A</v>
      </c>
      <c r="DB40" s="57" t="str">
        <v/>
      </c>
      <c r="DC40" s="57"/>
      <c r="DD40" s="57"/>
      <c r="DE40" s="57"/>
      <c r="DF40" s="57"/>
      <c r="DG40" s="57"/>
      <c r="DH40" s="57"/>
      <c r="DI40" s="57"/>
      <c r="DJ40" s="25"/>
      <c r="DK40" s="29"/>
      <c r="DL40" s="29"/>
      <c r="DM40" s="29"/>
      <c r="DN40" s="29"/>
      <c r="DO40" s="57"/>
      <c r="DP40" s="57"/>
      <c r="DQ40" s="57"/>
      <c r="DR40" s="57"/>
      <c r="DS40" s="48"/>
      <c r="DT40" s="48"/>
      <c r="DU40" s="48"/>
      <c r="DV40" s="48"/>
      <c r="DW40" s="48"/>
      <c r="DX40" s="48">
        <v>35</v>
      </c>
      <c r="DY40" s="48">
        <v>4</v>
      </c>
      <c r="DZ40" s="48">
        <v>1.0410520769883131</v>
      </c>
      <c r="EA40" s="48" t="str">
        <v>0.5 (50%)</v>
      </c>
      <c r="EB40" s="48"/>
      <c r="EC40" s="48"/>
      <c r="ED40" s="48"/>
    </row>
    <row r="41" spans="1:134" x14ac:dyDescent="0.2">
      <c r="A41" s="28" t="s">
        <v>17</v>
      </c>
      <c r="B41" s="38" t="e">
        <f>_xlfn.MODE.SNGL(_xlfn.ANCHORARRAY(BD6))</f>
        <v>#N/A</v>
      </c>
      <c r="BB41" s="48"/>
      <c r="BC41" s="29"/>
      <c r="BD41" s="29"/>
      <c r="BE41" s="29"/>
      <c r="BF41" s="29"/>
      <c r="BG41" s="29"/>
      <c r="BH41" s="29"/>
      <c r="BI41" s="51" t="s">
        <v>236</v>
      </c>
      <c r="BJ41" s="29"/>
      <c r="BK41" s="29"/>
      <c r="BL41" s="29"/>
      <c r="BM41" s="29"/>
      <c r="BN41" s="29"/>
      <c r="BO41" s="29"/>
      <c r="BP41" s="29"/>
      <c r="BQ41" s="29"/>
      <c r="BR41" s="29">
        <v>36</v>
      </c>
      <c r="BS41" s="29">
        <v>-2.173228346456693</v>
      </c>
      <c r="BT41" s="29">
        <v>3.7613236493806372E-2</v>
      </c>
      <c r="BU41" s="29">
        <v>3</v>
      </c>
      <c r="BV41" s="29">
        <v>0</v>
      </c>
      <c r="BW41" s="29">
        <v>0</v>
      </c>
      <c r="BX41" s="29" t="str">
        <v/>
      </c>
      <c r="BY41" s="29" t="str">
        <v/>
      </c>
      <c r="BZ41" s="29"/>
      <c r="CA41" s="29"/>
      <c r="CB41" s="29"/>
      <c r="CC41" s="48"/>
      <c r="CD41" s="48"/>
      <c r="CE41" s="48"/>
      <c r="CF41" s="48">
        <v>36</v>
      </c>
      <c r="CG41" s="48">
        <v>6</v>
      </c>
      <c r="CH41" s="48">
        <v>1</v>
      </c>
      <c r="CI41" s="48" t="e">
        <v>#N/A</v>
      </c>
      <c r="CJ41" s="48" t="str">
        <v/>
      </c>
      <c r="CK41" s="48"/>
      <c r="CL41" s="48"/>
      <c r="CM41" s="48"/>
      <c r="CN41" s="29"/>
      <c r="CO41" s="29"/>
      <c r="CP41" s="57"/>
      <c r="CQ41" s="57"/>
      <c r="CR41" s="57"/>
      <c r="CS41" s="57"/>
      <c r="CT41" s="57"/>
      <c r="CU41" s="57">
        <v>36</v>
      </c>
      <c r="CV41" s="57">
        <v>1</v>
      </c>
      <c r="CW41" s="48">
        <v>1.8192576091040986</v>
      </c>
      <c r="CX41" s="48">
        <v>1.8192576091040986</v>
      </c>
      <c r="CY41" s="48" t="e">
        <v>#N/A</v>
      </c>
      <c r="CZ41" s="48" t="e">
        <v>#N/A</v>
      </c>
      <c r="DA41" s="48" t="e">
        <v>#N/A</v>
      </c>
      <c r="DB41" s="57" t="str">
        <v/>
      </c>
      <c r="DC41" s="57"/>
      <c r="DD41" s="57"/>
      <c r="DE41" s="57"/>
      <c r="DF41" s="57"/>
      <c r="DG41" s="57"/>
      <c r="DH41" s="57"/>
      <c r="DI41" s="57"/>
      <c r="DJ41" s="25"/>
      <c r="DK41" s="29"/>
      <c r="DL41" s="29"/>
      <c r="DM41" s="29"/>
      <c r="DN41" s="29"/>
      <c r="DO41" s="57"/>
      <c r="DP41" s="57"/>
      <c r="DQ41" s="57"/>
      <c r="DR41" s="57"/>
      <c r="DS41" s="48"/>
      <c r="DT41" s="48"/>
      <c r="DU41" s="48"/>
      <c r="DV41" s="48"/>
      <c r="DW41" s="48"/>
      <c r="DX41" s="48">
        <v>36</v>
      </c>
      <c r="DY41" s="48">
        <v>4</v>
      </c>
      <c r="DZ41" s="48">
        <v>1.0410520769883131</v>
      </c>
      <c r="EA41" s="48" t="str">
        <v/>
      </c>
      <c r="EB41" s="48"/>
      <c r="EC41" s="48"/>
      <c r="ED41" s="48"/>
    </row>
    <row r="42" spans="1:134" x14ac:dyDescent="0.2">
      <c r="A42" s="28" t="s">
        <v>18</v>
      </c>
      <c r="B42" s="38">
        <f>IF(COUNT(_xlfn.ANCHORARRAY(BD6))&lt;&gt;0,MAX(_xlfn.ANCHORARRAY(BD6))-MIN(_xlfn.ANCHORARRAY(BD6)),NA())</f>
        <v>14.479592604535933</v>
      </c>
      <c r="BB42" s="48"/>
      <c r="BC42" s="29"/>
      <c r="BD42" s="29"/>
      <c r="BE42" s="29"/>
      <c r="BF42" s="29"/>
      <c r="BG42" s="29"/>
      <c r="BH42" s="29"/>
      <c r="BI42" s="39" t="b">
        <f>BI38&gt;BI40</f>
        <v>0</v>
      </c>
      <c r="BJ42" s="29"/>
      <c r="BK42" s="29"/>
      <c r="BL42" s="29"/>
      <c r="BM42" s="29"/>
      <c r="BN42" s="29"/>
      <c r="BO42" s="29"/>
      <c r="BP42" s="29"/>
      <c r="BQ42" s="29"/>
      <c r="BR42" s="29">
        <v>37</v>
      </c>
      <c r="BS42" s="29">
        <v>-2.1496062992125982</v>
      </c>
      <c r="BT42" s="29">
        <v>3.9583530091630813E-2</v>
      </c>
      <c r="BU42" s="29">
        <v>3</v>
      </c>
      <c r="BV42" s="29">
        <v>0</v>
      </c>
      <c r="BW42" s="29">
        <v>0</v>
      </c>
      <c r="BX42" s="29" t="str">
        <v/>
      </c>
      <c r="BY42" s="29" t="str">
        <v/>
      </c>
      <c r="BZ42" s="29"/>
      <c r="CA42" s="29"/>
      <c r="CB42" s="29"/>
      <c r="CC42" s="48"/>
      <c r="CD42" s="48"/>
      <c r="CE42" s="48"/>
      <c r="CF42" s="48">
        <v>37</v>
      </c>
      <c r="CG42" s="48">
        <v>7</v>
      </c>
      <c r="CH42" s="48">
        <v>1</v>
      </c>
      <c r="CI42" s="48" t="e">
        <v>#N/A</v>
      </c>
      <c r="CJ42" s="48" t="str">
        <v/>
      </c>
      <c r="CK42" s="48"/>
      <c r="CL42" s="48"/>
      <c r="CM42" s="48"/>
      <c r="CN42" s="29"/>
      <c r="CO42" s="29"/>
      <c r="CP42" s="57"/>
      <c r="CQ42" s="57"/>
      <c r="CR42" s="57"/>
      <c r="CS42" s="57"/>
      <c r="CT42" s="57"/>
      <c r="CU42" s="57">
        <v>37</v>
      </c>
      <c r="CV42" s="57">
        <v>1</v>
      </c>
      <c r="CW42" s="48">
        <v>1.8192576091040986</v>
      </c>
      <c r="CX42" s="48">
        <v>1.8192576091040986</v>
      </c>
      <c r="CY42" s="48" t="e">
        <v>#N/A</v>
      </c>
      <c r="CZ42" s="48" t="e">
        <v>#N/A</v>
      </c>
      <c r="DA42" s="48" t="e">
        <v>#N/A</v>
      </c>
      <c r="DB42" s="57" t="str">
        <v/>
      </c>
      <c r="DC42" s="57"/>
      <c r="DD42" s="57"/>
      <c r="DE42" s="57"/>
      <c r="DF42" s="57"/>
      <c r="DG42" s="57"/>
      <c r="DH42" s="57"/>
      <c r="DI42" s="57"/>
      <c r="DJ42" s="25"/>
      <c r="DK42" s="29"/>
      <c r="DL42" s="29"/>
      <c r="DM42" s="29"/>
      <c r="DN42" s="29"/>
      <c r="DO42" s="57"/>
      <c r="DP42" s="57"/>
      <c r="DQ42" s="57"/>
      <c r="DR42" s="57"/>
      <c r="DS42" s="48"/>
      <c r="DT42" s="48"/>
      <c r="DU42" s="48"/>
      <c r="DV42" s="48"/>
      <c r="DW42" s="48"/>
      <c r="DX42" s="48">
        <v>37</v>
      </c>
      <c r="DY42" s="48">
        <v>4</v>
      </c>
      <c r="DZ42" s="48">
        <v>1.0410520769883131</v>
      </c>
      <c r="EA42" s="48" t="str">
        <v/>
      </c>
      <c r="EB42" s="48"/>
      <c r="EC42" s="48"/>
      <c r="ED42" s="48"/>
    </row>
    <row r="43" spans="1:134" x14ac:dyDescent="0.2">
      <c r="A43" s="28" t="s">
        <v>19</v>
      </c>
      <c r="B43" s="38">
        <f>IFERROR(_xlfn.QUARTILE.EXC(_xlfn.ANCHORARRAY(BD6),3)-_xlfn.QUARTILE.EXC(_xlfn.ANCHORARRAY(BD6),1),NA())</f>
        <v>2.4790432186498887</v>
      </c>
      <c r="BB43" s="29"/>
      <c r="BC43" s="29"/>
      <c r="BD43" s="29"/>
      <c r="BE43" s="29"/>
      <c r="BF43" s="29"/>
      <c r="BG43" s="29"/>
      <c r="BH43" s="29"/>
      <c r="BI43" s="51" t="s">
        <v>231</v>
      </c>
      <c r="BJ43" s="29"/>
      <c r="BK43" s="29"/>
      <c r="BL43" s="29"/>
      <c r="BM43" s="29"/>
      <c r="BN43" s="29"/>
      <c r="BO43" s="29"/>
      <c r="BP43" s="29"/>
      <c r="BQ43" s="29"/>
      <c r="BR43" s="29">
        <v>38</v>
      </c>
      <c r="BS43" s="29">
        <v>-2.1259842519685037</v>
      </c>
      <c r="BT43" s="29">
        <v>4.1633795362021969E-2</v>
      </c>
      <c r="BU43" s="29">
        <v>3</v>
      </c>
      <c r="BV43" s="29">
        <v>0</v>
      </c>
      <c r="BW43" s="29">
        <v>0</v>
      </c>
      <c r="BX43" s="29" t="str">
        <v/>
      </c>
      <c r="BY43" s="29" t="str">
        <v/>
      </c>
      <c r="BZ43" s="29"/>
      <c r="CA43" s="29"/>
      <c r="CB43" s="29"/>
      <c r="CC43" s="48"/>
      <c r="CD43" s="48"/>
      <c r="CE43" s="48"/>
      <c r="CF43" s="48">
        <v>38</v>
      </c>
      <c r="CG43" s="48">
        <v>7</v>
      </c>
      <c r="CH43" s="48">
        <v>0</v>
      </c>
      <c r="CI43" s="48">
        <v>1</v>
      </c>
      <c r="CJ43" s="48" t="str">
        <v/>
      </c>
      <c r="CK43" s="48"/>
      <c r="CL43" s="48"/>
      <c r="CM43" s="48"/>
      <c r="CN43" s="29"/>
      <c r="CO43" s="29"/>
      <c r="CP43" s="57"/>
      <c r="CQ43" s="57"/>
      <c r="CR43" s="57"/>
      <c r="CS43" s="57"/>
      <c r="CT43" s="57"/>
      <c r="CU43" s="57">
        <v>38</v>
      </c>
      <c r="CV43" s="57">
        <v>1</v>
      </c>
      <c r="CW43" s="48">
        <v>1.8192576091040986</v>
      </c>
      <c r="CX43" s="48">
        <v>1.8192576091040986</v>
      </c>
      <c r="CY43" s="48" t="e">
        <v>#N/A</v>
      </c>
      <c r="CZ43" s="48" t="e">
        <v>#N/A</v>
      </c>
      <c r="DA43" s="48" t="e">
        <v>#N/A</v>
      </c>
      <c r="DB43" s="57" t="str">
        <v/>
      </c>
      <c r="DC43" s="57"/>
      <c r="DD43" s="57"/>
      <c r="DE43" s="57"/>
      <c r="DF43" s="57"/>
      <c r="DG43" s="57"/>
      <c r="DH43" s="57"/>
      <c r="DI43" s="57"/>
      <c r="DJ43" s="25"/>
      <c r="DK43" s="29"/>
      <c r="DL43" s="29"/>
      <c r="DM43" s="29"/>
      <c r="DN43" s="29"/>
      <c r="DO43" s="57"/>
      <c r="DP43" s="57"/>
      <c r="DQ43" s="57"/>
      <c r="DR43" s="57"/>
      <c r="DS43" s="48"/>
      <c r="DT43" s="48"/>
      <c r="DU43" s="48"/>
      <c r="DV43" s="48"/>
      <c r="DW43" s="48"/>
      <c r="DX43" s="48">
        <v>38</v>
      </c>
      <c r="DY43" s="48">
        <v>4</v>
      </c>
      <c r="DZ43" s="48">
        <v>1.0410520769883131</v>
      </c>
      <c r="EA43" s="48" t="str">
        <v/>
      </c>
      <c r="EB43" s="48"/>
      <c r="EC43" s="48"/>
      <c r="ED43" s="48"/>
    </row>
    <row r="44" spans="1:134" x14ac:dyDescent="0.2">
      <c r="A44" s="28" t="s">
        <v>8</v>
      </c>
      <c r="B44" s="42" t="e">
        <f>IF(OR(COUNTIF(_xlfn.ANCHORARRAY(BD6),TRUE)&gt;0,COUNTIF(_xlfn.ANCHORARRAY(BD6),FALSE)&gt;0),TEXT(COUNTIF(_xlfn.ANCHORARRAY(BD6),TRUE)/COUNTA(_xlfn.ANCHORARRAY(BD6)),"?????????????/?????????????"),NA())</f>
        <v>#N/A</v>
      </c>
      <c r="BB44" s="29"/>
      <c r="BC44" s="29"/>
      <c r="BD44" s="29"/>
      <c r="BE44" s="29"/>
      <c r="BF44" s="29"/>
      <c r="BG44" s="29"/>
      <c r="BH44" s="29"/>
      <c r="BI44" s="39">
        <f>IF(BI42,(BI38-1)/2+1,BI38)</f>
        <v>7</v>
      </c>
      <c r="BJ44" s="29"/>
      <c r="BK44" s="29"/>
      <c r="BL44" s="29"/>
      <c r="BM44" s="29"/>
      <c r="BN44" s="29"/>
      <c r="BO44" s="29"/>
      <c r="BP44" s="29"/>
      <c r="BQ44" s="29"/>
      <c r="BR44" s="29">
        <v>39</v>
      </c>
      <c r="BS44" s="29">
        <v>-2.1023622047244093</v>
      </c>
      <c r="BT44" s="29">
        <v>4.3765827808196101E-2</v>
      </c>
      <c r="BU44" s="29">
        <v>3</v>
      </c>
      <c r="BV44" s="29">
        <v>0</v>
      </c>
      <c r="BW44" s="29">
        <v>0</v>
      </c>
      <c r="BX44" s="29" t="str">
        <v/>
      </c>
      <c r="BY44" s="29" t="str">
        <v/>
      </c>
      <c r="BZ44" s="29"/>
      <c r="CA44" s="29"/>
      <c r="CB44" s="29"/>
      <c r="CC44" s="48"/>
      <c r="CD44" s="48"/>
      <c r="CE44" s="48"/>
      <c r="CF44" s="48">
        <v>39</v>
      </c>
      <c r="CG44" s="48">
        <v>7</v>
      </c>
      <c r="CH44" s="48">
        <v>0</v>
      </c>
      <c r="CI44" s="48">
        <v>1</v>
      </c>
      <c r="CJ44" s="48" t="str">
        <v/>
      </c>
      <c r="CK44" s="48"/>
      <c r="CL44" s="48"/>
      <c r="CM44" s="48"/>
      <c r="CN44" s="29"/>
      <c r="CO44" s="29"/>
      <c r="CP44" s="57"/>
      <c r="CQ44" s="57"/>
      <c r="CR44" s="57"/>
      <c r="CS44" s="57"/>
      <c r="CT44" s="57"/>
      <c r="CU44" s="57">
        <v>39</v>
      </c>
      <c r="CV44" s="57">
        <v>1</v>
      </c>
      <c r="CW44" s="48">
        <v>1.8192576091040986</v>
      </c>
      <c r="CX44" s="48">
        <v>1.8192576091040986</v>
      </c>
      <c r="CY44" s="48" t="e">
        <v>#N/A</v>
      </c>
      <c r="CZ44" s="48" t="e">
        <v>#N/A</v>
      </c>
      <c r="DA44" s="48" t="e">
        <v>#N/A</v>
      </c>
      <c r="DB44" s="57" t="str">
        <v/>
      </c>
      <c r="DC44" s="57"/>
      <c r="DD44" s="57"/>
      <c r="DE44" s="57"/>
      <c r="DF44" s="57"/>
      <c r="DG44" s="57"/>
      <c r="DH44" s="57"/>
      <c r="DI44" s="57"/>
      <c r="DJ44" s="25"/>
      <c r="DK44" s="29"/>
      <c r="DL44" s="29"/>
      <c r="DM44" s="29"/>
      <c r="DN44" s="29"/>
      <c r="DO44" s="57"/>
      <c r="DP44" s="57"/>
      <c r="DQ44" s="57"/>
      <c r="DR44" s="57"/>
      <c r="DS44" s="48"/>
      <c r="DT44" s="48"/>
      <c r="DU44" s="48"/>
      <c r="DV44" s="48"/>
      <c r="DW44" s="48"/>
      <c r="DX44" s="48">
        <v>39</v>
      </c>
      <c r="DY44" s="48">
        <v>4</v>
      </c>
      <c r="DZ44" s="48">
        <v>1.0410520769883131</v>
      </c>
      <c r="EA44" s="48" t="str">
        <v/>
      </c>
      <c r="EB44" s="48"/>
      <c r="EC44" s="48"/>
      <c r="ED44" s="48"/>
    </row>
    <row r="45" spans="1:134" x14ac:dyDescent="0.2">
      <c r="A45" s="28" t="s">
        <v>9</v>
      </c>
      <c r="B45" s="38" t="e">
        <f>_xlfn.SINGLE(IF(OR(COUNTIF(_xlfn.ANCHORARRAY(BD6),TRUE)&gt;0,COUNTIF(_xlfn.ANCHORARRAY(BD6),FALSE)&gt;0),COUNTIF(_xlfn.ANCHORARRAY(BD6),TRUE)&amp;"/"&amp;COUNTA(_xlfn.ANCHORARRAY(BD6)),NA()))</f>
        <v>#N/A</v>
      </c>
      <c r="BB45" s="29"/>
      <c r="BC45" s="29"/>
      <c r="BD45" s="29"/>
      <c r="BE45" s="29"/>
      <c r="BF45" s="29"/>
      <c r="BG45" s="29"/>
      <c r="BH45" s="29"/>
      <c r="BI45" s="51" t="s">
        <v>235</v>
      </c>
      <c r="BJ45" s="29"/>
      <c r="BK45" s="29"/>
      <c r="BL45" s="29"/>
      <c r="BM45" s="29"/>
      <c r="BN45" s="29"/>
      <c r="BO45" s="29"/>
      <c r="BP45" s="29"/>
      <c r="BQ45" s="29"/>
      <c r="BR45" s="29">
        <v>40</v>
      </c>
      <c r="BS45" s="29">
        <v>-2.0787401574803148</v>
      </c>
      <c r="BT45" s="29">
        <v>4.5981375065417315E-2</v>
      </c>
      <c r="BU45" s="29">
        <v>3</v>
      </c>
      <c r="BV45" s="29">
        <v>0</v>
      </c>
      <c r="BW45" s="29">
        <v>0</v>
      </c>
      <c r="BX45" s="29" t="str">
        <v/>
      </c>
      <c r="BY45" s="29" t="str">
        <v/>
      </c>
      <c r="BZ45" s="29"/>
      <c r="CA45" s="29"/>
      <c r="CB45" s="29"/>
      <c r="CC45" s="48"/>
      <c r="CD45" s="48"/>
      <c r="CE45" s="48"/>
      <c r="CF45" s="48">
        <v>40</v>
      </c>
      <c r="CG45" s="48">
        <v>7</v>
      </c>
      <c r="CH45" s="48">
        <v>0</v>
      </c>
      <c r="CI45" s="48">
        <v>1</v>
      </c>
      <c r="CJ45" s="48" t="str">
        <v>0.914</v>
      </c>
      <c r="CK45" s="48"/>
      <c r="CL45" s="48"/>
      <c r="CM45" s="48"/>
      <c r="CN45" s="29"/>
      <c r="CO45" s="29"/>
      <c r="CP45" s="57"/>
      <c r="CQ45" s="57"/>
      <c r="CR45" s="57"/>
      <c r="CS45" s="57"/>
      <c r="CT45" s="57"/>
      <c r="CU45" s="57">
        <v>40</v>
      </c>
      <c r="CV45" s="57">
        <v>1</v>
      </c>
      <c r="CW45" s="48">
        <v>1.8192576091040986</v>
      </c>
      <c r="CX45" s="48">
        <v>1.8192576091040986</v>
      </c>
      <c r="CY45" s="48" t="e">
        <v>#N/A</v>
      </c>
      <c r="CZ45" s="48" t="e">
        <v>#N/A</v>
      </c>
      <c r="DA45" s="48" t="e">
        <v>#N/A</v>
      </c>
      <c r="DB45" s="57" t="str">
        <v/>
      </c>
      <c r="DC45" s="57"/>
      <c r="DD45" s="57"/>
      <c r="DE45" s="57"/>
      <c r="DF45" s="57"/>
      <c r="DG45" s="57"/>
      <c r="DH45" s="57"/>
      <c r="DI45" s="57"/>
      <c r="DJ45" s="25"/>
      <c r="DK45" s="29"/>
      <c r="DL45" s="29"/>
      <c r="DM45" s="29"/>
      <c r="DN45" s="29"/>
      <c r="DO45" s="57"/>
      <c r="DP45" s="57"/>
      <c r="DQ45" s="57"/>
      <c r="DR45" s="57"/>
      <c r="DS45" s="48"/>
      <c r="DT45" s="48"/>
      <c r="DU45" s="48"/>
      <c r="DV45" s="48"/>
      <c r="DW45" s="48"/>
      <c r="DX45" s="48">
        <v>40</v>
      </c>
      <c r="DY45" s="48">
        <v>4</v>
      </c>
      <c r="DZ45" s="48">
        <v>1.0410520769883131</v>
      </c>
      <c r="EA45" s="48" t="str">
        <v/>
      </c>
      <c r="EB45" s="48"/>
      <c r="EC45" s="48"/>
      <c r="ED45" s="48"/>
    </row>
    <row r="46" spans="1:134" x14ac:dyDescent="0.2">
      <c r="A46" s="28" t="s">
        <v>107</v>
      </c>
      <c r="B46" s="44">
        <f>IFERROR(SKEW(_xlfn.ANCHORARRAY(BD6)),NA())</f>
        <v>2.0532400290375925</v>
      </c>
      <c r="BB46" s="29"/>
      <c r="BC46" s="29"/>
      <c r="BD46" s="29"/>
      <c r="BE46" s="29"/>
      <c r="BF46" s="29"/>
      <c r="BG46" s="29"/>
      <c r="BH46" s="29"/>
      <c r="BI46" s="39">
        <f>ROUNDUP(BI44/2,0)</f>
        <v>4</v>
      </c>
      <c r="BJ46" s="29"/>
      <c r="BK46" s="29"/>
      <c r="BL46" s="29"/>
      <c r="BM46" s="29"/>
      <c r="BN46" s="29"/>
      <c r="BO46" s="29"/>
      <c r="BP46" s="29"/>
      <c r="BQ46" s="29"/>
      <c r="BR46" s="29">
        <v>41</v>
      </c>
      <c r="BS46" s="29">
        <v>-2.0551181102362204</v>
      </c>
      <c r="BT46" s="29">
        <v>4.8282130452103389E-2</v>
      </c>
      <c r="BU46" s="29">
        <v>3</v>
      </c>
      <c r="BV46" s="29">
        <v>0</v>
      </c>
      <c r="BW46" s="29">
        <v>0</v>
      </c>
      <c r="BX46" s="29" t="str">
        <v/>
      </c>
      <c r="BY46" s="29" t="str">
        <v/>
      </c>
      <c r="BZ46" s="29"/>
      <c r="CA46" s="29"/>
      <c r="CB46" s="29"/>
      <c r="CC46" s="48"/>
      <c r="CD46" s="48"/>
      <c r="CE46" s="48"/>
      <c r="CF46" s="48">
        <v>41</v>
      </c>
      <c r="CG46" s="48">
        <v>7</v>
      </c>
      <c r="CH46" s="48">
        <v>0</v>
      </c>
      <c r="CI46" s="48">
        <v>1</v>
      </c>
      <c r="CJ46" s="48" t="str">
        <v/>
      </c>
      <c r="CK46" s="48"/>
      <c r="CL46" s="48"/>
      <c r="CM46" s="48"/>
      <c r="CN46" s="29"/>
      <c r="CO46" s="29"/>
      <c r="CP46" s="57"/>
      <c r="CQ46" s="57"/>
      <c r="CR46" s="57"/>
      <c r="CS46" s="57"/>
      <c r="CT46" s="57"/>
      <c r="CU46" s="57">
        <v>41</v>
      </c>
      <c r="CV46" s="57">
        <v>1</v>
      </c>
      <c r="CW46" s="48">
        <v>1.8192576091040986</v>
      </c>
      <c r="CX46" s="48">
        <v>1.8192576091040986</v>
      </c>
      <c r="CY46" s="48" t="e">
        <v>#N/A</v>
      </c>
      <c r="CZ46" s="48" t="e">
        <v>#N/A</v>
      </c>
      <c r="DA46" s="48" t="e">
        <v>#N/A</v>
      </c>
      <c r="DB46" s="57" t="str">
        <v/>
      </c>
      <c r="DC46" s="57"/>
      <c r="DD46" s="57"/>
      <c r="DE46" s="57"/>
      <c r="DF46" s="57"/>
      <c r="DG46" s="57"/>
      <c r="DH46" s="57"/>
      <c r="DI46" s="57"/>
      <c r="DJ46" s="25"/>
      <c r="DK46" s="29"/>
      <c r="DL46" s="29"/>
      <c r="DM46" s="29"/>
      <c r="DN46" s="29"/>
      <c r="DO46" s="57"/>
      <c r="DP46" s="57"/>
      <c r="DQ46" s="57"/>
      <c r="DR46" s="57"/>
      <c r="DS46" s="48"/>
      <c r="DT46" s="48"/>
      <c r="DU46" s="48"/>
      <c r="DV46" s="48"/>
      <c r="DW46" s="48"/>
      <c r="DX46" s="48">
        <v>41</v>
      </c>
      <c r="DY46" s="48">
        <v>4</v>
      </c>
      <c r="DZ46" s="48">
        <v>1.0410520769883131</v>
      </c>
      <c r="EA46" s="48" t="str">
        <v/>
      </c>
      <c r="EB46" s="48"/>
      <c r="EC46" s="48"/>
      <c r="ED46" s="48"/>
    </row>
    <row r="47" spans="1:134" x14ac:dyDescent="0.2">
      <c r="A47" s="28" t="s">
        <v>111</v>
      </c>
      <c r="B47" s="44">
        <f>IFERROR(KURT(_xlfn.ANCHORARRAY(BD6)),NA())</f>
        <v>3.8353760782566271</v>
      </c>
      <c r="BB47" s="29"/>
      <c r="BC47" s="29"/>
      <c r="BD47" s="29"/>
      <c r="BE47" s="29"/>
      <c r="BF47" s="29"/>
      <c r="BG47" s="29"/>
      <c r="BH47" s="29"/>
      <c r="BJ47" s="29"/>
      <c r="BK47" s="29"/>
      <c r="BL47" s="29"/>
      <c r="BM47" s="29"/>
      <c r="BN47" s="29"/>
      <c r="BO47" s="29"/>
      <c r="BP47" s="29"/>
      <c r="BQ47" s="29"/>
      <c r="BR47" s="29">
        <v>42</v>
      </c>
      <c r="BS47" s="29">
        <v>-2.0314960629921259</v>
      </c>
      <c r="BT47" s="29">
        <v>5.0669726347948529E-2</v>
      </c>
      <c r="BU47" s="29">
        <v>3</v>
      </c>
      <c r="BV47" s="29">
        <v>0</v>
      </c>
      <c r="BW47" s="29">
        <v>0</v>
      </c>
      <c r="BX47" s="29" t="str">
        <v/>
      </c>
      <c r="BY47" s="29" t="str">
        <v/>
      </c>
      <c r="BZ47" s="29"/>
      <c r="CA47" s="29"/>
      <c r="CB47" s="29"/>
      <c r="CC47" s="48"/>
      <c r="CD47" s="48"/>
      <c r="CE47" s="48"/>
      <c r="CF47" s="48">
        <v>42</v>
      </c>
      <c r="CG47" s="48">
        <v>7</v>
      </c>
      <c r="CH47" s="48">
        <v>1</v>
      </c>
      <c r="CI47" s="48" t="e">
        <v>#N/A</v>
      </c>
      <c r="CJ47" s="48" t="str">
        <v/>
      </c>
      <c r="CK47" s="48"/>
      <c r="CL47" s="48"/>
      <c r="CM47" s="48"/>
      <c r="CN47" s="29"/>
      <c r="CO47" s="29"/>
      <c r="CP47" s="57"/>
      <c r="CQ47" s="57"/>
      <c r="CR47" s="57"/>
      <c r="CS47" s="57"/>
      <c r="CT47" s="57"/>
      <c r="CU47" s="57">
        <v>42</v>
      </c>
      <c r="CV47" s="57">
        <v>1</v>
      </c>
      <c r="CW47" s="48">
        <v>1.8192576091040986</v>
      </c>
      <c r="CX47" s="48">
        <v>1.8192576091040986</v>
      </c>
      <c r="CY47" s="48" t="e">
        <v>#N/A</v>
      </c>
      <c r="CZ47" s="48" t="e">
        <v>#N/A</v>
      </c>
      <c r="DA47" s="48" t="e">
        <v>#N/A</v>
      </c>
      <c r="DB47" s="57" t="str">
        <v/>
      </c>
      <c r="DC47" s="57"/>
      <c r="DD47" s="57"/>
      <c r="DE47" s="57"/>
      <c r="DF47" s="57"/>
      <c r="DG47" s="57"/>
      <c r="DH47" s="57"/>
      <c r="DI47" s="57"/>
      <c r="DJ47" s="25"/>
      <c r="DK47" s="29"/>
      <c r="DL47" s="29"/>
      <c r="DM47" s="29"/>
      <c r="DN47" s="29"/>
      <c r="DO47" s="57"/>
      <c r="DP47" s="57"/>
      <c r="DQ47" s="57"/>
      <c r="DR47" s="57"/>
      <c r="DS47" s="48"/>
      <c r="DT47" s="48"/>
      <c r="DU47" s="48"/>
      <c r="DV47" s="48"/>
      <c r="DW47" s="48"/>
      <c r="DX47" s="48">
        <v>42</v>
      </c>
      <c r="DY47" s="48">
        <v>4</v>
      </c>
      <c r="DZ47" s="48">
        <v>1.0410520769883131</v>
      </c>
      <c r="EA47" s="48" t="str">
        <v/>
      </c>
      <c r="EB47" s="48"/>
      <c r="EC47" s="48"/>
      <c r="ED47" s="48"/>
    </row>
    <row r="48" spans="1:134" x14ac:dyDescent="0.2">
      <c r="BB48" s="29"/>
      <c r="BC48" s="29"/>
      <c r="BD48" s="29"/>
      <c r="BE48" s="29"/>
      <c r="BF48" s="29"/>
      <c r="BG48" s="29"/>
      <c r="BH48" s="29"/>
      <c r="BJ48" s="29"/>
      <c r="BK48" s="29"/>
      <c r="BL48" s="29"/>
      <c r="BM48" s="29"/>
      <c r="BN48" s="29"/>
      <c r="BO48" s="29"/>
      <c r="BP48" s="29"/>
      <c r="BQ48" s="29"/>
      <c r="BR48" s="29">
        <v>43</v>
      </c>
      <c r="BS48" s="29">
        <v>-2.0078740157480315</v>
      </c>
      <c r="BT48" s="29">
        <v>5.3145727413021412E-2</v>
      </c>
      <c r="BU48" s="29">
        <v>3</v>
      </c>
      <c r="BV48" s="29">
        <v>0</v>
      </c>
      <c r="BW48" s="29">
        <v>0</v>
      </c>
      <c r="BX48" s="29" t="str">
        <v/>
      </c>
      <c r="BY48" s="29" t="str">
        <v/>
      </c>
      <c r="BZ48" s="29"/>
      <c r="CA48" s="29"/>
      <c r="CB48" s="29"/>
      <c r="CC48" s="48"/>
      <c r="CD48" s="48"/>
      <c r="CE48" s="48"/>
      <c r="CF48" s="48">
        <v>43</v>
      </c>
      <c r="CG48" s="48">
        <v>8</v>
      </c>
      <c r="CH48" s="48">
        <v>1</v>
      </c>
      <c r="CI48" s="48" t="e">
        <v>#N/A</v>
      </c>
      <c r="CJ48" s="48" t="str">
        <v/>
      </c>
      <c r="CK48" s="48"/>
      <c r="CL48" s="48"/>
      <c r="CM48" s="48"/>
      <c r="CN48" s="29"/>
      <c r="CO48" s="29"/>
      <c r="CP48" s="57"/>
      <c r="CQ48" s="57"/>
      <c r="CR48" s="57"/>
      <c r="CS48" s="57"/>
      <c r="CT48" s="57"/>
      <c r="CU48" s="57">
        <v>43</v>
      </c>
      <c r="CV48" s="57">
        <v>1</v>
      </c>
      <c r="CW48" s="48">
        <v>1.8192576091040986</v>
      </c>
      <c r="CX48" s="48">
        <v>1.8192576091040986</v>
      </c>
      <c r="CY48" s="48" t="e">
        <v>#N/A</v>
      </c>
      <c r="CZ48" s="48" t="e">
        <v>#N/A</v>
      </c>
      <c r="DA48" s="48" t="e">
        <v>#N/A</v>
      </c>
      <c r="DB48" s="57" t="str">
        <v/>
      </c>
      <c r="DC48" s="57"/>
      <c r="DD48" s="57"/>
      <c r="DE48" s="57"/>
      <c r="DF48" s="57"/>
      <c r="DG48" s="57"/>
      <c r="DH48" s="57"/>
      <c r="DI48" s="57"/>
      <c r="DJ48" s="25"/>
      <c r="DK48" s="29"/>
      <c r="DL48" s="29"/>
      <c r="DM48" s="29"/>
      <c r="DN48" s="29"/>
      <c r="DO48" s="57"/>
      <c r="DP48" s="57"/>
      <c r="DQ48" s="57"/>
      <c r="DR48" s="57"/>
      <c r="DS48" s="48"/>
      <c r="DT48" s="48"/>
      <c r="DU48" s="48"/>
      <c r="DV48" s="48"/>
      <c r="DW48" s="48"/>
      <c r="DX48" s="48">
        <v>43</v>
      </c>
      <c r="DY48" s="48">
        <v>4</v>
      </c>
      <c r="DZ48" s="48">
        <v>1.0410520769883131</v>
      </c>
      <c r="EA48" s="48" t="str">
        <v/>
      </c>
      <c r="EB48" s="48"/>
      <c r="EC48" s="48"/>
      <c r="ED48" s="48"/>
    </row>
    <row r="49" spans="8:134" x14ac:dyDescent="0.2">
      <c r="BB49" s="29"/>
      <c r="BC49" s="29"/>
      <c r="BD49" s="29"/>
      <c r="BE49" s="29"/>
      <c r="BF49" s="29"/>
      <c r="BG49" s="29"/>
      <c r="BH49" s="29"/>
      <c r="BJ49" s="29"/>
      <c r="BK49" s="29"/>
      <c r="BL49" s="29"/>
      <c r="BM49" s="29"/>
      <c r="BN49" s="29"/>
      <c r="BO49" s="29"/>
      <c r="BP49" s="29"/>
      <c r="BQ49" s="29"/>
      <c r="BR49" s="29">
        <v>44</v>
      </c>
      <c r="BS49" s="29">
        <v>-1.984251968503937</v>
      </c>
      <c r="BT49" s="29">
        <v>5.5711623663135007E-2</v>
      </c>
      <c r="BU49" s="29">
        <v>3</v>
      </c>
      <c r="BV49" s="29">
        <v>0</v>
      </c>
      <c r="BW49" s="29">
        <v>0</v>
      </c>
      <c r="BX49" s="29" t="str">
        <v/>
      </c>
      <c r="BY49" s="29" t="str">
        <v>-2σ</v>
      </c>
      <c r="BZ49" s="29"/>
      <c r="CA49" s="29"/>
      <c r="CB49" s="29"/>
      <c r="CC49" s="48"/>
      <c r="CD49" s="48"/>
      <c r="CE49" s="48"/>
      <c r="CF49" s="48">
        <v>44</v>
      </c>
      <c r="CG49" s="48">
        <v>8</v>
      </c>
      <c r="CH49" s="48">
        <v>0</v>
      </c>
      <c r="CI49" s="48">
        <v>1</v>
      </c>
      <c r="CJ49" s="48" t="str">
        <v/>
      </c>
      <c r="CK49" s="48"/>
      <c r="CL49" s="48"/>
      <c r="CM49" s="48"/>
      <c r="CN49" s="29"/>
      <c r="CO49" s="29"/>
      <c r="CP49" s="57"/>
      <c r="CQ49" s="57"/>
      <c r="CR49" s="57"/>
      <c r="CS49" s="57"/>
      <c r="CT49" s="57"/>
      <c r="CU49" s="57">
        <v>44</v>
      </c>
      <c r="CV49" s="57">
        <v>1</v>
      </c>
      <c r="CW49" s="48">
        <v>1.8192576091040986</v>
      </c>
      <c r="CX49" s="48">
        <v>1.8192576091040986</v>
      </c>
      <c r="CY49" s="48" t="e">
        <v>#N/A</v>
      </c>
      <c r="CZ49" s="48" t="e">
        <v>#N/A</v>
      </c>
      <c r="DA49" s="48" t="e">
        <v>#N/A</v>
      </c>
      <c r="DB49" s="57" t="str">
        <v/>
      </c>
      <c r="DC49" s="57"/>
      <c r="DD49" s="57"/>
      <c r="DE49" s="57"/>
      <c r="DF49" s="57"/>
      <c r="DG49" s="57"/>
      <c r="DH49" s="57"/>
      <c r="DI49" s="57"/>
      <c r="DJ49" s="25"/>
      <c r="DK49" s="29"/>
      <c r="DL49" s="29"/>
      <c r="DM49" s="29"/>
      <c r="DN49" s="29"/>
      <c r="DO49" s="57"/>
      <c r="DP49" s="57"/>
      <c r="DQ49" s="57"/>
      <c r="DR49" s="57"/>
      <c r="DS49" s="48"/>
      <c r="DT49" s="48"/>
      <c r="DU49" s="48"/>
      <c r="DV49" s="48"/>
      <c r="DW49" s="48"/>
      <c r="DX49" s="48">
        <v>44</v>
      </c>
      <c r="DY49" s="48">
        <v>4</v>
      </c>
      <c r="DZ49" s="48">
        <v>1.0410520769883131</v>
      </c>
      <c r="EA49" s="48" t="str">
        <v/>
      </c>
      <c r="EB49" s="48"/>
      <c r="EC49" s="48"/>
      <c r="ED49" s="48"/>
    </row>
    <row r="50" spans="8:134" x14ac:dyDescent="0.2"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>
        <v>45</v>
      </c>
      <c r="BS50" s="29">
        <v>-1.9606299212598426</v>
      </c>
      <c r="BT50" s="29">
        <v>5.836882341812101E-2</v>
      </c>
      <c r="BU50" s="29">
        <v>3</v>
      </c>
      <c r="BV50" s="29">
        <v>0</v>
      </c>
      <c r="BW50" s="29">
        <v>0</v>
      </c>
      <c r="BX50" s="29" t="str">
        <v/>
      </c>
      <c r="BY50" s="29" t="str">
        <v/>
      </c>
      <c r="BZ50" s="29"/>
      <c r="CA50" s="29"/>
      <c r="CB50" s="29"/>
      <c r="CC50" s="48"/>
      <c r="CD50" s="48"/>
      <c r="CE50" s="48"/>
      <c r="CF50" s="48">
        <v>45</v>
      </c>
      <c r="CG50" s="48">
        <v>8</v>
      </c>
      <c r="CH50" s="48">
        <v>0</v>
      </c>
      <c r="CI50" s="48">
        <v>1</v>
      </c>
      <c r="CJ50" s="48" t="str">
        <v/>
      </c>
      <c r="CK50" s="48"/>
      <c r="CL50" s="48"/>
      <c r="CM50" s="48"/>
      <c r="CN50" s="29"/>
      <c r="CO50" s="29"/>
      <c r="CP50" s="57"/>
      <c r="CQ50" s="57"/>
      <c r="CR50" s="57"/>
      <c r="CS50" s="57"/>
      <c r="CT50" s="57"/>
      <c r="CU50" s="57">
        <v>45</v>
      </c>
      <c r="CV50" s="57">
        <v>1</v>
      </c>
      <c r="CW50" s="48">
        <v>1.8192576091040986</v>
      </c>
      <c r="CX50" s="48">
        <v>1.8192576091040986</v>
      </c>
      <c r="CY50" s="48" t="e">
        <v>#N/A</v>
      </c>
      <c r="CZ50" s="48" t="e">
        <v>#N/A</v>
      </c>
      <c r="DA50" s="48" t="e">
        <v>#N/A</v>
      </c>
      <c r="DB50" s="57" t="str">
        <v/>
      </c>
      <c r="DC50" s="57"/>
      <c r="DD50" s="57"/>
      <c r="DE50" s="57"/>
      <c r="DF50" s="57"/>
      <c r="DG50" s="57"/>
      <c r="DH50" s="57"/>
      <c r="DI50" s="57"/>
      <c r="DJ50" s="25"/>
      <c r="DK50" s="29"/>
      <c r="DL50" s="29"/>
      <c r="DM50" s="29"/>
      <c r="DN50" s="29"/>
      <c r="DO50" s="57"/>
      <c r="DP50" s="57"/>
      <c r="DQ50" s="57"/>
      <c r="DR50" s="57"/>
      <c r="DS50" s="48"/>
      <c r="DT50" s="48"/>
      <c r="DU50" s="48"/>
      <c r="DV50" s="48"/>
      <c r="DW50" s="48"/>
      <c r="DX50" s="48">
        <v>45</v>
      </c>
      <c r="DY50" s="48">
        <v>4</v>
      </c>
      <c r="DZ50" s="48">
        <v>1.0410520769883131</v>
      </c>
      <c r="EA50" s="48" t="str">
        <v/>
      </c>
      <c r="EB50" s="48"/>
      <c r="EC50" s="48"/>
      <c r="ED50" s="48"/>
    </row>
    <row r="51" spans="8:134" x14ac:dyDescent="0.2"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>
        <v>46</v>
      </c>
      <c r="BS51" s="29">
        <v>-1.9370078740157481</v>
      </c>
      <c r="BT51" s="29">
        <v>6.1118646140966536E-2</v>
      </c>
      <c r="BU51" s="29">
        <v>3</v>
      </c>
      <c r="BV51" s="29">
        <v>0</v>
      </c>
      <c r="BW51" s="29">
        <v>0</v>
      </c>
      <c r="BX51" s="29" t="str">
        <v/>
      </c>
      <c r="BY51" s="29" t="str">
        <v/>
      </c>
      <c r="BZ51" s="29"/>
      <c r="CA51" s="29"/>
      <c r="CB51" s="29"/>
      <c r="CC51" s="48"/>
      <c r="CD51" s="48"/>
      <c r="CE51" s="48"/>
      <c r="CF51" s="48">
        <v>46</v>
      </c>
      <c r="CG51" s="48">
        <v>8</v>
      </c>
      <c r="CH51" s="48">
        <v>0</v>
      </c>
      <c r="CI51" s="48">
        <v>1</v>
      </c>
      <c r="CJ51" s="48" t="str">
        <v>1.299</v>
      </c>
      <c r="CK51" s="48"/>
      <c r="CL51" s="48"/>
      <c r="CM51" s="48"/>
      <c r="CN51" s="29"/>
      <c r="CO51" s="29"/>
      <c r="CP51" s="57"/>
      <c r="CQ51" s="57"/>
      <c r="CR51" s="57"/>
      <c r="CS51" s="57"/>
      <c r="CT51" s="57"/>
      <c r="CU51" s="57">
        <v>46</v>
      </c>
      <c r="CV51" s="57">
        <v>1</v>
      </c>
      <c r="CW51" s="48">
        <v>1.8192576091040986</v>
      </c>
      <c r="CX51" s="48">
        <v>1.8192576091040986</v>
      </c>
      <c r="CY51" s="48" t="e">
        <v>#N/A</v>
      </c>
      <c r="CZ51" s="48" t="e">
        <v>#N/A</v>
      </c>
      <c r="DA51" s="48" t="e">
        <v>#N/A</v>
      </c>
      <c r="DB51" s="57" t="str">
        <v/>
      </c>
      <c r="DC51" s="57"/>
      <c r="DD51" s="57"/>
      <c r="DE51" s="57"/>
      <c r="DF51" s="57"/>
      <c r="DG51" s="57"/>
      <c r="DH51" s="57"/>
      <c r="DI51" s="57"/>
      <c r="DJ51" s="25"/>
      <c r="DK51" s="29"/>
      <c r="DL51" s="29"/>
      <c r="DM51" s="29"/>
      <c r="DN51" s="29"/>
      <c r="DO51" s="57"/>
      <c r="DP51" s="57"/>
      <c r="DQ51" s="57"/>
      <c r="DR51" s="57"/>
      <c r="DS51" s="48"/>
      <c r="DT51" s="48"/>
      <c r="DU51" s="48"/>
      <c r="DV51" s="48"/>
      <c r="DW51" s="48"/>
      <c r="DX51" s="48">
        <v>46</v>
      </c>
      <c r="DY51" s="48">
        <v>4</v>
      </c>
      <c r="DZ51" s="48">
        <v>1.0410520769883131</v>
      </c>
      <c r="EA51" s="48" t="str">
        <v/>
      </c>
      <c r="EB51" s="48"/>
      <c r="EC51" s="48"/>
      <c r="ED51" s="48"/>
    </row>
    <row r="52" spans="8:134" x14ac:dyDescent="0.2"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>
        <v>47</v>
      </c>
      <c r="BS52" s="29">
        <v>-1.9133858267716535</v>
      </c>
      <c r="BT52" s="29">
        <v>6.3962315187079122E-2</v>
      </c>
      <c r="BU52" s="29">
        <v>3</v>
      </c>
      <c r="BV52" s="29">
        <v>0</v>
      </c>
      <c r="BW52" s="29">
        <v>0</v>
      </c>
      <c r="BX52" s="29" t="str">
        <v/>
      </c>
      <c r="BY52" s="29" t="str">
        <v/>
      </c>
      <c r="BZ52" s="29"/>
      <c r="CA52" s="29"/>
      <c r="CB52" s="29"/>
      <c r="CC52" s="48"/>
      <c r="CD52" s="48"/>
      <c r="CE52" s="48"/>
      <c r="CF52" s="48">
        <v>47</v>
      </c>
      <c r="CG52" s="48">
        <v>8</v>
      </c>
      <c r="CH52" s="48">
        <v>0</v>
      </c>
      <c r="CI52" s="48">
        <v>1</v>
      </c>
      <c r="CJ52" s="48" t="str">
        <v/>
      </c>
      <c r="CK52" s="48"/>
      <c r="CL52" s="48"/>
      <c r="CM52" s="48"/>
      <c r="CN52" s="29"/>
      <c r="CO52" s="29"/>
      <c r="CP52" s="57"/>
      <c r="CQ52" s="57"/>
      <c r="CR52" s="57"/>
      <c r="CS52" s="57"/>
      <c r="CT52" s="57"/>
      <c r="CU52" s="57">
        <v>47</v>
      </c>
      <c r="CV52" s="57">
        <v>1</v>
      </c>
      <c r="CW52" s="48">
        <v>1.8192576091040986</v>
      </c>
      <c r="CX52" s="48">
        <v>1.8192576091040986</v>
      </c>
      <c r="CY52" s="48" t="e">
        <v>#N/A</v>
      </c>
      <c r="CZ52" s="48" t="e">
        <v>#N/A</v>
      </c>
      <c r="DA52" s="48" t="e">
        <v>#N/A</v>
      </c>
      <c r="DB52" s="57" t="str">
        <v/>
      </c>
      <c r="DC52" s="57"/>
      <c r="DD52" s="57"/>
      <c r="DE52" s="57"/>
      <c r="DF52" s="57"/>
      <c r="DG52" s="57"/>
      <c r="DH52" s="57"/>
      <c r="DI52" s="57"/>
      <c r="DJ52" s="25"/>
      <c r="DK52" s="29"/>
      <c r="DL52" s="29"/>
      <c r="DM52" s="29"/>
      <c r="DN52" s="29"/>
      <c r="DO52" s="57"/>
      <c r="DP52" s="57"/>
      <c r="DQ52" s="57"/>
      <c r="DR52" s="57"/>
      <c r="DS52" s="48"/>
      <c r="DT52" s="48"/>
      <c r="DU52" s="48"/>
      <c r="DV52" s="48"/>
      <c r="DW52" s="48"/>
      <c r="DX52" s="48">
        <v>47</v>
      </c>
      <c r="DY52" s="48">
        <v>4</v>
      </c>
      <c r="DZ52" s="48">
        <v>1.0410520769883131</v>
      </c>
      <c r="EA52" s="48" t="str">
        <v/>
      </c>
      <c r="EB52" s="48"/>
      <c r="EC52" s="48"/>
      <c r="ED52" s="48"/>
    </row>
    <row r="53" spans="8:134" x14ac:dyDescent="0.2">
      <c r="BR53">
        <v>48</v>
      </c>
      <c r="BS53">
        <v>-1.889763779527559</v>
      </c>
      <c r="BT53" s="21">
        <v>6.6900950484229685E-2</v>
      </c>
      <c r="BU53" s="21">
        <v>3</v>
      </c>
      <c r="BV53" s="21">
        <v>0</v>
      </c>
      <c r="BW53" s="21">
        <v>0</v>
      </c>
      <c r="BX53" s="21" t="str">
        <v/>
      </c>
      <c r="BY53" s="21" t="str">
        <v/>
      </c>
      <c r="CF53" s="21">
        <v>48</v>
      </c>
      <c r="CG53" s="21">
        <v>8</v>
      </c>
      <c r="CH53" s="21">
        <v>1</v>
      </c>
      <c r="CI53" s="21" t="e">
        <v>#N/A</v>
      </c>
      <c r="CJ53" s="21" t="str">
        <v/>
      </c>
      <c r="CU53" s="21">
        <v>48</v>
      </c>
      <c r="CV53" s="21">
        <v>1</v>
      </c>
      <c r="CW53" s="21">
        <v>1.8192576091040986</v>
      </c>
      <c r="CX53" s="21">
        <v>1.8192576091040986</v>
      </c>
      <c r="CY53" s="21" t="e">
        <v>#N/A</v>
      </c>
      <c r="CZ53" s="21" t="e">
        <v>#N/A</v>
      </c>
      <c r="DA53" t="e">
        <v>#N/A</v>
      </c>
      <c r="DB53" t="str">
        <v/>
      </c>
      <c r="DX53">
        <v>48</v>
      </c>
      <c r="DY53">
        <v>4</v>
      </c>
      <c r="DZ53">
        <v>1.0410520769883131</v>
      </c>
      <c r="EA53" t="str">
        <v/>
      </c>
      <c r="EB53" s="48"/>
      <c r="EC53" s="48"/>
      <c r="ED53" s="48"/>
    </row>
    <row r="54" spans="8:134" x14ac:dyDescent="0.2"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>
        <v>49</v>
      </c>
      <c r="BS54" s="29">
        <v>-1.8661417322834646</v>
      </c>
      <c r="BT54" s="29">
        <v>6.9935561164973667E-2</v>
      </c>
      <c r="BU54" s="29">
        <v>3</v>
      </c>
      <c r="BV54" s="29">
        <v>0</v>
      </c>
      <c r="BW54" s="29">
        <v>0</v>
      </c>
      <c r="BX54" s="29" t="str">
        <v/>
      </c>
      <c r="BY54" s="29" t="str">
        <v/>
      </c>
      <c r="BZ54" s="29"/>
      <c r="CA54" s="29"/>
      <c r="CB54" s="29"/>
      <c r="CC54" s="48"/>
      <c r="CD54" s="48"/>
      <c r="CE54" s="48"/>
      <c r="CF54" s="48">
        <v>49</v>
      </c>
      <c r="CG54" s="48">
        <v>9</v>
      </c>
      <c r="CH54" s="48">
        <v>1</v>
      </c>
      <c r="CI54" s="48" t="e">
        <v>#N/A</v>
      </c>
      <c r="CJ54" s="48" t="str">
        <v/>
      </c>
      <c r="CK54" s="48"/>
      <c r="CL54" s="48"/>
      <c r="CM54" s="48"/>
      <c r="CN54" s="29"/>
      <c r="CO54" s="29"/>
      <c r="CP54" s="57"/>
      <c r="CQ54" s="57"/>
      <c r="CR54" s="57"/>
      <c r="CS54" s="57"/>
      <c r="CT54" s="57"/>
      <c r="CU54" s="57">
        <v>49</v>
      </c>
      <c r="CV54" s="57">
        <v>1</v>
      </c>
      <c r="CW54" s="48">
        <v>1.8192576091040986</v>
      </c>
      <c r="CX54" s="48">
        <v>1.8192576091040986</v>
      </c>
      <c r="CY54" s="48" t="e">
        <v>#N/A</v>
      </c>
      <c r="CZ54" s="48" t="e">
        <v>#N/A</v>
      </c>
      <c r="DA54" s="48" t="e">
        <v>#N/A</v>
      </c>
      <c r="DB54" s="57" t="str">
        <v/>
      </c>
      <c r="DC54" s="57"/>
      <c r="DD54" s="57"/>
      <c r="DE54" s="57"/>
      <c r="DF54" s="57"/>
      <c r="DG54" s="57"/>
      <c r="DH54" s="57"/>
      <c r="DI54" s="57"/>
      <c r="DJ54" s="25"/>
      <c r="DK54" s="29"/>
      <c r="DL54" s="29"/>
      <c r="DM54" s="29"/>
      <c r="DN54" s="29"/>
      <c r="DO54" s="57"/>
      <c r="DP54" s="57"/>
      <c r="DQ54" s="57"/>
      <c r="DR54" s="57"/>
      <c r="DS54" s="48"/>
      <c r="DT54" s="48"/>
      <c r="DU54" s="48"/>
      <c r="DV54" s="48"/>
      <c r="DW54" s="48"/>
      <c r="DX54" s="48">
        <v>49</v>
      </c>
      <c r="DY54" s="48">
        <v>4</v>
      </c>
      <c r="DZ54" s="48">
        <v>1.0410520769883131</v>
      </c>
      <c r="EA54" s="48" t="str">
        <v/>
      </c>
      <c r="EB54" s="48"/>
      <c r="EC54" s="48"/>
      <c r="ED54" s="48"/>
    </row>
    <row r="55" spans="8:134" x14ac:dyDescent="0.2"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>
        <v>50</v>
      </c>
      <c r="BS55" s="29">
        <v>-1.8425196850393701</v>
      </c>
      <c r="BT55" s="29">
        <v>7.3067038174560756E-2</v>
      </c>
      <c r="BU55" s="29">
        <v>3</v>
      </c>
      <c r="BV55" s="29">
        <v>0</v>
      </c>
      <c r="BW55" s="29">
        <v>0</v>
      </c>
      <c r="BX55" s="29" t="str">
        <v/>
      </c>
      <c r="BY55" s="29" t="str">
        <v/>
      </c>
      <c r="BZ55" s="29"/>
      <c r="CA55" s="29"/>
      <c r="CB55" s="29"/>
      <c r="CC55" s="48"/>
      <c r="CD55" s="48"/>
      <c r="CE55" s="48"/>
      <c r="CF55" s="48">
        <v>50</v>
      </c>
      <c r="CG55" s="48">
        <v>9</v>
      </c>
      <c r="CH55" s="48">
        <v>0</v>
      </c>
      <c r="CI55" s="48">
        <v>1</v>
      </c>
      <c r="CJ55" s="48" t="str">
        <v/>
      </c>
      <c r="CK55" s="48"/>
      <c r="CL55" s="48"/>
      <c r="CM55" s="48"/>
      <c r="CN55" s="29"/>
      <c r="CO55" s="29"/>
      <c r="CP55" s="57"/>
      <c r="CQ55" s="57"/>
      <c r="CR55" s="57"/>
      <c r="CS55" s="57"/>
      <c r="CT55" s="57"/>
      <c r="CU55" s="57">
        <v>50</v>
      </c>
      <c r="CV55" s="57">
        <v>1</v>
      </c>
      <c r="CW55" s="48">
        <v>1.8192576091040986</v>
      </c>
      <c r="CX55" s="48">
        <v>1.8192576091040986</v>
      </c>
      <c r="CY55" s="48" t="e">
        <v>#N/A</v>
      </c>
      <c r="CZ55" s="48" t="e">
        <v>#N/A</v>
      </c>
      <c r="DA55" s="48" t="e">
        <v>#N/A</v>
      </c>
      <c r="DB55" s="57" t="str">
        <v/>
      </c>
      <c r="DC55" s="57"/>
      <c r="DD55" s="57"/>
      <c r="DE55" s="57"/>
      <c r="DF55" s="57"/>
      <c r="DG55" s="57"/>
      <c r="DH55" s="57"/>
      <c r="DI55" s="57"/>
      <c r="DJ55" s="25"/>
      <c r="DK55" s="29"/>
      <c r="DL55" s="29"/>
      <c r="DM55" s="29"/>
      <c r="DN55" s="29"/>
      <c r="DO55" s="57"/>
      <c r="DP55" s="57"/>
      <c r="DQ55" s="57"/>
      <c r="DR55" s="57"/>
      <c r="DS55" s="48"/>
      <c r="DT55" s="48"/>
      <c r="DU55" s="48"/>
      <c r="DV55" s="48"/>
      <c r="DW55" s="48"/>
      <c r="DX55" s="48">
        <v>50</v>
      </c>
      <c r="DY55" s="48">
        <v>5</v>
      </c>
      <c r="DZ55" s="48">
        <v>0.60060696749325759</v>
      </c>
      <c r="EA55" s="48" t="str">
        <v>1.3 (67%)</v>
      </c>
      <c r="EB55" s="48"/>
      <c r="EC55" s="48"/>
      <c r="ED55" s="48"/>
    </row>
    <row r="56" spans="8:134" x14ac:dyDescent="0.2">
      <c r="H56" s="26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>
        <v>51</v>
      </c>
      <c r="BS56" s="29">
        <v>-1.8188976377952757</v>
      </c>
      <c r="BT56" s="29">
        <v>7.6296146878504542E-2</v>
      </c>
      <c r="BU56" s="29">
        <v>3</v>
      </c>
      <c r="BV56" s="29">
        <v>0</v>
      </c>
      <c r="BW56" s="29">
        <v>0</v>
      </c>
      <c r="BX56" s="29" t="str">
        <v/>
      </c>
      <c r="BY56" s="29" t="str">
        <v/>
      </c>
      <c r="BZ56" s="29"/>
      <c r="CA56" s="29"/>
      <c r="CB56" s="29"/>
      <c r="CC56" s="48"/>
      <c r="CD56" s="48"/>
      <c r="CE56" s="48"/>
      <c r="CF56" s="48">
        <v>51</v>
      </c>
      <c r="CG56" s="48">
        <v>9</v>
      </c>
      <c r="CH56" s="48">
        <v>0</v>
      </c>
      <c r="CI56" s="48">
        <v>1</v>
      </c>
      <c r="CJ56" s="48" t="str">
        <v/>
      </c>
      <c r="CK56" s="48"/>
      <c r="CL56" s="48"/>
      <c r="CM56" s="48"/>
      <c r="CN56" s="29"/>
      <c r="CO56" s="29"/>
      <c r="CP56" s="57"/>
      <c r="CQ56" s="57"/>
      <c r="CR56" s="57"/>
      <c r="CS56" s="57"/>
      <c r="CT56" s="57"/>
      <c r="CU56" s="57">
        <v>51</v>
      </c>
      <c r="CV56" s="57">
        <v>1</v>
      </c>
      <c r="CW56" s="48">
        <v>1.8192576091040986</v>
      </c>
      <c r="CX56" s="48">
        <v>1.8192576091040986</v>
      </c>
      <c r="CY56" s="48" t="e">
        <v>#N/A</v>
      </c>
      <c r="CZ56" s="48" t="e">
        <v>#N/A</v>
      </c>
      <c r="DA56" s="48" t="e">
        <v>#N/A</v>
      </c>
      <c r="DB56" s="57" t="str">
        <v/>
      </c>
      <c r="DC56" s="57"/>
      <c r="DD56" s="57"/>
      <c r="DE56" s="57"/>
      <c r="DF56" s="57"/>
      <c r="DG56" s="57"/>
      <c r="DH56" s="57"/>
      <c r="DI56" s="57"/>
      <c r="DJ56" s="25"/>
      <c r="DK56" s="29"/>
      <c r="DL56" s="29"/>
      <c r="DM56" s="29"/>
      <c r="DN56" s="29"/>
      <c r="DO56" s="57"/>
      <c r="DP56" s="57"/>
      <c r="DQ56" s="57"/>
      <c r="DR56" s="57"/>
      <c r="DS56" s="48"/>
      <c r="DT56" s="48"/>
      <c r="DU56" s="48"/>
      <c r="DV56" s="48"/>
      <c r="DW56" s="48"/>
      <c r="DX56" s="48">
        <v>51</v>
      </c>
      <c r="DY56" s="48">
        <v>5</v>
      </c>
      <c r="DZ56" s="48">
        <v>0.60060696749325759</v>
      </c>
      <c r="EA56" s="48" t="str">
        <v/>
      </c>
      <c r="EB56" s="48"/>
      <c r="EC56" s="48"/>
      <c r="ED56" s="48"/>
    </row>
    <row r="57" spans="8:134" x14ac:dyDescent="0.2">
      <c r="H57" s="26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>
        <v>52</v>
      </c>
      <c r="BS57" s="29">
        <v>-1.795275590551181</v>
      </c>
      <c r="BT57" s="29">
        <v>7.9623519695089101E-2</v>
      </c>
      <c r="BU57" s="29">
        <v>4</v>
      </c>
      <c r="BV57" s="29">
        <v>0</v>
      </c>
      <c r="BW57" s="29">
        <v>0</v>
      </c>
      <c r="BX57" s="29">
        <v>-5.9</v>
      </c>
      <c r="BY57" s="29" t="str">
        <v/>
      </c>
      <c r="BZ57" s="29"/>
      <c r="CA57" s="29"/>
      <c r="CB57" s="29"/>
      <c r="CC57" s="48"/>
      <c r="CD57" s="48"/>
      <c r="CE57" s="48"/>
      <c r="CF57" s="48">
        <v>52</v>
      </c>
      <c r="CG57" s="48">
        <v>9</v>
      </c>
      <c r="CH57" s="48">
        <v>0</v>
      </c>
      <c r="CI57" s="48">
        <v>1</v>
      </c>
      <c r="CJ57" s="48" t="str">
        <v>1.38</v>
      </c>
      <c r="CK57" s="48"/>
      <c r="CL57" s="48"/>
      <c r="CM57" s="48"/>
      <c r="CN57" s="29"/>
      <c r="CO57" s="29"/>
      <c r="CP57" s="57"/>
      <c r="CQ57" s="57"/>
      <c r="CR57" s="57"/>
      <c r="CS57" s="57"/>
      <c r="CT57" s="57"/>
      <c r="CU57" s="57">
        <v>52</v>
      </c>
      <c r="CV57" s="57">
        <v>1</v>
      </c>
      <c r="CW57" s="48">
        <v>1.8192576091040986</v>
      </c>
      <c r="CX57" s="48">
        <v>1.8192576091040986</v>
      </c>
      <c r="CY57" s="48" t="e">
        <v>#N/A</v>
      </c>
      <c r="CZ57" s="48" t="e">
        <v>#N/A</v>
      </c>
      <c r="DA57" s="48" t="e">
        <v>#N/A</v>
      </c>
      <c r="DB57" s="57" t="str">
        <v/>
      </c>
      <c r="DC57" s="57"/>
      <c r="DD57" s="57"/>
      <c r="DE57" s="57"/>
      <c r="DF57" s="57"/>
      <c r="DG57" s="57"/>
      <c r="DH57" s="57"/>
      <c r="DI57" s="57"/>
      <c r="DJ57" s="25"/>
      <c r="DK57" s="29"/>
      <c r="DL57" s="29"/>
      <c r="DM57" s="29"/>
      <c r="DN57" s="29"/>
      <c r="DO57" s="57"/>
      <c r="DP57" s="57"/>
      <c r="DQ57" s="57"/>
      <c r="DR57" s="57"/>
      <c r="DS57" s="48"/>
      <c r="DT57" s="48"/>
      <c r="DU57" s="48"/>
      <c r="DV57" s="48"/>
      <c r="DW57" s="48"/>
      <c r="DX57" s="48">
        <v>52</v>
      </c>
      <c r="DY57" s="48">
        <v>5</v>
      </c>
      <c r="DZ57" s="48">
        <v>0.60060696749325759</v>
      </c>
      <c r="EA57" s="48" t="str">
        <v/>
      </c>
      <c r="EB57" s="48"/>
      <c r="EC57" s="48"/>
      <c r="ED57" s="48"/>
    </row>
    <row r="58" spans="8:134" x14ac:dyDescent="0.2">
      <c r="H58" s="26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>
        <v>53</v>
      </c>
      <c r="BS58" s="29">
        <v>-1.7716535433070866</v>
      </c>
      <c r="BT58" s="29">
        <v>8.3049648779127044E-2</v>
      </c>
      <c r="BU58" s="29">
        <v>4</v>
      </c>
      <c r="BV58" s="29">
        <v>0</v>
      </c>
      <c r="BW58" s="29">
        <v>0</v>
      </c>
      <c r="BX58" s="29" t="str">
        <v/>
      </c>
      <c r="BY58" s="29" t="str">
        <v/>
      </c>
      <c r="BZ58" s="29"/>
      <c r="CA58" s="29"/>
      <c r="CB58" s="29"/>
      <c r="CC58" s="48"/>
      <c r="CD58" s="48"/>
      <c r="CE58" s="48"/>
      <c r="CF58" s="48">
        <v>53</v>
      </c>
      <c r="CG58" s="48">
        <v>9</v>
      </c>
      <c r="CH58" s="48">
        <v>0</v>
      </c>
      <c r="CI58" s="48">
        <v>1</v>
      </c>
      <c r="CJ58" s="48" t="str">
        <v/>
      </c>
      <c r="CK58" s="48"/>
      <c r="CL58" s="48"/>
      <c r="CM58" s="48"/>
      <c r="CN58" s="29"/>
      <c r="CO58" s="29"/>
      <c r="CP58" s="57"/>
      <c r="CQ58" s="57"/>
      <c r="CR58" s="57"/>
      <c r="CS58" s="57"/>
      <c r="CT58" s="57"/>
      <c r="CU58" s="57">
        <v>53</v>
      </c>
      <c r="CV58" s="57">
        <v>1</v>
      </c>
      <c r="CW58" s="48">
        <v>1.8192576091040986</v>
      </c>
      <c r="CX58" s="48">
        <v>1.8192576091040986</v>
      </c>
      <c r="CY58" s="48" t="e">
        <v>#N/A</v>
      </c>
      <c r="CZ58" s="48" t="e">
        <v>#N/A</v>
      </c>
      <c r="DA58" s="48" t="e">
        <v>#N/A</v>
      </c>
      <c r="DB58" s="57" t="str">
        <v/>
      </c>
      <c r="DC58" s="57"/>
      <c r="DD58" s="57"/>
      <c r="DE58" s="57"/>
      <c r="DF58" s="57"/>
      <c r="DG58" s="57"/>
      <c r="DH58" s="57"/>
      <c r="DI58" s="57"/>
      <c r="DJ58" s="25"/>
      <c r="DK58" s="29"/>
      <c r="DL58" s="29"/>
      <c r="DM58" s="29"/>
      <c r="DN58" s="29"/>
      <c r="DO58" s="57"/>
      <c r="DP58" s="57"/>
      <c r="DQ58" s="57"/>
      <c r="DR58" s="57"/>
      <c r="DS58" s="48"/>
      <c r="DT58" s="48"/>
      <c r="DU58" s="48"/>
      <c r="DV58" s="48"/>
      <c r="DW58" s="48"/>
      <c r="DX58" s="48">
        <v>53</v>
      </c>
      <c r="DY58" s="48">
        <v>5</v>
      </c>
      <c r="DZ58" s="48">
        <v>0.60060696749325759</v>
      </c>
      <c r="EA58" s="48" t="str">
        <v/>
      </c>
      <c r="EB58" s="48"/>
      <c r="EC58" s="48"/>
      <c r="ED58" s="48"/>
    </row>
    <row r="59" spans="8:134" x14ac:dyDescent="0.2">
      <c r="H59" s="26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>
        <v>54</v>
      </c>
      <c r="BS59" s="29">
        <v>-1.7480314960629921</v>
      </c>
      <c r="BT59" s="29">
        <v>8.6574878784251505E-2</v>
      </c>
      <c r="BU59" s="29">
        <v>4</v>
      </c>
      <c r="BV59" s="29">
        <v>0</v>
      </c>
      <c r="BW59" s="29">
        <v>0</v>
      </c>
      <c r="BX59" s="29" t="str">
        <v/>
      </c>
      <c r="BY59" s="29" t="str">
        <v/>
      </c>
      <c r="BZ59" s="29"/>
      <c r="CA59" s="29"/>
      <c r="CB59" s="29"/>
      <c r="CC59" s="48"/>
      <c r="CD59" s="48"/>
      <c r="CE59" s="48"/>
      <c r="CF59" s="48">
        <v>54</v>
      </c>
      <c r="CG59" s="48">
        <v>9</v>
      </c>
      <c r="CH59" s="48">
        <v>1</v>
      </c>
      <c r="CI59" s="48" t="e">
        <v>#N/A</v>
      </c>
      <c r="CJ59" s="48" t="str">
        <v/>
      </c>
      <c r="CK59" s="48"/>
      <c r="CL59" s="48"/>
      <c r="CM59" s="48"/>
      <c r="CN59" s="29"/>
      <c r="CO59" s="29"/>
      <c r="CP59" s="57"/>
      <c r="CQ59" s="57"/>
      <c r="CR59" s="57"/>
      <c r="CS59" s="57"/>
      <c r="CT59" s="57"/>
      <c r="CU59" s="57">
        <v>54</v>
      </c>
      <c r="CV59" s="57">
        <v>1</v>
      </c>
      <c r="CW59" s="48">
        <v>1.8192576091040986</v>
      </c>
      <c r="CX59" s="48">
        <v>1.8192576091040986</v>
      </c>
      <c r="CY59" s="48" t="e">
        <v>#N/A</v>
      </c>
      <c r="CZ59" s="48" t="e">
        <v>#N/A</v>
      </c>
      <c r="DA59" s="48" t="e">
        <v>#N/A</v>
      </c>
      <c r="DB59" s="57" t="str">
        <v/>
      </c>
      <c r="DC59" s="57"/>
      <c r="DD59" s="57"/>
      <c r="DE59" s="57"/>
      <c r="DF59" s="57"/>
      <c r="DG59" s="57"/>
      <c r="DH59" s="57"/>
      <c r="DI59" s="57"/>
      <c r="DJ59" s="25"/>
      <c r="DK59" s="29"/>
      <c r="DL59" s="29"/>
      <c r="DM59" s="29"/>
      <c r="DN59" s="29"/>
      <c r="DO59" s="57"/>
      <c r="DP59" s="57"/>
      <c r="DQ59" s="57"/>
      <c r="DR59" s="57"/>
      <c r="DS59" s="48"/>
      <c r="DT59" s="48"/>
      <c r="DU59" s="48"/>
      <c r="DV59" s="48"/>
      <c r="DW59" s="48"/>
      <c r="DX59" s="48">
        <v>54</v>
      </c>
      <c r="DY59" s="48">
        <v>5</v>
      </c>
      <c r="DZ59" s="48">
        <v>0.60060696749325759</v>
      </c>
      <c r="EA59" s="48" t="str">
        <v/>
      </c>
      <c r="EB59" s="48"/>
      <c r="EC59" s="48"/>
      <c r="ED59" s="48"/>
    </row>
    <row r="60" spans="8:134" x14ac:dyDescent="0.2">
      <c r="H60" s="26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>
        <v>55</v>
      </c>
      <c r="BS60" s="29">
        <v>-1.7244094488188977</v>
      </c>
      <c r="BT60" s="29">
        <v>9.0199399731906077E-2</v>
      </c>
      <c r="BU60" s="29">
        <v>4</v>
      </c>
      <c r="BV60" s="29">
        <v>0</v>
      </c>
      <c r="BW60" s="29">
        <v>0</v>
      </c>
      <c r="BX60" s="29" t="str">
        <v/>
      </c>
      <c r="BY60" s="29" t="str">
        <v/>
      </c>
      <c r="BZ60" s="29"/>
      <c r="CA60" s="29"/>
      <c r="CB60" s="29"/>
      <c r="CC60" s="48"/>
      <c r="CD60" s="48"/>
      <c r="CE60" s="48"/>
      <c r="CF60" s="48">
        <v>55</v>
      </c>
      <c r="CG60" s="48">
        <v>10</v>
      </c>
      <c r="CH60" s="48">
        <v>1</v>
      </c>
      <c r="CI60" s="48" t="e">
        <v>#N/A</v>
      </c>
      <c r="CJ60" s="48" t="str">
        <v/>
      </c>
      <c r="CK60" s="48"/>
      <c r="CL60" s="48"/>
      <c r="CM60" s="48"/>
      <c r="CN60" s="29"/>
      <c r="CO60" s="29"/>
      <c r="CP60" s="57"/>
      <c r="CQ60" s="57"/>
      <c r="CR60" s="57"/>
      <c r="CS60" s="57"/>
      <c r="CT60" s="57"/>
      <c r="CU60" s="57">
        <v>55</v>
      </c>
      <c r="CV60" s="57">
        <v>1</v>
      </c>
      <c r="CW60" s="48">
        <v>1.8192576091040986</v>
      </c>
      <c r="CX60" s="48">
        <v>1.8192576091040986</v>
      </c>
      <c r="CY60" s="48" t="e">
        <v>#N/A</v>
      </c>
      <c r="CZ60" s="48" t="e">
        <v>#N/A</v>
      </c>
      <c r="DA60" s="48" t="e">
        <v>#N/A</v>
      </c>
      <c r="DB60" s="57" t="str">
        <v/>
      </c>
      <c r="DC60" s="57"/>
      <c r="DD60" s="57"/>
      <c r="DE60" s="57"/>
      <c r="DF60" s="57"/>
      <c r="DG60" s="57"/>
      <c r="DH60" s="57"/>
      <c r="DI60" s="57"/>
      <c r="DJ60" s="25"/>
      <c r="DK60" s="29"/>
      <c r="DL60" s="29"/>
      <c r="DM60" s="29"/>
      <c r="DN60" s="29"/>
      <c r="DO60" s="57"/>
      <c r="DP60" s="57"/>
      <c r="DQ60" s="57"/>
      <c r="DR60" s="57"/>
      <c r="DS60" s="48"/>
      <c r="DT60" s="48"/>
      <c r="DU60" s="48"/>
      <c r="DV60" s="48"/>
      <c r="DW60" s="48"/>
      <c r="DX60" s="48">
        <v>55</v>
      </c>
      <c r="DY60" s="48">
        <v>5</v>
      </c>
      <c r="DZ60" s="48">
        <v>0.60060696749325759</v>
      </c>
      <c r="EA60" s="48" t="str">
        <v/>
      </c>
      <c r="EB60" s="48"/>
      <c r="EC60" s="48"/>
      <c r="ED60" s="48"/>
    </row>
    <row r="61" spans="8:134" x14ac:dyDescent="0.2">
      <c r="H61" s="26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>
        <v>56</v>
      </c>
      <c r="BS61" s="29">
        <v>-1.7007874015748032</v>
      </c>
      <c r="BT61" s="29">
        <v>9.392324001599342E-2</v>
      </c>
      <c r="BU61" s="29">
        <v>4</v>
      </c>
      <c r="BV61" s="29">
        <v>0</v>
      </c>
      <c r="BW61" s="29">
        <v>0</v>
      </c>
      <c r="BX61" s="29" t="str">
        <v/>
      </c>
      <c r="BY61" s="29" t="str">
        <v/>
      </c>
      <c r="BZ61" s="29"/>
      <c r="CA61" s="29"/>
      <c r="CB61" s="29"/>
      <c r="CC61" s="48"/>
      <c r="CD61" s="48"/>
      <c r="CE61" s="48"/>
      <c r="CF61" s="48">
        <v>56</v>
      </c>
      <c r="CG61" s="48">
        <v>10</v>
      </c>
      <c r="CH61" s="48">
        <v>0</v>
      </c>
      <c r="CI61" s="48">
        <v>1</v>
      </c>
      <c r="CJ61" s="48" t="str">
        <v/>
      </c>
      <c r="CK61" s="48"/>
      <c r="CL61" s="48"/>
      <c r="CM61" s="48"/>
      <c r="CN61" s="29"/>
      <c r="CO61" s="29"/>
      <c r="CP61" s="57"/>
      <c r="CQ61" s="57"/>
      <c r="CR61" s="57"/>
      <c r="CS61" s="57"/>
      <c r="CT61" s="57"/>
      <c r="CU61" s="57">
        <v>56</v>
      </c>
      <c r="CV61" s="57">
        <v>1</v>
      </c>
      <c r="CW61" s="48">
        <v>1.8192576091040986</v>
      </c>
      <c r="CX61" s="48">
        <v>1.8192576091040986</v>
      </c>
      <c r="CY61" s="48" t="e">
        <v>#N/A</v>
      </c>
      <c r="CZ61" s="48" t="e">
        <v>#N/A</v>
      </c>
      <c r="DA61" s="48" t="e">
        <v>#N/A</v>
      </c>
      <c r="DB61" s="57" t="str">
        <v/>
      </c>
      <c r="DC61" s="57"/>
      <c r="DD61" s="57"/>
      <c r="DE61" s="57"/>
      <c r="DF61" s="57"/>
      <c r="DG61" s="57"/>
      <c r="DH61" s="57"/>
      <c r="DI61" s="57"/>
      <c r="DJ61" s="25"/>
      <c r="DK61" s="29"/>
      <c r="DL61" s="29"/>
      <c r="DM61" s="29"/>
      <c r="DN61" s="29"/>
      <c r="DO61" s="57"/>
      <c r="DP61" s="57"/>
      <c r="DQ61" s="57"/>
      <c r="DR61" s="57"/>
      <c r="DS61" s="48"/>
      <c r="DT61" s="48"/>
      <c r="DU61" s="48"/>
      <c r="DV61" s="48"/>
      <c r="DW61" s="48"/>
      <c r="DX61" s="48">
        <v>56</v>
      </c>
      <c r="DY61" s="48">
        <v>5</v>
      </c>
      <c r="DZ61" s="48">
        <v>0.60060696749325759</v>
      </c>
      <c r="EA61" s="48" t="str">
        <v/>
      </c>
      <c r="EB61" s="48"/>
      <c r="EC61" s="48"/>
      <c r="ED61" s="48"/>
    </row>
    <row r="62" spans="8:134" x14ac:dyDescent="0.2">
      <c r="H62" s="26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>
        <v>57</v>
      </c>
      <c r="BS62" s="29">
        <v>-1.6771653543307088</v>
      </c>
      <c r="BT62" s="29">
        <v>9.7746259572838501E-2</v>
      </c>
      <c r="BU62" s="29">
        <v>4</v>
      </c>
      <c r="BV62" s="29">
        <v>0</v>
      </c>
      <c r="BW62" s="29">
        <v>0</v>
      </c>
      <c r="BX62" s="29" t="str">
        <v/>
      </c>
      <c r="BY62" s="29" t="str">
        <v/>
      </c>
      <c r="BZ62" s="29"/>
      <c r="CA62" s="29"/>
      <c r="CB62" s="29"/>
      <c r="CC62" s="48"/>
      <c r="CD62" s="48"/>
      <c r="CE62" s="48"/>
      <c r="CF62" s="48">
        <v>57</v>
      </c>
      <c r="CG62" s="48">
        <v>10</v>
      </c>
      <c r="CH62" s="48">
        <v>0</v>
      </c>
      <c r="CI62" s="48">
        <v>1</v>
      </c>
      <c r="CJ62" s="48" t="str">
        <v/>
      </c>
      <c r="CK62" s="48"/>
      <c r="CL62" s="48"/>
      <c r="CM62" s="48"/>
      <c r="CN62" s="29"/>
      <c r="CO62" s="29"/>
      <c r="CP62" s="57"/>
      <c r="CQ62" s="57"/>
      <c r="CR62" s="57"/>
      <c r="CS62" s="57"/>
      <c r="CT62" s="57"/>
      <c r="CU62" s="57">
        <v>57</v>
      </c>
      <c r="CV62" s="57">
        <v>1</v>
      </c>
      <c r="CW62" s="48">
        <v>1.8192576091040986</v>
      </c>
      <c r="CX62" s="48">
        <v>1.8192576091040986</v>
      </c>
      <c r="CY62" s="48" t="e">
        <v>#N/A</v>
      </c>
      <c r="CZ62" s="48" t="e">
        <v>#N/A</v>
      </c>
      <c r="DA62" s="48" t="e">
        <v>#N/A</v>
      </c>
      <c r="DB62" s="57" t="str">
        <v/>
      </c>
      <c r="DC62" s="57"/>
      <c r="DD62" s="57"/>
      <c r="DE62" s="57"/>
      <c r="DF62" s="57"/>
      <c r="DG62" s="57"/>
      <c r="DH62" s="57"/>
      <c r="DI62" s="57"/>
      <c r="DJ62" s="25"/>
      <c r="DK62" s="29"/>
      <c r="DL62" s="29"/>
      <c r="DM62" s="29"/>
      <c r="DN62" s="29"/>
      <c r="DO62" s="57"/>
      <c r="DP62" s="57"/>
      <c r="DQ62" s="57"/>
      <c r="DR62" s="57"/>
      <c r="DS62" s="48"/>
      <c r="DT62" s="48"/>
      <c r="DU62" s="48"/>
      <c r="DV62" s="48"/>
      <c r="DW62" s="48"/>
      <c r="DX62" s="48">
        <v>57</v>
      </c>
      <c r="DY62" s="48">
        <v>5</v>
      </c>
      <c r="DZ62" s="48">
        <v>0.60060696749325759</v>
      </c>
      <c r="EA62" s="48" t="str">
        <v/>
      </c>
      <c r="EB62" s="48"/>
      <c r="EC62" s="48"/>
      <c r="ED62" s="48"/>
    </row>
    <row r="63" spans="8:134" x14ac:dyDescent="0.2">
      <c r="H63" s="26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>
        <v>58</v>
      </c>
      <c r="BS63" s="29">
        <v>-1.6535433070866141</v>
      </c>
      <c r="BT63" s="29">
        <v>0.10166814324671321</v>
      </c>
      <c r="BU63" s="29">
        <v>4</v>
      </c>
      <c r="BV63" s="29">
        <v>0</v>
      </c>
      <c r="BW63" s="29">
        <v>0</v>
      </c>
      <c r="BX63" s="29" t="str">
        <v/>
      </c>
      <c r="BY63" s="29" t="str">
        <v/>
      </c>
      <c r="BZ63" s="29"/>
      <c r="CA63" s="29"/>
      <c r="CB63" s="29"/>
      <c r="CC63" s="48"/>
      <c r="CD63" s="48"/>
      <c r="CE63" s="48"/>
      <c r="CF63" s="48">
        <v>58</v>
      </c>
      <c r="CG63" s="48">
        <v>10</v>
      </c>
      <c r="CH63" s="48">
        <v>0</v>
      </c>
      <c r="CI63" s="48">
        <v>1</v>
      </c>
      <c r="CJ63" s="48" t="str">
        <v>1.811</v>
      </c>
      <c r="CK63" s="48"/>
      <c r="CL63" s="48"/>
      <c r="CM63" s="48"/>
      <c r="CN63" s="29"/>
      <c r="CO63" s="29"/>
      <c r="CP63" s="57"/>
      <c r="CQ63" s="57"/>
      <c r="CR63" s="57"/>
      <c r="CS63" s="57"/>
      <c r="CT63" s="57"/>
      <c r="CU63" s="57">
        <v>58</v>
      </c>
      <c r="CV63" s="57">
        <v>1</v>
      </c>
      <c r="CW63" s="48">
        <v>1.8192576091040986</v>
      </c>
      <c r="CX63" s="48">
        <v>1.8192576091040986</v>
      </c>
      <c r="CY63" s="48" t="e">
        <v>#N/A</v>
      </c>
      <c r="CZ63" s="48" t="e">
        <v>#N/A</v>
      </c>
      <c r="DA63" s="48" t="e">
        <v>#N/A</v>
      </c>
      <c r="DB63" s="57" t="str">
        <v/>
      </c>
      <c r="DC63" s="57"/>
      <c r="DD63" s="57"/>
      <c r="DE63" s="57"/>
      <c r="DF63" s="57"/>
      <c r="DG63" s="57"/>
      <c r="DH63" s="57"/>
      <c r="DI63" s="57"/>
      <c r="DJ63" s="25"/>
      <c r="DK63" s="29"/>
      <c r="DL63" s="29"/>
      <c r="DM63" s="29"/>
      <c r="DN63" s="29"/>
      <c r="DO63" s="57"/>
      <c r="DP63" s="57"/>
      <c r="DQ63" s="57"/>
      <c r="DR63" s="57"/>
      <c r="DS63" s="48"/>
      <c r="DT63" s="48"/>
      <c r="DU63" s="48"/>
      <c r="DV63" s="48"/>
      <c r="DW63" s="48"/>
      <c r="DX63" s="48">
        <v>58</v>
      </c>
      <c r="DY63" s="48">
        <v>5</v>
      </c>
      <c r="DZ63" s="48">
        <v>0.60060696749325759</v>
      </c>
      <c r="EA63" s="48" t="str">
        <v/>
      </c>
      <c r="EB63" s="48"/>
      <c r="EC63" s="48"/>
      <c r="ED63" s="48"/>
    </row>
    <row r="64" spans="8:134" x14ac:dyDescent="0.2"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>
        <v>59</v>
      </c>
      <c r="BS64" s="29">
        <v>-1.6299212598425197</v>
      </c>
      <c r="BT64" s="29">
        <v>0.10568839438164808</v>
      </c>
      <c r="BU64" s="29">
        <v>4</v>
      </c>
      <c r="BV64" s="29">
        <v>0</v>
      </c>
      <c r="BW64" s="29">
        <v>0</v>
      </c>
      <c r="BX64" s="29" t="str">
        <v/>
      </c>
      <c r="BY64" s="29" t="str">
        <v/>
      </c>
      <c r="BZ64" s="29"/>
      <c r="CA64" s="29"/>
      <c r="CB64" s="29"/>
      <c r="CC64" s="48"/>
      <c r="CD64" s="48"/>
      <c r="CE64" s="48"/>
      <c r="CF64" s="48">
        <v>59</v>
      </c>
      <c r="CG64" s="48">
        <v>10</v>
      </c>
      <c r="CH64" s="48">
        <v>0</v>
      </c>
      <c r="CI64" s="48">
        <v>1</v>
      </c>
      <c r="CJ64" s="48" t="str">
        <v/>
      </c>
      <c r="CK64" s="48"/>
      <c r="CL64" s="48"/>
      <c r="CM64" s="48"/>
      <c r="CN64" s="29"/>
      <c r="CO64" s="29"/>
      <c r="CP64" s="57"/>
      <c r="CQ64" s="57"/>
      <c r="CR64" s="57"/>
      <c r="CS64" s="57"/>
      <c r="CT64" s="57"/>
      <c r="CU64" s="57">
        <v>59</v>
      </c>
      <c r="CV64" s="57">
        <v>1</v>
      </c>
      <c r="CW64" s="48">
        <v>1.8192576091040986</v>
      </c>
      <c r="CX64" s="48">
        <v>1.8192576091040986</v>
      </c>
      <c r="CY64" s="48" t="e">
        <v>#N/A</v>
      </c>
      <c r="CZ64" s="48" t="e">
        <v>#N/A</v>
      </c>
      <c r="DA64" s="48" t="e">
        <v>#N/A</v>
      </c>
      <c r="DB64" s="57" t="str">
        <v/>
      </c>
      <c r="DC64" s="57"/>
      <c r="DD64" s="57"/>
      <c r="DE64" s="57"/>
      <c r="DF64" s="57"/>
      <c r="DG64" s="57"/>
      <c r="DH64" s="57"/>
      <c r="DI64" s="57"/>
      <c r="DJ64" s="25"/>
      <c r="DK64" s="29"/>
      <c r="DL64" s="29"/>
      <c r="DM64" s="29"/>
      <c r="DN64" s="29"/>
      <c r="DO64" s="57"/>
      <c r="DP64" s="57"/>
      <c r="DQ64" s="57"/>
      <c r="DR64" s="57"/>
      <c r="DS64" s="48"/>
      <c r="DT64" s="48"/>
      <c r="DU64" s="48"/>
      <c r="DV64" s="48"/>
      <c r="DW64" s="48"/>
      <c r="DX64" s="48">
        <v>59</v>
      </c>
      <c r="DY64" s="48">
        <v>5</v>
      </c>
      <c r="DZ64" s="48">
        <v>0.60060696749325759</v>
      </c>
      <c r="EA64" s="48" t="str">
        <v/>
      </c>
      <c r="EB64" s="48"/>
      <c r="EC64" s="48"/>
      <c r="ED64" s="48"/>
    </row>
    <row r="65" spans="54:157" x14ac:dyDescent="0.2"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>
        <v>60</v>
      </c>
      <c r="BS65" s="29">
        <v>-1.6062992125984252</v>
      </c>
      <c r="BT65" s="29">
        <v>0.1098063286706146</v>
      </c>
      <c r="BU65" s="29">
        <v>4</v>
      </c>
      <c r="BV65" s="29">
        <v>0</v>
      </c>
      <c r="BW65" s="29">
        <v>0</v>
      </c>
      <c r="BX65" s="29" t="str">
        <v/>
      </c>
      <c r="BY65" s="29" t="str">
        <v/>
      </c>
      <c r="BZ65" s="29"/>
      <c r="CA65" s="29"/>
      <c r="CB65" s="29"/>
      <c r="CC65" s="48"/>
      <c r="CD65" s="48"/>
      <c r="CE65" s="48"/>
      <c r="CF65" s="48">
        <v>60</v>
      </c>
      <c r="CG65" s="48">
        <v>10</v>
      </c>
      <c r="CH65" s="48">
        <v>1</v>
      </c>
      <c r="CI65" s="48" t="e">
        <v>#N/A</v>
      </c>
      <c r="CJ65" s="48" t="str">
        <v/>
      </c>
      <c r="CK65" s="48"/>
      <c r="CL65" s="48"/>
      <c r="CM65" s="48"/>
      <c r="CN65" s="29"/>
      <c r="CO65" s="29"/>
      <c r="CP65" s="57"/>
      <c r="CQ65" s="57"/>
      <c r="CR65" s="57"/>
      <c r="CS65" s="57"/>
      <c r="CT65" s="57"/>
      <c r="CU65" s="57">
        <v>60</v>
      </c>
      <c r="CV65" s="57">
        <v>1</v>
      </c>
      <c r="CW65" s="48">
        <v>1.8192576091040986</v>
      </c>
      <c r="CX65" s="48">
        <v>1.8192576091040986</v>
      </c>
      <c r="CY65" s="48" t="e">
        <v>#N/A</v>
      </c>
      <c r="CZ65" s="48" t="e">
        <v>#N/A</v>
      </c>
      <c r="DA65" s="48" t="e">
        <v>#N/A</v>
      </c>
      <c r="DB65" s="57" t="str">
        <v/>
      </c>
      <c r="DC65" s="57"/>
      <c r="DD65" s="57"/>
      <c r="DE65" s="57"/>
      <c r="DF65" s="57"/>
      <c r="DG65" s="57"/>
      <c r="DH65" s="57"/>
      <c r="DI65" s="57"/>
      <c r="DJ65" s="25"/>
      <c r="DK65" s="29"/>
      <c r="DL65" s="29"/>
      <c r="DM65" s="29"/>
      <c r="DN65" s="29"/>
      <c r="DO65" s="57"/>
      <c r="DP65" s="57"/>
      <c r="DQ65" s="57"/>
      <c r="DR65" s="57"/>
      <c r="DS65" s="48"/>
      <c r="DT65" s="48"/>
      <c r="DU65" s="48"/>
      <c r="DV65" s="48"/>
      <c r="DW65" s="48"/>
      <c r="DX65" s="48">
        <v>60</v>
      </c>
      <c r="DY65" s="48">
        <v>5</v>
      </c>
      <c r="DZ65" s="48">
        <v>0.60060696749325759</v>
      </c>
      <c r="EA65" s="48" t="str">
        <v/>
      </c>
      <c r="EB65" s="48"/>
      <c r="EC65" s="48"/>
      <c r="ED65" s="48"/>
    </row>
    <row r="66" spans="54:157" x14ac:dyDescent="0.2"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>
        <v>61</v>
      </c>
      <c r="BS66" s="29">
        <v>-1.5826771653543308</v>
      </c>
      <c r="BT66" s="29">
        <v>0.11402106829339084</v>
      </c>
      <c r="BU66" s="29">
        <v>4</v>
      </c>
      <c r="BV66" s="29">
        <v>0</v>
      </c>
      <c r="BW66" s="29">
        <v>0</v>
      </c>
      <c r="BX66" s="29" t="str">
        <v/>
      </c>
      <c r="BY66" s="29" t="str">
        <v/>
      </c>
      <c r="BZ66" s="29"/>
      <c r="CA66" s="29"/>
      <c r="CB66" s="29"/>
      <c r="CC66" s="48"/>
      <c r="CD66" s="48"/>
      <c r="CE66" s="48"/>
      <c r="CF66" s="48">
        <v>61</v>
      </c>
      <c r="CG66" s="48">
        <v>11</v>
      </c>
      <c r="CH66" s="48">
        <v>1</v>
      </c>
      <c r="CI66" s="48" t="e">
        <v>#N/A</v>
      </c>
      <c r="CJ66" s="48" t="str">
        <v/>
      </c>
      <c r="CK66" s="48"/>
      <c r="CL66" s="48"/>
      <c r="CM66" s="48"/>
      <c r="CN66" s="29"/>
      <c r="CO66" s="29"/>
      <c r="CP66" s="57"/>
      <c r="CQ66" s="57"/>
      <c r="CR66" s="57"/>
      <c r="CS66" s="57"/>
      <c r="CT66" s="57"/>
      <c r="CU66" s="57">
        <v>61</v>
      </c>
      <c r="CV66" s="57">
        <v>1</v>
      </c>
      <c r="CW66" s="48">
        <v>1.8192576091040986</v>
      </c>
      <c r="CX66" s="48">
        <v>1.8192576091040986</v>
      </c>
      <c r="CY66" s="48" t="e">
        <v>#N/A</v>
      </c>
      <c r="CZ66" s="48" t="e">
        <v>#N/A</v>
      </c>
      <c r="DA66" s="48" t="e">
        <v>#N/A</v>
      </c>
      <c r="DB66" s="57" t="str">
        <v/>
      </c>
      <c r="DC66" s="57"/>
      <c r="DD66" s="57"/>
      <c r="DE66" s="57"/>
      <c r="DF66" s="57"/>
      <c r="DG66" s="57"/>
      <c r="DH66" s="57"/>
      <c r="DI66" s="57"/>
      <c r="DJ66" s="25"/>
      <c r="DK66" s="29"/>
      <c r="DL66" s="29"/>
      <c r="DM66" s="29"/>
      <c r="DN66" s="29"/>
      <c r="DO66" s="57"/>
      <c r="DP66" s="57"/>
      <c r="DQ66" s="57"/>
      <c r="DR66" s="57"/>
      <c r="DS66" s="48"/>
      <c r="DT66" s="48"/>
      <c r="DU66" s="48"/>
      <c r="DV66" s="48"/>
      <c r="DW66" s="48"/>
      <c r="DX66" s="48">
        <v>61</v>
      </c>
      <c r="DY66" s="48">
        <v>5</v>
      </c>
      <c r="DZ66" s="48">
        <v>0.60060696749325759</v>
      </c>
      <c r="EA66" s="48" t="str">
        <v/>
      </c>
      <c r="EB66" s="48"/>
      <c r="EC66" s="48"/>
      <c r="ED66" s="48"/>
    </row>
    <row r="67" spans="54:157" x14ac:dyDescent="0.2"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>
        <v>62</v>
      </c>
      <c r="BS67" s="29">
        <v>-1.5590551181102363</v>
      </c>
      <c r="BT67" s="29">
        <v>0.11833153637452416</v>
      </c>
      <c r="BU67" s="29">
        <v>4</v>
      </c>
      <c r="BV67" s="29">
        <v>0</v>
      </c>
      <c r="BW67" s="29">
        <v>0</v>
      </c>
      <c r="BX67" s="29" t="str">
        <v/>
      </c>
      <c r="BY67" s="29" t="str">
        <v/>
      </c>
      <c r="BZ67" s="29"/>
      <c r="CA67" s="29"/>
      <c r="CB67" s="29"/>
      <c r="CC67" s="48"/>
      <c r="CD67" s="48"/>
      <c r="CE67" s="48"/>
      <c r="CF67" s="48">
        <v>62</v>
      </c>
      <c r="CG67" s="48">
        <v>11</v>
      </c>
      <c r="CH67" s="48">
        <v>0</v>
      </c>
      <c r="CI67" s="48">
        <v>1</v>
      </c>
      <c r="CJ67" s="48" t="str">
        <v/>
      </c>
      <c r="CK67" s="48"/>
      <c r="CL67" s="48"/>
      <c r="CM67" s="48"/>
      <c r="CN67" s="29"/>
      <c r="CO67" s="29"/>
      <c r="CP67" s="57"/>
      <c r="CQ67" s="57"/>
      <c r="CR67" s="57"/>
      <c r="CS67" s="57"/>
      <c r="CT67" s="57"/>
      <c r="CU67" s="57">
        <v>62</v>
      </c>
      <c r="CV67" s="57">
        <v>1</v>
      </c>
      <c r="CW67" s="48">
        <v>1.8192576091040986</v>
      </c>
      <c r="CX67" s="48">
        <v>1.8192576091040986</v>
      </c>
      <c r="CY67" s="48" t="e">
        <v>#N/A</v>
      </c>
      <c r="CZ67" s="48" t="e">
        <v>#N/A</v>
      </c>
      <c r="DA67" s="48" t="e">
        <v>#N/A</v>
      </c>
      <c r="DB67" s="57" t="str">
        <v/>
      </c>
      <c r="DC67" s="57"/>
      <c r="DD67" s="57"/>
      <c r="DE67" s="57"/>
      <c r="DF67" s="57"/>
      <c r="DG67" s="57"/>
      <c r="DH67" s="57"/>
      <c r="DI67" s="57"/>
      <c r="DJ67" s="25"/>
      <c r="DK67" s="29"/>
      <c r="DL67" s="29"/>
      <c r="DM67" s="29"/>
      <c r="DN67" s="29"/>
      <c r="DO67" s="57"/>
      <c r="DP67" s="57"/>
      <c r="DQ67" s="57"/>
      <c r="DR67" s="57"/>
      <c r="DS67" s="48"/>
      <c r="DT67" s="48"/>
      <c r="DU67" s="48"/>
      <c r="DV67" s="48"/>
      <c r="DW67" s="48"/>
      <c r="DX67" s="48">
        <v>62</v>
      </c>
      <c r="DY67" s="48">
        <v>5</v>
      </c>
      <c r="DZ67" s="48">
        <v>0.60060696749325759</v>
      </c>
      <c r="EA67" s="48" t="str">
        <v/>
      </c>
      <c r="EB67" s="48"/>
      <c r="EC67" s="48"/>
      <c r="ED67" s="48"/>
    </row>
    <row r="68" spans="54:157" x14ac:dyDescent="0.2"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>
        <v>63</v>
      </c>
      <c r="BS68" s="29">
        <v>-1.5354330708661417</v>
      </c>
      <c r="BT68" s="29">
        <v>0.12273645179276051</v>
      </c>
      <c r="BU68" s="29">
        <v>4</v>
      </c>
      <c r="BV68" s="29">
        <v>0</v>
      </c>
      <c r="BW68" s="29">
        <v>0</v>
      </c>
      <c r="BX68" s="29" t="str">
        <v/>
      </c>
      <c r="BY68" s="29" t="str">
        <v/>
      </c>
      <c r="BZ68" s="29"/>
      <c r="CA68" s="29"/>
      <c r="CB68" s="29"/>
      <c r="CC68" s="48"/>
      <c r="CD68" s="48"/>
      <c r="CE68" s="48"/>
      <c r="CF68" s="48">
        <v>63</v>
      </c>
      <c r="CG68" s="48">
        <v>11</v>
      </c>
      <c r="CH68" s="48">
        <v>0</v>
      </c>
      <c r="CI68" s="48">
        <v>1</v>
      </c>
      <c r="CJ68" s="48" t="str">
        <v/>
      </c>
      <c r="CK68" s="48"/>
      <c r="CL68" s="48"/>
      <c r="CM68" s="48"/>
      <c r="CN68" s="29"/>
      <c r="CO68" s="29"/>
      <c r="CP68" s="57"/>
      <c r="CQ68" s="57"/>
      <c r="CR68" s="57"/>
      <c r="CS68" s="57"/>
      <c r="CT68" s="57"/>
      <c r="CU68" s="57">
        <v>63</v>
      </c>
      <c r="CV68" s="57">
        <v>1</v>
      </c>
      <c r="CW68" s="48">
        <v>1.8192576091040986</v>
      </c>
      <c r="CX68" s="48">
        <v>1.8192576091040986</v>
      </c>
      <c r="CY68" s="48" t="e">
        <v>#N/A</v>
      </c>
      <c r="CZ68" s="48" t="e">
        <v>#N/A</v>
      </c>
      <c r="DA68" s="48" t="e">
        <v>#N/A</v>
      </c>
      <c r="DB68" s="57" t="str">
        <v/>
      </c>
      <c r="DC68" s="57"/>
      <c r="DD68" s="57"/>
      <c r="DE68" s="57"/>
      <c r="DF68" s="57"/>
      <c r="DG68" s="57"/>
      <c r="DH68" s="57"/>
      <c r="DI68" s="57"/>
      <c r="DJ68" s="25"/>
      <c r="DK68" s="29"/>
      <c r="DL68" s="29"/>
      <c r="DM68" s="29"/>
      <c r="DN68" s="29"/>
      <c r="DO68" s="57"/>
      <c r="DP68" s="57"/>
      <c r="DQ68" s="57"/>
      <c r="DR68" s="57"/>
      <c r="DS68" s="48"/>
      <c r="DT68" s="48"/>
      <c r="DU68" s="48"/>
      <c r="DV68" s="48"/>
      <c r="DW68" s="48"/>
      <c r="DX68" s="48">
        <v>63</v>
      </c>
      <c r="DY68" s="48">
        <v>5</v>
      </c>
      <c r="DZ68" s="48">
        <v>0.60060696749325759</v>
      </c>
      <c r="EA68" s="48" t="str">
        <v/>
      </c>
      <c r="EB68" s="48"/>
      <c r="EC68" s="48"/>
      <c r="ED68" s="48"/>
    </row>
    <row r="69" spans="54:157" s="34" customFormat="1" x14ac:dyDescent="0.2"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>
        <v>64</v>
      </c>
      <c r="BS69" s="29">
        <v>-1.5118110236220472</v>
      </c>
      <c r="BT69" s="29">
        <v>0.12723432437312576</v>
      </c>
      <c r="BU69" s="29">
        <v>4</v>
      </c>
      <c r="BV69" s="29">
        <v>0</v>
      </c>
      <c r="BW69" s="29">
        <v>0</v>
      </c>
      <c r="BX69" s="29" t="str">
        <v/>
      </c>
      <c r="BY69" s="29" t="str">
        <v/>
      </c>
      <c r="BZ69" s="29"/>
      <c r="CA69" s="29"/>
      <c r="CB69" s="29"/>
      <c r="CC69" s="48"/>
      <c r="CD69" s="48"/>
      <c r="CE69" s="48"/>
      <c r="CF69" s="48">
        <v>64</v>
      </c>
      <c r="CG69" s="48">
        <v>11</v>
      </c>
      <c r="CH69" s="48">
        <v>0</v>
      </c>
      <c r="CI69" s="48">
        <v>1</v>
      </c>
      <c r="CJ69" s="48" t="str">
        <v>8</v>
      </c>
      <c r="CK69" s="48"/>
      <c r="CL69" s="48"/>
      <c r="CM69" s="48"/>
      <c r="CN69" s="29"/>
      <c r="CO69" s="29"/>
      <c r="CP69" s="57"/>
      <c r="CQ69" s="57"/>
      <c r="CR69" s="57"/>
      <c r="CS69" s="57"/>
      <c r="CT69" s="57"/>
      <c r="CU69" s="57">
        <v>64</v>
      </c>
      <c r="CV69" s="57">
        <v>1</v>
      </c>
      <c r="CW69" s="48">
        <v>1.8192576091040986</v>
      </c>
      <c r="CX69" s="48">
        <v>1.8192576091040986</v>
      </c>
      <c r="CY69" s="48" t="e">
        <v>#N/A</v>
      </c>
      <c r="CZ69" s="48" t="e">
        <v>#N/A</v>
      </c>
      <c r="DA69" s="48" t="e">
        <v>#N/A</v>
      </c>
      <c r="DB69" s="57" t="str">
        <v/>
      </c>
      <c r="DC69" s="57"/>
      <c r="DD69" s="57"/>
      <c r="DE69" s="57"/>
      <c r="DF69" s="57"/>
      <c r="DG69" s="57"/>
      <c r="DH69" s="57"/>
      <c r="DI69" s="57"/>
      <c r="DJ69" s="25"/>
      <c r="DK69" s="29"/>
      <c r="DL69" s="29"/>
      <c r="DM69" s="29"/>
      <c r="DN69" s="29"/>
      <c r="DO69" s="57"/>
      <c r="DP69" s="57"/>
      <c r="DQ69" s="57"/>
      <c r="DR69" s="57"/>
      <c r="DS69" s="48"/>
      <c r="DT69" s="48"/>
      <c r="DU69" s="48"/>
      <c r="DV69" s="48"/>
      <c r="DW69" s="48"/>
      <c r="DX69" s="48">
        <v>64</v>
      </c>
      <c r="DY69" s="48">
        <v>5</v>
      </c>
      <c r="DZ69" s="48">
        <v>0.60060696749325759</v>
      </c>
      <c r="EA69" s="48" t="str">
        <v/>
      </c>
      <c r="EB69" s="48"/>
      <c r="EC69" s="48"/>
      <c r="ED69" s="48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</row>
    <row r="70" spans="54:157" x14ac:dyDescent="0.2"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>
        <v>65</v>
      </c>
      <c r="BS70" s="29">
        <v>-1.4881889763779528</v>
      </c>
      <c r="BT70" s="29">
        <v>0.1318234504925114</v>
      </c>
      <c r="BU70" s="29">
        <v>4</v>
      </c>
      <c r="BV70" s="29">
        <v>0</v>
      </c>
      <c r="BW70" s="29">
        <v>0</v>
      </c>
      <c r="BX70" s="29" t="str">
        <v/>
      </c>
      <c r="BY70" s="29" t="str">
        <v/>
      </c>
      <c r="BZ70" s="29"/>
      <c r="CA70" s="29"/>
      <c r="CB70" s="29"/>
      <c r="CC70" s="48"/>
      <c r="CD70" s="48"/>
      <c r="CE70" s="48"/>
      <c r="CF70" s="48">
        <v>65</v>
      </c>
      <c r="CG70" s="48">
        <v>11</v>
      </c>
      <c r="CH70" s="48">
        <v>0</v>
      </c>
      <c r="CI70" s="48">
        <v>1</v>
      </c>
      <c r="CJ70" s="48" t="str">
        <v/>
      </c>
      <c r="CK70" s="48"/>
      <c r="CL70" s="48"/>
      <c r="CM70" s="48"/>
      <c r="CN70" s="29"/>
      <c r="CO70" s="29"/>
      <c r="CP70" s="57"/>
      <c r="CQ70" s="57"/>
      <c r="CR70" s="57"/>
      <c r="CS70" s="57"/>
      <c r="CT70" s="57"/>
      <c r="CU70" s="57">
        <v>65</v>
      </c>
      <c r="CV70" s="57">
        <v>1</v>
      </c>
      <c r="CW70" s="48">
        <v>1.8192576091040986</v>
      </c>
      <c r="CX70" s="48">
        <v>1.8192576091040986</v>
      </c>
      <c r="CY70" s="48" t="e">
        <v>#N/A</v>
      </c>
      <c r="CZ70" s="48" t="e">
        <v>#N/A</v>
      </c>
      <c r="DA70" s="48" t="e">
        <v>#N/A</v>
      </c>
      <c r="DB70" s="57" t="str">
        <v/>
      </c>
      <c r="DC70" s="57"/>
      <c r="DD70" s="57"/>
      <c r="DE70" s="57"/>
      <c r="DF70" s="57"/>
      <c r="DG70" s="57"/>
      <c r="DH70" s="57"/>
      <c r="DI70" s="57"/>
      <c r="DJ70" s="25"/>
      <c r="DK70" s="29"/>
      <c r="DL70" s="29"/>
      <c r="DM70" s="29"/>
      <c r="DN70" s="29"/>
      <c r="DO70" s="57"/>
      <c r="DP70" s="57"/>
      <c r="DQ70" s="57"/>
      <c r="DR70" s="57"/>
      <c r="DS70" s="48"/>
      <c r="DT70" s="48"/>
      <c r="DU70" s="48"/>
      <c r="DV70" s="48"/>
      <c r="DW70" s="48"/>
      <c r="DX70" s="48">
        <v>65</v>
      </c>
      <c r="DY70" s="48">
        <v>5</v>
      </c>
      <c r="DZ70" s="48">
        <v>0.60060696749325759</v>
      </c>
      <c r="EA70" s="48" t="str">
        <v/>
      </c>
      <c r="EB70" s="48"/>
      <c r="EC70" s="48"/>
      <c r="ED70" s="48"/>
    </row>
    <row r="71" spans="54:157" x14ac:dyDescent="0.2"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>
        <v>66</v>
      </c>
      <c r="BS71" s="29">
        <v>-1.4645669291338583</v>
      </c>
      <c r="BT71" s="29">
        <v>0.13650190912912655</v>
      </c>
      <c r="BU71" s="29">
        <v>4</v>
      </c>
      <c r="BV71" s="29">
        <v>0</v>
      </c>
      <c r="BW71" s="29">
        <v>0</v>
      </c>
      <c r="BX71" s="29" t="str">
        <v/>
      </c>
      <c r="BY71" s="29" t="str">
        <v/>
      </c>
      <c r="BZ71" s="29"/>
      <c r="CA71" s="29"/>
      <c r="CB71" s="29"/>
      <c r="CC71" s="48"/>
      <c r="CD71" s="48"/>
      <c r="CE71" s="48"/>
      <c r="CF71" s="48">
        <v>66</v>
      </c>
      <c r="CG71" s="48">
        <v>11</v>
      </c>
      <c r="CH71" s="48">
        <v>1</v>
      </c>
      <c r="CI71" s="48" t="e">
        <v>#N/A</v>
      </c>
      <c r="CJ71" s="48" t="str">
        <v/>
      </c>
      <c r="CK71" s="48"/>
      <c r="CL71" s="48"/>
      <c r="CM71" s="48"/>
      <c r="CN71" s="29"/>
      <c r="CO71" s="29"/>
      <c r="CP71" s="57"/>
      <c r="CQ71" s="57"/>
      <c r="CR71" s="57"/>
      <c r="CS71" s="57"/>
      <c r="CT71" s="57"/>
      <c r="CU71" s="57">
        <v>66</v>
      </c>
      <c r="CV71" s="57">
        <v>1</v>
      </c>
      <c r="CW71" s="48">
        <v>1.8192576091040986</v>
      </c>
      <c r="CX71" s="48">
        <v>1.8192576091040986</v>
      </c>
      <c r="CY71" s="48" t="e">
        <v>#N/A</v>
      </c>
      <c r="CZ71" s="48" t="e">
        <v>#N/A</v>
      </c>
      <c r="DA71" s="48" t="e">
        <v>#N/A</v>
      </c>
      <c r="DB71" s="57" t="str">
        <v/>
      </c>
      <c r="DC71" s="57"/>
      <c r="DD71" s="57"/>
      <c r="DE71" s="57"/>
      <c r="DF71" s="57"/>
      <c r="DG71" s="57"/>
      <c r="DH71" s="57"/>
      <c r="DI71" s="57"/>
      <c r="DJ71" s="25"/>
      <c r="DK71" s="29"/>
      <c r="DL71" s="29"/>
      <c r="DM71" s="29"/>
      <c r="DN71" s="29"/>
      <c r="DO71" s="57"/>
      <c r="DP71" s="57"/>
      <c r="DQ71" s="57"/>
      <c r="DR71" s="57"/>
      <c r="DS71" s="48"/>
      <c r="DT71" s="48"/>
      <c r="DU71" s="48"/>
      <c r="DV71" s="48"/>
      <c r="DW71" s="48"/>
      <c r="DX71" s="48">
        <v>66</v>
      </c>
      <c r="DY71" s="48">
        <v>5</v>
      </c>
      <c r="DZ71" s="48">
        <v>0.60060696749325759</v>
      </c>
      <c r="EA71" s="48" t="str">
        <v/>
      </c>
      <c r="EB71" s="48"/>
      <c r="EC71" s="48"/>
      <c r="ED71" s="48"/>
    </row>
    <row r="72" spans="54:157" x14ac:dyDescent="0.2"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>
        <v>67</v>
      </c>
      <c r="BS72" s="29">
        <v>-1.4409448818897639</v>
      </c>
      <c r="BT72" s="29">
        <v>0.14126755838553859</v>
      </c>
      <c r="BU72" s="29">
        <v>4</v>
      </c>
      <c r="BV72" s="29">
        <v>0</v>
      </c>
      <c r="BW72" s="29">
        <v>0</v>
      </c>
      <c r="BX72" s="29" t="str">
        <v/>
      </c>
      <c r="BY72" s="29" t="str">
        <v/>
      </c>
      <c r="BZ72" s="29"/>
      <c r="CA72" s="29"/>
      <c r="CB72" s="29"/>
      <c r="CC72" s="48"/>
      <c r="CD72" s="48"/>
      <c r="CE72" s="48"/>
      <c r="CF72" s="48">
        <v>67</v>
      </c>
      <c r="CG72" s="48">
        <v>12</v>
      </c>
      <c r="CH72" s="48">
        <v>1</v>
      </c>
      <c r="CI72" s="48" t="e">
        <v>#N/A</v>
      </c>
      <c r="CJ72" s="48" t="str">
        <v/>
      </c>
      <c r="CK72" s="48"/>
      <c r="CL72" s="48"/>
      <c r="CM72" s="48"/>
      <c r="CN72" s="29"/>
      <c r="CO72" s="29"/>
      <c r="CP72" s="57"/>
      <c r="CQ72" s="57"/>
      <c r="CR72" s="57"/>
      <c r="CS72" s="57"/>
      <c r="CT72" s="57"/>
      <c r="CU72" s="57">
        <v>67</v>
      </c>
      <c r="CV72" s="57">
        <v>1</v>
      </c>
      <c r="CW72" s="48">
        <v>1.8192576091040986</v>
      </c>
      <c r="CX72" s="48">
        <v>1.8192576091040986</v>
      </c>
      <c r="CY72" s="48" t="e">
        <v>#N/A</v>
      </c>
      <c r="CZ72" s="48" t="e">
        <v>#N/A</v>
      </c>
      <c r="DA72" s="48" t="e">
        <v>#N/A</v>
      </c>
      <c r="DB72" s="57" t="str">
        <v/>
      </c>
      <c r="DC72" s="57"/>
      <c r="DD72" s="57"/>
      <c r="DE72" s="57"/>
      <c r="DF72" s="57"/>
      <c r="DG72" s="57"/>
      <c r="DH72" s="57"/>
      <c r="DI72" s="57"/>
      <c r="DJ72" s="25"/>
      <c r="DK72" s="29"/>
      <c r="DL72" s="29"/>
      <c r="DM72" s="29"/>
      <c r="DN72" s="29"/>
      <c r="DO72" s="57"/>
      <c r="DP72" s="57"/>
      <c r="DQ72" s="57"/>
      <c r="DR72" s="57"/>
      <c r="DS72" s="48"/>
      <c r="DT72" s="48"/>
      <c r="DU72" s="48"/>
      <c r="DV72" s="48"/>
      <c r="DW72" s="48"/>
      <c r="DX72" s="48">
        <v>67</v>
      </c>
      <c r="DY72" s="48">
        <v>5</v>
      </c>
      <c r="DZ72" s="48">
        <v>0.60060696749325759</v>
      </c>
      <c r="EA72" s="48" t="str">
        <v/>
      </c>
      <c r="EB72" s="48"/>
      <c r="EC72" s="48"/>
      <c r="ED72" s="48"/>
    </row>
    <row r="73" spans="54:157" x14ac:dyDescent="0.2"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>
        <v>68</v>
      </c>
      <c r="BS73" s="29">
        <v>-1.4173228346456692</v>
      </c>
      <c r="BT73" s="29">
        <v>0.14611803251422095</v>
      </c>
      <c r="BU73" s="29">
        <v>4</v>
      </c>
      <c r="BV73" s="29">
        <v>0</v>
      </c>
      <c r="BW73" s="29">
        <v>0</v>
      </c>
      <c r="BX73" s="29" t="str">
        <v/>
      </c>
      <c r="BY73" s="29" t="str">
        <v/>
      </c>
      <c r="BZ73" s="29"/>
      <c r="CA73" s="29"/>
      <c r="CB73" s="29"/>
      <c r="CC73" s="48"/>
      <c r="CD73" s="48"/>
      <c r="CE73" s="48"/>
      <c r="CF73" s="48">
        <v>68</v>
      </c>
      <c r="CG73" s="48">
        <v>12</v>
      </c>
      <c r="CH73" s="48">
        <v>0</v>
      </c>
      <c r="CI73" s="48">
        <v>1</v>
      </c>
      <c r="CJ73" s="48" t="str">
        <v/>
      </c>
      <c r="CK73" s="48"/>
      <c r="CL73" s="48"/>
      <c r="CM73" s="48"/>
      <c r="CN73" s="29"/>
      <c r="CO73" s="29"/>
      <c r="CP73" s="57"/>
      <c r="CQ73" s="57"/>
      <c r="CR73" s="57"/>
      <c r="CS73" s="57"/>
      <c r="CT73" s="57"/>
      <c r="CU73" s="57">
        <v>68</v>
      </c>
      <c r="CV73" s="57">
        <v>1</v>
      </c>
      <c r="CW73" s="48">
        <v>1.8192576091040986</v>
      </c>
      <c r="CX73" s="48">
        <v>1.8192576091040986</v>
      </c>
      <c r="CY73" s="48" t="e">
        <v>#N/A</v>
      </c>
      <c r="CZ73" s="48" t="e">
        <v>#N/A</v>
      </c>
      <c r="DA73" s="48" t="e">
        <v>#N/A</v>
      </c>
      <c r="DB73" s="57" t="str">
        <v/>
      </c>
      <c r="DC73" s="57"/>
      <c r="DD73" s="57"/>
      <c r="DE73" s="57"/>
      <c r="DF73" s="57"/>
      <c r="DG73" s="57"/>
      <c r="DH73" s="57"/>
      <c r="DI73" s="57"/>
      <c r="DJ73" s="25"/>
      <c r="DK73" s="29"/>
      <c r="DL73" s="29"/>
      <c r="DM73" s="29"/>
      <c r="DN73" s="29"/>
      <c r="DO73" s="57"/>
      <c r="DP73" s="57"/>
      <c r="DQ73" s="57"/>
      <c r="DR73" s="57"/>
      <c r="DS73" s="48"/>
      <c r="DT73" s="48"/>
      <c r="DU73" s="48"/>
      <c r="DV73" s="48"/>
      <c r="DW73" s="48"/>
      <c r="DX73" s="48">
        <v>68</v>
      </c>
      <c r="DY73" s="48">
        <v>5</v>
      </c>
      <c r="DZ73" s="48">
        <v>0.60060696749325759</v>
      </c>
      <c r="EA73" s="48" t="str">
        <v/>
      </c>
      <c r="EB73" s="48"/>
      <c r="EC73" s="48"/>
      <c r="ED73" s="48"/>
    </row>
    <row r="74" spans="54:157" x14ac:dyDescent="0.2"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>
        <v>69</v>
      </c>
      <c r="BS74" s="29">
        <v>-1.3937007874015748</v>
      </c>
      <c r="BT74" s="29">
        <v>0.1510507394735649</v>
      </c>
      <c r="BU74" s="29">
        <v>5</v>
      </c>
      <c r="BV74" s="29">
        <v>0</v>
      </c>
      <c r="BW74" s="29">
        <v>0</v>
      </c>
      <c r="BX74" s="29">
        <v>-4.18</v>
      </c>
      <c r="BY74" s="29" t="str">
        <v/>
      </c>
      <c r="BZ74" s="29"/>
      <c r="CA74" s="29"/>
      <c r="CB74" s="29"/>
      <c r="CC74" s="48"/>
      <c r="CD74" s="48"/>
      <c r="CE74" s="48"/>
      <c r="CF74" s="48">
        <v>69</v>
      </c>
      <c r="CG74" s="48">
        <v>12</v>
      </c>
      <c r="CH74" s="48">
        <v>0</v>
      </c>
      <c r="CI74" s="48">
        <v>1</v>
      </c>
      <c r="CJ74" s="48" t="str">
        <v/>
      </c>
      <c r="CK74" s="48"/>
      <c r="CL74" s="48"/>
      <c r="CM74" s="48"/>
      <c r="CN74" s="29"/>
      <c r="CO74" s="29"/>
      <c r="CP74" s="57"/>
      <c r="CQ74" s="57"/>
      <c r="CR74" s="57"/>
      <c r="CS74" s="57"/>
      <c r="CT74" s="57"/>
      <c r="CU74" s="57">
        <v>69</v>
      </c>
      <c r="CV74" s="57">
        <v>1</v>
      </c>
      <c r="CW74" s="48">
        <v>1.8192576091040986</v>
      </c>
      <c r="CX74" s="48">
        <v>1.8192576091040986</v>
      </c>
      <c r="CY74" s="48" t="e">
        <v>#N/A</v>
      </c>
      <c r="CZ74" s="48" t="e">
        <v>#N/A</v>
      </c>
      <c r="DA74" s="48" t="e">
        <v>#N/A</v>
      </c>
      <c r="DB74" s="57" t="str">
        <v/>
      </c>
      <c r="DC74" s="57"/>
      <c r="DD74" s="57"/>
      <c r="DE74" s="57"/>
      <c r="DF74" s="57"/>
      <c r="DG74" s="57"/>
      <c r="DH74" s="57"/>
      <c r="DI74" s="57"/>
      <c r="DJ74" s="25"/>
      <c r="DK74" s="29"/>
      <c r="DL74" s="29"/>
      <c r="DM74" s="29"/>
      <c r="DN74" s="29"/>
      <c r="DO74" s="57"/>
      <c r="DP74" s="57"/>
      <c r="DQ74" s="57"/>
      <c r="DR74" s="57"/>
      <c r="DS74" s="48"/>
      <c r="DT74" s="48"/>
      <c r="DU74" s="48"/>
      <c r="DV74" s="48"/>
      <c r="DW74" s="48"/>
      <c r="DX74" s="48">
        <v>69</v>
      </c>
      <c r="DY74" s="48">
        <v>5</v>
      </c>
      <c r="DZ74" s="48">
        <v>0.60060696749325759</v>
      </c>
      <c r="EA74" s="48" t="str">
        <v/>
      </c>
      <c r="EB74" s="48"/>
      <c r="EC74" s="48"/>
      <c r="ED74" s="48"/>
    </row>
    <row r="75" spans="54:157" x14ac:dyDescent="0.2"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>
        <v>70</v>
      </c>
      <c r="BS75" s="29">
        <v>-1.3700787401574803</v>
      </c>
      <c r="BT75" s="29">
        <v>0.15606285904118991</v>
      </c>
      <c r="BU75" s="29">
        <v>5</v>
      </c>
      <c r="BV75" s="29">
        <v>0</v>
      </c>
      <c r="BW75" s="29">
        <v>0</v>
      </c>
      <c r="BX75" s="29" t="str">
        <v/>
      </c>
      <c r="BY75" s="29" t="str">
        <v/>
      </c>
      <c r="BZ75" s="29"/>
      <c r="CA75" s="29"/>
      <c r="CB75" s="29"/>
      <c r="CC75" s="48"/>
      <c r="CD75" s="48"/>
      <c r="CE75" s="48"/>
      <c r="CF75" s="48">
        <v>70</v>
      </c>
      <c r="CG75" s="48">
        <v>12</v>
      </c>
      <c r="CH75" s="48">
        <v>0</v>
      </c>
      <c r="CI75" s="48">
        <v>1</v>
      </c>
      <c r="CJ75" s="48" t="str">
        <v>13</v>
      </c>
      <c r="CK75" s="48"/>
      <c r="CL75" s="48"/>
      <c r="CM75" s="48"/>
      <c r="CN75" s="29"/>
      <c r="CO75" s="29"/>
      <c r="CP75" s="57"/>
      <c r="CQ75" s="57"/>
      <c r="CR75" s="57"/>
      <c r="CS75" s="57"/>
      <c r="CT75" s="57"/>
      <c r="CU75" s="57">
        <v>70</v>
      </c>
      <c r="CV75" s="57">
        <v>1</v>
      </c>
      <c r="CW75" s="48">
        <v>1.8192576091040986</v>
      </c>
      <c r="CX75" s="48">
        <v>1.8192576091040986</v>
      </c>
      <c r="CY75" s="48" t="e">
        <v>#N/A</v>
      </c>
      <c r="CZ75" s="48" t="e">
        <v>#N/A</v>
      </c>
      <c r="DA75" s="48" t="e">
        <v>#N/A</v>
      </c>
      <c r="DB75" s="57" t="str">
        <v/>
      </c>
      <c r="DC75" s="57"/>
      <c r="DD75" s="57"/>
      <c r="DE75" s="57"/>
      <c r="DF75" s="57"/>
      <c r="DG75" s="57"/>
      <c r="DH75" s="57"/>
      <c r="DI75" s="57"/>
      <c r="DJ75" s="25"/>
      <c r="DK75" s="29"/>
      <c r="DL75" s="29"/>
      <c r="DM75" s="29"/>
      <c r="DN75" s="29"/>
      <c r="DO75" s="57"/>
      <c r="DP75" s="57"/>
      <c r="DQ75" s="57"/>
      <c r="DR75" s="57"/>
      <c r="DS75" s="48"/>
      <c r="DT75" s="48"/>
      <c r="DU75" s="48"/>
      <c r="DV75" s="48"/>
      <c r="DW75" s="48"/>
      <c r="DX75" s="48">
        <v>70</v>
      </c>
      <c r="DY75" s="48">
        <v>5</v>
      </c>
      <c r="DZ75" s="48">
        <v>0.60060696749325759</v>
      </c>
      <c r="EA75" s="48" t="str">
        <v/>
      </c>
      <c r="EB75" s="48"/>
      <c r="EC75" s="48"/>
      <c r="ED75" s="48"/>
    </row>
    <row r="76" spans="54:157" x14ac:dyDescent="0.2"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>
        <v>71</v>
      </c>
      <c r="BS76" s="29">
        <v>-1.3464566929133859</v>
      </c>
      <c r="BT76" s="29">
        <v>0.16115134151010232</v>
      </c>
      <c r="BU76" s="29">
        <v>5</v>
      </c>
      <c r="BV76" s="29">
        <v>0</v>
      </c>
      <c r="BW76" s="29">
        <v>0</v>
      </c>
      <c r="BX76" s="29" t="str">
        <v/>
      </c>
      <c r="BY76" s="29" t="str">
        <v/>
      </c>
      <c r="BZ76" s="29"/>
      <c r="CA76" s="29"/>
      <c r="CB76" s="29"/>
      <c r="CC76" s="48"/>
      <c r="CD76" s="48"/>
      <c r="CE76" s="48"/>
      <c r="CF76" s="48">
        <v>71</v>
      </c>
      <c r="CG76" s="48">
        <v>12</v>
      </c>
      <c r="CH76" s="48">
        <v>0</v>
      </c>
      <c r="CI76" s="48">
        <v>1</v>
      </c>
      <c r="CJ76" s="48" t="str">
        <v/>
      </c>
      <c r="CK76" s="48"/>
      <c r="CL76" s="48"/>
      <c r="CM76" s="48"/>
      <c r="CN76" s="29"/>
      <c r="CO76" s="29"/>
      <c r="CP76" s="57"/>
      <c r="CQ76" s="57"/>
      <c r="CR76" s="57"/>
      <c r="CS76" s="57"/>
      <c r="CT76" s="57"/>
      <c r="CU76" s="57">
        <v>71</v>
      </c>
      <c r="CV76" s="57">
        <v>1</v>
      </c>
      <c r="CW76" s="48">
        <v>1.8192576091040986</v>
      </c>
      <c r="CX76" s="48">
        <v>1.8192576091040986</v>
      </c>
      <c r="CY76" s="48" t="e">
        <v>#N/A</v>
      </c>
      <c r="CZ76" s="48" t="e">
        <v>#N/A</v>
      </c>
      <c r="DA76" s="48" t="e">
        <v>#N/A</v>
      </c>
      <c r="DB76" s="57" t="str">
        <v/>
      </c>
      <c r="DC76" s="57"/>
      <c r="DD76" s="57"/>
      <c r="DE76" s="57"/>
      <c r="DF76" s="57"/>
      <c r="DG76" s="57"/>
      <c r="DH76" s="57"/>
      <c r="DI76" s="57"/>
      <c r="DJ76" s="25"/>
      <c r="DK76" s="29"/>
      <c r="DL76" s="29"/>
      <c r="DM76" s="29"/>
      <c r="DN76" s="29"/>
      <c r="DO76" s="57"/>
      <c r="DP76" s="57"/>
      <c r="DQ76" s="57"/>
      <c r="DR76" s="57"/>
      <c r="DS76" s="48"/>
      <c r="DT76" s="48"/>
      <c r="DU76" s="48"/>
      <c r="DV76" s="48"/>
      <c r="DW76" s="48"/>
      <c r="DX76" s="48">
        <v>71</v>
      </c>
      <c r="DY76" s="48">
        <v>5</v>
      </c>
      <c r="DZ76" s="48">
        <v>0.60060696749325759</v>
      </c>
      <c r="EA76" s="48" t="str">
        <v/>
      </c>
      <c r="EB76" s="48"/>
      <c r="EC76" s="48"/>
      <c r="ED76" s="48"/>
    </row>
    <row r="77" spans="54:157" x14ac:dyDescent="0.2"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>
        <v>72</v>
      </c>
      <c r="BS77" s="29">
        <v>-1.3228346456692914</v>
      </c>
      <c r="BT77" s="29">
        <v>0.16631290699180915</v>
      </c>
      <c r="BU77" s="29">
        <v>5</v>
      </c>
      <c r="BV77" s="29">
        <v>0</v>
      </c>
      <c r="BW77" s="29">
        <v>0</v>
      </c>
      <c r="BX77" s="29" t="str">
        <v/>
      </c>
      <c r="BY77" s="29" t="str">
        <v/>
      </c>
      <c r="BZ77" s="29"/>
      <c r="CA77" s="29"/>
      <c r="CB77" s="29"/>
      <c r="CC77" s="48"/>
      <c r="CD77" s="48"/>
      <c r="CE77" s="48"/>
      <c r="CF77" s="48">
        <v>72</v>
      </c>
      <c r="CG77" s="48">
        <v>12</v>
      </c>
      <c r="CH77" s="48">
        <v>1</v>
      </c>
      <c r="CI77" s="48" t="e">
        <v>#N/A</v>
      </c>
      <c r="CJ77" s="48" t="str">
        <v/>
      </c>
      <c r="CK77" s="48"/>
      <c r="CL77" s="48"/>
      <c r="CM77" s="48"/>
      <c r="CN77" s="29"/>
      <c r="CO77" s="29"/>
      <c r="CP77" s="57"/>
      <c r="CQ77" s="57"/>
      <c r="CR77" s="57"/>
      <c r="CS77" s="57"/>
      <c r="CT77" s="57"/>
      <c r="CU77" s="57">
        <v>72</v>
      </c>
      <c r="CV77" s="57">
        <v>1</v>
      </c>
      <c r="CW77" s="48">
        <v>1.8192576091040986</v>
      </c>
      <c r="CX77" s="48">
        <v>1.8192576091040986</v>
      </c>
      <c r="CY77" s="48" t="e">
        <v>#N/A</v>
      </c>
      <c r="CZ77" s="48" t="e">
        <v>#N/A</v>
      </c>
      <c r="DA77" s="48" t="e">
        <v>#N/A</v>
      </c>
      <c r="DB77" s="57" t="str">
        <v/>
      </c>
      <c r="DC77" s="57"/>
      <c r="DD77" s="57"/>
      <c r="DE77" s="57"/>
      <c r="DF77" s="57"/>
      <c r="DG77" s="57"/>
      <c r="DH77" s="57"/>
      <c r="DI77" s="57"/>
      <c r="DJ77" s="25"/>
      <c r="DK77" s="29"/>
      <c r="DL77" s="29"/>
      <c r="DM77" s="29"/>
      <c r="DN77" s="29"/>
      <c r="DO77" s="57"/>
      <c r="DP77" s="57"/>
      <c r="DQ77" s="57"/>
      <c r="DR77" s="57"/>
      <c r="DS77" s="48"/>
      <c r="DT77" s="48"/>
      <c r="DU77" s="48"/>
      <c r="DV77" s="48"/>
      <c r="DW77" s="48"/>
      <c r="DX77" s="48">
        <v>72</v>
      </c>
      <c r="DY77" s="48">
        <v>5</v>
      </c>
      <c r="DZ77" s="48">
        <v>0.60060696749325759</v>
      </c>
      <c r="EA77" s="48" t="str">
        <v/>
      </c>
      <c r="EB77" s="48"/>
      <c r="EC77" s="48"/>
      <c r="ED77" s="48"/>
    </row>
    <row r="78" spans="54:157" x14ac:dyDescent="0.2"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>
        <v>73</v>
      </c>
      <c r="BS78" s="29">
        <v>-1.2992125984251968</v>
      </c>
      <c r="BT78" s="29">
        <v>0.17154404534889048</v>
      </c>
      <c r="BU78" s="29">
        <v>5</v>
      </c>
      <c r="BV78" s="29">
        <v>0</v>
      </c>
      <c r="BW78" s="29">
        <v>0</v>
      </c>
      <c r="BX78" s="29" t="str">
        <v/>
      </c>
      <c r="BY78" s="29" t="str">
        <v/>
      </c>
      <c r="BZ78" s="29"/>
      <c r="CA78" s="29"/>
      <c r="CB78" s="29"/>
      <c r="CC78" s="48"/>
      <c r="CD78" s="48"/>
      <c r="CE78" s="48"/>
      <c r="CF78" s="48"/>
      <c r="CG78" s="48"/>
      <c r="CH78" s="48"/>
      <c r="CI78" s="48"/>
      <c r="CJ78" s="48"/>
      <c r="CK78" s="48"/>
      <c r="CL78" s="48"/>
      <c r="CM78" s="48"/>
      <c r="CN78" s="29"/>
      <c r="CO78" s="29"/>
      <c r="CP78" s="57"/>
      <c r="CQ78" s="57"/>
      <c r="CR78" s="57"/>
      <c r="CS78" s="57"/>
      <c r="CT78" s="57"/>
      <c r="CU78" s="57">
        <v>73</v>
      </c>
      <c r="CV78" s="57">
        <v>1</v>
      </c>
      <c r="CW78" s="48">
        <v>1.8192576091040986</v>
      </c>
      <c r="CX78" s="48">
        <v>1.8192576091040986</v>
      </c>
      <c r="CY78" s="48" t="e">
        <v>#N/A</v>
      </c>
      <c r="CZ78" s="48" t="e">
        <v>#N/A</v>
      </c>
      <c r="DA78" s="48" t="e">
        <v>#N/A</v>
      </c>
      <c r="DB78" s="57" t="str">
        <v/>
      </c>
      <c r="DC78" s="57"/>
      <c r="DD78" s="57"/>
      <c r="DE78" s="57"/>
      <c r="DF78" s="57"/>
      <c r="DG78" s="57"/>
      <c r="DH78" s="57"/>
      <c r="DI78" s="57"/>
      <c r="DJ78" s="25"/>
      <c r="DK78" s="29"/>
      <c r="DL78" s="29"/>
      <c r="DM78" s="29"/>
      <c r="DN78" s="29"/>
      <c r="DO78" s="57"/>
      <c r="DP78" s="57"/>
      <c r="DQ78" s="57"/>
      <c r="DR78" s="57"/>
      <c r="DS78" s="48"/>
      <c r="DT78" s="48"/>
      <c r="DU78" s="48"/>
      <c r="DV78" s="48"/>
      <c r="DW78" s="48"/>
      <c r="DX78" s="48">
        <v>73</v>
      </c>
      <c r="DY78" s="48">
        <v>5</v>
      </c>
      <c r="DZ78" s="48">
        <v>0.60060696749325759</v>
      </c>
      <c r="EA78" s="48" t="str">
        <v/>
      </c>
      <c r="EB78" s="48"/>
      <c r="EC78" s="48"/>
      <c r="ED78" s="48"/>
    </row>
    <row r="79" spans="54:157" x14ac:dyDescent="0.2"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>
        <v>74</v>
      </c>
      <c r="BS79" s="29">
        <v>-1.2755905511811023</v>
      </c>
      <c r="BT79" s="29">
        <v>0.17684101677777864</v>
      </c>
      <c r="BU79" s="29">
        <v>5</v>
      </c>
      <c r="BV79" s="29">
        <v>0</v>
      </c>
      <c r="BW79" s="29">
        <v>0</v>
      </c>
      <c r="BX79" s="29" t="str">
        <v/>
      </c>
      <c r="BY79" s="29" t="str">
        <v/>
      </c>
      <c r="BZ79" s="29"/>
      <c r="CA79" s="29"/>
      <c r="CB79" s="29"/>
      <c r="CC79" s="48"/>
      <c r="CD79" s="48"/>
      <c r="CE79" s="48"/>
      <c r="CF79" s="48"/>
      <c r="CG79" s="48"/>
      <c r="CH79" s="48"/>
      <c r="CI79" s="48"/>
      <c r="CJ79" s="48"/>
      <c r="CK79" s="48"/>
      <c r="CL79" s="48"/>
      <c r="CM79" s="48"/>
      <c r="CN79" s="29"/>
      <c r="CO79" s="29"/>
      <c r="CP79" s="57"/>
      <c r="CQ79" s="57"/>
      <c r="CR79" s="57"/>
      <c r="CS79" s="57"/>
      <c r="CT79" s="57"/>
      <c r="CU79" s="57">
        <v>74</v>
      </c>
      <c r="CV79" s="57">
        <v>1</v>
      </c>
      <c r="CW79" s="48">
        <v>1.8192576091040986</v>
      </c>
      <c r="CX79" s="48">
        <v>1.8192576091040986</v>
      </c>
      <c r="CY79" s="48" t="e">
        <v>#N/A</v>
      </c>
      <c r="CZ79" s="48" t="e">
        <v>#N/A</v>
      </c>
      <c r="DA79" s="48" t="e">
        <v>#N/A</v>
      </c>
      <c r="DB79" s="57" t="str">
        <v/>
      </c>
      <c r="DC79" s="57"/>
      <c r="DD79" s="57"/>
      <c r="DE79" s="57"/>
      <c r="DF79" s="57"/>
      <c r="DG79" s="57"/>
      <c r="DH79" s="57"/>
      <c r="DI79" s="57"/>
      <c r="DJ79" s="25"/>
      <c r="DK79" s="29"/>
      <c r="DL79" s="29"/>
      <c r="DM79" s="29"/>
      <c r="DN79" s="29"/>
      <c r="DO79" s="57"/>
      <c r="DP79" s="57"/>
      <c r="DQ79" s="57"/>
      <c r="DR79" s="57"/>
      <c r="DS79" s="48"/>
      <c r="DT79" s="48"/>
      <c r="DU79" s="48"/>
      <c r="DV79" s="48"/>
      <c r="DW79" s="48"/>
      <c r="DX79" s="48">
        <v>74</v>
      </c>
      <c r="DY79" s="48">
        <v>5</v>
      </c>
      <c r="DZ79" s="48">
        <v>0.60060696749325759</v>
      </c>
      <c r="EA79" s="48" t="str">
        <v/>
      </c>
      <c r="EB79" s="48"/>
      <c r="EC79" s="48"/>
      <c r="ED79" s="48"/>
    </row>
    <row r="80" spans="54:157" x14ac:dyDescent="0.2"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>
        <v>75</v>
      </c>
      <c r="BS80" s="29">
        <v>-1.2519685039370079</v>
      </c>
      <c r="BT80" s="29">
        <v>0.18219985306058237</v>
      </c>
      <c r="BU80" s="29">
        <v>5</v>
      </c>
      <c r="BV80" s="29">
        <v>0</v>
      </c>
      <c r="BW80" s="29">
        <v>0</v>
      </c>
      <c r="BX80" s="29" t="str">
        <v/>
      </c>
      <c r="BY80" s="29" t="str">
        <v/>
      </c>
      <c r="BZ80" s="29"/>
      <c r="CA80" s="29"/>
      <c r="CB80" s="29"/>
      <c r="CC80" s="48"/>
      <c r="CD80" s="48"/>
      <c r="CE80" s="48"/>
      <c r="CF80" s="48"/>
      <c r="CG80" s="48"/>
      <c r="CH80" s="48"/>
      <c r="CI80" s="48"/>
      <c r="CJ80" s="48"/>
      <c r="CK80" s="48"/>
      <c r="CL80" s="48"/>
      <c r="CM80" s="48"/>
      <c r="CN80" s="29"/>
      <c r="CO80" s="29"/>
      <c r="CP80" s="57"/>
      <c r="CQ80" s="57"/>
      <c r="CR80" s="57"/>
      <c r="CS80" s="57"/>
      <c r="CT80" s="57"/>
      <c r="CU80" s="57">
        <v>75</v>
      </c>
      <c r="CV80" s="57">
        <v>1</v>
      </c>
      <c r="CW80" s="48">
        <v>1.8192576091040986</v>
      </c>
      <c r="CX80" s="48">
        <v>1.8192576091040986</v>
      </c>
      <c r="CY80" s="48" t="e">
        <v>#N/A</v>
      </c>
      <c r="CZ80" s="48" t="e">
        <v>#N/A</v>
      </c>
      <c r="DA80" s="48" t="e">
        <v>#N/A</v>
      </c>
      <c r="DB80" s="57" t="str">
        <v/>
      </c>
      <c r="DC80" s="57"/>
      <c r="DD80" s="57"/>
      <c r="DE80" s="57"/>
      <c r="DF80" s="57"/>
      <c r="DG80" s="57"/>
      <c r="DH80" s="57"/>
      <c r="DI80" s="57"/>
      <c r="DJ80" s="25"/>
      <c r="DK80" s="29"/>
      <c r="DL80" s="29"/>
      <c r="DM80" s="29"/>
      <c r="DN80" s="29"/>
      <c r="DO80" s="57"/>
      <c r="DP80" s="57"/>
      <c r="DQ80" s="57"/>
      <c r="DR80" s="57"/>
      <c r="DS80" s="48"/>
      <c r="DT80" s="48"/>
      <c r="DU80" s="48"/>
      <c r="DV80" s="48"/>
      <c r="DW80" s="48"/>
      <c r="DX80" s="48">
        <v>75</v>
      </c>
      <c r="DY80" s="48">
        <v>5</v>
      </c>
      <c r="DZ80" s="48">
        <v>0.60060696749325759</v>
      </c>
      <c r="EA80" s="48" t="str">
        <v/>
      </c>
      <c r="EB80" s="48"/>
      <c r="EC80" s="48"/>
      <c r="ED80" s="48"/>
    </row>
    <row r="81" spans="54:134" x14ac:dyDescent="0.2"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>
        <v>76</v>
      </c>
      <c r="BS81" s="29">
        <v>-1.2283464566929134</v>
      </c>
      <c r="BT81" s="29">
        <v>0.18761635950273947</v>
      </c>
      <c r="BU81" s="29">
        <v>5</v>
      </c>
      <c r="BV81" s="29">
        <v>0</v>
      </c>
      <c r="BW81" s="29">
        <v>0</v>
      </c>
      <c r="BX81" s="29" t="str">
        <v/>
      </c>
      <c r="BY81" s="29" t="str">
        <v/>
      </c>
      <c r="BZ81" s="29"/>
      <c r="CA81" s="29"/>
      <c r="CB81" s="29"/>
      <c r="CC81" s="48"/>
      <c r="CD81" s="48"/>
      <c r="CE81" s="48"/>
      <c r="CF81" s="48"/>
      <c r="CG81" s="48"/>
      <c r="CH81" s="48"/>
      <c r="CI81" s="48"/>
      <c r="CJ81" s="48"/>
      <c r="CK81" s="48"/>
      <c r="CL81" s="48"/>
      <c r="CM81" s="48"/>
      <c r="CN81" s="29"/>
      <c r="CO81" s="29"/>
      <c r="CP81" s="57"/>
      <c r="CQ81" s="57"/>
      <c r="CR81" s="57"/>
      <c r="CS81" s="57"/>
      <c r="CT81" s="57"/>
      <c r="CU81" s="57">
        <v>76</v>
      </c>
      <c r="CV81" s="57">
        <v>1</v>
      </c>
      <c r="CW81" s="48">
        <v>1.8192576091040986</v>
      </c>
      <c r="CX81" s="48">
        <v>1.8192576091040986</v>
      </c>
      <c r="CY81" s="48" t="e">
        <v>#N/A</v>
      </c>
      <c r="CZ81" s="48" t="e">
        <v>#N/A</v>
      </c>
      <c r="DA81" s="48" t="e">
        <v>#N/A</v>
      </c>
      <c r="DB81" s="57" t="str">
        <v/>
      </c>
      <c r="DC81" s="57"/>
      <c r="DD81" s="57"/>
      <c r="DE81" s="57"/>
      <c r="DF81" s="57"/>
      <c r="DG81" s="57"/>
      <c r="DH81" s="57"/>
      <c r="DI81" s="57"/>
      <c r="DJ81" s="25"/>
      <c r="DK81" s="29"/>
      <c r="DL81" s="29"/>
      <c r="DM81" s="29"/>
      <c r="DN81" s="29"/>
      <c r="DO81" s="57"/>
      <c r="DP81" s="57"/>
      <c r="DQ81" s="57"/>
      <c r="DR81" s="57"/>
      <c r="DS81" s="48"/>
      <c r="DT81" s="48"/>
      <c r="DU81" s="48"/>
      <c r="DV81" s="48"/>
      <c r="DW81" s="48"/>
      <c r="DX81" s="48">
        <v>76</v>
      </c>
      <c r="DY81" s="48">
        <v>6</v>
      </c>
      <c r="DZ81" s="48">
        <v>8.8224752287145186E-2</v>
      </c>
      <c r="EA81" s="48" t="str">
        <v>2.8 (83%)</v>
      </c>
      <c r="EB81" s="48"/>
      <c r="EC81" s="48"/>
      <c r="ED81" s="48"/>
    </row>
    <row r="82" spans="54:134" x14ac:dyDescent="0.2"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>
        <v>77</v>
      </c>
      <c r="BS82" s="29">
        <v>-1.204724409448819</v>
      </c>
      <c r="BT82" s="29">
        <v>0.19308611757108682</v>
      </c>
      <c r="BU82" s="29">
        <v>5</v>
      </c>
      <c r="BV82" s="29">
        <v>0</v>
      </c>
      <c r="BW82" s="29">
        <v>0</v>
      </c>
      <c r="BX82" s="29" t="str">
        <v/>
      </c>
      <c r="BY82" s="29" t="str">
        <v/>
      </c>
      <c r="BZ82" s="29"/>
      <c r="CA82" s="29"/>
      <c r="CB82" s="29"/>
      <c r="CC82" s="48"/>
      <c r="CD82" s="48"/>
      <c r="CE82" s="48"/>
      <c r="CF82" s="48"/>
      <c r="CG82" s="48"/>
      <c r="CH82" s="48"/>
      <c r="CI82" s="48"/>
      <c r="CJ82" s="48"/>
      <c r="CK82" s="48"/>
      <c r="CL82" s="48"/>
      <c r="CM82" s="48"/>
      <c r="CN82" s="29"/>
      <c r="CO82" s="29"/>
      <c r="CP82" s="57"/>
      <c r="CQ82" s="57"/>
      <c r="CR82" s="57"/>
      <c r="CS82" s="57"/>
      <c r="CT82" s="57"/>
      <c r="CU82" s="57">
        <v>77</v>
      </c>
      <c r="CV82" s="57">
        <v>1</v>
      </c>
      <c r="CW82" s="48">
        <v>1.8192576091040986</v>
      </c>
      <c r="CX82" s="48">
        <v>1.8192576091040986</v>
      </c>
      <c r="CY82" s="48" t="e">
        <v>#N/A</v>
      </c>
      <c r="CZ82" s="48" t="e">
        <v>#N/A</v>
      </c>
      <c r="DA82" s="48" t="e">
        <v>#N/A</v>
      </c>
      <c r="DB82" s="57" t="str">
        <v/>
      </c>
      <c r="DC82" s="57"/>
      <c r="DD82" s="57"/>
      <c r="DE82" s="57"/>
      <c r="DF82" s="57"/>
      <c r="DG82" s="57"/>
      <c r="DH82" s="57"/>
      <c r="DI82" s="57"/>
      <c r="DJ82" s="25"/>
      <c r="DK82" s="29"/>
      <c r="DL82" s="29"/>
      <c r="DM82" s="29"/>
      <c r="DN82" s="29"/>
      <c r="DO82" s="57"/>
      <c r="DP82" s="57"/>
      <c r="DQ82" s="57"/>
      <c r="DR82" s="57"/>
      <c r="DS82" s="48"/>
      <c r="DT82" s="48"/>
      <c r="DU82" s="48"/>
      <c r="DV82" s="48"/>
      <c r="DW82" s="48"/>
      <c r="DX82" s="48">
        <v>77</v>
      </c>
      <c r="DY82" s="48">
        <v>6</v>
      </c>
      <c r="DZ82" s="48">
        <v>8.8224752287145186E-2</v>
      </c>
      <c r="EA82" s="48" t="str">
        <v/>
      </c>
      <c r="EB82" s="48"/>
      <c r="EC82" s="48"/>
      <c r="ED82" s="48"/>
    </row>
    <row r="83" spans="54:134" x14ac:dyDescent="0.2"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>
        <v>78</v>
      </c>
      <c r="BS83" s="29">
        <v>-1.1811023622047245</v>
      </c>
      <c r="BT83" s="29">
        <v>0.19860448824460644</v>
      </c>
      <c r="BU83" s="29">
        <v>5</v>
      </c>
      <c r="BV83" s="29">
        <v>0</v>
      </c>
      <c r="BW83" s="29">
        <v>0</v>
      </c>
      <c r="BX83" s="29" t="str">
        <v/>
      </c>
      <c r="BY83" s="29" t="str">
        <v/>
      </c>
      <c r="BZ83" s="29"/>
      <c r="CA83" s="29"/>
      <c r="CB83" s="29"/>
      <c r="CC83" s="48"/>
      <c r="CD83" s="48"/>
      <c r="CE83" s="48"/>
      <c r="CF83" s="48"/>
      <c r="CG83" s="48"/>
      <c r="CH83" s="48"/>
      <c r="CI83" s="48"/>
      <c r="CJ83" s="48"/>
      <c r="CK83" s="48"/>
      <c r="CL83" s="48"/>
      <c r="CM83" s="48"/>
      <c r="CN83" s="29"/>
      <c r="CO83" s="29"/>
      <c r="CP83" s="57"/>
      <c r="CQ83" s="57"/>
      <c r="CR83" s="57"/>
      <c r="CS83" s="57"/>
      <c r="CT83" s="57"/>
      <c r="CU83" s="57">
        <v>78</v>
      </c>
      <c r="CV83" s="57">
        <v>1</v>
      </c>
      <c r="CW83" s="48">
        <v>1.8192576091040986</v>
      </c>
      <c r="CX83" s="48">
        <v>1.8192576091040986</v>
      </c>
      <c r="CY83" s="48" t="e">
        <v>#N/A</v>
      </c>
      <c r="CZ83" s="48" t="e">
        <v>#N/A</v>
      </c>
      <c r="DA83" s="48" t="e">
        <v>#N/A</v>
      </c>
      <c r="DB83" s="57" t="str">
        <v/>
      </c>
      <c r="DC83" s="57"/>
      <c r="DD83" s="57"/>
      <c r="DE83" s="57"/>
      <c r="DF83" s="57"/>
      <c r="DG83" s="57"/>
      <c r="DH83" s="57"/>
      <c r="DI83" s="57"/>
      <c r="DJ83" s="25"/>
      <c r="DK83" s="29"/>
      <c r="DL83" s="29"/>
      <c r="DM83" s="29"/>
      <c r="DN83" s="29"/>
      <c r="DO83" s="57"/>
      <c r="DP83" s="57"/>
      <c r="DQ83" s="57"/>
      <c r="DR83" s="57"/>
      <c r="DS83" s="48"/>
      <c r="DT83" s="48"/>
      <c r="DU83" s="48"/>
      <c r="DV83" s="48"/>
      <c r="DW83" s="48"/>
      <c r="DX83" s="48">
        <v>78</v>
      </c>
      <c r="DY83" s="48">
        <v>6</v>
      </c>
      <c r="DZ83" s="48">
        <v>8.8224752287145186E-2</v>
      </c>
      <c r="EA83" s="48" t="str">
        <v/>
      </c>
      <c r="EB83" s="48"/>
      <c r="EC83" s="48"/>
      <c r="ED83" s="48"/>
    </row>
    <row r="84" spans="54:134" x14ac:dyDescent="0.2">
      <c r="BR84">
        <v>79</v>
      </c>
      <c r="BS84">
        <v>-1.1574803149606299</v>
      </c>
      <c r="BT84" s="21">
        <v>0.20416661608765052</v>
      </c>
      <c r="BU84" s="21">
        <v>5</v>
      </c>
      <c r="BV84" s="21">
        <v>0</v>
      </c>
      <c r="BW84" s="21">
        <v>0</v>
      </c>
      <c r="BX84" s="21" t="str">
        <v/>
      </c>
      <c r="BY84" s="21" t="str">
        <v/>
      </c>
      <c r="CU84" s="21">
        <v>79</v>
      </c>
      <c r="CV84" s="21">
        <v>1</v>
      </c>
      <c r="CW84" s="21">
        <v>1.8192576091040986</v>
      </c>
      <c r="CX84" s="21">
        <v>1.8192576091040986</v>
      </c>
      <c r="CY84" s="21" t="e">
        <v>#N/A</v>
      </c>
      <c r="CZ84" s="21" t="e">
        <v>#N/A</v>
      </c>
      <c r="DA84" t="e">
        <v>#N/A</v>
      </c>
      <c r="DB84" t="str">
        <v/>
      </c>
      <c r="DX84">
        <v>79</v>
      </c>
      <c r="DY84">
        <v>6</v>
      </c>
      <c r="DZ84">
        <v>8.8224752287145186E-2</v>
      </c>
      <c r="EA84" t="str">
        <v/>
      </c>
    </row>
    <row r="85" spans="54:134" x14ac:dyDescent="0.2">
      <c r="BR85">
        <v>80</v>
      </c>
      <c r="BS85">
        <v>-1.1338582677165354</v>
      </c>
      <c r="BT85" s="21">
        <v>0.20976743405287621</v>
      </c>
      <c r="BU85" s="21">
        <v>5</v>
      </c>
      <c r="BV85" s="21">
        <v>0</v>
      </c>
      <c r="BW85" s="21">
        <v>0</v>
      </c>
      <c r="BX85" s="21" t="str">
        <v/>
      </c>
      <c r="BY85" s="21" t="str">
        <v/>
      </c>
      <c r="CU85" s="21">
        <v>80</v>
      </c>
      <c r="CV85" s="21">
        <v>1</v>
      </c>
      <c r="CW85" s="21">
        <v>1.8192576091040986</v>
      </c>
      <c r="CX85" s="21">
        <v>1.8192576091040986</v>
      </c>
      <c r="CY85" s="21" t="e">
        <v>#N/A</v>
      </c>
      <c r="CZ85" s="21" t="e">
        <v>#N/A</v>
      </c>
      <c r="DA85" t="e">
        <v>#N/A</v>
      </c>
      <c r="DB85" t="str">
        <v/>
      </c>
      <c r="DX85">
        <v>80</v>
      </c>
      <c r="DY85">
        <v>6</v>
      </c>
      <c r="DZ85">
        <v>8.8224752287145186E-2</v>
      </c>
      <c r="EA85" t="str">
        <v/>
      </c>
    </row>
    <row r="86" spans="54:134" x14ac:dyDescent="0.2">
      <c r="BR86">
        <v>81</v>
      </c>
      <c r="BS86">
        <v>-1.110236220472441</v>
      </c>
      <c r="BT86" s="21">
        <v>0.21540166901844124</v>
      </c>
      <c r="BU86" s="21">
        <v>5</v>
      </c>
      <c r="BV86" s="21">
        <v>0</v>
      </c>
      <c r="BW86" s="21">
        <v>0</v>
      </c>
      <c r="BX86" s="21" t="str">
        <v/>
      </c>
      <c r="BY86" s="21" t="str">
        <v/>
      </c>
      <c r="CU86" s="21">
        <v>81</v>
      </c>
      <c r="CV86" s="21">
        <v>1</v>
      </c>
      <c r="CW86" s="21">
        <v>1.8192576091040986</v>
      </c>
      <c r="CX86" s="21">
        <v>1.8192576091040986</v>
      </c>
      <c r="CY86" s="21" t="e">
        <v>#N/A</v>
      </c>
      <c r="CZ86" s="21" t="e">
        <v>#N/A</v>
      </c>
      <c r="DA86" t="e">
        <v>#N/A</v>
      </c>
      <c r="DB86" t="str">
        <v/>
      </c>
      <c r="DX86">
        <v>81</v>
      </c>
      <c r="DY86">
        <v>6</v>
      </c>
      <c r="DZ86">
        <v>8.8224752287145186E-2</v>
      </c>
      <c r="EA86" t="str">
        <v/>
      </c>
    </row>
    <row r="87" spans="54:134" x14ac:dyDescent="0.2">
      <c r="BR87">
        <v>82</v>
      </c>
      <c r="BS87">
        <v>-1.0866141732283465</v>
      </c>
      <c r="BT87" s="21">
        <v>0.22106384806123056</v>
      </c>
      <c r="BU87" s="21">
        <v>5</v>
      </c>
      <c r="BV87" s="21">
        <v>0</v>
      </c>
      <c r="BW87" s="21">
        <v>0</v>
      </c>
      <c r="BX87" s="21" t="str">
        <v/>
      </c>
      <c r="BY87" s="21" t="str">
        <v/>
      </c>
      <c r="CU87" s="21">
        <v>82</v>
      </c>
      <c r="CV87" s="21">
        <v>1</v>
      </c>
      <c r="CW87" s="21">
        <v>1.8192576091040986</v>
      </c>
      <c r="CX87" s="21">
        <v>1.8192576091040986</v>
      </c>
      <c r="CY87" s="21" t="e">
        <v>#N/A</v>
      </c>
      <c r="CZ87" s="21" t="e">
        <v>#N/A</v>
      </c>
      <c r="DA87" t="e">
        <v>#N/A</v>
      </c>
      <c r="DB87" t="str">
        <v/>
      </c>
      <c r="DX87">
        <v>82</v>
      </c>
      <c r="DY87">
        <v>6</v>
      </c>
      <c r="DZ87">
        <v>8.8224752287145186E-2</v>
      </c>
      <c r="EA87" t="str">
        <v/>
      </c>
    </row>
    <row r="88" spans="54:134" x14ac:dyDescent="0.2">
      <c r="BR88">
        <v>83</v>
      </c>
      <c r="BS88">
        <v>-1.0629921259842521</v>
      </c>
      <c r="BT88" s="21">
        <v>0.22674830546502484</v>
      </c>
      <c r="BU88" s="21">
        <v>5</v>
      </c>
      <c r="BV88" s="21">
        <v>0</v>
      </c>
      <c r="BW88" s="21">
        <v>0</v>
      </c>
      <c r="BX88" s="21" t="str">
        <v/>
      </c>
      <c r="BY88" s="21" t="str">
        <v/>
      </c>
      <c r="CU88" s="21">
        <v>83</v>
      </c>
      <c r="CV88" s="21">
        <v>1</v>
      </c>
      <c r="CW88" s="21">
        <v>1.8192576091040986</v>
      </c>
      <c r="CX88" s="21">
        <v>1.8192576091040986</v>
      </c>
      <c r="CY88" s="21" t="e">
        <v>#N/A</v>
      </c>
      <c r="CZ88" s="21" t="e">
        <v>#N/A</v>
      </c>
      <c r="DA88" t="e">
        <v>#N/A</v>
      </c>
      <c r="DB88" t="str">
        <v/>
      </c>
      <c r="DX88">
        <v>83</v>
      </c>
      <c r="DY88">
        <v>6</v>
      </c>
      <c r="DZ88">
        <v>8.8224752287145186E-2</v>
      </c>
      <c r="EA88" t="str">
        <v/>
      </c>
    </row>
    <row r="89" spans="54:134" x14ac:dyDescent="0.2">
      <c r="BR89">
        <v>84</v>
      </c>
      <c r="BS89">
        <v>-1.0393700787401574</v>
      </c>
      <c r="BT89" s="21">
        <v>0.23244919045958226</v>
      </c>
      <c r="BU89" s="21">
        <v>5</v>
      </c>
      <c r="BV89" s="21">
        <v>0</v>
      </c>
      <c r="BW89" s="21">
        <v>0</v>
      </c>
      <c r="BX89" s="21" t="str">
        <v/>
      </c>
      <c r="BY89" s="21" t="str">
        <v/>
      </c>
      <c r="CU89" s="21">
        <v>84</v>
      </c>
      <c r="CV89" s="21">
        <v>1</v>
      </c>
      <c r="CW89" s="21">
        <v>1.8192576091040986</v>
      </c>
      <c r="CX89" s="21">
        <v>1.8192576091040986</v>
      </c>
      <c r="CY89" s="21" t="e">
        <v>#N/A</v>
      </c>
      <c r="CZ89" s="21" t="e">
        <v>#N/A</v>
      </c>
      <c r="DA89" t="e">
        <v>#N/A</v>
      </c>
      <c r="DB89" t="str">
        <v/>
      </c>
      <c r="DX89">
        <v>84</v>
      </c>
      <c r="DY89">
        <v>6</v>
      </c>
      <c r="DZ89">
        <v>8.8224752287145186E-2</v>
      </c>
      <c r="EA89" t="str">
        <v/>
      </c>
    </row>
    <row r="90" spans="54:134" x14ac:dyDescent="0.2">
      <c r="BR90">
        <v>85</v>
      </c>
      <c r="BS90">
        <v>-1.015748031496063</v>
      </c>
      <c r="BT90" s="21">
        <v>0.2381604756836066</v>
      </c>
      <c r="BU90" s="21">
        <v>5</v>
      </c>
      <c r="BV90" s="21">
        <v>0</v>
      </c>
      <c r="BW90" s="21">
        <v>0</v>
      </c>
      <c r="BX90" s="21" t="str">
        <v/>
      </c>
      <c r="BY90" s="21" t="str">
        <v/>
      </c>
      <c r="CU90" s="21">
        <v>85</v>
      </c>
      <c r="CV90" s="21">
        <v>1</v>
      </c>
      <c r="CW90" s="21">
        <v>1.8192576091040986</v>
      </c>
      <c r="CX90" s="21">
        <v>1.8192576091040986</v>
      </c>
      <c r="CY90" s="21" t="e">
        <v>#N/A</v>
      </c>
      <c r="CZ90" s="21" t="e">
        <v>#N/A</v>
      </c>
      <c r="DA90" t="e">
        <v>#N/A</v>
      </c>
      <c r="DB90" t="str">
        <v/>
      </c>
      <c r="DX90">
        <v>85</v>
      </c>
      <c r="DY90">
        <v>6</v>
      </c>
      <c r="DZ90">
        <v>8.8224752287145186E-2</v>
      </c>
      <c r="EA90" t="str">
        <v/>
      </c>
    </row>
    <row r="91" spans="54:134" x14ac:dyDescent="0.2">
      <c r="BR91">
        <v>86</v>
      </c>
      <c r="BS91">
        <v>-0.99212598425196852</v>
      </c>
      <c r="BT91" s="21">
        <v>0.24387596636153336</v>
      </c>
      <c r="BU91" s="21">
        <v>6</v>
      </c>
      <c r="BV91" s="21">
        <v>3</v>
      </c>
      <c r="BW91" s="21">
        <v>0.6209326687253206</v>
      </c>
      <c r="BX91" s="21">
        <v>-2.4500000000000002</v>
      </c>
      <c r="BY91" s="21" t="str">
        <v>-1σ</v>
      </c>
      <c r="CU91" s="21">
        <v>86</v>
      </c>
      <c r="CV91" s="21">
        <v>1</v>
      </c>
      <c r="CW91" s="21">
        <v>1.8192576091040986</v>
      </c>
      <c r="CX91" s="21">
        <v>1.8192576091040986</v>
      </c>
      <c r="CY91" s="21" t="e">
        <v>#N/A</v>
      </c>
      <c r="CZ91" s="21" t="e">
        <v>#N/A</v>
      </c>
      <c r="DA91" t="e">
        <v>#N/A</v>
      </c>
      <c r="DB91" t="str">
        <v/>
      </c>
      <c r="DX91">
        <v>86</v>
      </c>
      <c r="DY91">
        <v>6</v>
      </c>
      <c r="DZ91">
        <v>8.8224752287145186E-2</v>
      </c>
      <c r="EA91" t="str">
        <v/>
      </c>
    </row>
    <row r="92" spans="54:134" x14ac:dyDescent="0.2">
      <c r="BR92">
        <v>87</v>
      </c>
      <c r="BS92">
        <v>-0.96850393700787407</v>
      </c>
      <c r="BT92" s="21">
        <v>0.24958931018098326</v>
      </c>
      <c r="BU92" s="21">
        <v>6</v>
      </c>
      <c r="BV92" s="21">
        <v>3</v>
      </c>
      <c r="BW92" s="21">
        <v>0.6209326687253206</v>
      </c>
      <c r="BX92" s="21" t="str">
        <v/>
      </c>
      <c r="BY92" s="21" t="str">
        <v/>
      </c>
      <c r="CU92" s="21">
        <v>87</v>
      </c>
      <c r="CV92" s="21">
        <v>1</v>
      </c>
      <c r="CW92" s="21">
        <v>1.8192576091040986</v>
      </c>
      <c r="CX92" s="21">
        <v>1.8192576091040986</v>
      </c>
      <c r="CY92" s="21" t="e">
        <v>#N/A</v>
      </c>
      <c r="CZ92" s="21" t="e">
        <v>#N/A</v>
      </c>
      <c r="DA92" t="e">
        <v>#N/A</v>
      </c>
      <c r="DB92" t="str">
        <v/>
      </c>
      <c r="DX92">
        <v>87</v>
      </c>
      <c r="DY92">
        <v>6</v>
      </c>
      <c r="DZ92">
        <v>8.8224752287145186E-2</v>
      </c>
      <c r="EA92" t="str">
        <v/>
      </c>
    </row>
    <row r="93" spans="54:134" x14ac:dyDescent="0.2">
      <c r="BR93">
        <v>88</v>
      </c>
      <c r="BS93">
        <v>-0.94488188976377963</v>
      </c>
      <c r="BT93" s="21">
        <v>0.25529400785464174</v>
      </c>
      <c r="BU93" s="21">
        <v>6</v>
      </c>
      <c r="BV93" s="21">
        <v>3</v>
      </c>
      <c r="BW93" s="21">
        <v>0.6209326687253206</v>
      </c>
      <c r="BX93" s="21" t="str">
        <v/>
      </c>
      <c r="BY93" s="21" t="str">
        <v/>
      </c>
      <c r="CU93" s="21">
        <v>88</v>
      </c>
      <c r="CV93" s="21">
        <v>1</v>
      </c>
      <c r="CW93" s="21">
        <v>1.8192576091040986</v>
      </c>
      <c r="CX93" s="21">
        <v>1.8192576091040986</v>
      </c>
      <c r="CY93" s="21" t="e">
        <v>#N/A</v>
      </c>
      <c r="CZ93" s="21" t="e">
        <v>#N/A</v>
      </c>
      <c r="DA93" t="e">
        <v>#N/A</v>
      </c>
      <c r="DB93" t="str">
        <v/>
      </c>
      <c r="DX93">
        <v>88</v>
      </c>
      <c r="DY93">
        <v>6</v>
      </c>
      <c r="DZ93">
        <v>8.8224752287145186E-2</v>
      </c>
      <c r="EA93" t="str">
        <v/>
      </c>
    </row>
    <row r="94" spans="54:134" x14ac:dyDescent="0.2">
      <c r="BR94">
        <v>89</v>
      </c>
      <c r="BS94">
        <v>-0.92125984251968518</v>
      </c>
      <c r="BT94" s="21">
        <v>0.26098342434722177</v>
      </c>
      <c r="BU94" s="21">
        <v>6</v>
      </c>
      <c r="BV94" s="21">
        <v>3</v>
      </c>
      <c r="BW94" s="21">
        <v>0.6209326687253206</v>
      </c>
      <c r="BX94" s="21" t="str">
        <v/>
      </c>
      <c r="BY94" s="21" t="str">
        <v/>
      </c>
      <c r="CU94" s="21">
        <v>89</v>
      </c>
      <c r="CV94" s="21">
        <v>1</v>
      </c>
      <c r="CW94" s="21">
        <v>1.8192576091040986</v>
      </c>
      <c r="CX94" s="21">
        <v>1.8192576091040986</v>
      </c>
      <c r="CY94" s="21" t="e">
        <v>#N/A</v>
      </c>
      <c r="CZ94" s="21" t="e">
        <v>#N/A</v>
      </c>
      <c r="DA94" t="e">
        <v>#N/A</v>
      </c>
      <c r="DB94" t="str">
        <v/>
      </c>
      <c r="DX94">
        <v>89</v>
      </c>
      <c r="DY94">
        <v>6</v>
      </c>
      <c r="DZ94">
        <v>8.8224752287145186E-2</v>
      </c>
      <c r="EA94" t="str">
        <v/>
      </c>
    </row>
    <row r="95" spans="54:134" x14ac:dyDescent="0.2">
      <c r="BR95">
        <v>90</v>
      </c>
      <c r="BS95">
        <v>-0.89763779527559073</v>
      </c>
      <c r="BT95" s="21">
        <v>0.26665080074508374</v>
      </c>
      <c r="BU95" s="21">
        <v>6</v>
      </c>
      <c r="BV95" s="21">
        <v>3</v>
      </c>
      <c r="BW95" s="21">
        <v>0.6209326687253206</v>
      </c>
      <c r="BX95" s="21" t="str">
        <v/>
      </c>
      <c r="BY95" s="21" t="str">
        <v/>
      </c>
      <c r="CU95" s="21">
        <v>90</v>
      </c>
      <c r="CV95" s="21">
        <v>1</v>
      </c>
      <c r="CW95" s="21">
        <v>1.8192576091040986</v>
      </c>
      <c r="CX95" s="21">
        <v>1.8192576091040986</v>
      </c>
      <c r="CY95" s="21" t="e">
        <v>#N/A</v>
      </c>
      <c r="CZ95" s="21" t="e">
        <v>#N/A</v>
      </c>
      <c r="DA95" t="e">
        <v>#N/A</v>
      </c>
      <c r="DB95" t="str">
        <v/>
      </c>
      <c r="DX95">
        <v>90</v>
      </c>
      <c r="DY95">
        <v>6</v>
      </c>
      <c r="DZ95">
        <v>8.8224752287145186E-2</v>
      </c>
      <c r="EA95" t="str">
        <v/>
      </c>
    </row>
    <row r="96" spans="54:134" x14ac:dyDescent="0.2">
      <c r="BR96">
        <v>91</v>
      </c>
      <c r="BS96">
        <v>-0.87401574803149629</v>
      </c>
      <c r="BT96" s="21">
        <v>0.27228926674302883</v>
      </c>
      <c r="BU96" s="21">
        <v>6</v>
      </c>
      <c r="BV96" s="21">
        <v>3</v>
      </c>
      <c r="BW96" s="21">
        <v>0.6209326687253206</v>
      </c>
      <c r="BX96" s="21" t="str">
        <v/>
      </c>
      <c r="BY96" s="21" t="str">
        <v/>
      </c>
      <c r="CU96" s="21">
        <v>91</v>
      </c>
      <c r="CV96" s="21">
        <v>1</v>
      </c>
      <c r="CW96" s="21">
        <v>1.8192576091040986</v>
      </c>
      <c r="CX96" s="21">
        <v>1.8192576091040986</v>
      </c>
      <c r="CY96" s="21" t="e">
        <v>#N/A</v>
      </c>
      <c r="CZ96" s="21" t="e">
        <v>#N/A</v>
      </c>
      <c r="DA96" t="e">
        <v>#N/A</v>
      </c>
      <c r="DB96" t="str">
        <v/>
      </c>
      <c r="DX96">
        <v>91</v>
      </c>
      <c r="DY96">
        <v>6</v>
      </c>
      <c r="DZ96">
        <v>8.8224752287145186E-2</v>
      </c>
      <c r="EA96" t="str">
        <v/>
      </c>
    </row>
    <row r="97" spans="70:131" x14ac:dyDescent="0.2">
      <c r="BR97">
        <v>92</v>
      </c>
      <c r="BS97">
        <v>-0.8503937007874014</v>
      </c>
      <c r="BT97" s="21">
        <v>0.27789185371977293</v>
      </c>
      <c r="BU97" s="21">
        <v>6</v>
      </c>
      <c r="BV97" s="21">
        <v>3</v>
      </c>
      <c r="BW97" s="21">
        <v>0.6209326687253206</v>
      </c>
      <c r="BX97" s="21" t="str">
        <v/>
      </c>
      <c r="BY97" s="21" t="str">
        <v/>
      </c>
      <c r="CU97" s="21">
        <v>92</v>
      </c>
      <c r="CV97" s="21">
        <v>1</v>
      </c>
      <c r="CW97" s="21">
        <v>1.8192576091040986</v>
      </c>
      <c r="CX97" s="21">
        <v>1.8192576091040986</v>
      </c>
      <c r="CY97" s="21" t="e">
        <v>#N/A</v>
      </c>
      <c r="CZ97" s="21" t="e">
        <v>#N/A</v>
      </c>
      <c r="DA97" t="e">
        <v>#N/A</v>
      </c>
      <c r="DB97" t="str">
        <v/>
      </c>
      <c r="DX97">
        <v>92</v>
      </c>
      <c r="DY97">
        <v>6</v>
      </c>
      <c r="DZ97">
        <v>8.8224752287145186E-2</v>
      </c>
      <c r="EA97" t="str">
        <v/>
      </c>
    </row>
    <row r="98" spans="70:131" x14ac:dyDescent="0.2">
      <c r="BR98">
        <v>93</v>
      </c>
      <c r="BS98">
        <v>-0.82677165354330695</v>
      </c>
      <c r="BT98" s="21">
        <v>0.28345150837065552</v>
      </c>
      <c r="BU98" s="21">
        <v>6</v>
      </c>
      <c r="BV98" s="21">
        <v>3</v>
      </c>
      <c r="BW98" s="21">
        <v>0.6209326687253206</v>
      </c>
      <c r="BX98" s="21" t="str">
        <v/>
      </c>
      <c r="BY98" s="21" t="str">
        <v/>
      </c>
      <c r="CU98" s="21">
        <v>93</v>
      </c>
      <c r="CV98" s="21">
        <v>1</v>
      </c>
      <c r="CW98" s="21">
        <v>1.8192576091040986</v>
      </c>
      <c r="CX98" s="21">
        <v>1.8192576091040986</v>
      </c>
      <c r="CY98" s="21" t="e">
        <v>#N/A</v>
      </c>
      <c r="CZ98" s="21" t="e">
        <v>#N/A</v>
      </c>
      <c r="DA98" t="e">
        <v>#N/A</v>
      </c>
      <c r="DB98" t="str">
        <v/>
      </c>
      <c r="DX98">
        <v>93</v>
      </c>
      <c r="DY98">
        <v>6</v>
      </c>
      <c r="DZ98">
        <v>8.8224752287145186E-2</v>
      </c>
      <c r="EA98" t="str">
        <v/>
      </c>
    </row>
    <row r="99" spans="70:131" x14ac:dyDescent="0.2">
      <c r="BR99">
        <v>94</v>
      </c>
      <c r="BS99">
        <v>-0.8031496062992125</v>
      </c>
      <c r="BT99" s="21">
        <v>0.28896110686327098</v>
      </c>
      <c r="BU99" s="21">
        <v>6</v>
      </c>
      <c r="BV99" s="21">
        <v>3</v>
      </c>
      <c r="BW99" s="21">
        <v>0.6209326687253206</v>
      </c>
      <c r="BX99" s="21" t="str">
        <v/>
      </c>
      <c r="BY99" s="21" t="str">
        <v/>
      </c>
      <c r="CU99" s="21">
        <v>94</v>
      </c>
      <c r="CV99" s="21">
        <v>1</v>
      </c>
      <c r="CW99" s="21">
        <v>1.8192576091040986</v>
      </c>
      <c r="CX99" s="21">
        <v>1.8192576091040986</v>
      </c>
      <c r="CY99" s="21" t="e">
        <v>#N/A</v>
      </c>
      <c r="CZ99" s="21" t="e">
        <v>#N/A</v>
      </c>
      <c r="DA99" t="e">
        <v>#N/A</v>
      </c>
      <c r="DB99" t="str">
        <v/>
      </c>
      <c r="DX99">
        <v>94</v>
      </c>
      <c r="DY99">
        <v>6</v>
      </c>
      <c r="DZ99">
        <v>8.8224752287145186E-2</v>
      </c>
      <c r="EA99" t="str">
        <v/>
      </c>
    </row>
    <row r="100" spans="70:131" x14ac:dyDescent="0.2">
      <c r="BR100">
        <v>95</v>
      </c>
      <c r="BS100">
        <v>-0.77952755905511806</v>
      </c>
      <c r="BT100" s="21">
        <v>0.29441346947892549</v>
      </c>
      <c r="BU100" s="21">
        <v>6</v>
      </c>
      <c r="BV100" s="21">
        <v>3</v>
      </c>
      <c r="BW100" s="21">
        <v>0.6209326687253206</v>
      </c>
      <c r="BX100" s="21" t="str">
        <v/>
      </c>
      <c r="BY100" s="21" t="str">
        <v/>
      </c>
      <c r="CU100" s="21">
        <v>95</v>
      </c>
      <c r="CV100" s="21">
        <v>1</v>
      </c>
      <c r="CW100" s="21">
        <v>1.8192576091040986</v>
      </c>
      <c r="CX100" s="21">
        <v>1.8192576091040986</v>
      </c>
      <c r="CY100" s="21" t="e">
        <v>#N/A</v>
      </c>
      <c r="CZ100" s="21" t="e">
        <v>#N/A</v>
      </c>
      <c r="DA100" t="e">
        <v>#N/A</v>
      </c>
      <c r="DB100" t="str">
        <v/>
      </c>
      <c r="DX100">
        <v>95</v>
      </c>
      <c r="DY100">
        <v>6</v>
      </c>
      <c r="DZ100">
        <v>8.8224752287145186E-2</v>
      </c>
      <c r="EA100" t="str">
        <v/>
      </c>
    </row>
    <row r="101" spans="70:131" x14ac:dyDescent="0.2">
      <c r="BR101">
        <v>96</v>
      </c>
      <c r="BS101">
        <v>-0.75590551181102361</v>
      </c>
      <c r="BT101" s="21">
        <v>0.29980137570016047</v>
      </c>
      <c r="BU101" s="21">
        <v>6</v>
      </c>
      <c r="BV101" s="21">
        <v>3</v>
      </c>
      <c r="BW101" s="21">
        <v>0.6209326687253206</v>
      </c>
      <c r="BX101" s="21" t="str">
        <v/>
      </c>
      <c r="BY101" s="21" t="str">
        <v/>
      </c>
      <c r="CU101" s="21">
        <v>96</v>
      </c>
      <c r="CV101" s="21">
        <v>1</v>
      </c>
      <c r="CW101" s="21">
        <v>1.8192576091040986</v>
      </c>
      <c r="CX101" s="21">
        <v>1.8192576091040986</v>
      </c>
      <c r="CY101" s="21" t="e">
        <v>#N/A</v>
      </c>
      <c r="CZ101" s="21" t="e">
        <v>#N/A</v>
      </c>
      <c r="DA101" t="e">
        <v>#N/A</v>
      </c>
      <c r="DB101" t="str">
        <v/>
      </c>
      <c r="DX101">
        <v>96</v>
      </c>
      <c r="DY101">
        <v>6</v>
      </c>
      <c r="DZ101">
        <v>8.8224752287145186E-2</v>
      </c>
      <c r="EA101" t="str">
        <v/>
      </c>
    </row>
    <row r="102" spans="70:131" x14ac:dyDescent="0.2">
      <c r="BR102">
        <v>97</v>
      </c>
      <c r="BS102">
        <v>-0.73228346456692917</v>
      </c>
      <c r="BT102" s="21">
        <v>0.30511757970203796</v>
      </c>
      <c r="BU102" s="21">
        <v>6</v>
      </c>
      <c r="BV102" s="21">
        <v>3</v>
      </c>
      <c r="BW102" s="21">
        <v>0.6209326687253206</v>
      </c>
      <c r="BX102" s="21" t="str">
        <v/>
      </c>
      <c r="BY102" s="21" t="str">
        <v/>
      </c>
      <c r="CU102" s="21">
        <v>97</v>
      </c>
      <c r="CV102" s="21">
        <v>1</v>
      </c>
      <c r="CW102" s="21">
        <v>1.8192576091040986</v>
      </c>
      <c r="CX102" s="21">
        <v>1.8192576091040986</v>
      </c>
      <c r="CY102" s="21" t="e">
        <v>#N/A</v>
      </c>
      <c r="CZ102" s="21" t="e">
        <v>#N/A</v>
      </c>
      <c r="DA102" t="e">
        <v>#N/A</v>
      </c>
      <c r="DB102" t="str">
        <v/>
      </c>
      <c r="DX102">
        <v>97</v>
      </c>
      <c r="DY102">
        <v>6</v>
      </c>
      <c r="DZ102">
        <v>8.8224752287145186E-2</v>
      </c>
      <c r="EA102" t="str">
        <v/>
      </c>
    </row>
    <row r="103" spans="70:131" x14ac:dyDescent="0.2">
      <c r="BR103">
        <v>98</v>
      </c>
      <c r="BS103">
        <v>-0.70866141732283472</v>
      </c>
      <c r="BT103" s="21">
        <v>0.31035482620248367</v>
      </c>
      <c r="BU103" s="21">
        <v>6</v>
      </c>
      <c r="BV103" s="21">
        <v>3</v>
      </c>
      <c r="BW103" s="21">
        <v>0.6209326687253206</v>
      </c>
      <c r="BX103" s="21" t="str">
        <v/>
      </c>
      <c r="BY103" s="21" t="str">
        <v/>
      </c>
      <c r="CU103" s="21">
        <v>98</v>
      </c>
      <c r="CV103" s="21">
        <v>1</v>
      </c>
      <c r="CW103" s="21">
        <v>1.8192576091040986</v>
      </c>
      <c r="CX103" s="21">
        <v>1.8192576091040986</v>
      </c>
      <c r="CY103" s="21" t="e">
        <v>#N/A</v>
      </c>
      <c r="CZ103" s="21" t="e">
        <v>#N/A</v>
      </c>
      <c r="DA103" t="e">
        <v>#N/A</v>
      </c>
      <c r="DB103" t="str">
        <v/>
      </c>
      <c r="DX103">
        <v>98</v>
      </c>
      <c r="DY103">
        <v>6</v>
      </c>
      <c r="DZ103">
        <v>8.8224752287145186E-2</v>
      </c>
      <c r="EA103" t="str">
        <v/>
      </c>
    </row>
    <row r="104" spans="70:131" x14ac:dyDescent="0.2">
      <c r="BR104">
        <v>99</v>
      </c>
      <c r="BS104">
        <v>-0.68503937007874027</v>
      </c>
      <c r="BT104" s="21">
        <v>0.31550586662473823</v>
      </c>
      <c r="BU104" s="21">
        <v>6</v>
      </c>
      <c r="BV104" s="21">
        <v>3</v>
      </c>
      <c r="BW104" s="21">
        <v>0.6209326687253206</v>
      </c>
      <c r="BX104" s="21" t="str">
        <v/>
      </c>
      <c r="BY104" s="21" t="str">
        <v/>
      </c>
      <c r="CU104" s="21">
        <v>99</v>
      </c>
      <c r="CV104" s="21">
        <v>1</v>
      </c>
      <c r="CW104" s="21">
        <v>1.8192576091040986</v>
      </c>
      <c r="CX104" s="21">
        <v>1.8192576091040986</v>
      </c>
      <c r="CY104" s="21" t="e">
        <v>#N/A</v>
      </c>
      <c r="CZ104" s="21" t="e">
        <v>#N/A</v>
      </c>
      <c r="DA104" t="e">
        <v>#N/A</v>
      </c>
      <c r="DB104" t="str">
        <v/>
      </c>
      <c r="DX104">
        <v>99</v>
      </c>
      <c r="DY104">
        <v>6</v>
      </c>
      <c r="DZ104">
        <v>8.8224752287145186E-2</v>
      </c>
      <c r="EA104" t="str">
        <v/>
      </c>
    </row>
    <row r="105" spans="70:131" x14ac:dyDescent="0.2">
      <c r="BR105">
        <v>100</v>
      </c>
      <c r="BS105">
        <v>-0.66141732283464583</v>
      </c>
      <c r="BT105" s="21">
        <v>0.32056347552289172</v>
      </c>
      <c r="BU105" s="21">
        <v>6</v>
      </c>
      <c r="BV105" s="21">
        <v>3</v>
      </c>
      <c r="BW105" s="21">
        <v>0.6209326687253206</v>
      </c>
      <c r="BX105" s="21" t="str">
        <v/>
      </c>
      <c r="BY105" s="21" t="str">
        <v/>
      </c>
      <c r="CU105" s="21">
        <v>100</v>
      </c>
      <c r="CV105" s="21">
        <v>1</v>
      </c>
      <c r="CW105" s="21">
        <v>1.8192576091040986</v>
      </c>
      <c r="CX105" s="21">
        <v>1.8192576091040986</v>
      </c>
      <c r="CY105" s="21" t="e">
        <v>#N/A</v>
      </c>
      <c r="CZ105" s="21" t="e">
        <v>#N/A</v>
      </c>
      <c r="DA105" t="e">
        <v>#N/A</v>
      </c>
      <c r="DB105" t="str">
        <v/>
      </c>
      <c r="DX105">
        <v>100</v>
      </c>
      <c r="DY105">
        <v>6</v>
      </c>
      <c r="DZ105">
        <v>8.8224752287145186E-2</v>
      </c>
      <c r="EA105" t="str">
        <v/>
      </c>
    </row>
    <row r="106" spans="70:131" x14ac:dyDescent="0.2">
      <c r="BR106">
        <v>101</v>
      </c>
      <c r="BS106">
        <v>-0.63779527559055138</v>
      </c>
      <c r="BT106" s="21">
        <v>0.32552046721958716</v>
      </c>
      <c r="BU106" s="21">
        <v>6</v>
      </c>
      <c r="BV106" s="21">
        <v>3</v>
      </c>
      <c r="BW106" s="21">
        <v>0.6209326687253206</v>
      </c>
      <c r="BX106" s="21" t="str">
        <v/>
      </c>
      <c r="BY106" s="21" t="str">
        <v/>
      </c>
      <c r="CU106" s="21">
        <v>101</v>
      </c>
      <c r="CV106" s="21">
        <v>1</v>
      </c>
      <c r="CW106" s="21">
        <v>1.8192576091040986</v>
      </c>
      <c r="CX106" s="21">
        <v>1.8192576091040986</v>
      </c>
      <c r="CY106" s="21" t="e">
        <v>#N/A</v>
      </c>
      <c r="CZ106" s="21" t="e">
        <v>#N/A</v>
      </c>
      <c r="DA106" t="e">
        <v>#N/A</v>
      </c>
      <c r="DB106" t="str">
        <v/>
      </c>
      <c r="DX106">
        <v>101</v>
      </c>
      <c r="DY106">
        <v>6</v>
      </c>
      <c r="DZ106">
        <v>8.8224752287145186E-2</v>
      </c>
      <c r="EA106" t="str">
        <v/>
      </c>
    </row>
    <row r="107" spans="70:131" x14ac:dyDescent="0.2">
      <c r="BR107">
        <v>102</v>
      </c>
      <c r="BS107">
        <v>-0.61417322834645693</v>
      </c>
      <c r="BT107" s="21">
        <v>0.33036971260328207</v>
      </c>
      <c r="BU107" s="21">
        <v>6</v>
      </c>
      <c r="BV107" s="21">
        <v>3</v>
      </c>
      <c r="BW107" s="21">
        <v>0.6209326687253206</v>
      </c>
      <c r="BX107" s="21" t="str">
        <v/>
      </c>
      <c r="BY107" s="21" t="str">
        <v/>
      </c>
      <c r="CU107" s="21">
        <v>102</v>
      </c>
      <c r="CV107" s="21">
        <v>1</v>
      </c>
      <c r="CW107" s="21">
        <v>1.8192576091040986</v>
      </c>
      <c r="CX107" s="21">
        <v>1.8192576091040986</v>
      </c>
      <c r="CY107" s="21" t="e">
        <v>#N/A</v>
      </c>
      <c r="CZ107" s="21" t="e">
        <v>#N/A</v>
      </c>
      <c r="DA107" t="e">
        <v>#N/A</v>
      </c>
      <c r="DB107" t="str">
        <v/>
      </c>
      <c r="DX107">
        <v>102</v>
      </c>
      <c r="DY107">
        <v>6</v>
      </c>
      <c r="DZ107">
        <v>8.8224752287145186E-2</v>
      </c>
      <c r="EA107" t="str">
        <v/>
      </c>
    </row>
    <row r="108" spans="70:131" x14ac:dyDescent="0.2">
      <c r="BR108">
        <v>103</v>
      </c>
      <c r="BS108">
        <v>-0.59055118110236204</v>
      </c>
      <c r="BT108" s="21">
        <v>0.33510415603097365</v>
      </c>
      <c r="BU108" s="21">
        <v>7</v>
      </c>
      <c r="BV108" s="21">
        <v>4</v>
      </c>
      <c r="BW108" s="21">
        <v>0.8279102249670941</v>
      </c>
      <c r="BX108" s="21">
        <v>-0.73</v>
      </c>
      <c r="BY108" s="21" t="str">
        <v/>
      </c>
      <c r="CU108" s="21">
        <v>103</v>
      </c>
      <c r="CV108" s="21">
        <v>1</v>
      </c>
      <c r="CW108" s="21">
        <v>1.8192576091040986</v>
      </c>
      <c r="CX108" s="21">
        <v>1.8192576091040986</v>
      </c>
      <c r="CY108" s="21" t="e">
        <v>#N/A</v>
      </c>
      <c r="CZ108" s="21" t="e">
        <v>#N/A</v>
      </c>
      <c r="DA108" t="e">
        <v>#N/A</v>
      </c>
      <c r="DB108" t="str">
        <v/>
      </c>
      <c r="DX108">
        <v>103</v>
      </c>
      <c r="DY108">
        <v>6</v>
      </c>
      <c r="DZ108">
        <v>8.8224752287145186E-2</v>
      </c>
      <c r="EA108" t="str">
        <v/>
      </c>
    </row>
    <row r="109" spans="70:131" x14ac:dyDescent="0.2">
      <c r="BR109">
        <v>104</v>
      </c>
      <c r="BS109">
        <v>-0.5669291338582676</v>
      </c>
      <c r="BT109" s="21">
        <v>0.33971683228102528</v>
      </c>
      <c r="BU109" s="21">
        <v>7</v>
      </c>
      <c r="BV109" s="21">
        <v>4</v>
      </c>
      <c r="BW109" s="21">
        <v>0.8279102249670941</v>
      </c>
      <c r="BX109" s="21" t="str">
        <v/>
      </c>
      <c r="BY109" s="21" t="str">
        <v/>
      </c>
      <c r="CU109" s="21">
        <v>104</v>
      </c>
      <c r="CV109" s="21">
        <v>1</v>
      </c>
      <c r="CW109" s="21">
        <v>1.8192576091040986</v>
      </c>
      <c r="CX109" s="21">
        <v>1.8192576091040986</v>
      </c>
      <c r="CY109" s="21" t="e">
        <v>#N/A</v>
      </c>
      <c r="CZ109" s="21" t="e">
        <v>#N/A</v>
      </c>
      <c r="DA109" t="e">
        <v>#N/A</v>
      </c>
      <c r="DB109" t="str">
        <v/>
      </c>
      <c r="DX109">
        <v>104</v>
      </c>
      <c r="DY109">
        <v>6</v>
      </c>
      <c r="DZ109">
        <v>8.8224752287145186E-2</v>
      </c>
      <c r="EA109" t="str">
        <v/>
      </c>
    </row>
    <row r="110" spans="70:131" x14ac:dyDescent="0.2">
      <c r="BR110">
        <v>105</v>
      </c>
      <c r="BS110">
        <v>-0.54330708661417315</v>
      </c>
      <c r="BT110" s="21">
        <v>0.34420088349969502</v>
      </c>
      <c r="BU110" s="21">
        <v>7</v>
      </c>
      <c r="BV110" s="21">
        <v>4</v>
      </c>
      <c r="BW110" s="21">
        <v>0.8279102249670941</v>
      </c>
      <c r="BX110" s="21" t="str">
        <v/>
      </c>
      <c r="BY110" s="21" t="str">
        <v/>
      </c>
      <c r="CU110" s="21">
        <v>105</v>
      </c>
      <c r="CV110" s="21">
        <v>1</v>
      </c>
      <c r="CW110" s="21">
        <v>1.8192576091040986</v>
      </c>
      <c r="CX110" s="21">
        <v>1.8192576091040986</v>
      </c>
      <c r="CY110" s="21" t="e">
        <v>#N/A</v>
      </c>
      <c r="CZ110" s="21" t="e">
        <v>#N/A</v>
      </c>
      <c r="DA110" t="e">
        <v>#N/A</v>
      </c>
      <c r="DB110" t="str">
        <v/>
      </c>
      <c r="DX110">
        <v>105</v>
      </c>
      <c r="DY110">
        <v>6</v>
      </c>
      <c r="DZ110">
        <v>8.8224752287145186E-2</v>
      </c>
      <c r="EA110" t="str">
        <v/>
      </c>
    </row>
    <row r="111" spans="70:131" x14ac:dyDescent="0.2">
      <c r="BR111">
        <v>106</v>
      </c>
      <c r="BS111">
        <v>-0.51968503937007871</v>
      </c>
      <c r="BT111" s="21">
        <v>0.34854957608416842</v>
      </c>
      <c r="BU111" s="21">
        <v>7</v>
      </c>
      <c r="BV111" s="21">
        <v>4</v>
      </c>
      <c r="BW111" s="21">
        <v>0.8279102249670941</v>
      </c>
      <c r="BX111" s="21" t="str">
        <v/>
      </c>
      <c r="BY111" s="21" t="str">
        <v/>
      </c>
      <c r="CU111" s="21">
        <v>106</v>
      </c>
      <c r="CV111" s="21">
        <v>1</v>
      </c>
      <c r="CW111" s="21">
        <v>1.8192576091040986</v>
      </c>
      <c r="CX111" s="21">
        <v>1.8192576091040986</v>
      </c>
      <c r="CY111" s="21" t="e">
        <v>#N/A</v>
      </c>
      <c r="CZ111" s="21" t="e">
        <v>#N/A</v>
      </c>
      <c r="DA111" t="e">
        <v>#N/A</v>
      </c>
      <c r="DB111" t="str">
        <v/>
      </c>
      <c r="DX111">
        <v>106</v>
      </c>
      <c r="DY111">
        <v>6</v>
      </c>
      <c r="DZ111">
        <v>8.8224752287145186E-2</v>
      </c>
      <c r="EA111" t="str">
        <v/>
      </c>
    </row>
    <row r="112" spans="70:131" x14ac:dyDescent="0.2">
      <c r="BR112">
        <v>107</v>
      </c>
      <c r="BS112">
        <v>-0.49606299212598426</v>
      </c>
      <c r="BT112" s="21">
        <v>0.35275631744434299</v>
      </c>
      <c r="BU112" s="21">
        <v>7</v>
      </c>
      <c r="BV112" s="21">
        <v>4</v>
      </c>
      <c r="BW112" s="21">
        <v>0.8279102249670941</v>
      </c>
      <c r="BX112" s="21" t="str">
        <v/>
      </c>
      <c r="BY112" s="21" t="str">
        <v/>
      </c>
      <c r="CU112" s="21">
        <v>107</v>
      </c>
      <c r="CV112" s="21">
        <v>1</v>
      </c>
      <c r="CW112" s="21">
        <v>1.8192576091040986</v>
      </c>
      <c r="CX112" s="21">
        <v>1.8192576091040986</v>
      </c>
      <c r="CY112" s="21" t="e">
        <v>#N/A</v>
      </c>
      <c r="CZ112" s="21" t="e">
        <v>#N/A</v>
      </c>
      <c r="DA112" t="e">
        <v>#N/A</v>
      </c>
      <c r="DB112" t="str">
        <v/>
      </c>
      <c r="DX112">
        <v>107</v>
      </c>
      <c r="DY112">
        <v>6</v>
      </c>
      <c r="DZ112">
        <v>8.8224752287145186E-2</v>
      </c>
      <c r="EA112" t="str">
        <v/>
      </c>
    </row>
    <row r="113" spans="70:131" x14ac:dyDescent="0.2">
      <c r="BR113">
        <v>108</v>
      </c>
      <c r="BS113">
        <v>-0.47244094488188981</v>
      </c>
      <c r="BT113" s="21">
        <v>0.35681467258531119</v>
      </c>
      <c r="BU113" s="21">
        <v>7</v>
      </c>
      <c r="BV113" s="21">
        <v>4</v>
      </c>
      <c r="BW113" s="21">
        <v>0.8279102249670941</v>
      </c>
      <c r="BX113" s="21" t="str">
        <v/>
      </c>
      <c r="BY113" s="21" t="str">
        <v/>
      </c>
      <c r="CU113" s="21">
        <v>108</v>
      </c>
      <c r="CV113" s="21">
        <v>1</v>
      </c>
      <c r="CW113" s="21">
        <v>1.8192576091040986</v>
      </c>
      <c r="CX113" s="21">
        <v>1.8192576091040986</v>
      </c>
      <c r="CY113" s="21" t="e">
        <v>#N/A</v>
      </c>
      <c r="CZ113" s="21" t="e">
        <v>#N/A</v>
      </c>
      <c r="DA113" t="e">
        <v>#N/A</v>
      </c>
      <c r="DB113" t="str">
        <v/>
      </c>
      <c r="DX113">
        <v>108</v>
      </c>
      <c r="DY113">
        <v>6</v>
      </c>
      <c r="DZ113">
        <v>8.8224752287145186E-2</v>
      </c>
      <c r="EA113" t="str">
        <v/>
      </c>
    </row>
    <row r="114" spans="70:131" x14ac:dyDescent="0.2">
      <c r="BR114">
        <v>109</v>
      </c>
      <c r="BS114">
        <v>-0.44881889763779537</v>
      </c>
      <c r="BT114" s="21">
        <v>0.36071838045244237</v>
      </c>
      <c r="BU114" s="21">
        <v>7</v>
      </c>
      <c r="BV114" s="21">
        <v>4</v>
      </c>
      <c r="BW114" s="21">
        <v>0.8279102249670941</v>
      </c>
      <c r="BX114" s="21" t="str">
        <v/>
      </c>
      <c r="BY114" s="21" t="str">
        <v/>
      </c>
      <c r="CU114" s="21">
        <v>109</v>
      </c>
      <c r="CV114" s="21">
        <v>1</v>
      </c>
      <c r="CW114" s="21">
        <v>1.8192576091040986</v>
      </c>
      <c r="CX114" s="21">
        <v>1.8192576091040986</v>
      </c>
      <c r="CY114" s="21" t="e">
        <v>#N/A</v>
      </c>
      <c r="CZ114" s="21" t="e">
        <v>#N/A</v>
      </c>
      <c r="DA114" t="e">
        <v>#N/A</v>
      </c>
      <c r="DB114" t="str">
        <v/>
      </c>
      <c r="DX114">
        <v>109</v>
      </c>
      <c r="DY114">
        <v>6</v>
      </c>
      <c r="DZ114">
        <v>8.8224752287145186E-2</v>
      </c>
      <c r="EA114" t="str">
        <v/>
      </c>
    </row>
    <row r="115" spans="70:131" x14ac:dyDescent="0.2">
      <c r="BR115">
        <v>110</v>
      </c>
      <c r="BS115">
        <v>-0.42519685039370092</v>
      </c>
      <c r="BT115" s="21">
        <v>0.36446136998117984</v>
      </c>
      <c r="BU115" s="21">
        <v>7</v>
      </c>
      <c r="BV115" s="21">
        <v>4</v>
      </c>
      <c r="BW115" s="21">
        <v>0.8279102249670941</v>
      </c>
      <c r="BX115" s="21" t="str">
        <v/>
      </c>
      <c r="BY115" s="21" t="str">
        <v/>
      </c>
      <c r="CU115" s="21">
        <v>110</v>
      </c>
      <c r="CV115" s="21">
        <v>1</v>
      </c>
      <c r="CW115" s="21">
        <v>1.8192576091040986</v>
      </c>
      <c r="CX115" s="21">
        <v>1.8192576091040986</v>
      </c>
      <c r="CY115" s="21" t="e">
        <v>#N/A</v>
      </c>
      <c r="CZ115" s="21" t="e">
        <v>#N/A</v>
      </c>
      <c r="DA115" t="e">
        <v>#N/A</v>
      </c>
      <c r="DB115" t="str">
        <v/>
      </c>
      <c r="DX115">
        <v>110</v>
      </c>
      <c r="DY115">
        <v>6</v>
      </c>
      <c r="DZ115">
        <v>8.8224752287145186E-2</v>
      </c>
      <c r="EA115" t="str">
        <v/>
      </c>
    </row>
    <row r="116" spans="70:131" x14ac:dyDescent="0.2">
      <c r="BR116">
        <v>111</v>
      </c>
      <c r="BS116">
        <v>-0.40157480314960647</v>
      </c>
      <c r="BT116" s="21">
        <v>0.36803777579414604</v>
      </c>
      <c r="BU116" s="21">
        <v>7</v>
      </c>
      <c r="BV116" s="21">
        <v>4</v>
      </c>
      <c r="BW116" s="21">
        <v>0.8279102249670941</v>
      </c>
      <c r="BX116" s="21" t="str">
        <v/>
      </c>
      <c r="BY116" s="21" t="str">
        <v/>
      </c>
      <c r="CU116" s="21">
        <v>111</v>
      </c>
      <c r="CV116" s="21">
        <v>1</v>
      </c>
      <c r="CW116" s="21">
        <v>1.8192576091040986</v>
      </c>
      <c r="CX116" s="21">
        <v>1.8192576091040986</v>
      </c>
      <c r="CY116" s="21" t="e">
        <v>#N/A</v>
      </c>
      <c r="CZ116" s="21" t="e">
        <v>#N/A</v>
      </c>
      <c r="DA116" t="e">
        <v>#N/A</v>
      </c>
      <c r="DB116" t="str">
        <v/>
      </c>
      <c r="DX116">
        <v>111</v>
      </c>
      <c r="DY116">
        <v>6</v>
      </c>
      <c r="DZ116">
        <v>8.8224752287145186E-2</v>
      </c>
      <c r="EA116" t="str">
        <v/>
      </c>
    </row>
    <row r="117" spans="70:131" x14ac:dyDescent="0.2">
      <c r="BR117">
        <v>112</v>
      </c>
      <c r="BS117">
        <v>-0.37795275590551203</v>
      </c>
      <c r="BT117" s="21">
        <v>0.3714419534888897</v>
      </c>
      <c r="BU117" s="21">
        <v>7</v>
      </c>
      <c r="BV117" s="21">
        <v>4</v>
      </c>
      <c r="BW117" s="21">
        <v>0.8279102249670941</v>
      </c>
      <c r="BX117" s="21" t="str">
        <v/>
      </c>
      <c r="BY117" s="21" t="str">
        <v/>
      </c>
      <c r="CU117" s="21">
        <v>112</v>
      </c>
      <c r="CV117" s="21">
        <v>1</v>
      </c>
      <c r="CW117" s="21">
        <v>1.8192576091040986</v>
      </c>
      <c r="CX117" s="21">
        <v>1.8192576091040986</v>
      </c>
      <c r="CY117" s="21" t="e">
        <v>#N/A</v>
      </c>
      <c r="CZ117" s="21" t="e">
        <v>#N/A</v>
      </c>
      <c r="DA117" t="e">
        <v>#N/A</v>
      </c>
      <c r="DB117" t="str">
        <v/>
      </c>
      <c r="DX117">
        <v>112</v>
      </c>
      <c r="DY117">
        <v>6</v>
      </c>
      <c r="DZ117">
        <v>8.8224752287145186E-2</v>
      </c>
      <c r="EA117" t="str">
        <v/>
      </c>
    </row>
    <row r="118" spans="70:131" x14ac:dyDescent="0.2">
      <c r="BR118">
        <v>113</v>
      </c>
      <c r="BS118">
        <v>-0.35433070866141758</v>
      </c>
      <c r="BT118" s="21">
        <v>0.37466849446061029</v>
      </c>
      <c r="BU118" s="21">
        <v>7</v>
      </c>
      <c r="BV118" s="21">
        <v>4</v>
      </c>
      <c r="BW118" s="21">
        <v>0.8279102249670941</v>
      </c>
      <c r="BX118" s="21" t="str">
        <v/>
      </c>
      <c r="BY118" s="21" t="str">
        <v/>
      </c>
      <c r="CU118" s="21">
        <v>113</v>
      </c>
      <c r="CV118" s="21">
        <v>1</v>
      </c>
      <c r="CW118" s="21">
        <v>1.8192576091040986</v>
      </c>
      <c r="CX118" s="21">
        <v>1.8192576091040986</v>
      </c>
      <c r="CY118" s="21" t="e">
        <v>#N/A</v>
      </c>
      <c r="CZ118" s="21" t="e">
        <v>#N/A</v>
      </c>
      <c r="DA118" t="e">
        <v>#N/A</v>
      </c>
      <c r="DB118" t="str">
        <v/>
      </c>
      <c r="DX118">
        <v>113</v>
      </c>
      <c r="DY118">
        <v>6</v>
      </c>
      <c r="DZ118">
        <v>8.8224752287145186E-2</v>
      </c>
      <c r="EA118" t="str">
        <v/>
      </c>
    </row>
    <row r="119" spans="70:131" x14ac:dyDescent="0.2">
      <c r="BR119">
        <v>114</v>
      </c>
      <c r="BS119">
        <v>-0.33070866141732269</v>
      </c>
      <c r="BT119" s="21">
        <v>0.3777122402054594</v>
      </c>
      <c r="BU119" s="21">
        <v>7</v>
      </c>
      <c r="BV119" s="21">
        <v>4</v>
      </c>
      <c r="BW119" s="21">
        <v>0.8279102249670941</v>
      </c>
      <c r="BX119" s="21" t="str">
        <v/>
      </c>
      <c r="BY119" s="21" t="str">
        <v/>
      </c>
      <c r="CU119" s="21">
        <v>114</v>
      </c>
      <c r="CV119" s="21">
        <v>1</v>
      </c>
      <c r="CW119" s="21">
        <v>1.8192576091040986</v>
      </c>
      <c r="CX119" s="21">
        <v>1.8192576091040986</v>
      </c>
      <c r="CY119" s="21" t="e">
        <v>#N/A</v>
      </c>
      <c r="CZ119" s="21" t="e">
        <v>#N/A</v>
      </c>
      <c r="DA119" t="e">
        <v>#N/A</v>
      </c>
      <c r="DB119" t="str">
        <v/>
      </c>
      <c r="DX119">
        <v>114</v>
      </c>
      <c r="DY119">
        <v>6</v>
      </c>
      <c r="DZ119">
        <v>8.8224752287145186E-2</v>
      </c>
      <c r="EA119" t="str">
        <v/>
      </c>
    </row>
    <row r="120" spans="70:131" x14ac:dyDescent="0.2">
      <c r="BR120">
        <v>115</v>
      </c>
      <c r="BS120">
        <v>-0.30708661417322825</v>
      </c>
      <c r="BT120" s="21">
        <v>0.38056829605153553</v>
      </c>
      <c r="BU120" s="21">
        <v>7</v>
      </c>
      <c r="BV120" s="21">
        <v>4</v>
      </c>
      <c r="BW120" s="21">
        <v>0.8279102249670941</v>
      </c>
      <c r="BX120" s="21" t="str">
        <v/>
      </c>
      <c r="BY120" s="21" t="str">
        <v/>
      </c>
      <c r="CU120" s="21">
        <v>115</v>
      </c>
      <c r="CV120" s="21">
        <v>1</v>
      </c>
      <c r="CW120" s="21">
        <v>1.8192576091040986</v>
      </c>
      <c r="CX120" s="21">
        <v>1.8192576091040986</v>
      </c>
      <c r="CY120" s="21" t="e">
        <v>#N/A</v>
      </c>
      <c r="CZ120" s="21" t="e">
        <v>#N/A</v>
      </c>
      <c r="DA120" t="e">
        <v>#N/A</v>
      </c>
      <c r="DB120" t="str">
        <v/>
      </c>
      <c r="DX120">
        <v>115</v>
      </c>
      <c r="DY120">
        <v>6</v>
      </c>
      <c r="DZ120">
        <v>8.8224752287145186E-2</v>
      </c>
      <c r="EA120" t="str">
        <v/>
      </c>
    </row>
    <row r="121" spans="70:131" x14ac:dyDescent="0.2">
      <c r="BR121">
        <v>116</v>
      </c>
      <c r="BS121">
        <v>-0.2834645669291338</v>
      </c>
      <c r="BT121" s="21">
        <v>0.38323204426646018</v>
      </c>
      <c r="BU121" s="21">
        <v>7</v>
      </c>
      <c r="BV121" s="21">
        <v>4</v>
      </c>
      <c r="BW121" s="21">
        <v>0.8279102249670941</v>
      </c>
      <c r="BX121" s="21" t="str">
        <v/>
      </c>
      <c r="BY121" s="21" t="str">
        <v/>
      </c>
      <c r="CU121" s="21">
        <v>116</v>
      </c>
      <c r="CV121" s="21">
        <v>1</v>
      </c>
      <c r="CW121" s="21">
        <v>1.8192576091040986</v>
      </c>
      <c r="CX121" s="21">
        <v>1.8192576091040986</v>
      </c>
      <c r="CY121" s="21" t="e">
        <v>#N/A</v>
      </c>
      <c r="CZ121" s="21" t="e">
        <v>#N/A</v>
      </c>
      <c r="DA121" t="e">
        <v>#N/A</v>
      </c>
      <c r="DB121" t="str">
        <v/>
      </c>
      <c r="DX121">
        <v>116</v>
      </c>
      <c r="DY121">
        <v>6</v>
      </c>
      <c r="DZ121">
        <v>8.8224752287145186E-2</v>
      </c>
      <c r="EA121" t="str">
        <v/>
      </c>
    </row>
    <row r="122" spans="70:131" x14ac:dyDescent="0.2">
      <c r="BR122">
        <v>117</v>
      </c>
      <c r="BS122">
        <v>-0.25984251968503935</v>
      </c>
      <c r="BT122" s="21">
        <v>0.38569915649243564</v>
      </c>
      <c r="BU122" s="21">
        <v>7</v>
      </c>
      <c r="BV122" s="21">
        <v>4</v>
      </c>
      <c r="BW122" s="21">
        <v>0.8279102249670941</v>
      </c>
      <c r="BX122" s="21" t="str">
        <v/>
      </c>
      <c r="BY122" s="21" t="str">
        <v/>
      </c>
      <c r="CU122" s="21">
        <v>117</v>
      </c>
      <c r="CV122" s="21">
        <v>1</v>
      </c>
      <c r="CW122" s="21">
        <v>1.8192576091040986</v>
      </c>
      <c r="CX122" s="21">
        <v>1.8192576091040986</v>
      </c>
      <c r="CY122" s="21" t="e">
        <v>#N/A</v>
      </c>
      <c r="CZ122" s="21" t="e">
        <v>#N/A</v>
      </c>
      <c r="DA122" t="e">
        <v>#N/A</v>
      </c>
      <c r="DB122" t="str">
        <v/>
      </c>
      <c r="DX122">
        <v>117</v>
      </c>
      <c r="DY122">
        <v>6</v>
      </c>
      <c r="DZ122">
        <v>8.8224752287145186E-2</v>
      </c>
      <c r="EA122" t="str">
        <v/>
      </c>
    </row>
    <row r="123" spans="70:131" x14ac:dyDescent="0.2">
      <c r="BR123">
        <v>118</v>
      </c>
      <c r="BS123">
        <v>-0.23622047244094491</v>
      </c>
      <c r="BT123" s="21">
        <v>0.38796560546193709</v>
      </c>
      <c r="BU123" s="21">
        <v>7</v>
      </c>
      <c r="BV123" s="21">
        <v>4</v>
      </c>
      <c r="BW123" s="21">
        <v>0.8279102249670941</v>
      </c>
      <c r="BX123" s="21" t="str">
        <v/>
      </c>
      <c r="BY123" s="21" t="str">
        <v/>
      </c>
      <c r="CU123" s="21">
        <v>118</v>
      </c>
      <c r="CV123" s="21">
        <v>1</v>
      </c>
      <c r="CW123" s="21">
        <v>1.8192576091040986</v>
      </c>
      <c r="CX123" s="21">
        <v>1.8192576091040986</v>
      </c>
      <c r="CY123" s="21" t="e">
        <v>#N/A</v>
      </c>
      <c r="CZ123" s="21" t="e">
        <v>#N/A</v>
      </c>
      <c r="DA123" t="e">
        <v>#N/A</v>
      </c>
      <c r="DB123" t="str">
        <v/>
      </c>
      <c r="DX123">
        <v>118</v>
      </c>
      <c r="DY123">
        <v>6</v>
      </c>
      <c r="DZ123">
        <v>8.8224752287145186E-2</v>
      </c>
      <c r="EA123" t="str">
        <v/>
      </c>
    </row>
    <row r="124" spans="70:131" x14ac:dyDescent="0.2">
      <c r="BR124">
        <v>119</v>
      </c>
      <c r="BS124">
        <v>-0.21259842519685046</v>
      </c>
      <c r="BT124" s="21">
        <v>0.39002767594966714</v>
      </c>
      <c r="BU124" s="21">
        <v>7</v>
      </c>
      <c r="BV124" s="21">
        <v>4</v>
      </c>
      <c r="BW124" s="21">
        <v>0.8279102249670941</v>
      </c>
      <c r="BX124" s="21" t="str">
        <v/>
      </c>
      <c r="BY124" s="21" t="str">
        <v/>
      </c>
      <c r="CU124" s="21">
        <v>119</v>
      </c>
      <c r="CV124" s="21">
        <v>1</v>
      </c>
      <c r="CW124" s="21">
        <v>1.8192576091040986</v>
      </c>
      <c r="CX124" s="21">
        <v>1.8192576091040986</v>
      </c>
      <c r="CY124" s="21" t="e">
        <v>#N/A</v>
      </c>
      <c r="CZ124" s="21" t="e">
        <v>#N/A</v>
      </c>
      <c r="DA124" t="e">
        <v>#N/A</v>
      </c>
      <c r="DB124" t="str">
        <v/>
      </c>
      <c r="DX124">
        <v>119</v>
      </c>
      <c r="DY124">
        <v>6</v>
      </c>
      <c r="DZ124">
        <v>8.8224752287145186E-2</v>
      </c>
      <c r="EA124" t="str">
        <v/>
      </c>
    </row>
    <row r="125" spans="70:131" x14ac:dyDescent="0.2">
      <c r="BR125">
        <v>120</v>
      </c>
      <c r="BS125">
        <v>-0.18897637795275601</v>
      </c>
      <c r="BT125" s="21">
        <v>0.39188197491909466</v>
      </c>
      <c r="BU125" s="21">
        <v>8</v>
      </c>
      <c r="BV125" s="21">
        <v>3</v>
      </c>
      <c r="BW125" s="21">
        <v>0.6209326687253206</v>
      </c>
      <c r="BX125" s="21">
        <v>0.99</v>
      </c>
      <c r="BY125" s="21" t="str">
        <v/>
      </c>
      <c r="CU125" s="21">
        <v>120</v>
      </c>
      <c r="CV125" s="21">
        <v>1</v>
      </c>
      <c r="CW125" s="21">
        <v>1.8192576091040986</v>
      </c>
      <c r="CX125" s="21">
        <v>1.8192576091040986</v>
      </c>
      <c r="CY125" s="21" t="e">
        <v>#N/A</v>
      </c>
      <c r="CZ125" s="21" t="e">
        <v>#N/A</v>
      </c>
      <c r="DA125" t="e">
        <v>#N/A</v>
      </c>
      <c r="DB125" t="str">
        <v/>
      </c>
      <c r="DX125">
        <v>120</v>
      </c>
      <c r="DY125">
        <v>6</v>
      </c>
      <c r="DZ125">
        <v>8.8224752287145186E-2</v>
      </c>
      <c r="EA125" t="str">
        <v/>
      </c>
    </row>
    <row r="126" spans="70:131" x14ac:dyDescent="0.2">
      <c r="BR126">
        <v>121</v>
      </c>
      <c r="BS126">
        <v>-0.16535433070866157</v>
      </c>
      <c r="BT126" s="21">
        <v>0.39352544082479718</v>
      </c>
      <c r="BU126" s="21">
        <v>8</v>
      </c>
      <c r="BV126" s="21">
        <v>3</v>
      </c>
      <c r="BW126" s="21">
        <v>0.6209326687253206</v>
      </c>
      <c r="BX126" s="21" t="str">
        <v/>
      </c>
      <c r="BY126" s="21" t="str">
        <v/>
      </c>
      <c r="CU126" s="21">
        <v>121</v>
      </c>
      <c r="CV126" s="21">
        <v>1</v>
      </c>
      <c r="CW126" s="21">
        <v>1.8192576091040986</v>
      </c>
      <c r="CX126" s="21">
        <v>1.8192576091040986</v>
      </c>
      <c r="CY126" s="21" t="e">
        <v>#N/A</v>
      </c>
      <c r="CZ126" s="21" t="e">
        <v>#N/A</v>
      </c>
      <c r="DA126" t="e">
        <v>#N/A</v>
      </c>
      <c r="DB126" t="str">
        <v/>
      </c>
      <c r="DX126">
        <v>121</v>
      </c>
      <c r="DY126">
        <v>6</v>
      </c>
      <c r="DZ126">
        <v>8.8224752287145186E-2</v>
      </c>
      <c r="EA126" t="str">
        <v/>
      </c>
    </row>
    <row r="127" spans="70:131" x14ac:dyDescent="0.2">
      <c r="BR127">
        <v>122</v>
      </c>
      <c r="BS127">
        <v>-0.14173228346456712</v>
      </c>
      <c r="BT127" s="21">
        <v>0.39495535203491233</v>
      </c>
      <c r="BU127" s="21">
        <v>8</v>
      </c>
      <c r="BV127" s="21">
        <v>3</v>
      </c>
      <c r="BW127" s="21">
        <v>0.6209326687253206</v>
      </c>
      <c r="BX127" s="21" t="str">
        <v/>
      </c>
      <c r="BY127" s="21" t="str">
        <v/>
      </c>
      <c r="CU127" s="21">
        <v>122</v>
      </c>
      <c r="CV127" s="21">
        <v>1</v>
      </c>
      <c r="CW127" s="21">
        <v>1.8192576091040986</v>
      </c>
      <c r="CX127" s="21">
        <v>1.8192576091040986</v>
      </c>
      <c r="CY127" s="21" t="e">
        <v>#N/A</v>
      </c>
      <c r="CZ127" s="21" t="e">
        <v>#N/A</v>
      </c>
      <c r="DA127" t="e">
        <v>#N/A</v>
      </c>
      <c r="DB127" t="str">
        <v/>
      </c>
      <c r="DX127">
        <v>122</v>
      </c>
      <c r="DY127">
        <v>6</v>
      </c>
      <c r="DZ127">
        <v>8.8224752287145186E-2</v>
      </c>
      <c r="EA127" t="str">
        <v/>
      </c>
    </row>
    <row r="128" spans="70:131" x14ac:dyDescent="0.2">
      <c r="BR128">
        <v>123</v>
      </c>
      <c r="BS128">
        <v>-0.11811023622047268</v>
      </c>
      <c r="BT128" s="21">
        <v>0.39616933434126872</v>
      </c>
      <c r="BU128" s="21">
        <v>8</v>
      </c>
      <c r="BV128" s="21">
        <v>3</v>
      </c>
      <c r="BW128" s="21">
        <v>0.6209326687253206</v>
      </c>
      <c r="BX128" s="21" t="str">
        <v/>
      </c>
      <c r="BY128" s="21" t="str">
        <v/>
      </c>
      <c r="CU128" s="21">
        <v>123</v>
      </c>
      <c r="CV128" s="21">
        <v>1</v>
      </c>
      <c r="CW128" s="21">
        <v>1.8192576091040986</v>
      </c>
      <c r="CX128" s="21">
        <v>1.8192576091040986</v>
      </c>
      <c r="CY128" s="21" t="e">
        <v>#N/A</v>
      </c>
      <c r="CZ128" s="21" t="e">
        <v>#N/A</v>
      </c>
      <c r="DA128" t="e">
        <v>#N/A</v>
      </c>
      <c r="DB128" t="str">
        <v/>
      </c>
      <c r="DX128">
        <v>123</v>
      </c>
      <c r="DY128">
        <v>6</v>
      </c>
      <c r="DZ128">
        <v>8.8224752287145186E-2</v>
      </c>
      <c r="EA128" t="str">
        <v/>
      </c>
    </row>
    <row r="129" spans="70:131" x14ac:dyDescent="0.2">
      <c r="BR129">
        <v>124</v>
      </c>
      <c r="BS129">
        <v>-9.4488188976377785E-2</v>
      </c>
      <c r="BT129" s="21">
        <v>0.39716536752818871</v>
      </c>
      <c r="BU129" s="21">
        <v>8</v>
      </c>
      <c r="BV129" s="21">
        <v>3</v>
      </c>
      <c r="BW129" s="21">
        <v>0.6209326687253206</v>
      </c>
      <c r="BX129" s="21" t="str">
        <v/>
      </c>
      <c r="BY129" s="21" t="str">
        <v/>
      </c>
      <c r="CU129" s="21">
        <v>124</v>
      </c>
      <c r="CV129" s="21">
        <v>1</v>
      </c>
      <c r="CW129" s="21">
        <v>1.8192576091040986</v>
      </c>
      <c r="CX129" s="21">
        <v>1.8192576091040986</v>
      </c>
      <c r="CY129" s="21" t="e">
        <v>#N/A</v>
      </c>
      <c r="CZ129" s="21" t="e">
        <v>#N/A</v>
      </c>
      <c r="DA129" t="e">
        <v>#N/A</v>
      </c>
      <c r="DB129" t="str">
        <v/>
      </c>
      <c r="DX129">
        <v>124</v>
      </c>
      <c r="DY129">
        <v>6</v>
      </c>
      <c r="DZ129">
        <v>8.8224752287145186E-2</v>
      </c>
      <c r="EA129" t="str">
        <v/>
      </c>
    </row>
    <row r="130" spans="70:131" x14ac:dyDescent="0.2">
      <c r="BR130">
        <v>125</v>
      </c>
      <c r="BS130">
        <v>-7.0866141732283339E-2</v>
      </c>
      <c r="BT130" s="21">
        <v>0.39794179097452625</v>
      </c>
      <c r="BU130" s="21">
        <v>8</v>
      </c>
      <c r="BV130" s="21">
        <v>3</v>
      </c>
      <c r="BW130" s="21">
        <v>0.6209326687253206</v>
      </c>
      <c r="BX130" s="21" t="str">
        <v/>
      </c>
      <c r="BY130" s="21" t="str">
        <v/>
      </c>
      <c r="CU130" s="21">
        <v>125</v>
      </c>
      <c r="CV130" s="21">
        <v>1</v>
      </c>
      <c r="CW130" s="21">
        <v>1.8192576091040986</v>
      </c>
      <c r="CX130" s="21">
        <v>1.8192576091040986</v>
      </c>
      <c r="CY130" s="21" t="e">
        <v>#N/A</v>
      </c>
      <c r="CZ130" s="21" t="e">
        <v>#N/A</v>
      </c>
      <c r="DA130" t="e">
        <v>#N/A</v>
      </c>
      <c r="DB130" t="str">
        <v/>
      </c>
      <c r="DX130">
        <v>125</v>
      </c>
      <c r="DY130">
        <v>6</v>
      </c>
      <c r="DZ130">
        <v>8.8224752287145186E-2</v>
      </c>
      <c r="EA130" t="str">
        <v/>
      </c>
    </row>
    <row r="131" spans="70:131" x14ac:dyDescent="0.2">
      <c r="BR131">
        <v>126</v>
      </c>
      <c r="BS131">
        <v>-4.7244094488188892E-2</v>
      </c>
      <c r="BT131" s="21">
        <v>0.39849730826719421</v>
      </c>
      <c r="BU131" s="21">
        <v>8</v>
      </c>
      <c r="BV131" s="21">
        <v>3</v>
      </c>
      <c r="BW131" s="21">
        <v>0.6209326687253206</v>
      </c>
      <c r="BX131" s="21" t="str">
        <v/>
      </c>
      <c r="BY131" s="21" t="str">
        <v/>
      </c>
      <c r="CU131" s="21">
        <v>126</v>
      </c>
      <c r="CV131" s="21">
        <v>1</v>
      </c>
      <c r="CW131" s="21">
        <v>1.8192576091040986</v>
      </c>
      <c r="CX131" s="21">
        <v>1.8192576091040986</v>
      </c>
      <c r="CY131" s="21" t="e">
        <v>#N/A</v>
      </c>
      <c r="CZ131" s="21" t="e">
        <v>#N/A</v>
      </c>
      <c r="DA131" t="e">
        <v>#N/A</v>
      </c>
      <c r="DB131" t="str">
        <v/>
      </c>
      <c r="DX131">
        <v>126</v>
      </c>
      <c r="DY131">
        <v>6</v>
      </c>
      <c r="DZ131">
        <v>8.8224752287145186E-2</v>
      </c>
      <c r="EA131" t="str">
        <v/>
      </c>
    </row>
    <row r="132" spans="70:131" x14ac:dyDescent="0.2">
      <c r="BR132">
        <v>127</v>
      </c>
      <c r="BS132">
        <v>-2.3622047244094446E-2</v>
      </c>
      <c r="BT132" s="21">
        <v>0.39883099080824164</v>
      </c>
      <c r="BU132" s="21">
        <v>8</v>
      </c>
      <c r="BV132" s="21">
        <v>3</v>
      </c>
      <c r="BW132" s="21">
        <v>0.6209326687253206</v>
      </c>
      <c r="BX132" s="21" t="str">
        <v/>
      </c>
      <c r="BY132" s="21" t="str">
        <v/>
      </c>
      <c r="CU132" s="21">
        <v>127</v>
      </c>
      <c r="CV132" s="21">
        <v>1</v>
      </c>
      <c r="CW132" s="21">
        <v>1.8192576091040986</v>
      </c>
      <c r="CX132" s="21">
        <v>1.8192576091040986</v>
      </c>
      <c r="CY132" s="21" t="e">
        <v>#N/A</v>
      </c>
      <c r="CZ132" s="21" t="e">
        <v>#N/A</v>
      </c>
      <c r="DA132" t="e">
        <v>#N/A</v>
      </c>
      <c r="DB132" t="str">
        <v/>
      </c>
      <c r="DX132">
        <v>127</v>
      </c>
      <c r="DY132">
        <v>6</v>
      </c>
      <c r="DZ132">
        <v>8.8224752287145186E-2</v>
      </c>
      <c r="EA132" t="str">
        <v/>
      </c>
    </row>
    <row r="133" spans="70:131" x14ac:dyDescent="0.2">
      <c r="BR133">
        <v>128</v>
      </c>
      <c r="BS133">
        <v>0</v>
      </c>
      <c r="BT133" s="21">
        <v>0.3989422804014327</v>
      </c>
      <c r="BU133" s="21">
        <v>8</v>
      </c>
      <c r="BV133" s="21">
        <v>3</v>
      </c>
      <c r="BW133" s="21">
        <v>0.6209326687253206</v>
      </c>
      <c r="BX133" s="21" t="str">
        <v/>
      </c>
      <c r="BY133" s="21" t="str">
        <v>0σ</v>
      </c>
      <c r="CU133" s="21">
        <v>128</v>
      </c>
      <c r="CV133" s="21">
        <v>1</v>
      </c>
      <c r="CW133" s="21">
        <v>1.8192576091040986</v>
      </c>
      <c r="CX133" s="21">
        <v>1.8192576091040986</v>
      </c>
      <c r="CY133" s="21" t="e">
        <v>#N/A</v>
      </c>
      <c r="CZ133" s="21" t="e">
        <v>#N/A</v>
      </c>
      <c r="DA133" t="e">
        <v>#N/A</v>
      </c>
      <c r="DB133" t="str">
        <v/>
      </c>
      <c r="DX133">
        <v>128</v>
      </c>
      <c r="DY133">
        <v>6</v>
      </c>
      <c r="DZ133">
        <v>8.8224752287145186E-2</v>
      </c>
      <c r="EA133" t="str">
        <v/>
      </c>
    </row>
    <row r="134" spans="70:131" x14ac:dyDescent="0.2">
      <c r="BR134">
        <v>129</v>
      </c>
      <c r="BS134">
        <v>2.3622047244094446E-2</v>
      </c>
      <c r="BT134" s="21">
        <v>0.39883099080824164</v>
      </c>
      <c r="BU134" s="21">
        <v>8</v>
      </c>
      <c r="BV134" s="21">
        <v>3</v>
      </c>
      <c r="BW134" s="21">
        <v>0.6209326687253206</v>
      </c>
      <c r="BX134" s="21" t="str">
        <v/>
      </c>
      <c r="BY134" s="21" t="str">
        <v/>
      </c>
      <c r="CU134" s="21">
        <v>129</v>
      </c>
      <c r="CV134" s="21">
        <v>1</v>
      </c>
      <c r="CW134" s="21">
        <v>1.8192576091040986</v>
      </c>
      <c r="CX134" s="21">
        <v>1.8192576091040986</v>
      </c>
      <c r="CY134" s="21" t="e">
        <v>#N/A</v>
      </c>
      <c r="CZ134" s="21" t="e">
        <v>#N/A</v>
      </c>
      <c r="DA134" t="e">
        <v>#N/A</v>
      </c>
      <c r="DB134" t="str">
        <v/>
      </c>
      <c r="DX134">
        <v>129</v>
      </c>
      <c r="DY134">
        <v>6</v>
      </c>
      <c r="DZ134">
        <v>8.8224752287145186E-2</v>
      </c>
      <c r="EA134" t="str">
        <v/>
      </c>
    </row>
    <row r="135" spans="70:131" x14ac:dyDescent="0.2">
      <c r="BR135">
        <v>130</v>
      </c>
      <c r="BS135">
        <v>4.7244094488188892E-2</v>
      </c>
      <c r="BT135" s="21">
        <v>0.39849730826719421</v>
      </c>
      <c r="BU135" s="21">
        <v>8</v>
      </c>
      <c r="BV135" s="21">
        <v>3</v>
      </c>
      <c r="BW135" s="21">
        <v>0.6209326687253206</v>
      </c>
      <c r="BX135" s="21" t="str">
        <v/>
      </c>
      <c r="BY135" s="21" t="str">
        <v/>
      </c>
      <c r="CU135" s="21">
        <v>130</v>
      </c>
      <c r="CV135" s="21">
        <v>1</v>
      </c>
      <c r="CW135" s="21">
        <v>1.8192576091040986</v>
      </c>
      <c r="CX135" s="21">
        <v>1.8192576091040986</v>
      </c>
      <c r="CY135" s="21" t="e">
        <v>#N/A</v>
      </c>
      <c r="CZ135" s="21" t="e">
        <v>#N/A</v>
      </c>
      <c r="DA135" t="e">
        <v>#N/A</v>
      </c>
      <c r="DB135" t="str">
        <v/>
      </c>
      <c r="DX135">
        <v>130</v>
      </c>
      <c r="DY135">
        <v>6</v>
      </c>
      <c r="DZ135">
        <v>8.8224752287145186E-2</v>
      </c>
      <c r="EA135" t="str">
        <v/>
      </c>
    </row>
    <row r="136" spans="70:131" x14ac:dyDescent="0.2">
      <c r="BR136">
        <v>131</v>
      </c>
      <c r="BS136">
        <v>7.0866141732283339E-2</v>
      </c>
      <c r="BT136" s="21">
        <v>0.39794179097452625</v>
      </c>
      <c r="BU136" s="21">
        <v>8</v>
      </c>
      <c r="BV136" s="21">
        <v>3</v>
      </c>
      <c r="BW136" s="21">
        <v>0.6209326687253206</v>
      </c>
      <c r="BX136" s="21" t="str">
        <v/>
      </c>
      <c r="BY136" s="21" t="str">
        <v/>
      </c>
      <c r="CU136" s="21">
        <v>131</v>
      </c>
      <c r="CV136" s="21">
        <v>1</v>
      </c>
      <c r="CW136" s="21">
        <v>1.8192576091040986</v>
      </c>
      <c r="CX136" s="21">
        <v>1.8192576091040986</v>
      </c>
      <c r="CY136" s="21" t="e">
        <v>#N/A</v>
      </c>
      <c r="CZ136" s="21" t="e">
        <v>#N/A</v>
      </c>
      <c r="DA136" t="e">
        <v>#N/A</v>
      </c>
      <c r="DB136" t="str">
        <v/>
      </c>
      <c r="DX136">
        <v>131</v>
      </c>
      <c r="DY136">
        <v>6</v>
      </c>
      <c r="DZ136">
        <v>8.8224752287145186E-2</v>
      </c>
      <c r="EA136" t="str">
        <v/>
      </c>
    </row>
    <row r="137" spans="70:131" x14ac:dyDescent="0.2">
      <c r="BR137">
        <v>132</v>
      </c>
      <c r="BS137">
        <v>9.4488188976377785E-2</v>
      </c>
      <c r="BT137" s="21">
        <v>0.39716536752818871</v>
      </c>
      <c r="BU137" s="21">
        <v>8</v>
      </c>
      <c r="BV137" s="21">
        <v>3</v>
      </c>
      <c r="BW137" s="21">
        <v>0.6209326687253206</v>
      </c>
      <c r="BX137" s="21" t="str">
        <v/>
      </c>
      <c r="BY137" s="21" t="str">
        <v/>
      </c>
      <c r="CU137" s="21">
        <v>132</v>
      </c>
      <c r="CV137" s="21">
        <v>1</v>
      </c>
      <c r="CW137" s="21">
        <v>1.8192576091040986</v>
      </c>
      <c r="CX137" s="21">
        <v>1.8192576091040986</v>
      </c>
      <c r="CY137" s="21" t="e">
        <v>#N/A</v>
      </c>
      <c r="CZ137" s="21" t="e">
        <v>#N/A</v>
      </c>
      <c r="DA137" t="e">
        <v>#N/A</v>
      </c>
      <c r="DB137" t="str">
        <v/>
      </c>
      <c r="DX137">
        <v>132</v>
      </c>
      <c r="DY137">
        <v>6</v>
      </c>
      <c r="DZ137">
        <v>8.8224752287145186E-2</v>
      </c>
      <c r="EA137" t="str">
        <v/>
      </c>
    </row>
    <row r="138" spans="70:131" x14ac:dyDescent="0.2">
      <c r="BR138">
        <v>133</v>
      </c>
      <c r="BS138">
        <v>0.11811023622047223</v>
      </c>
      <c r="BT138" s="21">
        <v>0.39616933434126872</v>
      </c>
      <c r="BU138" s="21">
        <v>8</v>
      </c>
      <c r="BV138" s="21">
        <v>3</v>
      </c>
      <c r="BW138" s="21">
        <v>0.6209326687253206</v>
      </c>
      <c r="BX138" s="21" t="str">
        <v/>
      </c>
      <c r="BY138" s="21" t="str">
        <v/>
      </c>
      <c r="CU138" s="21">
        <v>133</v>
      </c>
      <c r="CV138" s="21">
        <v>1</v>
      </c>
      <c r="CW138" s="21">
        <v>1.8192576091040986</v>
      </c>
      <c r="CX138" s="21">
        <v>1.8192576091040986</v>
      </c>
      <c r="CY138" s="21" t="e">
        <v>#N/A</v>
      </c>
      <c r="CZ138" s="21" t="e">
        <v>#N/A</v>
      </c>
      <c r="DA138" t="e">
        <v>#N/A</v>
      </c>
      <c r="DB138" t="str">
        <v/>
      </c>
      <c r="DX138">
        <v>133</v>
      </c>
      <c r="DY138">
        <v>6</v>
      </c>
      <c r="DZ138">
        <v>8.8224752287145186E-2</v>
      </c>
      <c r="EA138" t="str">
        <v/>
      </c>
    </row>
    <row r="139" spans="70:131" x14ac:dyDescent="0.2">
      <c r="BR139">
        <v>134</v>
      </c>
      <c r="BS139">
        <v>0.14173228346456668</v>
      </c>
      <c r="BT139" s="21">
        <v>0.39495535203491233</v>
      </c>
      <c r="BU139" s="21">
        <v>8</v>
      </c>
      <c r="BV139" s="21">
        <v>3</v>
      </c>
      <c r="BW139" s="21">
        <v>0.6209326687253206</v>
      </c>
      <c r="BX139" s="21" t="str">
        <v/>
      </c>
      <c r="BY139" s="21" t="str">
        <v/>
      </c>
      <c r="CU139" s="21">
        <v>134</v>
      </c>
      <c r="CV139" s="21">
        <v>1</v>
      </c>
      <c r="CW139" s="21">
        <v>1.8192576091040986</v>
      </c>
      <c r="CX139" s="21">
        <v>1.8192576091040986</v>
      </c>
      <c r="CY139" s="21" t="e">
        <v>#N/A</v>
      </c>
      <c r="CZ139" s="21" t="e">
        <v>#N/A</v>
      </c>
      <c r="DA139" t="e">
        <v>#N/A</v>
      </c>
      <c r="DB139" t="str">
        <v/>
      </c>
      <c r="DX139">
        <v>134</v>
      </c>
      <c r="DY139">
        <v>6</v>
      </c>
      <c r="DZ139">
        <v>8.8224752287145186E-2</v>
      </c>
      <c r="EA139" t="str">
        <v/>
      </c>
    </row>
    <row r="140" spans="70:131" x14ac:dyDescent="0.2">
      <c r="BR140">
        <v>135</v>
      </c>
      <c r="BS140">
        <v>0.16535433070866157</v>
      </c>
      <c r="BT140" s="21">
        <v>0.39352544082479718</v>
      </c>
      <c r="BU140" s="21">
        <v>8</v>
      </c>
      <c r="BV140" s="21">
        <v>3</v>
      </c>
      <c r="BW140" s="21">
        <v>0.6209326687253206</v>
      </c>
      <c r="BX140" s="21" t="str">
        <v/>
      </c>
      <c r="BY140" s="21" t="str">
        <v/>
      </c>
      <c r="CU140" s="21">
        <v>135</v>
      </c>
      <c r="CV140" s="21">
        <v>1</v>
      </c>
      <c r="CW140" s="21">
        <v>1.8192576091040986</v>
      </c>
      <c r="CX140" s="21">
        <v>1.8192576091040986</v>
      </c>
      <c r="CY140" s="21" t="e">
        <v>#N/A</v>
      </c>
      <c r="CZ140" s="21" t="e">
        <v>#N/A</v>
      </c>
      <c r="DA140" t="e">
        <v>#N/A</v>
      </c>
      <c r="DB140" t="str">
        <v/>
      </c>
      <c r="DX140">
        <v>135</v>
      </c>
      <c r="DY140">
        <v>6</v>
      </c>
      <c r="DZ140">
        <v>8.8224752287145186E-2</v>
      </c>
      <c r="EA140" t="str">
        <v/>
      </c>
    </row>
    <row r="141" spans="70:131" x14ac:dyDescent="0.2">
      <c r="BR141">
        <v>136</v>
      </c>
      <c r="BS141">
        <v>0.18897637795275601</v>
      </c>
      <c r="BT141" s="21">
        <v>0.39188197491909466</v>
      </c>
      <c r="BU141" s="21">
        <v>8</v>
      </c>
      <c r="BV141" s="21">
        <v>3</v>
      </c>
      <c r="BW141" s="21">
        <v>0.6209326687253206</v>
      </c>
      <c r="BX141" s="21" t="str">
        <v/>
      </c>
      <c r="BY141" s="21" t="str">
        <v/>
      </c>
      <c r="CU141" s="21">
        <v>136</v>
      </c>
      <c r="CV141" s="21">
        <v>1</v>
      </c>
      <c r="CW141" s="21">
        <v>1.8192576091040986</v>
      </c>
      <c r="CX141" s="21">
        <v>1.8192576091040986</v>
      </c>
      <c r="CY141" s="21" t="e">
        <v>#N/A</v>
      </c>
      <c r="CZ141" s="21" t="e">
        <v>#N/A</v>
      </c>
      <c r="DA141" t="e">
        <v>#N/A</v>
      </c>
      <c r="DB141" t="str">
        <v/>
      </c>
      <c r="DX141">
        <v>136</v>
      </c>
      <c r="DY141">
        <v>6</v>
      </c>
      <c r="DZ141">
        <v>8.8224752287145186E-2</v>
      </c>
      <c r="EA141" t="str">
        <v/>
      </c>
    </row>
    <row r="142" spans="70:131" x14ac:dyDescent="0.2">
      <c r="BR142">
        <v>137</v>
      </c>
      <c r="BS142">
        <v>0.21259842519685046</v>
      </c>
      <c r="BT142" s="21">
        <v>0.39002767594966714</v>
      </c>
      <c r="BU142" s="21">
        <v>9</v>
      </c>
      <c r="BV142" s="21">
        <v>0</v>
      </c>
      <c r="BW142" s="21">
        <v>0</v>
      </c>
      <c r="BX142" s="21">
        <v>2.72</v>
      </c>
      <c r="BY142" s="21" t="str">
        <v/>
      </c>
      <c r="CU142" s="21">
        <v>137</v>
      </c>
      <c r="CV142" s="21">
        <v>1</v>
      </c>
      <c r="CW142" s="21">
        <v>1.8192576091040986</v>
      </c>
      <c r="CX142" s="21">
        <v>1.8192576091040986</v>
      </c>
      <c r="CY142" s="21" t="e">
        <v>#N/A</v>
      </c>
      <c r="CZ142" s="21" t="e">
        <v>#N/A</v>
      </c>
      <c r="DA142" t="e">
        <v>#N/A</v>
      </c>
      <c r="DB142" t="str">
        <v/>
      </c>
      <c r="DX142">
        <v>137</v>
      </c>
      <c r="DY142">
        <v>6</v>
      </c>
      <c r="DZ142">
        <v>8.8224752287145186E-2</v>
      </c>
      <c r="EA142" t="str">
        <v/>
      </c>
    </row>
    <row r="143" spans="70:131" x14ac:dyDescent="0.2">
      <c r="BR143">
        <v>138</v>
      </c>
      <c r="BS143">
        <v>0.23622047244094491</v>
      </c>
      <c r="BT143" s="21">
        <v>0.38796560546193709</v>
      </c>
      <c r="BU143" s="21">
        <v>9</v>
      </c>
      <c r="BV143" s="21">
        <v>0</v>
      </c>
      <c r="BW143" s="21">
        <v>0</v>
      </c>
      <c r="BX143" s="21" t="str">
        <v/>
      </c>
      <c r="BY143" s="21" t="str">
        <v/>
      </c>
      <c r="CU143" s="21">
        <v>138</v>
      </c>
      <c r="CV143" s="21">
        <v>1</v>
      </c>
      <c r="CW143" s="21">
        <v>1.8192576091040986</v>
      </c>
      <c r="CX143" s="21">
        <v>1.8192576091040986</v>
      </c>
      <c r="CY143" s="21" t="e">
        <v>#N/A</v>
      </c>
      <c r="CZ143" s="21" t="e">
        <v>#N/A</v>
      </c>
      <c r="DA143" t="e">
        <v>#N/A</v>
      </c>
      <c r="DB143" t="str">
        <v/>
      </c>
      <c r="DX143">
        <v>138</v>
      </c>
      <c r="DY143">
        <v>6</v>
      </c>
      <c r="DZ143">
        <v>8.8224752287145186E-2</v>
      </c>
      <c r="EA143" t="str">
        <v/>
      </c>
    </row>
    <row r="144" spans="70:131" x14ac:dyDescent="0.2">
      <c r="BR144">
        <v>139</v>
      </c>
      <c r="BS144">
        <v>0.25984251968503935</v>
      </c>
      <c r="BT144" s="21">
        <v>0.38569915649243564</v>
      </c>
      <c r="BU144" s="21">
        <v>9</v>
      </c>
      <c r="BV144" s="21">
        <v>0</v>
      </c>
      <c r="BW144" s="21">
        <v>0</v>
      </c>
      <c r="BX144" s="21" t="str">
        <v/>
      </c>
      <c r="BY144" s="21" t="str">
        <v/>
      </c>
      <c r="CU144" s="21">
        <v>139</v>
      </c>
      <c r="CV144" s="21">
        <v>1</v>
      </c>
      <c r="CW144" s="21">
        <v>1.8192576091040986</v>
      </c>
      <c r="CX144" s="21">
        <v>1.8192576091040986</v>
      </c>
      <c r="CY144" s="21" t="e">
        <v>#N/A</v>
      </c>
      <c r="CZ144" s="21" t="e">
        <v>#N/A</v>
      </c>
      <c r="DA144" t="e">
        <v>#N/A</v>
      </c>
      <c r="DB144" t="str">
        <v/>
      </c>
      <c r="DX144">
        <v>139</v>
      </c>
      <c r="DY144">
        <v>6</v>
      </c>
      <c r="DZ144">
        <v>8.8224752287145186E-2</v>
      </c>
      <c r="EA144" t="str">
        <v/>
      </c>
    </row>
    <row r="145" spans="70:131" x14ac:dyDescent="0.2">
      <c r="BR145">
        <v>140</v>
      </c>
      <c r="BS145">
        <v>0.2834645669291338</v>
      </c>
      <c r="BT145" s="21">
        <v>0.38323204426646018</v>
      </c>
      <c r="BU145" s="21">
        <v>9</v>
      </c>
      <c r="BV145" s="21">
        <v>0</v>
      </c>
      <c r="BW145" s="21">
        <v>0</v>
      </c>
      <c r="BX145" s="21" t="str">
        <v/>
      </c>
      <c r="BY145" s="21" t="str">
        <v/>
      </c>
      <c r="CU145" s="21">
        <v>140</v>
      </c>
      <c r="CV145" s="21">
        <v>1</v>
      </c>
      <c r="CW145" s="21">
        <v>1.8192576091040986</v>
      </c>
      <c r="CX145" s="21">
        <v>1.8192576091040986</v>
      </c>
      <c r="CY145" s="21" t="e">
        <v>#N/A</v>
      </c>
      <c r="CZ145" s="21" t="e">
        <v>#N/A</v>
      </c>
      <c r="DA145" t="e">
        <v>#N/A</v>
      </c>
      <c r="DB145" t="str">
        <v/>
      </c>
      <c r="DX145">
        <v>140</v>
      </c>
      <c r="DY145">
        <v>6</v>
      </c>
      <c r="DZ145">
        <v>8.8224752287145186E-2</v>
      </c>
      <c r="EA145" t="str">
        <v/>
      </c>
    </row>
    <row r="146" spans="70:131" x14ac:dyDescent="0.2">
      <c r="BR146">
        <v>141</v>
      </c>
      <c r="BS146">
        <v>0.30708661417322825</v>
      </c>
      <c r="BT146" s="21">
        <v>0.38056829605153553</v>
      </c>
      <c r="BU146" s="21">
        <v>9</v>
      </c>
      <c r="BV146" s="21">
        <v>0</v>
      </c>
      <c r="BW146" s="21">
        <v>0</v>
      </c>
      <c r="BX146" s="21" t="str">
        <v/>
      </c>
      <c r="BY146" s="21" t="str">
        <v/>
      </c>
      <c r="CU146" s="21">
        <v>141</v>
      </c>
      <c r="CV146" s="21">
        <v>1</v>
      </c>
      <c r="CW146" s="21">
        <v>1.8192576091040986</v>
      </c>
      <c r="CX146" s="21">
        <v>1.8192576091040986</v>
      </c>
      <c r="CY146" s="21" t="e">
        <v>#N/A</v>
      </c>
      <c r="CZ146" s="21" t="e">
        <v>#N/A</v>
      </c>
      <c r="DA146" t="e">
        <v>#N/A</v>
      </c>
      <c r="DB146" t="str">
        <v/>
      </c>
      <c r="DX146">
        <v>141</v>
      </c>
      <c r="DY146">
        <v>6</v>
      </c>
      <c r="DZ146">
        <v>8.8224752287145186E-2</v>
      </c>
      <c r="EA146" t="str">
        <v/>
      </c>
    </row>
    <row r="147" spans="70:131" x14ac:dyDescent="0.2">
      <c r="BR147">
        <v>142</v>
      </c>
      <c r="BS147">
        <v>0.33070866141732269</v>
      </c>
      <c r="BT147" s="21">
        <v>0.3777122402054594</v>
      </c>
      <c r="BU147" s="21">
        <v>9</v>
      </c>
      <c r="BV147" s="21">
        <v>0</v>
      </c>
      <c r="BW147" s="21">
        <v>0</v>
      </c>
      <c r="BX147" s="21" t="str">
        <v/>
      </c>
      <c r="BY147" s="21" t="str">
        <v/>
      </c>
      <c r="CU147" s="21">
        <v>142</v>
      </c>
      <c r="CV147" s="21">
        <v>1</v>
      </c>
      <c r="CW147" s="21">
        <v>1.8192576091040986</v>
      </c>
      <c r="CX147" s="21">
        <v>1.8192576091040986</v>
      </c>
      <c r="CY147" s="21" t="e">
        <v>#N/A</v>
      </c>
      <c r="CZ147" s="21" t="e">
        <v>#N/A</v>
      </c>
      <c r="DA147" t="e">
        <v>#N/A</v>
      </c>
      <c r="DB147" t="str">
        <v/>
      </c>
      <c r="DX147">
        <v>142</v>
      </c>
      <c r="DY147">
        <v>6</v>
      </c>
      <c r="DZ147">
        <v>8.8224752287145186E-2</v>
      </c>
      <c r="EA147" t="str">
        <v/>
      </c>
    </row>
    <row r="148" spans="70:131" x14ac:dyDescent="0.2">
      <c r="BR148">
        <v>143</v>
      </c>
      <c r="BS148">
        <v>0.35433070866141714</v>
      </c>
      <c r="BT148" s="21">
        <v>0.37466849446061029</v>
      </c>
      <c r="BU148" s="21">
        <v>9</v>
      </c>
      <c r="BV148" s="21">
        <v>0</v>
      </c>
      <c r="BW148" s="21">
        <v>0</v>
      </c>
      <c r="BX148" s="21" t="str">
        <v/>
      </c>
      <c r="BY148" s="21" t="str">
        <v/>
      </c>
      <c r="CU148" s="21">
        <v>143</v>
      </c>
      <c r="CV148" s="21">
        <v>1</v>
      </c>
      <c r="CW148" s="21">
        <v>1.8192576091040986</v>
      </c>
      <c r="CX148" s="21">
        <v>1.8192576091040986</v>
      </c>
      <c r="CY148" s="21" t="e">
        <v>#N/A</v>
      </c>
      <c r="CZ148" s="21" t="e">
        <v>#N/A</v>
      </c>
      <c r="DA148" t="e">
        <v>#N/A</v>
      </c>
      <c r="DB148" t="str">
        <v/>
      </c>
      <c r="DX148">
        <v>143</v>
      </c>
      <c r="DY148">
        <v>6</v>
      </c>
      <c r="DZ148">
        <v>8.8224752287145186E-2</v>
      </c>
      <c r="EA148" t="str">
        <v/>
      </c>
    </row>
    <row r="149" spans="70:131" x14ac:dyDescent="0.2">
      <c r="BR149">
        <v>144</v>
      </c>
      <c r="BS149">
        <v>0.37795275590551158</v>
      </c>
      <c r="BT149" s="21">
        <v>0.37144195348888975</v>
      </c>
      <c r="BU149" s="21">
        <v>9</v>
      </c>
      <c r="BV149" s="21">
        <v>0</v>
      </c>
      <c r="BW149" s="21">
        <v>0</v>
      </c>
      <c r="BX149" s="21" t="str">
        <v/>
      </c>
      <c r="BY149" s="21" t="str">
        <v/>
      </c>
      <c r="CU149" s="21">
        <v>144</v>
      </c>
      <c r="CV149" s="21">
        <v>1</v>
      </c>
      <c r="CW149" s="21">
        <v>1.8192576091040986</v>
      </c>
      <c r="CX149" s="21">
        <v>1.8192576091040986</v>
      </c>
      <c r="CY149" s="21" t="e">
        <v>#N/A</v>
      </c>
      <c r="CZ149" s="21" t="e">
        <v>#N/A</v>
      </c>
      <c r="DA149" t="e">
        <v>#N/A</v>
      </c>
      <c r="DB149" t="str">
        <v/>
      </c>
      <c r="DX149">
        <v>144</v>
      </c>
      <c r="DY149">
        <v>6</v>
      </c>
      <c r="DZ149">
        <v>8.8224752287145186E-2</v>
      </c>
      <c r="EA149" t="str">
        <v/>
      </c>
    </row>
    <row r="150" spans="70:131" x14ac:dyDescent="0.2">
      <c r="BR150">
        <v>145</v>
      </c>
      <c r="BS150">
        <v>0.40157480314960647</v>
      </c>
      <c r="BT150" s="21">
        <v>0.36803777579414604</v>
      </c>
      <c r="BU150" s="21">
        <v>9</v>
      </c>
      <c r="BV150" s="21">
        <v>0</v>
      </c>
      <c r="BW150" s="21">
        <v>0</v>
      </c>
      <c r="BX150" s="21" t="str">
        <v/>
      </c>
      <c r="BY150" s="21" t="str">
        <v/>
      </c>
      <c r="CU150" s="21">
        <v>145</v>
      </c>
      <c r="CV150" s="21">
        <v>1</v>
      </c>
      <c r="CW150" s="21">
        <v>1.8192576091040986</v>
      </c>
      <c r="CX150" s="21">
        <v>1.8192576091040986</v>
      </c>
      <c r="CY150" s="21" t="e">
        <v>#N/A</v>
      </c>
      <c r="CZ150" s="21" t="e">
        <v>#N/A</v>
      </c>
      <c r="DA150" t="e">
        <v>#N/A</v>
      </c>
      <c r="DB150" t="str">
        <v/>
      </c>
      <c r="DX150">
        <v>145</v>
      </c>
      <c r="DY150">
        <v>6</v>
      </c>
      <c r="DZ150">
        <v>8.8224752287145186E-2</v>
      </c>
      <c r="EA150" t="str">
        <v/>
      </c>
    </row>
    <row r="151" spans="70:131" x14ac:dyDescent="0.2">
      <c r="BR151">
        <v>146</v>
      </c>
      <c r="BS151">
        <v>0.42519685039370092</v>
      </c>
      <c r="BT151" s="21">
        <v>0.36446136998117984</v>
      </c>
      <c r="BU151" s="21">
        <v>9</v>
      </c>
      <c r="BV151" s="21">
        <v>0</v>
      </c>
      <c r="BW151" s="21">
        <v>0</v>
      </c>
      <c r="BX151" s="21" t="str">
        <v/>
      </c>
      <c r="BY151" s="21" t="str">
        <v/>
      </c>
      <c r="CU151" s="21">
        <v>146</v>
      </c>
      <c r="CV151" s="21">
        <v>1</v>
      </c>
      <c r="CW151" s="21">
        <v>1.8192576091040986</v>
      </c>
      <c r="CX151" s="21">
        <v>1.8192576091040986</v>
      </c>
      <c r="CY151" s="21" t="e">
        <v>#N/A</v>
      </c>
      <c r="CZ151" s="21" t="e">
        <v>#N/A</v>
      </c>
      <c r="DA151" t="e">
        <v>#N/A</v>
      </c>
      <c r="DB151" t="str">
        <v/>
      </c>
      <c r="DX151">
        <v>146</v>
      </c>
      <c r="DY151">
        <v>6</v>
      </c>
      <c r="DZ151">
        <v>8.8224752287145186E-2</v>
      </c>
      <c r="EA151" t="str">
        <v/>
      </c>
    </row>
    <row r="152" spans="70:131" x14ac:dyDescent="0.2">
      <c r="BR152">
        <v>147</v>
      </c>
      <c r="BS152">
        <v>0.44881889763779537</v>
      </c>
      <c r="BT152" s="21">
        <v>0.36071838045244237</v>
      </c>
      <c r="BU152" s="21">
        <v>9</v>
      </c>
      <c r="BV152" s="41">
        <v>0</v>
      </c>
      <c r="BW152" s="41">
        <v>0</v>
      </c>
      <c r="BX152" s="41" t="str">
        <v/>
      </c>
      <c r="BY152" s="41" t="str">
        <v/>
      </c>
      <c r="BZ152" s="41"/>
      <c r="CA152" s="41"/>
      <c r="CB152" s="41"/>
      <c r="CC152" s="41"/>
      <c r="CD152" s="41"/>
      <c r="CE152"/>
      <c r="CF152"/>
      <c r="CG152"/>
      <c r="CH152"/>
      <c r="CI152"/>
      <c r="CJ152" s="41"/>
      <c r="CK152" s="41"/>
      <c r="CL152" s="41"/>
      <c r="CM152" s="41"/>
      <c r="CN152" s="41"/>
      <c r="CO152" s="41"/>
      <c r="CP152" s="41"/>
      <c r="CQ152" s="41"/>
      <c r="CR152" s="25"/>
      <c r="CU152" s="21">
        <v>147</v>
      </c>
      <c r="CV152" s="41">
        <v>1</v>
      </c>
      <c r="CW152" s="41">
        <v>1.8192576091040986</v>
      </c>
      <c r="CX152" s="41">
        <v>1.8192576091040986</v>
      </c>
      <c r="CY152" s="41" t="e">
        <v>#N/A</v>
      </c>
      <c r="CZ152" t="e">
        <v>#N/A</v>
      </c>
      <c r="DA152" t="e">
        <v>#N/A</v>
      </c>
      <c r="DB152" t="str">
        <v/>
      </c>
      <c r="DX152">
        <v>147</v>
      </c>
      <c r="DY152">
        <v>6</v>
      </c>
      <c r="DZ152">
        <v>8.8224752287145186E-2</v>
      </c>
      <c r="EA152" t="str">
        <v/>
      </c>
    </row>
    <row r="153" spans="70:131" x14ac:dyDescent="0.2">
      <c r="BR153">
        <v>148</v>
      </c>
      <c r="BS153">
        <v>0.47244094488188981</v>
      </c>
      <c r="BT153" s="21">
        <v>0.35681467258531119</v>
      </c>
      <c r="BU153" s="21">
        <v>9</v>
      </c>
      <c r="BV153" s="41">
        <v>0</v>
      </c>
      <c r="BW153" s="41">
        <v>0</v>
      </c>
      <c r="BX153" s="41" t="str">
        <v/>
      </c>
      <c r="BY153" s="41" t="str">
        <v/>
      </c>
      <c r="BZ153" s="41"/>
      <c r="CA153" s="41"/>
      <c r="CB153" s="41"/>
      <c r="CC153" s="41"/>
      <c r="CD153" s="41"/>
      <c r="CE153"/>
      <c r="CF153"/>
      <c r="CG153"/>
      <c r="CH153"/>
      <c r="CI153"/>
      <c r="CJ153" s="41"/>
      <c r="CK153" s="41"/>
      <c r="CL153" s="41"/>
      <c r="CM153" s="41"/>
      <c r="CN153" s="41"/>
      <c r="CO153" s="41"/>
      <c r="CP153" s="41"/>
      <c r="CQ153" s="41"/>
      <c r="CR153" s="25"/>
      <c r="CU153" s="21">
        <v>148</v>
      </c>
      <c r="CV153" s="41">
        <v>1</v>
      </c>
      <c r="CW153" s="41">
        <v>1.8192576091040986</v>
      </c>
      <c r="CX153" s="41">
        <v>1.8192576091040986</v>
      </c>
      <c r="CY153" s="41" t="e">
        <v>#N/A</v>
      </c>
      <c r="CZ153" t="e">
        <v>#N/A</v>
      </c>
      <c r="DA153" t="e">
        <v>#N/A</v>
      </c>
      <c r="DB153" t="str">
        <v/>
      </c>
      <c r="DX153">
        <v>148</v>
      </c>
      <c r="DY153">
        <v>6</v>
      </c>
      <c r="DZ153">
        <v>8.8224752287145186E-2</v>
      </c>
      <c r="EA153" t="str">
        <v/>
      </c>
    </row>
    <row r="154" spans="70:131" x14ac:dyDescent="0.2">
      <c r="BR154">
        <v>149</v>
      </c>
      <c r="BS154">
        <v>0.49606299212598426</v>
      </c>
      <c r="BT154" s="21">
        <v>0.35275631744434299</v>
      </c>
      <c r="BU154" s="21">
        <v>9</v>
      </c>
      <c r="BV154" s="41">
        <v>0</v>
      </c>
      <c r="BW154" s="41">
        <v>0</v>
      </c>
      <c r="BX154" s="41" t="str">
        <v/>
      </c>
      <c r="BY154" s="41" t="str">
        <v/>
      </c>
      <c r="BZ154" s="41"/>
      <c r="CA154" s="41"/>
      <c r="CB154" s="41"/>
      <c r="CC154" s="41"/>
      <c r="CD154" s="41"/>
      <c r="CE154"/>
      <c r="CF154"/>
      <c r="CG154"/>
      <c r="CH154"/>
      <c r="CI154"/>
      <c r="CJ154" s="41"/>
      <c r="CK154" s="41"/>
      <c r="CL154" s="41"/>
      <c r="CM154" s="41"/>
      <c r="CN154" s="41"/>
      <c r="CO154" s="41"/>
      <c r="CP154" s="41"/>
      <c r="CQ154" s="41"/>
      <c r="CR154" s="25"/>
      <c r="CU154" s="21">
        <v>149</v>
      </c>
      <c r="CV154" s="41">
        <v>1</v>
      </c>
      <c r="CW154" s="41">
        <v>1.8192576091040986</v>
      </c>
      <c r="CX154" s="41">
        <v>1.8192576091040986</v>
      </c>
      <c r="CY154" s="41" t="e">
        <v>#N/A</v>
      </c>
      <c r="CZ154" t="e">
        <v>#N/A</v>
      </c>
      <c r="DA154" t="e">
        <v>#N/A</v>
      </c>
      <c r="DB154" t="str">
        <v/>
      </c>
      <c r="DX154">
        <v>149</v>
      </c>
      <c r="DY154">
        <v>6</v>
      </c>
      <c r="DZ154">
        <v>8.8224752287145186E-2</v>
      </c>
      <c r="EA154" t="str">
        <v/>
      </c>
    </row>
    <row r="155" spans="70:131" x14ac:dyDescent="0.2">
      <c r="BR155">
        <v>150</v>
      </c>
      <c r="BS155">
        <v>0.51968503937007871</v>
      </c>
      <c r="BT155" s="21">
        <v>0.34854957608416842</v>
      </c>
      <c r="BU155" s="21">
        <v>9</v>
      </c>
      <c r="BV155" s="41">
        <v>0</v>
      </c>
      <c r="BW155" s="41">
        <v>0</v>
      </c>
      <c r="BX155" s="41" t="str">
        <v/>
      </c>
      <c r="BY155" s="41" t="str">
        <v/>
      </c>
      <c r="BZ155" s="41"/>
      <c r="CA155" s="41"/>
      <c r="CB155" s="41"/>
      <c r="CC155" s="41"/>
      <c r="CD155" s="41"/>
      <c r="CE155"/>
      <c r="CF155"/>
      <c r="CG155"/>
      <c r="CH155"/>
      <c r="CI155"/>
      <c r="CJ155" s="41"/>
      <c r="CK155" s="41"/>
      <c r="CL155" s="41"/>
      <c r="CM155" s="41"/>
      <c r="CN155" s="41"/>
      <c r="CO155" s="41"/>
      <c r="CP155" s="41"/>
      <c r="CQ155" s="41"/>
      <c r="CR155" s="25"/>
      <c r="CU155" s="21">
        <v>150</v>
      </c>
      <c r="CV155" s="41">
        <v>1</v>
      </c>
      <c r="CW155" s="41">
        <v>1.8192576091040986</v>
      </c>
      <c r="CX155" s="41">
        <v>1.8192576091040986</v>
      </c>
      <c r="CY155" s="41" t="e">
        <v>#N/A</v>
      </c>
      <c r="CZ155" t="e">
        <v>#N/A</v>
      </c>
      <c r="DA155" t="e">
        <v>#N/A</v>
      </c>
      <c r="DB155" t="str">
        <v/>
      </c>
      <c r="DX155">
        <v>150</v>
      </c>
      <c r="DY155">
        <v>6</v>
      </c>
      <c r="DZ155">
        <v>8.8224752287145186E-2</v>
      </c>
      <c r="EA155" t="str">
        <v/>
      </c>
    </row>
    <row r="156" spans="70:131" x14ac:dyDescent="0.2">
      <c r="BR156">
        <v>151</v>
      </c>
      <c r="BS156">
        <v>0.54330708661417315</v>
      </c>
      <c r="BT156" s="21">
        <v>0.34420088349969502</v>
      </c>
      <c r="BU156" s="21">
        <v>9</v>
      </c>
      <c r="BV156" s="41">
        <v>0</v>
      </c>
      <c r="BW156" s="41">
        <v>0</v>
      </c>
      <c r="BX156" s="41" t="str">
        <v/>
      </c>
      <c r="BY156" s="41" t="str">
        <v/>
      </c>
      <c r="BZ156" s="41"/>
      <c r="CA156" s="41"/>
      <c r="CB156" s="41"/>
      <c r="CC156" s="41"/>
      <c r="CD156" s="41"/>
      <c r="CE156"/>
      <c r="CF156"/>
      <c r="CG156"/>
      <c r="CH156"/>
      <c r="CI156"/>
      <c r="CJ156" s="41"/>
      <c r="CK156" s="41"/>
      <c r="CL156" s="41"/>
      <c r="CM156" s="41"/>
      <c r="CN156" s="41"/>
      <c r="CO156" s="41"/>
      <c r="CP156" s="41"/>
      <c r="CQ156" s="41"/>
      <c r="CR156" s="25"/>
      <c r="CU156" s="21">
        <v>151</v>
      </c>
      <c r="CV156" s="41">
        <v>1</v>
      </c>
      <c r="CW156" s="41">
        <v>1.8192576091040986</v>
      </c>
      <c r="CX156" s="41">
        <v>1.8192576091040986</v>
      </c>
      <c r="CY156" s="41" t="e">
        <v>#N/A</v>
      </c>
      <c r="CZ156" t="e">
        <v>#N/A</v>
      </c>
      <c r="DA156" t="e">
        <v>#N/A</v>
      </c>
      <c r="DB156" t="str">
        <v/>
      </c>
      <c r="DX156">
        <v>151</v>
      </c>
      <c r="DY156">
        <v>6</v>
      </c>
      <c r="DZ156">
        <v>8.8224752287145186E-2</v>
      </c>
      <c r="EA156" t="str">
        <v/>
      </c>
    </row>
    <row r="157" spans="70:131" x14ac:dyDescent="0.2">
      <c r="BR157">
        <v>152</v>
      </c>
      <c r="BS157">
        <v>0.5669291338582676</v>
      </c>
      <c r="BT157" s="21">
        <v>0.33971683228102528</v>
      </c>
      <c r="BU157" s="21">
        <v>9</v>
      </c>
      <c r="BV157" s="41">
        <v>0</v>
      </c>
      <c r="BW157" s="41">
        <v>0</v>
      </c>
      <c r="BX157" s="41" t="str">
        <v/>
      </c>
      <c r="BY157" s="41" t="str">
        <v/>
      </c>
      <c r="BZ157" s="41"/>
      <c r="CA157" s="41"/>
      <c r="CB157" s="41"/>
      <c r="CC157" s="41"/>
      <c r="CD157" s="41"/>
      <c r="CE157"/>
      <c r="CF157"/>
      <c r="CG157"/>
      <c r="CH157"/>
      <c r="CI157"/>
      <c r="CJ157" s="41"/>
      <c r="CK157" s="41"/>
      <c r="CL157" s="41"/>
      <c r="CM157" s="41"/>
      <c r="CN157" s="41"/>
      <c r="CO157" s="41"/>
      <c r="CP157" s="41"/>
      <c r="CQ157" s="41"/>
      <c r="CR157" s="25"/>
      <c r="CU157" s="21">
        <v>152</v>
      </c>
      <c r="CV157" s="41">
        <v>1</v>
      </c>
      <c r="CW157" s="41">
        <v>1.8192576091040986</v>
      </c>
      <c r="CX157" s="41">
        <v>1.8192576091040986</v>
      </c>
      <c r="CY157" s="41" t="e">
        <v>#N/A</v>
      </c>
      <c r="CZ157" t="e">
        <v>#N/A</v>
      </c>
      <c r="DA157" t="e">
        <v>#N/A</v>
      </c>
      <c r="DB157" t="str">
        <v/>
      </c>
      <c r="DX157">
        <v>152</v>
      </c>
      <c r="DY157">
        <v>6</v>
      </c>
      <c r="DZ157">
        <v>8.8224752287145186E-2</v>
      </c>
      <c r="EA157" t="str">
        <v/>
      </c>
    </row>
    <row r="158" spans="70:131" x14ac:dyDescent="0.2">
      <c r="BR158">
        <v>153</v>
      </c>
      <c r="BS158">
        <v>0.59055118110236204</v>
      </c>
      <c r="BT158" s="21">
        <v>0.33510415603097365</v>
      </c>
      <c r="BU158" s="21">
        <v>9</v>
      </c>
      <c r="BV158" s="41">
        <v>0</v>
      </c>
      <c r="BW158" s="41">
        <v>0</v>
      </c>
      <c r="BX158" s="41" t="str">
        <v/>
      </c>
      <c r="BY158" s="41" t="str">
        <v/>
      </c>
      <c r="BZ158" s="41"/>
      <c r="CA158" s="41"/>
      <c r="CB158" s="41"/>
      <c r="CC158" s="41"/>
      <c r="CD158" s="41"/>
      <c r="CE158"/>
      <c r="CF158"/>
      <c r="CG158"/>
      <c r="CH158"/>
      <c r="CI158"/>
      <c r="CJ158" s="41"/>
      <c r="CK158" s="41"/>
      <c r="CL158" s="41"/>
      <c r="CM158" s="41"/>
      <c r="CN158" s="41"/>
      <c r="CO158" s="41"/>
      <c r="CP158" s="41"/>
      <c r="CQ158" s="41"/>
      <c r="CR158" s="25"/>
      <c r="CU158" s="21">
        <v>153</v>
      </c>
      <c r="CV158" s="41">
        <v>1</v>
      </c>
      <c r="CW158" s="41">
        <v>1.8192576091040986</v>
      </c>
      <c r="CX158" s="41">
        <v>1.8192576091040986</v>
      </c>
      <c r="CY158" s="41" t="e">
        <v>#N/A</v>
      </c>
      <c r="CZ158" t="e">
        <v>#N/A</v>
      </c>
      <c r="DA158" t="e">
        <v>#N/A</v>
      </c>
      <c r="DB158" t="str">
        <v/>
      </c>
      <c r="DX158">
        <v>153</v>
      </c>
      <c r="DY158">
        <v>6</v>
      </c>
      <c r="DZ158">
        <v>8.8224752287145186E-2</v>
      </c>
      <c r="EA158" t="str">
        <v/>
      </c>
    </row>
    <row r="159" spans="70:131" x14ac:dyDescent="0.2">
      <c r="BR159">
        <v>154</v>
      </c>
      <c r="BS159">
        <v>0.61417322834645649</v>
      </c>
      <c r="BT159" s="21">
        <v>0.33036971260328218</v>
      </c>
      <c r="BU159" s="21">
        <v>10</v>
      </c>
      <c r="BV159" s="41">
        <v>0</v>
      </c>
      <c r="BW159" s="41">
        <v>0</v>
      </c>
      <c r="BX159" s="41">
        <v>4.4400000000000004</v>
      </c>
      <c r="BY159" s="41" t="str">
        <v/>
      </c>
      <c r="BZ159" s="41"/>
      <c r="CA159" s="41"/>
      <c r="CB159" s="41"/>
      <c r="CC159" s="41"/>
      <c r="CD159" s="41"/>
      <c r="CE159"/>
      <c r="CF159"/>
      <c r="CG159"/>
      <c r="CH159"/>
      <c r="CI159"/>
      <c r="CJ159" s="41"/>
      <c r="CK159" s="41"/>
      <c r="CL159" s="41"/>
      <c r="CM159" s="41"/>
      <c r="CN159" s="41"/>
      <c r="CO159" s="41"/>
      <c r="CP159" s="41"/>
      <c r="CQ159" s="41"/>
      <c r="CR159" s="25"/>
      <c r="CU159" s="21">
        <v>154</v>
      </c>
      <c r="CV159" s="41">
        <v>1</v>
      </c>
      <c r="CW159" s="41">
        <v>1.8192576091040986</v>
      </c>
      <c r="CX159" s="41">
        <v>1.8192576091040986</v>
      </c>
      <c r="CY159" s="41" t="e">
        <v>#N/A</v>
      </c>
      <c r="CZ159" t="e">
        <v>#N/A</v>
      </c>
      <c r="DA159" t="e">
        <v>#N/A</v>
      </c>
      <c r="DB159" t="str">
        <v/>
      </c>
      <c r="DX159">
        <v>154</v>
      </c>
      <c r="DY159">
        <v>6</v>
      </c>
      <c r="DZ159">
        <v>8.8224752287145186E-2</v>
      </c>
      <c r="EA159" t="str">
        <v/>
      </c>
    </row>
    <row r="160" spans="70:131" x14ac:dyDescent="0.2">
      <c r="BR160">
        <v>155</v>
      </c>
      <c r="BS160">
        <v>0.63779527559055094</v>
      </c>
      <c r="BT160" s="21">
        <v>0.32552046721958727</v>
      </c>
      <c r="BU160" s="21">
        <v>10</v>
      </c>
      <c r="BV160" s="41">
        <v>0</v>
      </c>
      <c r="BW160" s="41">
        <v>0</v>
      </c>
      <c r="BX160" s="41" t="str">
        <v/>
      </c>
      <c r="BY160" s="41" t="str">
        <v/>
      </c>
      <c r="BZ160" s="41"/>
      <c r="CA160" s="41"/>
      <c r="CB160" s="41"/>
      <c r="CC160" s="41"/>
      <c r="CD160" s="41"/>
      <c r="CE160"/>
      <c r="CF160"/>
      <c r="CG160"/>
      <c r="CH160"/>
      <c r="CI160"/>
      <c r="CJ160" s="41"/>
      <c r="CK160" s="41"/>
      <c r="CL160" s="41"/>
      <c r="CM160" s="41"/>
      <c r="CN160" s="41"/>
      <c r="CO160" s="41"/>
      <c r="CP160" s="41"/>
      <c r="CQ160" s="41"/>
      <c r="CR160" s="25"/>
      <c r="CU160" s="21">
        <v>155</v>
      </c>
      <c r="CV160" s="41">
        <v>1</v>
      </c>
      <c r="CW160" s="41">
        <v>1.8192576091040986</v>
      </c>
      <c r="CX160" s="41">
        <v>1.8192576091040986</v>
      </c>
      <c r="CY160" s="41" t="e">
        <v>#N/A</v>
      </c>
      <c r="CZ160" t="e">
        <v>#N/A</v>
      </c>
      <c r="DA160" t="e">
        <v>#N/A</v>
      </c>
      <c r="DB160" t="str">
        <v/>
      </c>
      <c r="DX160">
        <v>155</v>
      </c>
      <c r="DY160">
        <v>6</v>
      </c>
      <c r="DZ160">
        <v>8.8224752287145186E-2</v>
      </c>
      <c r="EA160" t="str">
        <v/>
      </c>
    </row>
    <row r="161" spans="70:131" x14ac:dyDescent="0.2">
      <c r="BR161">
        <v>156</v>
      </c>
      <c r="BS161">
        <v>0.66141732283464583</v>
      </c>
      <c r="BT161" s="21">
        <v>0.32056347552289172</v>
      </c>
      <c r="BU161" s="21">
        <v>10</v>
      </c>
      <c r="BV161" s="41">
        <v>0</v>
      </c>
      <c r="BW161" s="41">
        <v>0</v>
      </c>
      <c r="BX161" s="41" t="str">
        <v/>
      </c>
      <c r="BY161" s="41" t="str">
        <v/>
      </c>
      <c r="BZ161" s="41"/>
      <c r="CA161" s="41"/>
      <c r="CB161" s="41"/>
      <c r="CC161" s="41"/>
      <c r="CD161" s="41"/>
      <c r="CE161"/>
      <c r="CF161"/>
      <c r="CG161"/>
      <c r="CH161"/>
      <c r="CI161"/>
      <c r="CJ161" s="41"/>
      <c r="CK161" s="41"/>
      <c r="CL161" s="41"/>
      <c r="CM161" s="41"/>
      <c r="CN161" s="41"/>
      <c r="CO161" s="41"/>
      <c r="CP161" s="41"/>
      <c r="CQ161" s="41"/>
      <c r="CR161" s="25"/>
      <c r="CU161" s="21">
        <v>156</v>
      </c>
      <c r="CV161" s="41">
        <v>1</v>
      </c>
      <c r="CW161" s="41">
        <v>1.8192576091040986</v>
      </c>
      <c r="CX161" s="41">
        <v>1.8192576091040986</v>
      </c>
      <c r="CY161" s="41" t="e">
        <v>#N/A</v>
      </c>
      <c r="CZ161" t="e">
        <v>#N/A</v>
      </c>
      <c r="DA161" t="e">
        <v>#N/A</v>
      </c>
      <c r="DB161" t="str">
        <v/>
      </c>
      <c r="DX161">
        <v>156</v>
      </c>
      <c r="DY161">
        <v>6</v>
      </c>
      <c r="DZ161">
        <v>8.8224752287145186E-2</v>
      </c>
      <c r="EA161" t="str">
        <v/>
      </c>
    </row>
    <row r="162" spans="70:131" x14ac:dyDescent="0.2">
      <c r="BR162">
        <v>157</v>
      </c>
      <c r="BS162">
        <v>0.68503937007874027</v>
      </c>
      <c r="BT162" s="21">
        <v>0.31550586662473823</v>
      </c>
      <c r="BU162" s="21">
        <v>10</v>
      </c>
      <c r="BV162" s="41">
        <v>0</v>
      </c>
      <c r="BW162" s="41">
        <v>0</v>
      </c>
      <c r="BX162" s="41" t="str">
        <v/>
      </c>
      <c r="BY162" s="41" t="str">
        <v/>
      </c>
      <c r="BZ162" s="41"/>
      <c r="CA162" s="41"/>
      <c r="CB162" s="41"/>
      <c r="CC162" s="41"/>
      <c r="CD162" s="41"/>
      <c r="CE162"/>
      <c r="CF162"/>
      <c r="CG162"/>
      <c r="CH162"/>
      <c r="CI162"/>
      <c r="CJ162" s="41"/>
      <c r="CK162" s="41"/>
      <c r="CL162" s="41"/>
      <c r="CM162" s="41"/>
      <c r="CN162" s="41"/>
      <c r="CO162" s="41"/>
      <c r="CP162" s="41"/>
      <c r="CQ162" s="41"/>
      <c r="CR162" s="25"/>
      <c r="CU162" s="21">
        <v>157</v>
      </c>
      <c r="CV162" s="41">
        <v>1</v>
      </c>
      <c r="CW162" s="41">
        <v>1.8192576091040986</v>
      </c>
      <c r="CX162" s="41">
        <v>1.8192576091040986</v>
      </c>
      <c r="CY162" s="41" t="e">
        <v>#N/A</v>
      </c>
      <c r="CZ162" t="e">
        <v>#N/A</v>
      </c>
      <c r="DA162" t="e">
        <v>#N/A</v>
      </c>
      <c r="DB162" t="str">
        <v/>
      </c>
      <c r="DX162">
        <v>157</v>
      </c>
      <c r="DY162">
        <v>6</v>
      </c>
      <c r="DZ162">
        <v>8.8224752287145186E-2</v>
      </c>
      <c r="EA162" t="str">
        <v/>
      </c>
    </row>
    <row r="163" spans="70:131" x14ac:dyDescent="0.2">
      <c r="BR163">
        <v>158</v>
      </c>
      <c r="BS163">
        <v>0.70866141732283472</v>
      </c>
      <c r="BT163" s="21">
        <v>0.31035482620248367</v>
      </c>
      <c r="BU163" s="21">
        <v>10</v>
      </c>
      <c r="BV163" s="41">
        <v>0</v>
      </c>
      <c r="BW163" s="41">
        <v>0</v>
      </c>
      <c r="BX163" s="41" t="str">
        <v/>
      </c>
      <c r="BY163" s="41" t="str">
        <v/>
      </c>
      <c r="BZ163" s="41"/>
      <c r="CA163" s="41"/>
      <c r="CB163" s="41"/>
      <c r="CC163" s="41"/>
      <c r="CD163" s="41"/>
      <c r="CE163"/>
      <c r="CF163"/>
      <c r="CG163"/>
      <c r="CH163"/>
      <c r="CI163"/>
      <c r="CJ163" s="41"/>
      <c r="CK163" s="41"/>
      <c r="CL163" s="41"/>
      <c r="CM163" s="41"/>
      <c r="CN163" s="41"/>
      <c r="CO163" s="41"/>
      <c r="CP163" s="41"/>
      <c r="CQ163" s="41"/>
      <c r="CR163" s="25"/>
      <c r="CU163" s="21">
        <v>158</v>
      </c>
      <c r="CV163" s="41">
        <v>1</v>
      </c>
      <c r="CW163" s="41">
        <v>1.8192576091040986</v>
      </c>
      <c r="CX163" s="41">
        <v>1.8192576091040986</v>
      </c>
      <c r="CY163" s="41" t="e">
        <v>#N/A</v>
      </c>
      <c r="CZ163" t="e">
        <v>#N/A</v>
      </c>
      <c r="DA163" t="e">
        <v>#N/A</v>
      </c>
      <c r="DB163" t="str">
        <v/>
      </c>
      <c r="DX163">
        <v>158</v>
      </c>
      <c r="DY163">
        <v>6</v>
      </c>
      <c r="DZ163">
        <v>8.8224752287145186E-2</v>
      </c>
      <c r="EA163" t="str">
        <v/>
      </c>
    </row>
    <row r="164" spans="70:131" x14ac:dyDescent="0.2">
      <c r="BR164">
        <v>159</v>
      </c>
      <c r="BS164">
        <v>0.73228346456692917</v>
      </c>
      <c r="BT164" s="21">
        <v>0.30511757970203796</v>
      </c>
      <c r="BU164" s="21">
        <v>10</v>
      </c>
      <c r="BV164" s="41">
        <v>0</v>
      </c>
      <c r="BW164" s="41">
        <v>0</v>
      </c>
      <c r="BX164" s="41" t="str">
        <v/>
      </c>
      <c r="BY164" s="41" t="str">
        <v/>
      </c>
      <c r="BZ164" s="41"/>
      <c r="CA164" s="41"/>
      <c r="CB164" s="41"/>
      <c r="CC164" s="41"/>
      <c r="CD164" s="41"/>
      <c r="CE164"/>
      <c r="CF164"/>
      <c r="CG164"/>
      <c r="CH164"/>
      <c r="CI164"/>
      <c r="CJ164" s="41"/>
      <c r="CK164" s="41"/>
      <c r="CL164" s="41"/>
      <c r="CM164" s="41"/>
      <c r="CN164" s="41"/>
      <c r="CO164" s="41"/>
      <c r="CP164" s="41"/>
      <c r="CQ164" s="41"/>
      <c r="CR164" s="25"/>
      <c r="CU164" s="21">
        <v>159</v>
      </c>
      <c r="CV164" s="41">
        <v>1</v>
      </c>
      <c r="CW164" s="41">
        <v>1.8192576091040986</v>
      </c>
      <c r="CX164" s="41">
        <v>1.8192576091040986</v>
      </c>
      <c r="CY164" s="41" t="e">
        <v>#N/A</v>
      </c>
      <c r="CZ164" t="e">
        <v>#N/A</v>
      </c>
      <c r="DA164" t="e">
        <v>#N/A</v>
      </c>
      <c r="DB164" t="str">
        <v/>
      </c>
      <c r="DX164">
        <v>159</v>
      </c>
      <c r="DY164">
        <v>6</v>
      </c>
      <c r="DZ164">
        <v>8.8224752287145186E-2</v>
      </c>
      <c r="EA164" t="str">
        <v/>
      </c>
    </row>
    <row r="165" spans="70:131" x14ac:dyDescent="0.2">
      <c r="BR165">
        <v>160</v>
      </c>
      <c r="BS165">
        <v>0.75590551181102361</v>
      </c>
      <c r="BT165" s="21">
        <v>0.29980137570016047</v>
      </c>
      <c r="BU165" s="21">
        <v>10</v>
      </c>
      <c r="BV165" s="41">
        <v>0</v>
      </c>
      <c r="BW165" s="41">
        <v>0</v>
      </c>
      <c r="BX165" s="41" t="str">
        <v/>
      </c>
      <c r="BY165" s="41" t="str">
        <v/>
      </c>
      <c r="BZ165" s="41"/>
      <c r="CA165" s="41"/>
      <c r="CB165" s="41"/>
      <c r="CC165" s="41"/>
      <c r="CD165" s="41"/>
      <c r="CE165"/>
      <c r="CF165"/>
      <c r="CG165"/>
      <c r="CH165"/>
      <c r="CI165"/>
      <c r="CJ165" s="41"/>
      <c r="CK165" s="41"/>
      <c r="CL165" s="41"/>
      <c r="CM165" s="41"/>
      <c r="CN165" s="41"/>
      <c r="CO165" s="41"/>
      <c r="CP165" s="41"/>
      <c r="CQ165" s="41"/>
      <c r="CR165" s="25"/>
      <c r="CU165" s="21">
        <v>160</v>
      </c>
      <c r="CV165" s="41">
        <v>1</v>
      </c>
      <c r="CW165" s="41">
        <v>1.8192576091040986</v>
      </c>
      <c r="CX165" s="41">
        <v>1.8192576091040986</v>
      </c>
      <c r="CY165" s="41" t="e">
        <v>#N/A</v>
      </c>
      <c r="CZ165" t="e">
        <v>#N/A</v>
      </c>
      <c r="DA165" t="e">
        <v>#N/A</v>
      </c>
      <c r="DB165" t="str">
        <v/>
      </c>
      <c r="DX165">
        <v>160</v>
      </c>
      <c r="DY165">
        <v>6</v>
      </c>
      <c r="DZ165">
        <v>8.8224752287145186E-2</v>
      </c>
      <c r="EA165" t="str">
        <v/>
      </c>
    </row>
    <row r="166" spans="70:131" x14ac:dyDescent="0.2">
      <c r="BR166">
        <v>161</v>
      </c>
      <c r="BS166">
        <v>0.77952755905511806</v>
      </c>
      <c r="BT166" s="21">
        <v>0.29441346947892549</v>
      </c>
      <c r="BU166" s="21">
        <v>10</v>
      </c>
      <c r="BV166" s="41">
        <v>0</v>
      </c>
      <c r="BW166" s="41">
        <v>0</v>
      </c>
      <c r="BX166" s="41" t="str">
        <v/>
      </c>
      <c r="BY166" s="41" t="str">
        <v/>
      </c>
      <c r="BZ166" s="41"/>
      <c r="CA166" s="41"/>
      <c r="CB166" s="41"/>
      <c r="CC166" s="41"/>
      <c r="CD166" s="41"/>
      <c r="CE166"/>
      <c r="CF166"/>
      <c r="CG166"/>
      <c r="CH166"/>
      <c r="CI166"/>
      <c r="CJ166" s="41"/>
      <c r="CK166" s="41"/>
      <c r="CL166" s="41"/>
      <c r="CM166" s="41"/>
      <c r="CN166" s="41"/>
      <c r="CO166" s="41"/>
      <c r="CP166" s="41"/>
      <c r="CQ166" s="41"/>
      <c r="CR166" s="25"/>
      <c r="CU166" s="21">
        <v>161</v>
      </c>
      <c r="CV166" s="41">
        <v>1</v>
      </c>
      <c r="CW166" s="41">
        <v>1.8192576091040986</v>
      </c>
      <c r="CX166" s="41">
        <v>1.8192576091040986</v>
      </c>
      <c r="CY166" s="41" t="e">
        <v>#N/A</v>
      </c>
      <c r="CZ166" t="e">
        <v>#N/A</v>
      </c>
      <c r="DA166" t="e">
        <v>#N/A</v>
      </c>
      <c r="DB166" t="str">
        <v/>
      </c>
      <c r="DX166">
        <v>161</v>
      </c>
      <c r="DY166">
        <v>6</v>
      </c>
      <c r="DZ166">
        <v>8.8224752287145186E-2</v>
      </c>
      <c r="EA166" t="str">
        <v/>
      </c>
    </row>
    <row r="167" spans="70:131" x14ac:dyDescent="0.2">
      <c r="BR167">
        <v>162</v>
      </c>
      <c r="BS167">
        <v>0.8031496062992125</v>
      </c>
      <c r="BT167" s="21">
        <v>0.28896110686327098</v>
      </c>
      <c r="BU167" s="21">
        <v>10</v>
      </c>
      <c r="BV167" s="41">
        <v>0</v>
      </c>
      <c r="BW167" s="41">
        <v>0</v>
      </c>
      <c r="BX167" s="41" t="str">
        <v/>
      </c>
      <c r="BY167" s="41" t="str">
        <v/>
      </c>
      <c r="BZ167" s="41"/>
      <c r="CA167" s="41"/>
      <c r="CB167" s="41"/>
      <c r="CC167" s="41"/>
      <c r="CD167" s="41"/>
      <c r="CE167"/>
      <c r="CF167"/>
      <c r="CG167"/>
      <c r="CH167"/>
      <c r="CI167"/>
      <c r="CJ167" s="41"/>
      <c r="CK167" s="41"/>
      <c r="CL167" s="41"/>
      <c r="CM167" s="41"/>
      <c r="CN167" s="41"/>
      <c r="CO167" s="41"/>
      <c r="CP167" s="41"/>
      <c r="CQ167" s="41"/>
      <c r="CR167" s="25"/>
      <c r="CU167" s="21">
        <v>162</v>
      </c>
      <c r="CV167" s="41">
        <v>1</v>
      </c>
      <c r="CW167" s="41">
        <v>1.8192576091040986</v>
      </c>
      <c r="CX167" s="41">
        <v>1.8192576091040986</v>
      </c>
      <c r="CY167" s="41" t="e">
        <v>#N/A</v>
      </c>
      <c r="CZ167" t="e">
        <v>#N/A</v>
      </c>
      <c r="DA167" t="e">
        <v>#N/A</v>
      </c>
      <c r="DB167" t="str">
        <v/>
      </c>
      <c r="DX167">
        <v>162</v>
      </c>
      <c r="DY167">
        <v>6</v>
      </c>
      <c r="DZ167">
        <v>8.8224752287145186E-2</v>
      </c>
      <c r="EA167" t="str">
        <v/>
      </c>
    </row>
    <row r="168" spans="70:131" x14ac:dyDescent="0.2">
      <c r="BR168">
        <v>163</v>
      </c>
      <c r="BS168">
        <v>0.82677165354330695</v>
      </c>
      <c r="BT168" s="21">
        <v>0.28345150837065552</v>
      </c>
      <c r="BU168" s="21">
        <v>10</v>
      </c>
      <c r="BV168" s="41">
        <v>0</v>
      </c>
      <c r="BW168" s="41">
        <v>0</v>
      </c>
      <c r="BX168" s="41" t="str">
        <v/>
      </c>
      <c r="BY168" s="41" t="str">
        <v/>
      </c>
      <c r="BZ168" s="41"/>
      <c r="CA168" s="41"/>
      <c r="CB168" s="41"/>
      <c r="CC168" s="41"/>
      <c r="CD168" s="41"/>
      <c r="CE168"/>
      <c r="CF168"/>
      <c r="CG168"/>
      <c r="CH168"/>
      <c r="CI168"/>
      <c r="CJ168" s="41"/>
      <c r="CK168" s="41"/>
      <c r="CL168" s="41"/>
      <c r="CM168" s="41"/>
      <c r="CN168" s="41"/>
      <c r="CO168" s="41"/>
      <c r="CP168" s="41"/>
      <c r="CQ168" s="41"/>
      <c r="CR168" s="25"/>
      <c r="CU168" s="21">
        <v>163</v>
      </c>
      <c r="CV168" s="41">
        <v>1</v>
      </c>
      <c r="CW168" s="41">
        <v>1.8192576091040986</v>
      </c>
      <c r="CX168" s="41">
        <v>1.8192576091040986</v>
      </c>
      <c r="CY168" s="41" t="e">
        <v>#N/A</v>
      </c>
      <c r="CZ168" t="e">
        <v>#N/A</v>
      </c>
      <c r="DA168" t="e">
        <v>#N/A</v>
      </c>
      <c r="DB168" t="str">
        <v/>
      </c>
      <c r="DX168">
        <v>163</v>
      </c>
      <c r="DY168">
        <v>6</v>
      </c>
      <c r="DZ168">
        <v>8.8224752287145186E-2</v>
      </c>
      <c r="EA168" t="str">
        <v/>
      </c>
    </row>
    <row r="169" spans="70:131" x14ac:dyDescent="0.2">
      <c r="BR169">
        <v>164</v>
      </c>
      <c r="BS169">
        <v>0.8503937007874014</v>
      </c>
      <c r="BT169" s="21">
        <v>0.27789185371977293</v>
      </c>
      <c r="BU169" s="21">
        <v>10</v>
      </c>
      <c r="BV169" s="41">
        <v>0</v>
      </c>
      <c r="BW169" s="41">
        <v>0</v>
      </c>
      <c r="BX169" s="41" t="str">
        <v/>
      </c>
      <c r="BY169" s="41" t="str">
        <v/>
      </c>
      <c r="BZ169" s="41"/>
      <c r="CA169" s="41"/>
      <c r="CB169" s="41"/>
      <c r="CC169" s="41"/>
      <c r="CD169" s="41"/>
      <c r="CE169"/>
      <c r="CF169"/>
      <c r="CG169"/>
      <c r="CH169"/>
      <c r="CI169"/>
      <c r="CJ169" s="41"/>
      <c r="CK169" s="41"/>
      <c r="CL169" s="41"/>
      <c r="CM169" s="41"/>
      <c r="CN169" s="41"/>
      <c r="CO169" s="41"/>
      <c r="CP169" s="41"/>
      <c r="CQ169" s="41"/>
      <c r="CR169" s="25"/>
      <c r="CU169" s="21">
        <v>164</v>
      </c>
      <c r="CV169" s="41">
        <v>1</v>
      </c>
      <c r="CW169" s="41">
        <v>1.8192576091040986</v>
      </c>
      <c r="CX169" s="41">
        <v>1.8192576091040986</v>
      </c>
      <c r="CY169" s="41" t="e">
        <v>#N/A</v>
      </c>
      <c r="CZ169" t="e">
        <v>#N/A</v>
      </c>
      <c r="DA169" t="e">
        <v>#N/A</v>
      </c>
      <c r="DB169" t="str">
        <v/>
      </c>
      <c r="DX169">
        <v>164</v>
      </c>
      <c r="DY169">
        <v>6</v>
      </c>
      <c r="DZ169">
        <v>8.8224752287145186E-2</v>
      </c>
      <c r="EA169" t="str">
        <v/>
      </c>
    </row>
    <row r="170" spans="70:131" x14ac:dyDescent="0.2">
      <c r="BR170">
        <v>165</v>
      </c>
      <c r="BS170">
        <v>0.87401574803149584</v>
      </c>
      <c r="BT170" s="21">
        <v>0.272289266743029</v>
      </c>
      <c r="BU170" s="21">
        <v>10</v>
      </c>
      <c r="BV170" s="41">
        <v>0</v>
      </c>
      <c r="BW170" s="41">
        <v>0</v>
      </c>
      <c r="BX170" s="41" t="str">
        <v/>
      </c>
      <c r="BY170" s="41" t="str">
        <v/>
      </c>
      <c r="BZ170" s="41"/>
      <c r="CA170" s="41"/>
      <c r="CB170" s="41"/>
      <c r="CC170" s="41"/>
      <c r="CD170" s="41"/>
      <c r="CE170"/>
      <c r="CF170"/>
      <c r="CG170"/>
      <c r="CH170"/>
      <c r="CI170"/>
      <c r="CJ170" s="41"/>
      <c r="CK170" s="41"/>
      <c r="CL170" s="41"/>
      <c r="CM170" s="41"/>
      <c r="CN170" s="41"/>
      <c r="CO170" s="41"/>
      <c r="CP170" s="41"/>
      <c r="CQ170" s="41"/>
      <c r="CR170" s="25"/>
      <c r="CU170" s="21">
        <v>165</v>
      </c>
      <c r="CV170" s="41">
        <v>1</v>
      </c>
      <c r="CW170" s="41">
        <v>1.8192576091040986</v>
      </c>
      <c r="CX170" s="41">
        <v>1.8192576091040986</v>
      </c>
      <c r="CY170" s="41" t="e">
        <v>#N/A</v>
      </c>
      <c r="CZ170" t="e">
        <v>#N/A</v>
      </c>
      <c r="DA170" t="e">
        <v>#N/A</v>
      </c>
      <c r="DB170" t="str">
        <v/>
      </c>
      <c r="DX170">
        <v>165</v>
      </c>
      <c r="DY170">
        <v>6</v>
      </c>
      <c r="DZ170">
        <v>8.8224752287145186E-2</v>
      </c>
      <c r="EA170" t="str">
        <v/>
      </c>
    </row>
    <row r="171" spans="70:131" x14ac:dyDescent="0.2">
      <c r="BR171">
        <v>166</v>
      </c>
      <c r="BS171">
        <v>0.89763779527559029</v>
      </c>
      <c r="BT171" s="21">
        <v>0.26665080074508385</v>
      </c>
      <c r="BU171" s="21">
        <v>10</v>
      </c>
      <c r="BV171" s="41">
        <v>0</v>
      </c>
      <c r="BW171" s="41">
        <v>0</v>
      </c>
      <c r="BX171" s="41" t="str">
        <v/>
      </c>
      <c r="BY171" s="41" t="str">
        <v/>
      </c>
      <c r="BZ171" s="41"/>
      <c r="CA171" s="41"/>
      <c r="CB171" s="41"/>
      <c r="CC171" s="41"/>
      <c r="CD171" s="41"/>
      <c r="CE171"/>
      <c r="CF171"/>
      <c r="CG171"/>
      <c r="CH171"/>
      <c r="CI171"/>
      <c r="CJ171" s="41"/>
      <c r="CK171" s="41"/>
      <c r="CL171" s="41"/>
      <c r="CM171" s="41"/>
      <c r="CN171" s="41"/>
      <c r="CO171" s="41"/>
      <c r="CP171" s="41"/>
      <c r="CQ171" s="41"/>
      <c r="CR171" s="25"/>
      <c r="CU171" s="21">
        <v>166</v>
      </c>
      <c r="CV171" s="41">
        <v>1</v>
      </c>
      <c r="CW171" s="41">
        <v>1.8192576091040986</v>
      </c>
      <c r="CX171" s="41">
        <v>1.8192576091040986</v>
      </c>
      <c r="CY171" s="41" t="e">
        <v>#N/A</v>
      </c>
      <c r="CZ171" t="e">
        <v>#N/A</v>
      </c>
      <c r="DA171" t="e">
        <v>#N/A</v>
      </c>
      <c r="DB171" t="str">
        <v/>
      </c>
      <c r="DX171">
        <v>166</v>
      </c>
      <c r="DY171">
        <v>6</v>
      </c>
      <c r="DZ171">
        <v>8.8224752287145186E-2</v>
      </c>
      <c r="EA171" t="str">
        <v/>
      </c>
    </row>
    <row r="172" spans="70:131" x14ac:dyDescent="0.2">
      <c r="BR172">
        <v>167</v>
      </c>
      <c r="BS172">
        <v>0.92125984251968518</v>
      </c>
      <c r="BT172" s="21">
        <v>0.26098342434722177</v>
      </c>
      <c r="BU172" s="21">
        <v>10</v>
      </c>
      <c r="BV172" s="41">
        <v>0</v>
      </c>
      <c r="BW172" s="41">
        <v>0</v>
      </c>
      <c r="BX172" s="41" t="str">
        <v/>
      </c>
      <c r="BY172" s="41" t="str">
        <v/>
      </c>
      <c r="BZ172" s="41"/>
      <c r="CA172" s="41"/>
      <c r="CB172" s="41"/>
      <c r="CC172" s="41"/>
      <c r="CD172" s="41"/>
      <c r="CE172"/>
      <c r="CF172"/>
      <c r="CG172"/>
      <c r="CH172"/>
      <c r="CI172"/>
      <c r="CJ172" s="41"/>
      <c r="CK172" s="41"/>
      <c r="CL172" s="41"/>
      <c r="CM172" s="41"/>
      <c r="CN172" s="41"/>
      <c r="CO172" s="41"/>
      <c r="CP172" s="41"/>
      <c r="CQ172" s="41"/>
      <c r="CR172" s="25"/>
      <c r="CU172" s="21">
        <v>167</v>
      </c>
      <c r="CV172" s="41">
        <v>1</v>
      </c>
      <c r="CW172" s="41">
        <v>1.8192576091040986</v>
      </c>
      <c r="CX172" s="41">
        <v>1.8192576091040986</v>
      </c>
      <c r="CY172" s="41" t="e">
        <v>#N/A</v>
      </c>
      <c r="CZ172" t="e">
        <v>#N/A</v>
      </c>
      <c r="DA172" t="e">
        <v>#N/A</v>
      </c>
      <c r="DB172" t="str">
        <v/>
      </c>
      <c r="DX172">
        <v>167</v>
      </c>
      <c r="DY172">
        <v>6</v>
      </c>
      <c r="DZ172">
        <v>8.8224752287145186E-2</v>
      </c>
      <c r="EA172" t="str">
        <v/>
      </c>
    </row>
    <row r="173" spans="70:131" x14ac:dyDescent="0.2">
      <c r="BR173">
        <v>168</v>
      </c>
      <c r="BS173">
        <v>0.94488188976377963</v>
      </c>
      <c r="BT173" s="21">
        <v>0.25529400785464174</v>
      </c>
      <c r="BU173" s="21">
        <v>10</v>
      </c>
      <c r="BV173" s="41">
        <v>0</v>
      </c>
      <c r="BW173" s="41">
        <v>0</v>
      </c>
      <c r="BX173" s="41" t="str">
        <v/>
      </c>
      <c r="BY173" s="41" t="str">
        <v/>
      </c>
      <c r="BZ173" s="41"/>
      <c r="CA173" s="41"/>
      <c r="CB173" s="41"/>
      <c r="CC173" s="41"/>
      <c r="CD173" s="41"/>
      <c r="CE173"/>
      <c r="CF173"/>
      <c r="CG173"/>
      <c r="CH173"/>
      <c r="CI173"/>
      <c r="CJ173" s="41"/>
      <c r="CK173" s="41"/>
      <c r="CL173" s="41"/>
      <c r="CM173" s="41"/>
      <c r="CN173" s="41"/>
      <c r="CO173" s="41"/>
      <c r="CP173" s="41"/>
      <c r="CQ173" s="41"/>
      <c r="CR173" s="25"/>
      <c r="CU173" s="21">
        <v>168</v>
      </c>
      <c r="CV173" s="41">
        <v>1</v>
      </c>
      <c r="CW173" s="41">
        <v>1.8192576091040986</v>
      </c>
      <c r="CX173" s="41">
        <v>1.8192576091040986</v>
      </c>
      <c r="CY173" s="41" t="e">
        <v>#N/A</v>
      </c>
      <c r="CZ173" t="e">
        <v>#N/A</v>
      </c>
      <c r="DA173" t="e">
        <v>#N/A</v>
      </c>
      <c r="DB173" t="str">
        <v/>
      </c>
      <c r="DX173">
        <v>168</v>
      </c>
      <c r="DY173">
        <v>6</v>
      </c>
      <c r="DZ173">
        <v>8.8224752287145186E-2</v>
      </c>
      <c r="EA173" t="str">
        <v/>
      </c>
    </row>
    <row r="174" spans="70:131" x14ac:dyDescent="0.2">
      <c r="BR174">
        <v>169</v>
      </c>
      <c r="BS174">
        <v>0.96850393700787407</v>
      </c>
      <c r="BT174" s="21">
        <v>0.24958931018098326</v>
      </c>
      <c r="BU174" s="21">
        <v>10</v>
      </c>
      <c r="BV174" s="41">
        <v>0</v>
      </c>
      <c r="BW174" s="41">
        <v>0</v>
      </c>
      <c r="BX174" s="41" t="str">
        <v/>
      </c>
      <c r="BY174" s="41" t="str">
        <v/>
      </c>
      <c r="BZ174" s="41"/>
      <c r="CA174" s="41"/>
      <c r="CB174" s="41"/>
      <c r="CC174" s="41"/>
      <c r="CD174" s="41"/>
      <c r="CE174"/>
      <c r="CF174"/>
      <c r="CG174"/>
      <c r="CH174"/>
      <c r="CI174"/>
      <c r="CJ174" s="41"/>
      <c r="CK174" s="41"/>
      <c r="CL174" s="41"/>
      <c r="CM174" s="41"/>
      <c r="CN174" s="41"/>
      <c r="CO174" s="41"/>
      <c r="CP174" s="41"/>
      <c r="CQ174" s="41"/>
      <c r="CR174" s="25"/>
      <c r="CU174" s="21">
        <v>169</v>
      </c>
      <c r="CV174" s="41">
        <v>1</v>
      </c>
      <c r="CW174" s="41">
        <v>1.8192576091040986</v>
      </c>
      <c r="CX174" s="41">
        <v>1.8192576091040986</v>
      </c>
      <c r="CY174" s="41" t="e">
        <v>#N/A</v>
      </c>
      <c r="CZ174" t="e">
        <v>#N/A</v>
      </c>
      <c r="DA174" t="e">
        <v>#N/A</v>
      </c>
      <c r="DB174" t="str">
        <v/>
      </c>
      <c r="DX174">
        <v>169</v>
      </c>
      <c r="DY174">
        <v>6</v>
      </c>
      <c r="DZ174">
        <v>8.8224752287145186E-2</v>
      </c>
      <c r="EA174" t="str">
        <v/>
      </c>
    </row>
    <row r="175" spans="70:131" x14ac:dyDescent="0.2">
      <c r="BR175">
        <v>170</v>
      </c>
      <c r="BS175">
        <v>0.99212598425196852</v>
      </c>
      <c r="BT175" s="21">
        <v>0.24387596636153336</v>
      </c>
      <c r="BU175" s="21">
        <v>10</v>
      </c>
      <c r="BV175" s="41">
        <v>0</v>
      </c>
      <c r="BW175" s="41">
        <v>0</v>
      </c>
      <c r="BX175" s="41" t="str">
        <v/>
      </c>
      <c r="BY175" s="41" t="str">
        <v/>
      </c>
      <c r="BZ175" s="41"/>
      <c r="CA175" s="41"/>
      <c r="CB175" s="41"/>
      <c r="CC175" s="41"/>
      <c r="CD175" s="41"/>
      <c r="CE175"/>
      <c r="CF175"/>
      <c r="CG175"/>
      <c r="CH175"/>
      <c r="CI175"/>
      <c r="CJ175" s="41"/>
      <c r="CK175" s="41"/>
      <c r="CL175" s="41"/>
      <c r="CM175" s="41"/>
      <c r="CN175" s="41"/>
      <c r="CO175" s="41"/>
      <c r="CP175" s="41"/>
      <c r="CQ175" s="41"/>
      <c r="CR175" s="25"/>
      <c r="CU175" s="21">
        <v>170</v>
      </c>
      <c r="CV175" s="41">
        <v>1</v>
      </c>
      <c r="CW175" s="41">
        <v>1.8192576091040986</v>
      </c>
      <c r="CX175" s="41">
        <v>1.8192576091040986</v>
      </c>
      <c r="CY175" s="41" t="e">
        <v>#N/A</v>
      </c>
      <c r="CZ175" t="e">
        <v>#N/A</v>
      </c>
      <c r="DA175" t="e">
        <v>#N/A</v>
      </c>
      <c r="DB175" t="str">
        <v/>
      </c>
      <c r="DX175">
        <v>170</v>
      </c>
      <c r="DY175">
        <v>6</v>
      </c>
      <c r="DZ175">
        <v>8.8224752287145186E-2</v>
      </c>
      <c r="EA175" t="str">
        <v/>
      </c>
    </row>
    <row r="176" spans="70:131" x14ac:dyDescent="0.2">
      <c r="BR176">
        <v>171</v>
      </c>
      <c r="BS176">
        <v>1.015748031496063</v>
      </c>
      <c r="BT176" s="21">
        <v>0.2381604756836066</v>
      </c>
      <c r="BU176" s="21">
        <v>11</v>
      </c>
      <c r="BV176" s="41">
        <v>0</v>
      </c>
      <c r="BW176" s="41">
        <v>0</v>
      </c>
      <c r="BX176" s="41">
        <v>6.16</v>
      </c>
      <c r="BY176" s="41" t="str">
        <v>1σ</v>
      </c>
      <c r="BZ176" s="41"/>
      <c r="CA176" s="41"/>
      <c r="CB176" s="41"/>
      <c r="CC176" s="41"/>
      <c r="CD176" s="41"/>
      <c r="CE176"/>
      <c r="CF176"/>
      <c r="CG176"/>
      <c r="CH176"/>
      <c r="CI176"/>
      <c r="CJ176" s="41"/>
      <c r="CK176" s="41"/>
      <c r="CL176" s="41"/>
      <c r="CM176" s="41"/>
      <c r="CN176" s="41"/>
      <c r="CO176" s="41"/>
      <c r="CP176" s="41"/>
      <c r="CQ176" s="41"/>
      <c r="CR176" s="25"/>
      <c r="CU176" s="21">
        <v>171</v>
      </c>
      <c r="CV176" s="41">
        <v>1</v>
      </c>
      <c r="CW176" s="41">
        <v>1.8192576091040986</v>
      </c>
      <c r="CX176" s="41">
        <v>1.8192576091040986</v>
      </c>
      <c r="CY176" s="41" t="e">
        <v>#N/A</v>
      </c>
      <c r="CZ176" t="e">
        <v>#N/A</v>
      </c>
      <c r="DA176" t="e">
        <v>#N/A</v>
      </c>
      <c r="DB176" t="str">
        <v/>
      </c>
      <c r="DX176">
        <v>171</v>
      </c>
      <c r="DY176">
        <v>6</v>
      </c>
      <c r="DZ176">
        <v>8.8224752287145186E-2</v>
      </c>
      <c r="EA176" t="str">
        <v/>
      </c>
    </row>
    <row r="177" spans="70:131" x14ac:dyDescent="0.2">
      <c r="BR177">
        <v>172</v>
      </c>
      <c r="BS177">
        <v>1.0393700787401574</v>
      </c>
      <c r="BT177" s="21">
        <v>0.23244919045958226</v>
      </c>
      <c r="BU177" s="21">
        <v>11</v>
      </c>
      <c r="BV177" s="41">
        <v>0</v>
      </c>
      <c r="BW177" s="41">
        <v>0</v>
      </c>
      <c r="BX177" s="41" t="str">
        <v/>
      </c>
      <c r="BY177" s="41" t="str">
        <v/>
      </c>
      <c r="BZ177" s="41"/>
      <c r="CA177" s="41"/>
      <c r="CB177" s="41"/>
      <c r="CC177" s="41"/>
      <c r="CD177" s="41"/>
      <c r="CE177"/>
      <c r="CF177"/>
      <c r="CG177"/>
      <c r="CH177"/>
      <c r="CI177"/>
      <c r="CJ177" s="41"/>
      <c r="CK177" s="41"/>
      <c r="CL177" s="41"/>
      <c r="CM177" s="41"/>
      <c r="CN177" s="41"/>
      <c r="CO177" s="41"/>
      <c r="CP177" s="41"/>
      <c r="CQ177" s="41"/>
      <c r="CR177" s="25"/>
      <c r="CU177" s="21">
        <v>172</v>
      </c>
      <c r="CV177" s="41">
        <v>1</v>
      </c>
      <c r="CW177" s="41">
        <v>1.8192576091040986</v>
      </c>
      <c r="CX177" s="41">
        <v>1.8192576091040986</v>
      </c>
      <c r="CY177" s="41" t="e">
        <v>#N/A</v>
      </c>
      <c r="CZ177" t="e">
        <v>#N/A</v>
      </c>
      <c r="DA177" t="e">
        <v>#N/A</v>
      </c>
      <c r="DB177" t="str">
        <v/>
      </c>
      <c r="DX177">
        <v>172</v>
      </c>
      <c r="DY177">
        <v>6</v>
      </c>
      <c r="DZ177">
        <v>8.8224752287145186E-2</v>
      </c>
      <c r="EA177" t="str">
        <v/>
      </c>
    </row>
    <row r="178" spans="70:131" x14ac:dyDescent="0.2">
      <c r="BR178">
        <v>173</v>
      </c>
      <c r="BS178">
        <v>1.0629921259842519</v>
      </c>
      <c r="BT178" s="21">
        <v>0.22674830546502489</v>
      </c>
      <c r="BU178" s="21">
        <v>11</v>
      </c>
      <c r="BV178" s="41">
        <v>0</v>
      </c>
      <c r="BW178" s="41">
        <v>0</v>
      </c>
      <c r="BX178" s="41" t="str">
        <v/>
      </c>
      <c r="BY178" s="41" t="str">
        <v/>
      </c>
      <c r="BZ178" s="41"/>
      <c r="CA178" s="41"/>
      <c r="CB178" s="41"/>
      <c r="CC178" s="41"/>
      <c r="CD178" s="41"/>
      <c r="CE178"/>
      <c r="CF178"/>
      <c r="CG178"/>
      <c r="CH178"/>
      <c r="CI178"/>
      <c r="CJ178" s="41"/>
      <c r="CK178" s="41"/>
      <c r="CL178" s="41"/>
      <c r="CM178" s="41"/>
      <c r="CN178" s="41"/>
      <c r="CO178" s="41"/>
      <c r="CP178" s="41"/>
      <c r="CQ178" s="41"/>
      <c r="CR178" s="25"/>
      <c r="CU178" s="21">
        <v>173</v>
      </c>
      <c r="CV178" s="41">
        <v>1</v>
      </c>
      <c r="CW178" s="41">
        <v>1.8192576091040986</v>
      </c>
      <c r="CX178" s="41">
        <v>1.8192576091040986</v>
      </c>
      <c r="CY178" s="41" t="e">
        <v>#N/A</v>
      </c>
      <c r="CZ178" t="e">
        <v>#N/A</v>
      </c>
      <c r="DA178" t="e">
        <v>#N/A</v>
      </c>
      <c r="DB178" t="str">
        <v/>
      </c>
      <c r="DX178">
        <v>173</v>
      </c>
      <c r="DY178">
        <v>6</v>
      </c>
      <c r="DZ178">
        <v>8.8224752287145186E-2</v>
      </c>
      <c r="EA178" t="str">
        <v/>
      </c>
    </row>
    <row r="179" spans="70:131" x14ac:dyDescent="0.2">
      <c r="BR179">
        <v>174</v>
      </c>
      <c r="BS179">
        <v>1.0866141732283463</v>
      </c>
      <c r="BT179" s="21">
        <v>0.22106384806123058</v>
      </c>
      <c r="BU179" s="21">
        <v>11</v>
      </c>
      <c r="BV179" s="41">
        <v>0</v>
      </c>
      <c r="BW179" s="41">
        <v>0</v>
      </c>
      <c r="BX179" s="41" t="str">
        <v/>
      </c>
      <c r="BY179" s="41" t="str">
        <v/>
      </c>
      <c r="BZ179" s="41"/>
      <c r="CA179" s="41"/>
      <c r="CB179" s="41"/>
      <c r="CC179" s="41"/>
      <c r="CD179" s="41"/>
      <c r="CE179"/>
      <c r="CF179"/>
      <c r="CG179"/>
      <c r="CH179"/>
      <c r="CI179"/>
      <c r="CJ179" s="41"/>
      <c r="CK179" s="41"/>
      <c r="CL179" s="41"/>
      <c r="CM179" s="41"/>
      <c r="CN179" s="41"/>
      <c r="CO179" s="41"/>
      <c r="CP179" s="41"/>
      <c r="CQ179" s="41"/>
      <c r="CR179" s="25"/>
      <c r="CU179" s="21">
        <v>174</v>
      </c>
      <c r="CV179" s="41">
        <v>1</v>
      </c>
      <c r="CW179" s="41">
        <v>1.8192576091040986</v>
      </c>
      <c r="CX179" s="41">
        <v>1.8192576091040986</v>
      </c>
      <c r="CY179" s="41" t="e">
        <v>#N/A</v>
      </c>
      <c r="CZ179" t="e">
        <v>#N/A</v>
      </c>
      <c r="DA179" t="e">
        <v>#N/A</v>
      </c>
      <c r="DB179" t="str">
        <v/>
      </c>
      <c r="DX179">
        <v>174</v>
      </c>
      <c r="DY179">
        <v>6</v>
      </c>
      <c r="DZ179">
        <v>8.8224752287145186E-2</v>
      </c>
      <c r="EA179" t="str">
        <v/>
      </c>
    </row>
    <row r="180" spans="70:131" x14ac:dyDescent="0.2">
      <c r="BR180">
        <v>175</v>
      </c>
      <c r="BS180">
        <v>1.1102362204724407</v>
      </c>
      <c r="BT180" s="21">
        <v>0.21540166901844132</v>
      </c>
      <c r="BU180" s="21">
        <v>11</v>
      </c>
      <c r="BV180" s="41">
        <v>0</v>
      </c>
      <c r="BW180" s="41">
        <v>0</v>
      </c>
      <c r="BX180" s="41" t="str">
        <v/>
      </c>
      <c r="BY180" s="41" t="str">
        <v/>
      </c>
      <c r="BZ180" s="41"/>
      <c r="CA180" s="41"/>
      <c r="CB180" s="41"/>
      <c r="CC180" s="41"/>
      <c r="CD180" s="41"/>
      <c r="CE180"/>
      <c r="CF180"/>
      <c r="CG180"/>
      <c r="CH180"/>
      <c r="CI180"/>
      <c r="CJ180" s="41"/>
      <c r="CK180" s="41"/>
      <c r="CL180" s="41"/>
      <c r="CM180" s="41"/>
      <c r="CN180" s="41"/>
      <c r="CO180" s="41"/>
      <c r="CP180" s="41"/>
      <c r="CQ180" s="41"/>
      <c r="CR180" s="25"/>
      <c r="CU180" s="21">
        <v>175</v>
      </c>
      <c r="CV180" s="41">
        <v>1</v>
      </c>
      <c r="CW180" s="41">
        <v>1.8192576091040986</v>
      </c>
      <c r="CX180" s="41">
        <v>1.8192576091040986</v>
      </c>
      <c r="CY180" s="41" t="e">
        <v>#N/A</v>
      </c>
      <c r="CZ180" t="e">
        <v>#N/A</v>
      </c>
      <c r="DA180" t="e">
        <v>#N/A</v>
      </c>
      <c r="DB180" t="str">
        <v/>
      </c>
      <c r="DX180">
        <v>175</v>
      </c>
      <c r="DY180">
        <v>6</v>
      </c>
      <c r="DZ180">
        <v>8.8224752287145186E-2</v>
      </c>
      <c r="EA180" t="str">
        <v/>
      </c>
    </row>
    <row r="181" spans="70:131" x14ac:dyDescent="0.2">
      <c r="BR181">
        <v>176</v>
      </c>
      <c r="BS181">
        <v>1.1338582677165352</v>
      </c>
      <c r="BT181" s="21">
        <v>0.20976743405287629</v>
      </c>
      <c r="BU181" s="21">
        <v>11</v>
      </c>
      <c r="BV181" s="41">
        <v>0</v>
      </c>
      <c r="BW181" s="41">
        <v>0</v>
      </c>
      <c r="BX181" s="41" t="str">
        <v/>
      </c>
      <c r="BY181" s="41" t="str">
        <v/>
      </c>
      <c r="BZ181" s="41"/>
      <c r="CA181" s="41"/>
      <c r="CB181" s="41"/>
      <c r="CC181" s="41"/>
      <c r="CD181" s="41"/>
      <c r="CE181"/>
      <c r="CF181"/>
      <c r="CG181"/>
      <c r="CH181"/>
      <c r="CI181"/>
      <c r="CJ181" s="41"/>
      <c r="CK181" s="41"/>
      <c r="CL181" s="41"/>
      <c r="CM181" s="41"/>
      <c r="CN181" s="41"/>
      <c r="CO181" s="41"/>
      <c r="CP181" s="41"/>
      <c r="CQ181" s="41"/>
      <c r="CR181" s="25"/>
      <c r="CU181" s="21">
        <v>176</v>
      </c>
      <c r="CV181" s="41">
        <v>1</v>
      </c>
      <c r="CW181" s="41">
        <v>1.8192576091040986</v>
      </c>
      <c r="CX181" s="41">
        <v>1.8192576091040986</v>
      </c>
      <c r="CY181" s="41" t="e">
        <v>#N/A</v>
      </c>
      <c r="CZ181" t="e">
        <v>#N/A</v>
      </c>
      <c r="DA181" t="e">
        <v>#N/A</v>
      </c>
      <c r="DB181" t="str">
        <v/>
      </c>
      <c r="DX181">
        <v>176</v>
      </c>
      <c r="DY181">
        <v>6</v>
      </c>
      <c r="DZ181">
        <v>8.8224752287145186E-2</v>
      </c>
      <c r="EA181" t="str">
        <v/>
      </c>
    </row>
    <row r="182" spans="70:131" x14ac:dyDescent="0.2">
      <c r="BR182">
        <v>177</v>
      </c>
      <c r="BS182">
        <v>1.1574803149606296</v>
      </c>
      <c r="BT182" s="21">
        <v>0.20416661608765058</v>
      </c>
      <c r="BU182" s="21">
        <v>11</v>
      </c>
      <c r="BV182" s="41">
        <v>0</v>
      </c>
      <c r="BW182" s="41">
        <v>0</v>
      </c>
      <c r="BX182" s="41" t="str">
        <v/>
      </c>
      <c r="BY182" s="41" t="str">
        <v/>
      </c>
      <c r="BZ182" s="41"/>
      <c r="CA182" s="41"/>
      <c r="CB182" s="41"/>
      <c r="CC182" s="41"/>
      <c r="CD182" s="41"/>
      <c r="CE182"/>
      <c r="CF182"/>
      <c r="CG182"/>
      <c r="CH182"/>
      <c r="CI182"/>
      <c r="CJ182" s="41"/>
      <c r="CK182" s="41"/>
      <c r="CL182" s="41"/>
      <c r="CM182" s="41"/>
      <c r="CN182" s="41"/>
      <c r="CO182" s="41"/>
      <c r="CP182" s="41"/>
      <c r="CQ182" s="41"/>
      <c r="CR182" s="25"/>
      <c r="CU182" s="21">
        <v>177</v>
      </c>
      <c r="CV182" s="41">
        <v>1</v>
      </c>
      <c r="CW182" s="41">
        <v>1.8192576091040986</v>
      </c>
      <c r="CX182" s="41">
        <v>1.8192576091040986</v>
      </c>
      <c r="CY182" s="41" t="e">
        <v>#N/A</v>
      </c>
      <c r="CZ182" t="e">
        <v>#N/A</v>
      </c>
      <c r="DA182" t="e">
        <v>#N/A</v>
      </c>
      <c r="DB182" t="str">
        <v/>
      </c>
      <c r="DX182">
        <v>177</v>
      </c>
      <c r="DY182">
        <v>6</v>
      </c>
      <c r="DZ182">
        <v>8.8224752287145186E-2</v>
      </c>
      <c r="EA182" t="str">
        <v/>
      </c>
    </row>
    <row r="183" spans="70:131" x14ac:dyDescent="0.2">
      <c r="BR183">
        <v>178</v>
      </c>
      <c r="BS183">
        <v>1.1811023622047241</v>
      </c>
      <c r="BT183" s="21">
        <v>0.19860448824460655</v>
      </c>
      <c r="BU183" s="21">
        <v>11</v>
      </c>
      <c r="BV183" s="41">
        <v>0</v>
      </c>
      <c r="BW183" s="41">
        <v>0</v>
      </c>
      <c r="BX183" s="41" t="str">
        <v/>
      </c>
      <c r="BY183" s="41" t="str">
        <v/>
      </c>
      <c r="BZ183" s="41"/>
      <c r="CA183" s="41"/>
      <c r="CB183" s="41"/>
      <c r="CC183" s="41"/>
      <c r="CD183" s="41"/>
      <c r="CE183"/>
      <c r="CF183"/>
      <c r="CG183"/>
      <c r="CH183"/>
      <c r="CI183"/>
      <c r="CJ183" s="41"/>
      <c r="CK183" s="41"/>
      <c r="CL183" s="41"/>
      <c r="CM183" s="41"/>
      <c r="CN183" s="41"/>
      <c r="CO183" s="41"/>
      <c r="CP183" s="41"/>
      <c r="CQ183" s="41"/>
      <c r="CR183" s="25"/>
      <c r="CU183" s="21">
        <v>178</v>
      </c>
      <c r="CV183" s="41">
        <v>1</v>
      </c>
      <c r="CW183" s="41">
        <v>1.8192576091040986</v>
      </c>
      <c r="CX183" s="41">
        <v>1.8192576091040986</v>
      </c>
      <c r="CY183" s="41" t="e">
        <v>#N/A</v>
      </c>
      <c r="CZ183" t="e">
        <v>#N/A</v>
      </c>
      <c r="DA183" t="e">
        <v>#N/A</v>
      </c>
      <c r="DB183" t="str">
        <v/>
      </c>
      <c r="DX183">
        <v>178</v>
      </c>
      <c r="DY183">
        <v>6</v>
      </c>
      <c r="DZ183">
        <v>8.8224752287145186E-2</v>
      </c>
      <c r="EA183" t="str">
        <v/>
      </c>
    </row>
    <row r="184" spans="70:131" x14ac:dyDescent="0.2">
      <c r="BR184">
        <v>179</v>
      </c>
      <c r="BS184">
        <v>1.2047244094488185</v>
      </c>
      <c r="BT184" s="21">
        <v>0.19308611757108693</v>
      </c>
      <c r="BU184" s="21">
        <v>11</v>
      </c>
      <c r="BV184" s="41">
        <v>0</v>
      </c>
      <c r="BW184" s="41">
        <v>0</v>
      </c>
      <c r="BX184" s="41" t="str">
        <v/>
      </c>
      <c r="BY184" s="41" t="str">
        <v/>
      </c>
      <c r="BZ184" s="41"/>
      <c r="CA184" s="41"/>
      <c r="CB184" s="41"/>
      <c r="CC184" s="41"/>
      <c r="CD184" s="41"/>
      <c r="CE184"/>
      <c r="CF184"/>
      <c r="CG184"/>
      <c r="CH184"/>
      <c r="CI184"/>
      <c r="CJ184" s="41"/>
      <c r="CK184" s="41"/>
      <c r="CL184" s="41"/>
      <c r="CM184" s="41"/>
      <c r="CN184" s="41"/>
      <c r="CO184" s="41"/>
      <c r="CP184" s="41"/>
      <c r="CQ184" s="41"/>
      <c r="CR184" s="25"/>
      <c r="CU184" s="21">
        <v>179</v>
      </c>
      <c r="CV184" s="41">
        <v>1</v>
      </c>
      <c r="CW184" s="41">
        <v>1.8192576091040986</v>
      </c>
      <c r="CX184" s="41">
        <v>1.8192576091040986</v>
      </c>
      <c r="CY184" s="41" t="e">
        <v>#N/A</v>
      </c>
      <c r="CZ184" t="e">
        <v>#N/A</v>
      </c>
      <c r="DA184" t="e">
        <v>#N/A</v>
      </c>
      <c r="DB184" t="str">
        <v/>
      </c>
      <c r="DX184">
        <v>179</v>
      </c>
      <c r="DY184">
        <v>6</v>
      </c>
      <c r="DZ184">
        <v>8.8224752287145186E-2</v>
      </c>
      <c r="EA184" t="str">
        <v/>
      </c>
    </row>
    <row r="185" spans="70:131" x14ac:dyDescent="0.2">
      <c r="BR185">
        <v>180</v>
      </c>
      <c r="BS185">
        <v>1.228346456692913</v>
      </c>
      <c r="BT185" s="21">
        <v>0.18761635950273958</v>
      </c>
      <c r="BU185" s="21">
        <v>11</v>
      </c>
      <c r="BV185" s="41">
        <v>0</v>
      </c>
      <c r="BW185" s="41">
        <v>0</v>
      </c>
      <c r="BX185" s="41" t="str">
        <v/>
      </c>
      <c r="BY185" s="41" t="str">
        <v/>
      </c>
      <c r="BZ185" s="41"/>
      <c r="CA185" s="41"/>
      <c r="CB185" s="41"/>
      <c r="CC185" s="41"/>
      <c r="CD185" s="41"/>
      <c r="CE185"/>
      <c r="CF185"/>
      <c r="CG185"/>
      <c r="CH185"/>
      <c r="CI185"/>
      <c r="CJ185" s="41"/>
      <c r="CK185" s="41"/>
      <c r="CL185" s="41"/>
      <c r="CM185" s="41"/>
      <c r="CN185" s="41"/>
      <c r="CO185" s="41"/>
      <c r="CP185" s="41"/>
      <c r="CQ185" s="41"/>
      <c r="CR185" s="25"/>
      <c r="CU185" s="21">
        <v>180</v>
      </c>
      <c r="CV185" s="41">
        <v>1</v>
      </c>
      <c r="CW185" s="41">
        <v>1.8192576091040986</v>
      </c>
      <c r="CX185" s="41">
        <v>1.8192576091040986</v>
      </c>
      <c r="CY185" s="41" t="e">
        <v>#N/A</v>
      </c>
      <c r="CZ185" t="e">
        <v>#N/A</v>
      </c>
      <c r="DA185" t="e">
        <v>#N/A</v>
      </c>
      <c r="DB185" t="str">
        <v/>
      </c>
      <c r="DX185">
        <v>180</v>
      </c>
      <c r="DY185">
        <v>6</v>
      </c>
      <c r="DZ185">
        <v>8.8224752287145186E-2</v>
      </c>
      <c r="EA185" t="str">
        <v/>
      </c>
    </row>
    <row r="186" spans="70:131" x14ac:dyDescent="0.2">
      <c r="BR186">
        <v>181</v>
      </c>
      <c r="BS186">
        <v>1.2519685039370074</v>
      </c>
      <c r="BT186" s="21">
        <v>0.18219985306058248</v>
      </c>
      <c r="BU186" s="21">
        <v>11</v>
      </c>
      <c r="BV186" s="41">
        <v>0</v>
      </c>
      <c r="BW186" s="41">
        <v>0</v>
      </c>
      <c r="BX186" s="41" t="str">
        <v/>
      </c>
      <c r="BY186" s="41" t="str">
        <v/>
      </c>
      <c r="BZ186" s="41"/>
      <c r="CA186" s="41"/>
      <c r="CB186" s="41"/>
      <c r="CC186" s="41"/>
      <c r="CD186" s="41"/>
      <c r="CE186"/>
      <c r="CF186"/>
      <c r="CG186"/>
      <c r="CH186"/>
      <c r="CI186"/>
      <c r="CJ186" s="41"/>
      <c r="CK186" s="41"/>
      <c r="CL186" s="41"/>
      <c r="CM186" s="41"/>
      <c r="CN186" s="41"/>
      <c r="CO186" s="41"/>
      <c r="CP186" s="41"/>
      <c r="CQ186" s="41"/>
      <c r="CR186" s="25"/>
      <c r="CU186" s="21">
        <v>181</v>
      </c>
      <c r="CV186" s="41">
        <v>1</v>
      </c>
      <c r="CW186" s="41">
        <v>1.8192576091040986</v>
      </c>
      <c r="CX186" s="41">
        <v>1.8192576091040986</v>
      </c>
      <c r="CY186" s="41" t="e">
        <v>#N/A</v>
      </c>
      <c r="CZ186" t="e">
        <v>#N/A</v>
      </c>
      <c r="DA186" t="e">
        <v>#N/A</v>
      </c>
      <c r="DB186" t="str">
        <v/>
      </c>
      <c r="DX186">
        <v>181</v>
      </c>
      <c r="DY186">
        <v>6</v>
      </c>
      <c r="DZ186">
        <v>8.8224752287145186E-2</v>
      </c>
      <c r="EA186" t="str">
        <v/>
      </c>
    </row>
    <row r="187" spans="70:131" x14ac:dyDescent="0.2">
      <c r="BR187">
        <v>182</v>
      </c>
      <c r="BS187">
        <v>1.2755905511811019</v>
      </c>
      <c r="BT187" s="21">
        <v>0.17684101677777875</v>
      </c>
      <c r="BU187" s="21">
        <v>11</v>
      </c>
      <c r="BV187" s="41">
        <v>0</v>
      </c>
      <c r="BW187" s="41">
        <v>0</v>
      </c>
      <c r="BX187" s="41" t="str">
        <v/>
      </c>
      <c r="BY187" s="41" t="str">
        <v/>
      </c>
      <c r="BZ187" s="41"/>
      <c r="CA187" s="41"/>
      <c r="CB187" s="41"/>
      <c r="CC187" s="41"/>
      <c r="CD187" s="41"/>
      <c r="CE187"/>
      <c r="CF187"/>
      <c r="CG187"/>
      <c r="CH187"/>
      <c r="CI187"/>
      <c r="CJ187" s="41"/>
      <c r="CK187" s="41"/>
      <c r="CL187" s="41"/>
      <c r="CM187" s="41"/>
      <c r="CN187" s="41"/>
      <c r="CO187" s="41"/>
      <c r="CP187" s="41"/>
      <c r="CQ187" s="41"/>
      <c r="CR187" s="25"/>
      <c r="CU187" s="21">
        <v>182</v>
      </c>
      <c r="CV187" s="41">
        <v>1</v>
      </c>
      <c r="CW187" s="41">
        <v>1.8192576091040986</v>
      </c>
      <c r="CX187" s="41">
        <v>1.8192576091040986</v>
      </c>
      <c r="CY187" s="41" t="e">
        <v>#N/A</v>
      </c>
      <c r="CZ187" t="e">
        <v>#N/A</v>
      </c>
      <c r="DA187" t="e">
        <v>#N/A</v>
      </c>
      <c r="DB187" t="str">
        <v/>
      </c>
      <c r="DX187">
        <v>182</v>
      </c>
      <c r="DY187">
        <v>6</v>
      </c>
      <c r="DZ187">
        <v>8.8224752287145186E-2</v>
      </c>
      <c r="EA187" t="str">
        <v/>
      </c>
    </row>
    <row r="188" spans="70:131" x14ac:dyDescent="0.2">
      <c r="BR188">
        <v>183</v>
      </c>
      <c r="BS188">
        <v>1.2992125984251972</v>
      </c>
      <c r="BT188" s="21">
        <v>0.17154404534889039</v>
      </c>
      <c r="BU188" s="21">
        <v>11</v>
      </c>
      <c r="BV188" s="41">
        <v>0</v>
      </c>
      <c r="BW188" s="41">
        <v>0</v>
      </c>
      <c r="BX188" s="41" t="str">
        <v/>
      </c>
      <c r="BY188" s="41" t="str">
        <v/>
      </c>
      <c r="BZ188" s="41"/>
      <c r="CA188" s="41"/>
      <c r="CB188" s="41"/>
      <c r="CC188" s="41"/>
      <c r="CD188" s="41"/>
      <c r="CE188"/>
      <c r="CF188"/>
      <c r="CG188"/>
      <c r="CH188"/>
      <c r="CI188"/>
      <c r="CJ188" s="41"/>
      <c r="CK188" s="41"/>
      <c r="CL188" s="41"/>
      <c r="CM188" s="41"/>
      <c r="CN188" s="41"/>
      <c r="CO188" s="41"/>
      <c r="CP188" s="41"/>
      <c r="CQ188" s="41"/>
      <c r="CR188" s="25"/>
      <c r="CU188" s="21">
        <v>183</v>
      </c>
      <c r="CV188" s="41">
        <v>1</v>
      </c>
      <c r="CW188" s="41">
        <v>1.8192576091040986</v>
      </c>
      <c r="CX188" s="41">
        <v>1.8192576091040986</v>
      </c>
      <c r="CY188" s="41" t="e">
        <v>#N/A</v>
      </c>
      <c r="CZ188" t="e">
        <v>#N/A</v>
      </c>
      <c r="DA188" t="e">
        <v>#N/A</v>
      </c>
      <c r="DB188" t="str">
        <v/>
      </c>
      <c r="DX188">
        <v>183</v>
      </c>
      <c r="DY188">
        <v>6</v>
      </c>
      <c r="DZ188">
        <v>8.8224752287145186E-2</v>
      </c>
      <c r="EA188" t="str">
        <v/>
      </c>
    </row>
    <row r="189" spans="70:131" x14ac:dyDescent="0.2">
      <c r="BR189">
        <v>184</v>
      </c>
      <c r="BS189">
        <v>1.3228346456692917</v>
      </c>
      <c r="BT189" s="21">
        <v>0.16631290699180909</v>
      </c>
      <c r="BU189" s="21">
        <v>11</v>
      </c>
      <c r="BV189" s="41">
        <v>0</v>
      </c>
      <c r="BW189" s="41">
        <v>0</v>
      </c>
      <c r="BX189" s="41" t="str">
        <v/>
      </c>
      <c r="BY189" s="41" t="str">
        <v/>
      </c>
      <c r="BZ189" s="41"/>
      <c r="CA189" s="41"/>
      <c r="CB189" s="41"/>
      <c r="CC189" s="41"/>
      <c r="CD189" s="41"/>
      <c r="CE189"/>
      <c r="CF189"/>
      <c r="CG189"/>
      <c r="CH189"/>
      <c r="CI189"/>
      <c r="CJ189" s="41"/>
      <c r="CK189" s="41"/>
      <c r="CL189" s="41"/>
      <c r="CM189" s="41"/>
      <c r="CN189" s="41"/>
      <c r="CO189" s="41"/>
      <c r="CP189" s="41"/>
      <c r="CQ189" s="41"/>
      <c r="CR189" s="25"/>
      <c r="CU189" s="21">
        <v>184</v>
      </c>
      <c r="CV189" s="41">
        <v>1</v>
      </c>
      <c r="CW189" s="41">
        <v>1.8192576091040986</v>
      </c>
      <c r="CX189" s="41">
        <v>1.8192576091040986</v>
      </c>
      <c r="CY189" s="41" t="e">
        <v>#N/A</v>
      </c>
      <c r="CZ189" t="e">
        <v>#N/A</v>
      </c>
      <c r="DA189" t="e">
        <v>#N/A</v>
      </c>
      <c r="DB189" t="str">
        <v/>
      </c>
      <c r="DX189">
        <v>184</v>
      </c>
      <c r="DY189">
        <v>6</v>
      </c>
      <c r="DZ189">
        <v>8.8224752287145186E-2</v>
      </c>
      <c r="EA189" t="str">
        <v/>
      </c>
    </row>
    <row r="190" spans="70:131" x14ac:dyDescent="0.2">
      <c r="BR190">
        <v>185</v>
      </c>
      <c r="BS190">
        <v>1.3464566929133861</v>
      </c>
      <c r="BT190" s="21">
        <v>0.1611513415101023</v>
      </c>
      <c r="BU190" s="21">
        <v>11</v>
      </c>
      <c r="BV190" s="41">
        <v>0</v>
      </c>
      <c r="BW190" s="41">
        <v>0</v>
      </c>
      <c r="BX190" s="41" t="str">
        <v/>
      </c>
      <c r="BY190" s="41" t="str">
        <v/>
      </c>
      <c r="BZ190" s="41"/>
      <c r="CA190" s="41"/>
      <c r="CB190" s="41"/>
      <c r="CC190" s="41"/>
      <c r="CD190" s="41"/>
      <c r="CE190"/>
      <c r="CF190"/>
      <c r="CG190"/>
      <c r="CH190"/>
      <c r="CI190"/>
      <c r="CJ190" s="41"/>
      <c r="CK190" s="41"/>
      <c r="CL190" s="41"/>
      <c r="CM190" s="41"/>
      <c r="CN190" s="41"/>
      <c r="CO190" s="41"/>
      <c r="CP190" s="41"/>
      <c r="CQ190" s="41"/>
      <c r="CR190" s="25"/>
      <c r="CU190" s="21">
        <v>185</v>
      </c>
      <c r="CV190" s="41">
        <v>1</v>
      </c>
      <c r="CW190" s="41">
        <v>1.8192576091040986</v>
      </c>
      <c r="CX190" s="41">
        <v>1.8192576091040986</v>
      </c>
      <c r="CY190" s="41" t="e">
        <v>#N/A</v>
      </c>
      <c r="CZ190" t="e">
        <v>#N/A</v>
      </c>
      <c r="DA190" t="e">
        <v>#N/A</v>
      </c>
      <c r="DB190" t="str">
        <v/>
      </c>
      <c r="DX190">
        <v>185</v>
      </c>
      <c r="DY190">
        <v>6</v>
      </c>
      <c r="DZ190">
        <v>8.8224752287145186E-2</v>
      </c>
      <c r="EA190" t="str">
        <v/>
      </c>
    </row>
    <row r="191" spans="70:131" x14ac:dyDescent="0.2">
      <c r="BR191">
        <v>186</v>
      </c>
      <c r="BS191">
        <v>1.3700787401574805</v>
      </c>
      <c r="BT191" s="21">
        <v>0.15606285904118986</v>
      </c>
      <c r="BU191" s="21">
        <v>11</v>
      </c>
      <c r="BV191" s="41">
        <v>0</v>
      </c>
      <c r="BW191" s="41">
        <v>0</v>
      </c>
      <c r="BX191" s="41" t="str">
        <v/>
      </c>
      <c r="BY191" s="41" t="str">
        <v/>
      </c>
      <c r="BZ191" s="41"/>
      <c r="CA191" s="41"/>
      <c r="CB191" s="41"/>
      <c r="CC191" s="41"/>
      <c r="CD191" s="41"/>
      <c r="CE191"/>
      <c r="CF191"/>
      <c r="CG191"/>
      <c r="CH191"/>
      <c r="CI191"/>
      <c r="CJ191" s="41"/>
      <c r="CK191" s="41"/>
      <c r="CL191" s="41"/>
      <c r="CM191" s="41"/>
      <c r="CN191" s="41"/>
      <c r="CO191" s="41"/>
      <c r="CP191" s="41"/>
      <c r="CQ191" s="41"/>
      <c r="CR191" s="25"/>
      <c r="CU191" s="21">
        <v>186</v>
      </c>
      <c r="CV191" s="41">
        <v>1</v>
      </c>
      <c r="CW191" s="41">
        <v>1.8192576091040986</v>
      </c>
      <c r="CX191" s="41">
        <v>1.8192576091040986</v>
      </c>
      <c r="CY191" s="41" t="e">
        <v>#N/A</v>
      </c>
      <c r="CZ191" t="e">
        <v>#N/A</v>
      </c>
      <c r="DA191" t="e">
        <v>#N/A</v>
      </c>
      <c r="DB191" t="str">
        <v/>
      </c>
      <c r="DX191">
        <v>186</v>
      </c>
      <c r="DY191">
        <v>6</v>
      </c>
      <c r="DZ191">
        <v>8.8224752287145186E-2</v>
      </c>
      <c r="EA191" t="str">
        <v/>
      </c>
    </row>
    <row r="192" spans="70:131" x14ac:dyDescent="0.2">
      <c r="BR192">
        <v>187</v>
      </c>
      <c r="BS192">
        <v>1.393700787401575</v>
      </c>
      <c r="BT192" s="21">
        <v>0.15105073947356487</v>
      </c>
      <c r="BU192" s="21">
        <v>11</v>
      </c>
      <c r="BV192" s="41">
        <v>0</v>
      </c>
      <c r="BW192" s="41">
        <v>0</v>
      </c>
      <c r="BX192" s="41" t="str">
        <v/>
      </c>
      <c r="BY192" s="41" t="str">
        <v/>
      </c>
      <c r="BZ192" s="41"/>
      <c r="CA192" s="41"/>
      <c r="CB192" s="41"/>
      <c r="CC192" s="41"/>
      <c r="CD192" s="41"/>
      <c r="CE192"/>
      <c r="CF192"/>
      <c r="CG192"/>
      <c r="CH192"/>
      <c r="CI192"/>
      <c r="CJ192" s="41"/>
      <c r="CK192" s="41"/>
      <c r="CL192" s="41"/>
      <c r="CM192" s="41"/>
      <c r="CN192" s="41"/>
      <c r="CO192" s="41"/>
      <c r="CP192" s="41"/>
      <c r="CQ192" s="41"/>
      <c r="CR192" s="25"/>
      <c r="CU192" s="21">
        <v>187</v>
      </c>
      <c r="CV192" s="41">
        <v>1</v>
      </c>
      <c r="CW192" s="41">
        <v>1.8192576091040986</v>
      </c>
      <c r="CX192" s="41">
        <v>1.8192576091040986</v>
      </c>
      <c r="CY192" s="41" t="e">
        <v>#N/A</v>
      </c>
      <c r="CZ192" t="e">
        <v>#N/A</v>
      </c>
      <c r="DA192" t="e">
        <v>#N/A</v>
      </c>
      <c r="DB192" t="str">
        <v/>
      </c>
      <c r="DX192">
        <v>187</v>
      </c>
      <c r="DY192">
        <v>6</v>
      </c>
      <c r="DZ192">
        <v>8.8224752287145186E-2</v>
      </c>
      <c r="EA192" t="str">
        <v/>
      </c>
    </row>
    <row r="193" spans="70:131" x14ac:dyDescent="0.2">
      <c r="BR193">
        <v>188</v>
      </c>
      <c r="BS193">
        <v>1.4173228346456694</v>
      </c>
      <c r="BT193" s="21">
        <v>0.1461180325142209</v>
      </c>
      <c r="BU193" s="21">
        <v>12</v>
      </c>
      <c r="BV193" s="41">
        <v>1</v>
      </c>
      <c r="BW193" s="41">
        <v>0.20697755624177352</v>
      </c>
      <c r="BX193" s="41">
        <v>7.88</v>
      </c>
      <c r="BY193" s="41" t="str">
        <v/>
      </c>
      <c r="BZ193" s="41"/>
      <c r="CA193" s="41"/>
      <c r="CB193" s="41"/>
      <c r="CC193" s="41"/>
      <c r="CD193" s="41"/>
      <c r="CE193"/>
      <c r="CF193"/>
      <c r="CG193"/>
      <c r="CH193"/>
      <c r="CI193"/>
      <c r="CJ193" s="41"/>
      <c r="CK193" s="41"/>
      <c r="CL193" s="41"/>
      <c r="CM193" s="41"/>
      <c r="CN193" s="41"/>
      <c r="CO193" s="41"/>
      <c r="CP193" s="41"/>
      <c r="CQ193" s="41"/>
      <c r="CR193" s="25"/>
      <c r="CU193" s="21">
        <v>188</v>
      </c>
      <c r="CV193" s="41">
        <v>1</v>
      </c>
      <c r="CW193" s="41">
        <v>1.8192576091040986</v>
      </c>
      <c r="CX193" s="41">
        <v>1.8192576091040986</v>
      </c>
      <c r="CY193" s="41" t="e">
        <v>#N/A</v>
      </c>
      <c r="CZ193" t="e">
        <v>#N/A</v>
      </c>
      <c r="DA193" t="e">
        <v>#N/A</v>
      </c>
      <c r="DB193" t="str">
        <v/>
      </c>
      <c r="DX193">
        <v>188</v>
      </c>
      <c r="DY193">
        <v>6</v>
      </c>
      <c r="DZ193">
        <v>8.8224752287145186E-2</v>
      </c>
      <c r="EA193" t="str">
        <v/>
      </c>
    </row>
    <row r="194" spans="70:131" x14ac:dyDescent="0.2">
      <c r="BR194">
        <v>189</v>
      </c>
      <c r="BS194">
        <v>1.4409448818897639</v>
      </c>
      <c r="BT194" s="21">
        <v>0.14126755838553859</v>
      </c>
      <c r="BU194" s="21">
        <v>12</v>
      </c>
      <c r="BV194" s="41">
        <v>1</v>
      </c>
      <c r="BW194" s="41">
        <v>0.20697755624177352</v>
      </c>
      <c r="BX194" s="41" t="str">
        <v/>
      </c>
      <c r="BY194" s="41" t="str">
        <v/>
      </c>
      <c r="BZ194" s="41"/>
      <c r="CA194" s="41"/>
      <c r="CB194" s="41"/>
      <c r="CC194" s="41"/>
      <c r="CD194" s="41"/>
      <c r="CE194"/>
      <c r="CF194"/>
      <c r="CG194"/>
      <c r="CH194"/>
      <c r="CI194"/>
      <c r="CJ194" s="41"/>
      <c r="CK194" s="41"/>
      <c r="CL194" s="41"/>
      <c r="CM194" s="41"/>
      <c r="CN194" s="41"/>
      <c r="CO194" s="41"/>
      <c r="CP194" s="41"/>
      <c r="CQ194" s="41"/>
      <c r="CR194" s="25"/>
      <c r="CU194" s="21">
        <v>189</v>
      </c>
      <c r="CV194" s="41">
        <v>1</v>
      </c>
      <c r="CW194" s="41">
        <v>1.8192576091040986</v>
      </c>
      <c r="CX194" s="41">
        <v>1.8192576091040986</v>
      </c>
      <c r="CY194" s="41" t="e">
        <v>#N/A</v>
      </c>
      <c r="CZ194" t="e">
        <v>#N/A</v>
      </c>
      <c r="DA194" t="e">
        <v>#N/A</v>
      </c>
      <c r="DB194" t="str">
        <v/>
      </c>
      <c r="DX194">
        <v>189</v>
      </c>
      <c r="DY194">
        <v>6</v>
      </c>
      <c r="DZ194">
        <v>8.8224752287145186E-2</v>
      </c>
      <c r="EA194" t="str">
        <v/>
      </c>
    </row>
    <row r="195" spans="70:131" x14ac:dyDescent="0.2">
      <c r="BR195">
        <v>190</v>
      </c>
      <c r="BS195">
        <v>1.4645669291338583</v>
      </c>
      <c r="BT195" s="21">
        <v>0.13650190912912655</v>
      </c>
      <c r="BU195" s="21">
        <v>12</v>
      </c>
      <c r="BV195" s="41">
        <v>1</v>
      </c>
      <c r="BW195" s="41">
        <v>0.20697755624177352</v>
      </c>
      <c r="BX195" s="41" t="str">
        <v/>
      </c>
      <c r="BY195" s="41" t="str">
        <v/>
      </c>
      <c r="BZ195" s="41"/>
      <c r="CA195" s="41"/>
      <c r="CB195" s="41"/>
      <c r="CC195" s="41"/>
      <c r="CD195" s="41"/>
      <c r="CE195"/>
      <c r="CF195"/>
      <c r="CG195"/>
      <c r="CH195"/>
      <c r="CI195"/>
      <c r="CJ195" s="41"/>
      <c r="CK195" s="41"/>
      <c r="CL195" s="41"/>
      <c r="CM195" s="41"/>
      <c r="CN195" s="41"/>
      <c r="CO195" s="41"/>
      <c r="CP195" s="41"/>
      <c r="CQ195" s="41"/>
      <c r="CR195" s="25"/>
      <c r="CU195" s="21">
        <v>190</v>
      </c>
      <c r="CV195" s="41">
        <v>1</v>
      </c>
      <c r="CW195" s="41">
        <v>1.8192576091040986</v>
      </c>
      <c r="CX195" s="41">
        <v>1.8192576091040986</v>
      </c>
      <c r="CY195" s="41" t="e">
        <v>#N/A</v>
      </c>
      <c r="CZ195" t="e">
        <v>#N/A</v>
      </c>
      <c r="DA195" t="e">
        <v>#N/A</v>
      </c>
      <c r="DB195" t="str">
        <v/>
      </c>
      <c r="DX195">
        <v>190</v>
      </c>
      <c r="DY195">
        <v>6</v>
      </c>
      <c r="DZ195">
        <v>8.8224752287145186E-2</v>
      </c>
      <c r="EA195" t="str">
        <v/>
      </c>
    </row>
    <row r="196" spans="70:131" x14ac:dyDescent="0.2">
      <c r="BR196">
        <v>191</v>
      </c>
      <c r="BS196">
        <v>1.4881889763779528</v>
      </c>
      <c r="BT196" s="21">
        <v>0.1318234504925114</v>
      </c>
      <c r="BU196" s="21">
        <v>12</v>
      </c>
      <c r="BV196" s="41">
        <v>1</v>
      </c>
      <c r="BW196" s="41">
        <v>0.20697755624177352</v>
      </c>
      <c r="BX196" s="41" t="str">
        <v/>
      </c>
      <c r="BY196" s="41" t="str">
        <v/>
      </c>
      <c r="BZ196" s="41"/>
      <c r="CA196" s="41"/>
      <c r="CB196" s="41"/>
      <c r="CC196" s="41"/>
      <c r="CD196" s="41"/>
      <c r="CE196"/>
      <c r="CF196"/>
      <c r="CG196"/>
      <c r="CH196"/>
      <c r="CI196"/>
      <c r="CJ196" s="41"/>
      <c r="CK196" s="41"/>
      <c r="CL196" s="41"/>
      <c r="CM196" s="41"/>
      <c r="CN196" s="41"/>
      <c r="CO196" s="41"/>
      <c r="CP196" s="41"/>
      <c r="CQ196" s="41"/>
      <c r="CR196" s="25"/>
      <c r="CU196" s="21">
        <v>191</v>
      </c>
      <c r="CV196" s="41">
        <v>1</v>
      </c>
      <c r="CW196" s="41">
        <v>1.8192576091040986</v>
      </c>
      <c r="CX196" s="41">
        <v>1.8192576091040986</v>
      </c>
      <c r="CY196" s="41" t="e">
        <v>#N/A</v>
      </c>
      <c r="CZ196" t="e">
        <v>#N/A</v>
      </c>
      <c r="DA196" t="e">
        <v>#N/A</v>
      </c>
      <c r="DB196" t="str">
        <v/>
      </c>
      <c r="DX196">
        <v>191</v>
      </c>
      <c r="DY196">
        <v>6</v>
      </c>
      <c r="DZ196">
        <v>8.8224752287145186E-2</v>
      </c>
      <c r="EA196" t="str">
        <v/>
      </c>
    </row>
    <row r="197" spans="70:131" x14ac:dyDescent="0.2">
      <c r="BR197">
        <v>192</v>
      </c>
      <c r="BS197">
        <v>1.5118110236220472</v>
      </c>
      <c r="BT197" s="21">
        <v>0.12723432437312576</v>
      </c>
      <c r="BU197" s="21">
        <v>12</v>
      </c>
      <c r="BV197" s="41">
        <v>1</v>
      </c>
      <c r="BW197" s="41">
        <v>0.20697755624177352</v>
      </c>
      <c r="BX197" s="41" t="str">
        <v/>
      </c>
      <c r="BY197" s="41" t="str">
        <v/>
      </c>
      <c r="BZ197" s="41"/>
      <c r="CA197" s="41"/>
      <c r="CB197" s="41"/>
      <c r="CC197" s="41"/>
      <c r="CD197" s="41"/>
      <c r="CE197"/>
      <c r="CF197"/>
      <c r="CG197"/>
      <c r="CH197"/>
      <c r="CI197"/>
      <c r="CJ197" s="41"/>
      <c r="CK197" s="41"/>
      <c r="CL197" s="41"/>
      <c r="CM197" s="41"/>
      <c r="CN197" s="41"/>
      <c r="CO197" s="41"/>
      <c r="CP197" s="41"/>
      <c r="CQ197" s="41"/>
      <c r="CR197" s="25"/>
      <c r="CU197" s="21">
        <v>192</v>
      </c>
      <c r="CV197" s="41">
        <v>1</v>
      </c>
      <c r="CW197" s="41">
        <v>1.8192576091040986</v>
      </c>
      <c r="CX197" s="41">
        <v>1.8192576091040986</v>
      </c>
      <c r="CY197" s="41" t="e">
        <v>#N/A</v>
      </c>
      <c r="CZ197" t="e">
        <v>#N/A</v>
      </c>
      <c r="DA197" t="e">
        <v>#N/A</v>
      </c>
      <c r="DB197" t="str">
        <v/>
      </c>
      <c r="DX197">
        <v>192</v>
      </c>
      <c r="DY197">
        <v>6</v>
      </c>
      <c r="DZ197">
        <v>8.8224752287145186E-2</v>
      </c>
      <c r="EA197" t="str">
        <v/>
      </c>
    </row>
    <row r="198" spans="70:131" x14ac:dyDescent="0.2">
      <c r="BR198">
        <v>193</v>
      </c>
      <c r="BS198">
        <v>1.5354330708661417</v>
      </c>
      <c r="BT198" s="21">
        <v>0.12273645179276051</v>
      </c>
      <c r="BU198" s="21">
        <v>12</v>
      </c>
      <c r="BV198" s="41">
        <v>1</v>
      </c>
      <c r="BW198" s="41">
        <v>0.20697755624177352</v>
      </c>
      <c r="BX198" s="41" t="str">
        <v/>
      </c>
      <c r="BY198" s="41" t="str">
        <v/>
      </c>
      <c r="BZ198" s="41"/>
      <c r="CA198" s="41"/>
      <c r="CB198" s="41"/>
      <c r="CC198" s="41"/>
      <c r="CD198" s="41"/>
      <c r="CE198"/>
      <c r="CF198"/>
      <c r="CG198"/>
      <c r="CH198"/>
      <c r="CI198"/>
      <c r="CJ198" s="41"/>
      <c r="CK198" s="41"/>
      <c r="CL198" s="41"/>
      <c r="CM198" s="41"/>
      <c r="CN198" s="41"/>
      <c r="CO198" s="41"/>
      <c r="CP198" s="41"/>
      <c r="CQ198" s="41"/>
      <c r="CR198" s="25"/>
      <c r="CU198" s="21">
        <v>193</v>
      </c>
      <c r="CV198" s="41">
        <v>1</v>
      </c>
      <c r="CW198" s="41">
        <v>1.8192576091040986</v>
      </c>
      <c r="CX198" s="41">
        <v>1.8192576091040986</v>
      </c>
      <c r="CY198" s="41" t="e">
        <v>#N/A</v>
      </c>
      <c r="CZ198" t="e">
        <v>#N/A</v>
      </c>
      <c r="DA198" t="e">
        <v>#N/A</v>
      </c>
      <c r="DB198" t="str">
        <v/>
      </c>
      <c r="DX198">
        <v>193</v>
      </c>
      <c r="DY198">
        <v>6</v>
      </c>
      <c r="DZ198">
        <v>8.8224752287145186E-2</v>
      </c>
      <c r="EA198" t="str">
        <v/>
      </c>
    </row>
    <row r="199" spans="70:131" x14ac:dyDescent="0.2">
      <c r="BR199">
        <v>194</v>
      </c>
      <c r="BS199">
        <v>1.5590551181102361</v>
      </c>
      <c r="BT199" s="21">
        <v>0.11833153637452423</v>
      </c>
      <c r="BU199" s="21">
        <v>12</v>
      </c>
      <c r="BV199" s="41">
        <v>1</v>
      </c>
      <c r="BW199" s="41">
        <v>0.20697755624177352</v>
      </c>
      <c r="BX199" s="41" t="str">
        <v/>
      </c>
      <c r="BY199" s="41" t="str">
        <v/>
      </c>
      <c r="BZ199" s="41"/>
      <c r="CA199" s="41"/>
      <c r="CB199" s="41"/>
      <c r="CC199" s="41"/>
      <c r="CD199" s="41"/>
      <c r="CE199"/>
      <c r="CF199"/>
      <c r="CG199"/>
      <c r="CH199"/>
      <c r="CI199"/>
      <c r="CJ199" s="41"/>
      <c r="CK199" s="41"/>
      <c r="CL199" s="41"/>
      <c r="CM199" s="41"/>
      <c r="CN199" s="41"/>
      <c r="CO199" s="41"/>
      <c r="CP199" s="41"/>
      <c r="CQ199" s="41"/>
      <c r="CR199" s="25"/>
      <c r="CU199" s="21">
        <v>194</v>
      </c>
      <c r="CV199" s="41">
        <v>1</v>
      </c>
      <c r="CW199" s="41">
        <v>1.8192576091040986</v>
      </c>
      <c r="CX199" s="41">
        <v>1.8192576091040986</v>
      </c>
      <c r="CY199" s="41" t="e">
        <v>#N/A</v>
      </c>
      <c r="CZ199" t="e">
        <v>#N/A</v>
      </c>
      <c r="DA199" t="e">
        <v>#N/A</v>
      </c>
      <c r="DB199" t="str">
        <v/>
      </c>
      <c r="DX199">
        <v>194</v>
      </c>
      <c r="DY199">
        <v>6</v>
      </c>
      <c r="DZ199">
        <v>8.8224752287145186E-2</v>
      </c>
      <c r="EA199" t="str">
        <v/>
      </c>
    </row>
    <row r="200" spans="70:131" x14ac:dyDescent="0.2">
      <c r="BR200">
        <v>195</v>
      </c>
      <c r="BS200">
        <v>1.5826771653543306</v>
      </c>
      <c r="BT200" s="21">
        <v>0.11402106829339088</v>
      </c>
      <c r="BU200" s="21">
        <v>12</v>
      </c>
      <c r="BV200" s="41">
        <v>1</v>
      </c>
      <c r="BW200" s="41">
        <v>0.20697755624177352</v>
      </c>
      <c r="BX200" s="41" t="str">
        <v/>
      </c>
      <c r="BY200" s="41" t="str">
        <v/>
      </c>
      <c r="BZ200" s="41"/>
      <c r="CA200" s="41"/>
      <c r="CB200" s="41"/>
      <c r="CC200" s="41"/>
      <c r="CD200" s="41"/>
      <c r="CE200"/>
      <c r="CF200"/>
      <c r="CG200"/>
      <c r="CH200"/>
      <c r="CI200"/>
      <c r="CJ200" s="41"/>
      <c r="CK200" s="41"/>
      <c r="CL200" s="41"/>
      <c r="CM200" s="41"/>
      <c r="CN200" s="41"/>
      <c r="CO200" s="41"/>
      <c r="CP200" s="41"/>
      <c r="CQ200" s="41"/>
      <c r="CR200" s="25"/>
      <c r="CU200" s="21">
        <v>195</v>
      </c>
      <c r="CV200" s="41">
        <v>1</v>
      </c>
      <c r="CW200" s="41">
        <v>1.8192576091040986</v>
      </c>
      <c r="CX200" s="41">
        <v>1.8192576091040986</v>
      </c>
      <c r="CY200" s="41" t="e">
        <v>#N/A</v>
      </c>
      <c r="CZ200" t="e">
        <v>#N/A</v>
      </c>
      <c r="DA200" t="e">
        <v>#N/A</v>
      </c>
      <c r="DB200" t="str">
        <v/>
      </c>
      <c r="DX200">
        <v>195</v>
      </c>
      <c r="DY200">
        <v>6</v>
      </c>
      <c r="DZ200">
        <v>8.8224752287145186E-2</v>
      </c>
      <c r="EA200" t="str">
        <v/>
      </c>
    </row>
    <row r="201" spans="70:131" x14ac:dyDescent="0.2">
      <c r="BR201">
        <v>196</v>
      </c>
      <c r="BS201">
        <v>1.606299212598425</v>
      </c>
      <c r="BT201" s="21">
        <v>0.10980632867061464</v>
      </c>
      <c r="BU201" s="21">
        <v>12</v>
      </c>
      <c r="BV201" s="41">
        <v>1</v>
      </c>
      <c r="BW201" s="41">
        <v>0.20697755624177352</v>
      </c>
      <c r="BX201" s="41" t="str">
        <v/>
      </c>
      <c r="BY201" s="41" t="str">
        <v/>
      </c>
      <c r="BZ201" s="41"/>
      <c r="CA201" s="41"/>
      <c r="CB201" s="41"/>
      <c r="CC201" s="41"/>
      <c r="CD201" s="41"/>
      <c r="CE201"/>
      <c r="CF201"/>
      <c r="CG201"/>
      <c r="CH201"/>
      <c r="CI201"/>
      <c r="CJ201" s="41"/>
      <c r="CK201" s="41"/>
      <c r="CL201" s="41"/>
      <c r="CM201" s="41"/>
      <c r="CN201" s="41"/>
      <c r="CO201" s="41"/>
      <c r="CP201" s="41"/>
      <c r="CQ201" s="41"/>
      <c r="CR201" s="25"/>
      <c r="CU201" s="21">
        <v>196</v>
      </c>
      <c r="CV201" s="41">
        <v>1</v>
      </c>
      <c r="CW201" s="41">
        <v>1.8192576091040986</v>
      </c>
      <c r="CX201" s="41">
        <v>1.8192576091040986</v>
      </c>
      <c r="CY201" s="41" t="e">
        <v>#N/A</v>
      </c>
      <c r="CZ201" t="e">
        <v>#N/A</v>
      </c>
      <c r="DA201" t="e">
        <v>#N/A</v>
      </c>
      <c r="DB201" t="str">
        <v/>
      </c>
      <c r="DX201">
        <v>196</v>
      </c>
      <c r="DY201">
        <v>6</v>
      </c>
      <c r="DZ201">
        <v>8.8224752287145186E-2</v>
      </c>
      <c r="EA201" t="str">
        <v/>
      </c>
    </row>
    <row r="202" spans="70:131" x14ac:dyDescent="0.2">
      <c r="BR202">
        <v>197</v>
      </c>
      <c r="BS202">
        <v>1.6299212598425195</v>
      </c>
      <c r="BT202" s="21">
        <v>0.10568839438164815</v>
      </c>
      <c r="BU202" s="21">
        <v>12</v>
      </c>
      <c r="BV202" s="41">
        <v>1</v>
      </c>
      <c r="BW202" s="41">
        <v>0.20697755624177352</v>
      </c>
      <c r="BX202" s="41" t="str">
        <v/>
      </c>
      <c r="BY202" s="41" t="str">
        <v/>
      </c>
      <c r="BZ202" s="41"/>
      <c r="CA202" s="41"/>
      <c r="CB202" s="41"/>
      <c r="CC202" s="41"/>
      <c r="CD202" s="41"/>
      <c r="CE202"/>
      <c r="CF202"/>
      <c r="CG202"/>
      <c r="CH202"/>
      <c r="CI202"/>
      <c r="CJ202" s="41"/>
      <c r="CK202" s="41"/>
      <c r="CL202" s="41"/>
      <c r="CM202" s="41"/>
      <c r="CN202" s="41"/>
      <c r="CO202" s="41"/>
      <c r="CP202" s="41"/>
      <c r="CQ202" s="41"/>
      <c r="CR202" s="25"/>
      <c r="CU202" s="21">
        <v>197</v>
      </c>
      <c r="CV202" s="41">
        <v>1</v>
      </c>
      <c r="CW202" s="41">
        <v>1.8192576091040986</v>
      </c>
      <c r="CX202" s="41">
        <v>1.8192576091040986</v>
      </c>
      <c r="CY202" s="41" t="e">
        <v>#N/A</v>
      </c>
      <c r="CZ202" t="e">
        <v>#N/A</v>
      </c>
      <c r="DA202" t="e">
        <v>#N/A</v>
      </c>
      <c r="DB202" t="str">
        <v/>
      </c>
      <c r="DX202">
        <v>197</v>
      </c>
      <c r="DY202">
        <v>6</v>
      </c>
      <c r="DZ202">
        <v>8.8224752287145186E-2</v>
      </c>
      <c r="EA202" t="str">
        <v/>
      </c>
    </row>
    <row r="203" spans="70:131" x14ac:dyDescent="0.2">
      <c r="BR203">
        <v>198</v>
      </c>
      <c r="BS203">
        <v>1.6535433070866139</v>
      </c>
      <c r="BT203" s="21">
        <v>0.10166814324671322</v>
      </c>
      <c r="BU203" s="21">
        <v>12</v>
      </c>
      <c r="BV203" s="41">
        <v>1</v>
      </c>
      <c r="BW203" s="41">
        <v>0.20697755624177352</v>
      </c>
      <c r="BX203" s="41" t="str">
        <v/>
      </c>
      <c r="BY203" s="41" t="str">
        <v/>
      </c>
      <c r="BZ203" s="41"/>
      <c r="CA203" s="41"/>
      <c r="CB203" s="41"/>
      <c r="CC203" s="41"/>
      <c r="CD203" s="41"/>
      <c r="CE203"/>
      <c r="CF203"/>
      <c r="CG203"/>
      <c r="CH203"/>
      <c r="CI203"/>
      <c r="CJ203" s="41"/>
      <c r="CK203" s="41"/>
      <c r="CL203" s="41"/>
      <c r="CM203" s="41"/>
      <c r="CN203" s="41"/>
      <c r="CO203" s="41"/>
      <c r="CP203" s="41"/>
      <c r="CQ203" s="41"/>
      <c r="CR203" s="25"/>
      <c r="CU203" s="21">
        <v>198</v>
      </c>
      <c r="CV203" s="41">
        <v>1</v>
      </c>
      <c r="CW203" s="41">
        <v>1.8192576091040986</v>
      </c>
      <c r="CX203" s="41">
        <v>1.8192576091040986</v>
      </c>
      <c r="CY203" s="41" t="e">
        <v>#N/A</v>
      </c>
      <c r="CZ203" t="e">
        <v>#N/A</v>
      </c>
      <c r="DA203" t="e">
        <v>#N/A</v>
      </c>
      <c r="DB203" t="str">
        <v/>
      </c>
      <c r="DX203">
        <v>198</v>
      </c>
      <c r="DY203">
        <v>6</v>
      </c>
      <c r="DZ203">
        <v>8.8224752287145186E-2</v>
      </c>
      <c r="EA203" t="str">
        <v/>
      </c>
    </row>
    <row r="204" spans="70:131" x14ac:dyDescent="0.2">
      <c r="BR204">
        <v>199</v>
      </c>
      <c r="BS204">
        <v>1.6771653543307083</v>
      </c>
      <c r="BT204" s="21">
        <v>9.7746259572838598E-2</v>
      </c>
      <c r="BU204" s="21">
        <v>12</v>
      </c>
      <c r="BV204" s="41">
        <v>1</v>
      </c>
      <c r="BW204" s="41">
        <v>0.20697755624177352</v>
      </c>
      <c r="BX204" s="41" t="str">
        <v/>
      </c>
      <c r="BY204" s="41" t="str">
        <v/>
      </c>
      <c r="BZ204" s="41"/>
      <c r="CA204" s="41"/>
      <c r="CB204" s="41"/>
      <c r="CC204" s="41"/>
      <c r="CD204" s="41"/>
      <c r="CE204"/>
      <c r="CF204"/>
      <c r="CG204"/>
      <c r="CH204"/>
      <c r="CI204"/>
      <c r="CJ204" s="41"/>
      <c r="CK204" s="41"/>
      <c r="CL204" s="41"/>
      <c r="CM204" s="41"/>
      <c r="CN204" s="41"/>
      <c r="CO204" s="41"/>
      <c r="CP204" s="41"/>
      <c r="CQ204" s="41"/>
      <c r="CR204" s="25"/>
      <c r="CU204" s="21">
        <v>199</v>
      </c>
      <c r="CV204" s="41">
        <v>1</v>
      </c>
      <c r="CW204" s="41">
        <v>1.8192576091040986</v>
      </c>
      <c r="CX204" s="41">
        <v>1.8192576091040986</v>
      </c>
      <c r="CY204" s="41" t="e">
        <v>#N/A</v>
      </c>
      <c r="CZ204" t="e">
        <v>#N/A</v>
      </c>
      <c r="DA204" t="e">
        <v>#N/A</v>
      </c>
      <c r="DB204" t="str">
        <v/>
      </c>
      <c r="DX204">
        <v>199</v>
      </c>
      <c r="DY204">
        <v>6</v>
      </c>
      <c r="DZ204">
        <v>8.8224752287145186E-2</v>
      </c>
      <c r="EA204" t="str">
        <v/>
      </c>
    </row>
    <row r="205" spans="70:131" x14ac:dyDescent="0.2">
      <c r="BR205">
        <v>200</v>
      </c>
      <c r="BS205">
        <v>1.7007874015748028</v>
      </c>
      <c r="BT205" s="21">
        <v>9.3923240015993517E-2</v>
      </c>
      <c r="BU205" s="21">
        <v>12</v>
      </c>
      <c r="BV205" s="41">
        <v>1</v>
      </c>
      <c r="BW205" s="41">
        <v>0.20697755624177352</v>
      </c>
      <c r="BX205" s="41" t="str">
        <v/>
      </c>
      <c r="BY205" s="41" t="str">
        <v/>
      </c>
      <c r="BZ205" s="41"/>
      <c r="CA205" s="41"/>
      <c r="CB205" s="41"/>
      <c r="CC205" s="41"/>
      <c r="CD205" s="41"/>
      <c r="CE205"/>
      <c r="CF205"/>
      <c r="CG205"/>
      <c r="CH205"/>
      <c r="CI205"/>
      <c r="CJ205" s="41"/>
      <c r="CK205" s="41"/>
      <c r="CL205" s="41"/>
      <c r="CM205" s="41"/>
      <c r="CN205" s="41"/>
      <c r="CO205" s="41"/>
      <c r="CP205" s="41"/>
      <c r="CQ205" s="41"/>
      <c r="CR205" s="25"/>
      <c r="CU205" s="21">
        <v>200</v>
      </c>
      <c r="CV205" s="41">
        <v>1</v>
      </c>
      <c r="CW205" s="41">
        <v>1.8192576091040986</v>
      </c>
      <c r="CX205" s="41">
        <v>1.8192576091040986</v>
      </c>
      <c r="CY205" s="41" t="e">
        <v>#N/A</v>
      </c>
      <c r="CZ205" t="e">
        <v>#N/A</v>
      </c>
      <c r="DA205" t="e">
        <v>#N/A</v>
      </c>
      <c r="DB205" t="str">
        <v/>
      </c>
      <c r="DX205">
        <v>200</v>
      </c>
      <c r="DY205">
        <v>6</v>
      </c>
      <c r="DZ205">
        <v>8.8224752287145186E-2</v>
      </c>
      <c r="EA205" t="str">
        <v/>
      </c>
    </row>
    <row r="206" spans="70:131" x14ac:dyDescent="0.2">
      <c r="BR206">
        <v>201</v>
      </c>
      <c r="BS206">
        <v>1.7244094488188972</v>
      </c>
      <c r="BT206" s="21">
        <v>9.0199399731906132E-2</v>
      </c>
      <c r="BU206" s="21">
        <v>12</v>
      </c>
      <c r="BV206" s="41">
        <v>1</v>
      </c>
      <c r="BW206" s="41">
        <v>0.20697755624177352</v>
      </c>
      <c r="BX206" s="41" t="str">
        <v/>
      </c>
      <c r="BY206" s="41" t="str">
        <v/>
      </c>
      <c r="BZ206" s="41"/>
      <c r="CA206" s="41"/>
      <c r="CB206" s="41"/>
      <c r="CC206" s="41"/>
      <c r="CD206" s="41"/>
      <c r="CE206"/>
      <c r="CF206"/>
      <c r="CG206"/>
      <c r="CH206"/>
      <c r="CI206"/>
      <c r="CJ206" s="41"/>
      <c r="CK206" s="41"/>
      <c r="CL206" s="41"/>
      <c r="CM206" s="41"/>
      <c r="CN206" s="41"/>
      <c r="CO206" s="41"/>
      <c r="CP206" s="41"/>
      <c r="CQ206" s="41"/>
      <c r="CR206" s="25"/>
      <c r="CU206" s="21">
        <v>201</v>
      </c>
      <c r="CV206" s="41">
        <v>1</v>
      </c>
      <c r="CW206" s="41">
        <v>1.8192576091040986</v>
      </c>
      <c r="CX206" s="41">
        <v>1.8192576091040986</v>
      </c>
      <c r="CY206" s="41" t="e">
        <v>#N/A</v>
      </c>
      <c r="CZ206" t="e">
        <v>#N/A</v>
      </c>
      <c r="DA206" t="e">
        <v>#N/A</v>
      </c>
      <c r="DB206" t="str">
        <v/>
      </c>
      <c r="DX206">
        <v>201</v>
      </c>
      <c r="DY206">
        <v>6</v>
      </c>
      <c r="DZ206">
        <v>8.8224752287145186E-2</v>
      </c>
      <c r="EA206" t="str">
        <v/>
      </c>
    </row>
    <row r="207" spans="70:131" x14ac:dyDescent="0.2">
      <c r="BR207">
        <v>202</v>
      </c>
      <c r="BS207">
        <v>1.7480314960629917</v>
      </c>
      <c r="BT207" s="21">
        <v>8.657487878425156E-2</v>
      </c>
      <c r="BU207" s="21">
        <v>12</v>
      </c>
      <c r="BV207" s="41">
        <v>1</v>
      </c>
      <c r="BW207" s="41">
        <v>0.20697755624177352</v>
      </c>
      <c r="BX207" s="41" t="str">
        <v/>
      </c>
      <c r="BY207" s="41" t="str">
        <v/>
      </c>
      <c r="BZ207" s="41"/>
      <c r="CA207" s="41"/>
      <c r="CB207" s="41"/>
      <c r="CC207" s="41"/>
      <c r="CD207" s="41"/>
      <c r="CE207"/>
      <c r="CF207"/>
      <c r="CG207"/>
      <c r="CH207"/>
      <c r="CI207"/>
      <c r="CJ207" s="41"/>
      <c r="CK207" s="41"/>
      <c r="CL207" s="41"/>
      <c r="CM207" s="41"/>
      <c r="CN207" s="41"/>
      <c r="CO207" s="41"/>
      <c r="CP207" s="41"/>
      <c r="CQ207" s="41"/>
      <c r="CR207" s="25"/>
      <c r="CU207" s="21">
        <v>202</v>
      </c>
      <c r="CV207" s="41">
        <v>1</v>
      </c>
      <c r="CW207" s="41">
        <v>1.8192576091040986</v>
      </c>
      <c r="CX207" s="41">
        <v>1.8192576091040986</v>
      </c>
      <c r="CY207" s="41" t="e">
        <v>#N/A</v>
      </c>
      <c r="CZ207" t="e">
        <v>#N/A</v>
      </c>
      <c r="DA207" t="e">
        <v>#N/A</v>
      </c>
      <c r="DB207" t="str">
        <v/>
      </c>
      <c r="DX207">
        <v>202</v>
      </c>
      <c r="DY207">
        <v>6</v>
      </c>
      <c r="DZ207">
        <v>8.8224752287145186E-2</v>
      </c>
      <c r="EA207" t="str">
        <v/>
      </c>
    </row>
    <row r="208" spans="70:131" x14ac:dyDescent="0.2">
      <c r="BR208">
        <v>203</v>
      </c>
      <c r="BS208">
        <v>1.7716535433070861</v>
      </c>
      <c r="BT208" s="21">
        <v>8.3049648779127114E-2</v>
      </c>
      <c r="BU208" s="21">
        <v>12</v>
      </c>
      <c r="BV208" s="41">
        <v>1</v>
      </c>
      <c r="BW208" s="41">
        <v>0.20697755624177352</v>
      </c>
      <c r="BX208" s="41" t="str">
        <v/>
      </c>
      <c r="BY208" s="41" t="str">
        <v/>
      </c>
      <c r="BZ208" s="41"/>
      <c r="CA208" s="41"/>
      <c r="CB208" s="41"/>
      <c r="CC208" s="41"/>
      <c r="CD208" s="41"/>
      <c r="CE208"/>
      <c r="CF208"/>
      <c r="CG208"/>
      <c r="CH208"/>
      <c r="CI208"/>
      <c r="CJ208" s="41"/>
      <c r="CK208" s="41"/>
      <c r="CL208" s="41"/>
      <c r="CM208" s="41"/>
      <c r="CN208" s="41"/>
      <c r="CO208" s="41"/>
      <c r="CP208" s="41"/>
      <c r="CQ208" s="41"/>
      <c r="CR208" s="25"/>
      <c r="CU208" s="21">
        <v>203</v>
      </c>
      <c r="CV208" s="41">
        <v>1</v>
      </c>
      <c r="CW208" s="41">
        <v>1.8192576091040986</v>
      </c>
      <c r="CX208" s="41">
        <v>1.8192576091040986</v>
      </c>
      <c r="CY208" s="41" t="e">
        <v>#N/A</v>
      </c>
      <c r="CZ208" t="e">
        <v>#N/A</v>
      </c>
      <c r="DA208" t="e">
        <v>#N/A</v>
      </c>
      <c r="DB208" t="str">
        <v/>
      </c>
      <c r="DX208">
        <v>203</v>
      </c>
      <c r="DY208">
        <v>6</v>
      </c>
      <c r="DZ208">
        <v>8.8224752287145186E-2</v>
      </c>
      <c r="EA208" t="str">
        <v/>
      </c>
    </row>
    <row r="209" spans="70:131" x14ac:dyDescent="0.2">
      <c r="BR209">
        <v>204</v>
      </c>
      <c r="BS209">
        <v>1.7952755905511815</v>
      </c>
      <c r="BT209" s="21">
        <v>7.9623519695089018E-2</v>
      </c>
      <c r="BU209" s="21">
        <v>12</v>
      </c>
      <c r="BV209" s="41">
        <v>1</v>
      </c>
      <c r="BW209" s="41">
        <v>0.20697755624177352</v>
      </c>
      <c r="BX209" s="41" t="str">
        <v/>
      </c>
      <c r="BY209" s="41" t="str">
        <v/>
      </c>
      <c r="BZ209" s="41"/>
      <c r="CA209" s="41"/>
      <c r="CB209" s="41"/>
      <c r="CC209" s="41"/>
      <c r="CD209" s="41"/>
      <c r="CE209"/>
      <c r="CF209"/>
      <c r="CG209"/>
      <c r="CH209"/>
      <c r="CI209"/>
      <c r="CJ209" s="41"/>
      <c r="CK209" s="41"/>
      <c r="CL209" s="41"/>
      <c r="CM209" s="41"/>
      <c r="CN209" s="41"/>
      <c r="CO209" s="41"/>
      <c r="CP209" s="41"/>
      <c r="CQ209" s="41"/>
      <c r="CR209" s="25"/>
      <c r="CU209" s="21">
        <v>204</v>
      </c>
      <c r="CV209" s="41">
        <v>1</v>
      </c>
      <c r="CW209" s="41">
        <v>1.8192576091040986</v>
      </c>
      <c r="CX209" s="41">
        <v>1.8192576091040986</v>
      </c>
      <c r="CY209" s="41" t="e">
        <v>#N/A</v>
      </c>
      <c r="CZ209" t="e">
        <v>#N/A</v>
      </c>
      <c r="DA209" t="e">
        <v>#N/A</v>
      </c>
      <c r="DB209" t="str">
        <v/>
      </c>
      <c r="DX209">
        <v>204</v>
      </c>
      <c r="DY209">
        <v>6</v>
      </c>
      <c r="DZ209">
        <v>8.8224752287145186E-2</v>
      </c>
      <c r="EA209" t="str">
        <v/>
      </c>
    </row>
    <row r="210" spans="70:131" x14ac:dyDescent="0.2">
      <c r="BR210">
        <v>205</v>
      </c>
      <c r="BS210">
        <v>1.8188976377952759</v>
      </c>
      <c r="BT210" s="21">
        <v>7.6296146878504514E-2</v>
      </c>
      <c r="BU210" s="21">
        <v>13</v>
      </c>
      <c r="BV210" s="41">
        <v>0</v>
      </c>
      <c r="BW210" s="41">
        <v>0</v>
      </c>
      <c r="BX210" s="41">
        <v>9.61</v>
      </c>
      <c r="BY210" s="41" t="str">
        <v/>
      </c>
      <c r="BZ210" s="41"/>
      <c r="CA210" s="41"/>
      <c r="CB210" s="41"/>
      <c r="CC210" s="41"/>
      <c r="CD210" s="41"/>
      <c r="CE210"/>
      <c r="CF210"/>
      <c r="CG210"/>
      <c r="CH210"/>
      <c r="CI210"/>
      <c r="CJ210" s="41"/>
      <c r="CK210" s="41"/>
      <c r="CL210" s="41"/>
      <c r="CM210" s="41"/>
      <c r="CN210" s="41"/>
      <c r="CO210" s="41"/>
      <c r="CP210" s="41"/>
      <c r="CQ210" s="41"/>
      <c r="CR210" s="25"/>
      <c r="CU210" s="21">
        <v>205</v>
      </c>
      <c r="CV210" s="41">
        <v>1</v>
      </c>
      <c r="CW210" s="41">
        <v>1.8192576091040986</v>
      </c>
      <c r="CX210" s="41">
        <v>1.8192576091040986</v>
      </c>
      <c r="CY210" s="41" t="e">
        <v>#N/A</v>
      </c>
      <c r="CZ210" t="e">
        <v>#N/A</v>
      </c>
      <c r="DA210" t="e">
        <v>#N/A</v>
      </c>
      <c r="DB210" t="str">
        <v/>
      </c>
      <c r="DX210">
        <v>205</v>
      </c>
      <c r="DY210">
        <v>6</v>
      </c>
      <c r="DZ210">
        <v>8.8224752287145186E-2</v>
      </c>
      <c r="EA210" t="str">
        <v/>
      </c>
    </row>
    <row r="211" spans="70:131" x14ac:dyDescent="0.2">
      <c r="BR211">
        <v>206</v>
      </c>
      <c r="BS211">
        <v>1.8425196850393704</v>
      </c>
      <c r="BT211" s="21">
        <v>7.3067038174560742E-2</v>
      </c>
      <c r="BU211" s="21">
        <v>13</v>
      </c>
      <c r="BV211" s="41">
        <v>0</v>
      </c>
      <c r="BW211" s="41">
        <v>0</v>
      </c>
      <c r="BX211" s="41" t="str">
        <v/>
      </c>
      <c r="BY211" s="41" t="str">
        <v/>
      </c>
      <c r="BZ211" s="41"/>
      <c r="CA211" s="41"/>
      <c r="CB211" s="41"/>
      <c r="CC211" s="41"/>
      <c r="CD211" s="41"/>
      <c r="CE211"/>
      <c r="CF211"/>
      <c r="CG211"/>
      <c r="CH211"/>
      <c r="CI211"/>
      <c r="CJ211" s="41"/>
      <c r="CK211" s="41"/>
      <c r="CL211" s="41"/>
      <c r="CM211" s="41"/>
      <c r="CN211" s="41"/>
      <c r="CO211" s="41"/>
      <c r="CP211" s="41"/>
      <c r="CQ211" s="41"/>
      <c r="CR211" s="25"/>
      <c r="CU211" s="21">
        <v>206</v>
      </c>
      <c r="CV211" s="41">
        <v>1</v>
      </c>
      <c r="CW211" s="41">
        <v>1.8192576091040986</v>
      </c>
      <c r="CX211" s="41">
        <v>1.8192576091040986</v>
      </c>
      <c r="CY211" s="41" t="e">
        <v>#N/A</v>
      </c>
      <c r="CZ211" t="e">
        <v>#N/A</v>
      </c>
      <c r="DA211" t="e">
        <v>#N/A</v>
      </c>
      <c r="DB211" t="str">
        <v/>
      </c>
      <c r="DX211">
        <v>206</v>
      </c>
      <c r="DY211">
        <v>6</v>
      </c>
      <c r="DZ211">
        <v>8.8224752287145186E-2</v>
      </c>
      <c r="EA211" t="str">
        <v/>
      </c>
    </row>
    <row r="212" spans="70:131" x14ac:dyDescent="0.2">
      <c r="BR212">
        <v>207</v>
      </c>
      <c r="BS212">
        <v>1.8661417322834648</v>
      </c>
      <c r="BT212" s="21">
        <v>6.9935561164973653E-2</v>
      </c>
      <c r="BU212" s="21">
        <v>13</v>
      </c>
      <c r="BV212" s="41">
        <v>0</v>
      </c>
      <c r="BW212" s="41">
        <v>0</v>
      </c>
      <c r="BX212" s="41" t="str">
        <v/>
      </c>
      <c r="BY212" s="41" t="str">
        <v/>
      </c>
      <c r="BZ212" s="41"/>
      <c r="CA212" s="41"/>
      <c r="CB212" s="41"/>
      <c r="CC212" s="41"/>
      <c r="CD212" s="41"/>
      <c r="CE212"/>
      <c r="CF212"/>
      <c r="CG212"/>
      <c r="CH212"/>
      <c r="CI212"/>
      <c r="CJ212" s="41"/>
      <c r="CK212" s="41"/>
      <c r="CL212" s="41"/>
      <c r="CM212" s="41"/>
      <c r="CN212" s="41"/>
      <c r="CO212" s="41"/>
      <c r="CP212" s="41"/>
      <c r="CQ212" s="41"/>
      <c r="CR212" s="25"/>
      <c r="CU212" s="21">
        <v>207</v>
      </c>
      <c r="CV212" s="41">
        <v>1</v>
      </c>
      <c r="CW212" s="41">
        <v>1.8192576091040986</v>
      </c>
      <c r="CX212" s="41">
        <v>1.8192576091040986</v>
      </c>
      <c r="CY212" s="41" t="e">
        <v>#N/A</v>
      </c>
      <c r="CZ212" t="e">
        <v>#N/A</v>
      </c>
      <c r="DA212" t="e">
        <v>#N/A</v>
      </c>
      <c r="DB212" t="str">
        <v/>
      </c>
      <c r="DX212">
        <v>207</v>
      </c>
      <c r="DY212">
        <v>6</v>
      </c>
      <c r="DZ212">
        <v>8.8224752287145186E-2</v>
      </c>
      <c r="EA212" t="str">
        <v/>
      </c>
    </row>
    <row r="213" spans="70:131" x14ac:dyDescent="0.2">
      <c r="BR213">
        <v>208</v>
      </c>
      <c r="BS213">
        <v>1.8897637795275593</v>
      </c>
      <c r="BT213" s="21">
        <v>6.6900950484229643E-2</v>
      </c>
      <c r="BU213" s="21">
        <v>13</v>
      </c>
      <c r="BV213" s="41">
        <v>0</v>
      </c>
      <c r="BW213" s="41">
        <v>0</v>
      </c>
      <c r="BX213" s="41" t="str">
        <v/>
      </c>
      <c r="BY213" s="41" t="str">
        <v/>
      </c>
      <c r="BZ213" s="41"/>
      <c r="CA213" s="41"/>
      <c r="CB213" s="41"/>
      <c r="CC213" s="41"/>
      <c r="CD213" s="41"/>
      <c r="CE213"/>
      <c r="CF213"/>
      <c r="CG213"/>
      <c r="CH213"/>
      <c r="CI213"/>
      <c r="CJ213" s="41"/>
      <c r="CK213" s="41"/>
      <c r="CL213" s="41"/>
      <c r="CM213" s="41"/>
      <c r="CN213" s="41"/>
      <c r="CO213" s="41"/>
      <c r="CP213" s="41"/>
      <c r="CQ213" s="41"/>
      <c r="CR213" s="25"/>
      <c r="CU213" s="21">
        <v>208</v>
      </c>
      <c r="CV213" s="41">
        <v>1</v>
      </c>
      <c r="CW213" s="41">
        <v>1.8192576091040986</v>
      </c>
      <c r="CX213" s="41">
        <v>1.8192576091040986</v>
      </c>
      <c r="CY213" s="41" t="e">
        <v>#N/A</v>
      </c>
      <c r="CZ213" t="e">
        <v>#N/A</v>
      </c>
      <c r="DA213" t="e">
        <v>#N/A</v>
      </c>
      <c r="DB213" t="str">
        <v/>
      </c>
      <c r="DX213">
        <v>208</v>
      </c>
      <c r="DY213">
        <v>6</v>
      </c>
      <c r="DZ213">
        <v>8.8224752287145186E-2</v>
      </c>
      <c r="EA213" t="str">
        <v/>
      </c>
    </row>
    <row r="214" spans="70:131" x14ac:dyDescent="0.2">
      <c r="BR214">
        <v>209</v>
      </c>
      <c r="BS214">
        <v>1.9133858267716537</v>
      </c>
      <c r="BT214" s="21">
        <v>6.3962315187079094E-2</v>
      </c>
      <c r="BU214" s="21">
        <v>13</v>
      </c>
      <c r="BV214" s="41">
        <v>0</v>
      </c>
      <c r="BW214" s="41">
        <v>0</v>
      </c>
      <c r="BX214" s="41" t="str">
        <v/>
      </c>
      <c r="BY214" s="41" t="str">
        <v/>
      </c>
      <c r="BZ214" s="41"/>
      <c r="CA214" s="41"/>
      <c r="CB214" s="41"/>
      <c r="CC214" s="41"/>
      <c r="CD214" s="41"/>
      <c r="CE214"/>
      <c r="CF214"/>
      <c r="CG214"/>
      <c r="CH214"/>
      <c r="CI214"/>
      <c r="CJ214" s="41"/>
      <c r="CK214" s="41"/>
      <c r="CL214" s="41"/>
      <c r="CM214" s="41"/>
      <c r="CN214" s="41"/>
      <c r="CO214" s="41"/>
      <c r="CP214" s="41"/>
      <c r="CQ214" s="41"/>
      <c r="CR214" s="25"/>
      <c r="CU214" s="21">
        <v>209</v>
      </c>
      <c r="CV214" s="41">
        <v>1</v>
      </c>
      <c r="CW214" s="41">
        <v>1.8192576091040986</v>
      </c>
      <c r="CX214" s="41">
        <v>1.8192576091040986</v>
      </c>
      <c r="CY214" s="41" t="e">
        <v>#N/A</v>
      </c>
      <c r="CZ214" t="e">
        <v>#N/A</v>
      </c>
      <c r="DA214" t="e">
        <v>#N/A</v>
      </c>
      <c r="DB214" t="str">
        <v/>
      </c>
      <c r="DX214">
        <v>209</v>
      </c>
      <c r="DY214">
        <v>6</v>
      </c>
      <c r="DZ214">
        <v>8.8224752287145186E-2</v>
      </c>
      <c r="EA214" t="str">
        <v/>
      </c>
    </row>
    <row r="215" spans="70:131" x14ac:dyDescent="0.2">
      <c r="BR215">
        <v>210</v>
      </c>
      <c r="BS215">
        <v>1.9370078740157481</v>
      </c>
      <c r="BT215" s="21">
        <v>6.1118646140966536E-2</v>
      </c>
      <c r="BU215" s="21">
        <v>13</v>
      </c>
      <c r="BV215" s="41">
        <v>0</v>
      </c>
      <c r="BW215" s="41">
        <v>0</v>
      </c>
      <c r="BX215" s="41" t="str">
        <v/>
      </c>
      <c r="BY215" s="41" t="str">
        <v/>
      </c>
      <c r="BZ215" s="41"/>
      <c r="CA215" s="41"/>
      <c r="CB215" s="41"/>
      <c r="CC215" s="41"/>
      <c r="CD215" s="41"/>
      <c r="CE215"/>
      <c r="CF215"/>
      <c r="CG215"/>
      <c r="CH215"/>
      <c r="CI215"/>
      <c r="CJ215" s="41"/>
      <c r="CK215" s="41"/>
      <c r="CL215" s="41"/>
      <c r="CM215" s="41"/>
      <c r="CN215" s="41"/>
      <c r="CO215" s="41"/>
      <c r="CP215" s="41"/>
      <c r="CQ215" s="41"/>
      <c r="CR215" s="25"/>
      <c r="CU215" s="21">
        <v>210</v>
      </c>
      <c r="CV215" s="41">
        <v>1</v>
      </c>
      <c r="CW215" s="41">
        <v>1.8192576091040986</v>
      </c>
      <c r="CX215" s="41">
        <v>1.8192576091040986</v>
      </c>
      <c r="CY215" s="41" t="e">
        <v>#N/A</v>
      </c>
      <c r="CZ215" t="e">
        <v>#N/A</v>
      </c>
      <c r="DA215" t="e">
        <v>#N/A</v>
      </c>
      <c r="DB215" t="str">
        <v/>
      </c>
      <c r="DX215">
        <v>210</v>
      </c>
      <c r="DY215">
        <v>6</v>
      </c>
      <c r="DZ215">
        <v>8.8224752287145186E-2</v>
      </c>
      <c r="EA215" t="str">
        <v/>
      </c>
    </row>
    <row r="216" spans="70:131" x14ac:dyDescent="0.2">
      <c r="BR216">
        <v>211</v>
      </c>
      <c r="BS216">
        <v>1.9606299212598426</v>
      </c>
      <c r="BT216" s="21">
        <v>5.836882341812101E-2</v>
      </c>
      <c r="BU216" s="21">
        <v>13</v>
      </c>
      <c r="BV216" s="41">
        <v>0</v>
      </c>
      <c r="BW216" s="41">
        <v>0</v>
      </c>
      <c r="BX216" s="41" t="str">
        <v/>
      </c>
      <c r="BY216" s="41" t="str">
        <v/>
      </c>
      <c r="BZ216" s="41"/>
      <c r="CA216" s="41"/>
      <c r="CB216" s="41"/>
      <c r="CC216" s="41"/>
      <c r="CD216" s="41"/>
      <c r="CE216"/>
      <c r="CF216"/>
      <c r="CG216"/>
      <c r="CH216"/>
      <c r="CI216"/>
      <c r="CJ216" s="41"/>
      <c r="CK216" s="41"/>
      <c r="CL216" s="41"/>
      <c r="CM216" s="41"/>
      <c r="CN216" s="41"/>
      <c r="CO216" s="41"/>
      <c r="CP216" s="41"/>
      <c r="CQ216" s="41"/>
      <c r="CR216" s="25"/>
      <c r="CU216" s="21">
        <v>211</v>
      </c>
      <c r="CV216" s="41">
        <v>1</v>
      </c>
      <c r="CW216" s="41">
        <v>1.8192576091040986</v>
      </c>
      <c r="CX216" s="41">
        <v>1.8192576091040986</v>
      </c>
      <c r="CY216" s="41" t="e">
        <v>#N/A</v>
      </c>
      <c r="CZ216" t="e">
        <v>#N/A</v>
      </c>
      <c r="DA216" t="e">
        <v>#N/A</v>
      </c>
      <c r="DB216" t="str">
        <v/>
      </c>
      <c r="DX216">
        <v>211</v>
      </c>
      <c r="DY216">
        <v>6</v>
      </c>
      <c r="DZ216">
        <v>8.8224752287145186E-2</v>
      </c>
      <c r="EA216" t="str">
        <v/>
      </c>
    </row>
    <row r="217" spans="70:131" x14ac:dyDescent="0.2">
      <c r="BR217">
        <v>212</v>
      </c>
      <c r="BS217">
        <v>1.984251968503937</v>
      </c>
      <c r="BT217" s="21">
        <v>5.5711623663135007E-2</v>
      </c>
      <c r="BU217" s="21">
        <v>13</v>
      </c>
      <c r="BV217" s="41">
        <v>0</v>
      </c>
      <c r="BW217" s="41">
        <v>0</v>
      </c>
      <c r="BX217" s="41" t="str">
        <v/>
      </c>
      <c r="BY217" s="41" t="str">
        <v/>
      </c>
      <c r="BZ217" s="41"/>
      <c r="CA217" s="41"/>
      <c r="CB217" s="41"/>
      <c r="CC217" s="41"/>
      <c r="CD217" s="41"/>
      <c r="CE217"/>
      <c r="CF217"/>
      <c r="CG217"/>
      <c r="CH217"/>
      <c r="CI217"/>
      <c r="CJ217" s="41"/>
      <c r="CK217" s="41"/>
      <c r="CL217" s="41"/>
      <c r="CM217" s="41"/>
      <c r="CN217" s="41"/>
      <c r="CO217" s="41"/>
      <c r="CP217" s="41"/>
      <c r="CQ217" s="41"/>
      <c r="CR217" s="25"/>
      <c r="CU217" s="21">
        <v>212</v>
      </c>
      <c r="CV217" s="41">
        <v>1</v>
      </c>
      <c r="CW217" s="41">
        <v>1.8192576091040986</v>
      </c>
      <c r="CX217" s="41">
        <v>1.8192576091040986</v>
      </c>
      <c r="CY217" s="41" t="e">
        <v>#N/A</v>
      </c>
      <c r="CZ217" t="e">
        <v>#N/A</v>
      </c>
      <c r="DA217" t="e">
        <v>#N/A</v>
      </c>
      <c r="DB217" t="str">
        <v/>
      </c>
      <c r="DX217">
        <v>212</v>
      </c>
      <c r="DY217">
        <v>6</v>
      </c>
      <c r="DZ217">
        <v>8.8224752287145186E-2</v>
      </c>
      <c r="EA217" t="str">
        <v/>
      </c>
    </row>
    <row r="218" spans="70:131" x14ac:dyDescent="0.2">
      <c r="BR218">
        <v>213</v>
      </c>
      <c r="BS218">
        <v>2.0078740157480315</v>
      </c>
      <c r="BT218" s="21">
        <v>5.3145727413021412E-2</v>
      </c>
      <c r="BU218" s="21">
        <v>13</v>
      </c>
      <c r="BV218" s="41">
        <v>0</v>
      </c>
      <c r="BW218" s="41">
        <v>0</v>
      </c>
      <c r="BX218" s="41" t="str">
        <v/>
      </c>
      <c r="BY218" s="41" t="str">
        <v>2σ</v>
      </c>
      <c r="BZ218" s="41"/>
      <c r="CA218" s="41"/>
      <c r="CB218" s="41"/>
      <c r="CC218" s="41"/>
      <c r="CD218" s="41"/>
      <c r="CE218"/>
      <c r="CF218"/>
      <c r="CG218"/>
      <c r="CH218"/>
      <c r="CI218"/>
      <c r="CJ218" s="41"/>
      <c r="CK218" s="41"/>
      <c r="CL218" s="41"/>
      <c r="CM218" s="41"/>
      <c r="CN218" s="41"/>
      <c r="CO218" s="41"/>
      <c r="CP218" s="41"/>
      <c r="CQ218" s="41"/>
      <c r="CR218" s="25"/>
      <c r="CU218" s="21">
        <v>213</v>
      </c>
      <c r="CV218" s="41">
        <v>1</v>
      </c>
      <c r="CW218" s="41">
        <v>1.8192576091040986</v>
      </c>
      <c r="CX218" s="41">
        <v>1.8192576091040986</v>
      </c>
      <c r="CY218" s="41" t="e">
        <v>#N/A</v>
      </c>
      <c r="CZ218" t="e">
        <v>#N/A</v>
      </c>
      <c r="DA218" t="e">
        <v>#N/A</v>
      </c>
      <c r="DB218" t="str">
        <v/>
      </c>
      <c r="DX218">
        <v>213</v>
      </c>
      <c r="DY218">
        <v>6</v>
      </c>
      <c r="DZ218">
        <v>8.8224752287145186E-2</v>
      </c>
      <c r="EA218" t="str">
        <v/>
      </c>
    </row>
    <row r="219" spans="70:131" x14ac:dyDescent="0.2">
      <c r="BR219">
        <v>214</v>
      </c>
      <c r="BS219">
        <v>2.0314960629921259</v>
      </c>
      <c r="BT219" s="21">
        <v>5.0669726347948529E-2</v>
      </c>
      <c r="BU219" s="21">
        <v>13</v>
      </c>
      <c r="BV219" s="41">
        <v>0</v>
      </c>
      <c r="BW219" s="41">
        <v>0</v>
      </c>
      <c r="BX219" s="41" t="str">
        <v/>
      </c>
      <c r="BY219" s="41" t="str">
        <v/>
      </c>
      <c r="BZ219" s="41"/>
      <c r="CA219" s="41"/>
      <c r="CB219" s="41"/>
      <c r="CC219" s="41"/>
      <c r="CD219" s="41"/>
      <c r="CE219"/>
      <c r="CF219"/>
      <c r="CG219"/>
      <c r="CH219"/>
      <c r="CI219"/>
      <c r="CJ219" s="41"/>
      <c r="CK219" s="41"/>
      <c r="CL219" s="41"/>
      <c r="CM219" s="41"/>
      <c r="CN219" s="41"/>
      <c r="CO219" s="41"/>
      <c r="CP219" s="41"/>
      <c r="CQ219" s="41"/>
      <c r="CR219" s="25"/>
      <c r="CU219" s="21">
        <v>214</v>
      </c>
      <c r="CV219" s="41">
        <v>1</v>
      </c>
      <c r="CW219" s="41">
        <v>1.8192576091040986</v>
      </c>
      <c r="CX219" s="41">
        <v>1.8192576091040986</v>
      </c>
      <c r="CY219" s="41" t="e">
        <v>#N/A</v>
      </c>
      <c r="CZ219" t="e">
        <v>#N/A</v>
      </c>
      <c r="DA219" t="e">
        <v>#N/A</v>
      </c>
      <c r="DB219" t="str">
        <v/>
      </c>
      <c r="DX219">
        <v>214</v>
      </c>
      <c r="DY219">
        <v>6</v>
      </c>
      <c r="DZ219">
        <v>8.8224752287145186E-2</v>
      </c>
      <c r="EA219" t="str">
        <v/>
      </c>
    </row>
    <row r="220" spans="70:131" x14ac:dyDescent="0.2">
      <c r="BR220">
        <v>215</v>
      </c>
      <c r="BS220">
        <v>2.0551181102362204</v>
      </c>
      <c r="BT220" s="21">
        <v>4.8282130452103389E-2</v>
      </c>
      <c r="BU220" s="21">
        <v>13</v>
      </c>
      <c r="BV220" s="41">
        <v>0</v>
      </c>
      <c r="BW220" s="41">
        <v>0</v>
      </c>
      <c r="BX220" s="41" t="str">
        <v/>
      </c>
      <c r="BY220" s="41" t="str">
        <v/>
      </c>
      <c r="BZ220" s="41"/>
      <c r="CA220" s="41"/>
      <c r="CB220" s="41"/>
      <c r="CC220" s="41"/>
      <c r="CD220" s="41"/>
      <c r="CE220"/>
      <c r="CF220"/>
      <c r="CG220"/>
      <c r="CH220"/>
      <c r="CI220"/>
      <c r="CJ220" s="41"/>
      <c r="CK220" s="41"/>
      <c r="CL220" s="41"/>
      <c r="CM220" s="41"/>
      <c r="CN220" s="41"/>
      <c r="CO220" s="41"/>
      <c r="CP220" s="41"/>
      <c r="CQ220" s="41"/>
      <c r="CR220" s="25"/>
      <c r="CU220" s="21">
        <v>215</v>
      </c>
      <c r="CV220" s="41">
        <v>1</v>
      </c>
      <c r="CW220" s="41">
        <v>1.8192576091040986</v>
      </c>
      <c r="CX220" s="41">
        <v>1.8192576091040986</v>
      </c>
      <c r="CY220" s="41" t="e">
        <v>#N/A</v>
      </c>
      <c r="CZ220" t="e">
        <v>#N/A</v>
      </c>
      <c r="DA220" t="e">
        <v>#N/A</v>
      </c>
      <c r="DB220" t="str">
        <v/>
      </c>
      <c r="DX220">
        <v>215</v>
      </c>
      <c r="DY220">
        <v>6</v>
      </c>
      <c r="DZ220">
        <v>8.8224752287145186E-2</v>
      </c>
      <c r="EA220" t="str">
        <v/>
      </c>
    </row>
    <row r="221" spans="70:131" x14ac:dyDescent="0.2">
      <c r="BR221">
        <v>216</v>
      </c>
      <c r="BS221">
        <v>2.0787401574803148</v>
      </c>
      <c r="BT221" s="21">
        <v>4.5981375065417315E-2</v>
      </c>
      <c r="BU221" s="21">
        <v>13</v>
      </c>
      <c r="BV221" s="41">
        <v>0</v>
      </c>
      <c r="BW221" s="41">
        <v>0</v>
      </c>
      <c r="BX221" s="41" t="str">
        <v/>
      </c>
      <c r="BY221" s="41" t="str">
        <v/>
      </c>
      <c r="BZ221" s="41"/>
      <c r="CA221" s="41"/>
      <c r="CB221" s="41"/>
      <c r="CC221" s="41"/>
      <c r="CD221" s="41"/>
      <c r="CE221"/>
      <c r="CF221"/>
      <c r="CG221"/>
      <c r="CH221"/>
      <c r="CI221"/>
      <c r="CJ221" s="41"/>
      <c r="CK221" s="41"/>
      <c r="CL221" s="41"/>
      <c r="CM221" s="41"/>
      <c r="CN221" s="41"/>
      <c r="CO221" s="41"/>
      <c r="CP221" s="41"/>
      <c r="CQ221" s="41"/>
      <c r="CR221" s="25"/>
      <c r="CU221" s="21">
        <v>216</v>
      </c>
      <c r="CV221" s="41">
        <v>1</v>
      </c>
      <c r="CW221" s="41">
        <v>1.8192576091040986</v>
      </c>
      <c r="CX221" s="41">
        <v>1.8192576091040986</v>
      </c>
      <c r="CY221" s="41" t="e">
        <v>#N/A</v>
      </c>
      <c r="CZ221" t="e">
        <v>#N/A</v>
      </c>
      <c r="DA221" t="e">
        <v>#N/A</v>
      </c>
      <c r="DB221" t="str">
        <v/>
      </c>
      <c r="DX221">
        <v>216</v>
      </c>
      <c r="DY221">
        <v>6</v>
      </c>
      <c r="DZ221">
        <v>8.8224752287145186E-2</v>
      </c>
      <c r="EA221" t="str">
        <v/>
      </c>
    </row>
    <row r="222" spans="70:131" x14ac:dyDescent="0.2">
      <c r="BR222">
        <v>217</v>
      </c>
      <c r="BS222">
        <v>2.1023622047244093</v>
      </c>
      <c r="BT222" s="21">
        <v>4.3765827808196101E-2</v>
      </c>
      <c r="BU222" s="21">
        <v>13</v>
      </c>
      <c r="BV222" s="41">
        <v>0</v>
      </c>
      <c r="BW222" s="41">
        <v>0</v>
      </c>
      <c r="BX222" s="41" t="str">
        <v/>
      </c>
      <c r="BY222" s="41" t="str">
        <v/>
      </c>
      <c r="BZ222" s="41"/>
      <c r="CA222" s="41"/>
      <c r="CB222" s="41"/>
      <c r="CC222" s="41"/>
      <c r="CD222" s="41"/>
      <c r="CE222"/>
      <c r="CF222"/>
      <c r="CG222"/>
      <c r="CH222"/>
      <c r="CI222"/>
      <c r="CJ222" s="41"/>
      <c r="CK222" s="41"/>
      <c r="CL222" s="41"/>
      <c r="CM222" s="41"/>
      <c r="CN222" s="41"/>
      <c r="CO222" s="41"/>
      <c r="CP222" s="41"/>
      <c r="CQ222" s="41"/>
      <c r="CR222" s="25"/>
      <c r="CU222" s="21">
        <v>217</v>
      </c>
      <c r="CV222" s="41">
        <v>1</v>
      </c>
      <c r="CW222" s="41">
        <v>1.8192576091040986</v>
      </c>
      <c r="CX222" s="41">
        <v>1.8192576091040986</v>
      </c>
      <c r="CY222" s="41" t="e">
        <v>#N/A</v>
      </c>
      <c r="CZ222" t="e">
        <v>#N/A</v>
      </c>
      <c r="DA222" t="e">
        <v>#N/A</v>
      </c>
      <c r="DB222" t="str">
        <v/>
      </c>
      <c r="DX222">
        <v>217</v>
      </c>
      <c r="DY222">
        <v>6</v>
      </c>
      <c r="DZ222">
        <v>8.8224752287145186E-2</v>
      </c>
      <c r="EA222" t="str">
        <v/>
      </c>
    </row>
    <row r="223" spans="70:131" x14ac:dyDescent="0.2">
      <c r="BR223">
        <v>218</v>
      </c>
      <c r="BS223">
        <v>2.1259842519685037</v>
      </c>
      <c r="BT223" s="21">
        <v>4.1633795362021969E-2</v>
      </c>
      <c r="BU223" s="21">
        <v>13</v>
      </c>
      <c r="BV223" s="41">
        <v>0</v>
      </c>
      <c r="BW223" s="41">
        <v>0</v>
      </c>
      <c r="BX223" s="41" t="str">
        <v/>
      </c>
      <c r="BY223" s="41" t="str">
        <v/>
      </c>
      <c r="BZ223" s="41"/>
      <c r="CA223" s="41"/>
      <c r="CB223" s="41"/>
      <c r="CC223" s="41"/>
      <c r="CD223" s="41"/>
      <c r="CE223"/>
      <c r="CF223"/>
      <c r="CG223"/>
      <c r="CH223"/>
      <c r="CI223"/>
      <c r="CJ223" s="41"/>
      <c r="CK223" s="41"/>
      <c r="CL223" s="41"/>
      <c r="CM223" s="41"/>
      <c r="CN223" s="41"/>
      <c r="CO223" s="41"/>
      <c r="CP223" s="41"/>
      <c r="CQ223" s="41"/>
      <c r="CR223" s="25"/>
      <c r="CU223" s="21">
        <v>218</v>
      </c>
      <c r="CV223" s="41">
        <v>1</v>
      </c>
      <c r="CW223" s="41">
        <v>1.8192576091040986</v>
      </c>
      <c r="CX223" s="41">
        <v>1.8192576091040986</v>
      </c>
      <c r="CY223" s="41" t="e">
        <v>#N/A</v>
      </c>
      <c r="CZ223" t="e">
        <v>#N/A</v>
      </c>
      <c r="DA223" t="e">
        <v>#N/A</v>
      </c>
      <c r="DB223" t="str">
        <v/>
      </c>
      <c r="DX223">
        <v>218</v>
      </c>
      <c r="DY223">
        <v>6</v>
      </c>
      <c r="DZ223">
        <v>8.8224752287145186E-2</v>
      </c>
      <c r="EA223" t="str">
        <v/>
      </c>
    </row>
    <row r="224" spans="70:131" x14ac:dyDescent="0.2">
      <c r="BR224">
        <v>219</v>
      </c>
      <c r="BS224">
        <v>2.1496062992125982</v>
      </c>
      <c r="BT224" s="21">
        <v>3.9583530091630813E-2</v>
      </c>
      <c r="BU224" s="21">
        <v>13</v>
      </c>
      <c r="BV224" s="41">
        <v>0</v>
      </c>
      <c r="BW224" s="41">
        <v>0</v>
      </c>
      <c r="BX224" s="41" t="str">
        <v/>
      </c>
      <c r="BY224" s="41" t="str">
        <v/>
      </c>
      <c r="BZ224" s="41"/>
      <c r="CA224" s="41"/>
      <c r="CB224" s="41"/>
      <c r="CC224" s="41"/>
      <c r="CD224" s="41"/>
      <c r="CE224"/>
      <c r="CF224"/>
      <c r="CG224"/>
      <c r="CH224"/>
      <c r="CI224"/>
      <c r="CJ224" s="41"/>
      <c r="CK224" s="41"/>
      <c r="CL224" s="41"/>
      <c r="CM224" s="41"/>
      <c r="CN224" s="41"/>
      <c r="CO224" s="41"/>
      <c r="CP224" s="41"/>
      <c r="CQ224" s="41"/>
      <c r="CR224" s="25"/>
      <c r="CU224" s="21">
        <v>219</v>
      </c>
      <c r="CV224" s="41">
        <v>1</v>
      </c>
      <c r="CW224" s="41">
        <v>1.8192576091040986</v>
      </c>
      <c r="CX224" s="41">
        <v>1.8192576091040986</v>
      </c>
      <c r="CY224" s="41" t="e">
        <v>#N/A</v>
      </c>
      <c r="CZ224" t="e">
        <v>#N/A</v>
      </c>
      <c r="DA224" t="e">
        <v>#N/A</v>
      </c>
      <c r="DB224" t="str">
        <v/>
      </c>
      <c r="DX224">
        <v>219</v>
      </c>
      <c r="DY224">
        <v>6</v>
      </c>
      <c r="DZ224">
        <v>8.8224752287145186E-2</v>
      </c>
      <c r="EA224" t="str">
        <v/>
      </c>
    </row>
    <row r="225" spans="70:131" x14ac:dyDescent="0.2">
      <c r="BR225">
        <v>220</v>
      </c>
      <c r="BS225">
        <v>2.1732283464566926</v>
      </c>
      <c r="BT225" s="21">
        <v>3.7613236493806407E-2</v>
      </c>
      <c r="BU225" s="21">
        <v>13</v>
      </c>
      <c r="BV225" s="41">
        <v>0</v>
      </c>
      <c r="BW225" s="41">
        <v>0</v>
      </c>
      <c r="BX225" s="41" t="str">
        <v/>
      </c>
      <c r="BY225" s="41" t="str">
        <v/>
      </c>
      <c r="BZ225" s="41"/>
      <c r="CA225" s="41"/>
      <c r="CB225" s="41"/>
      <c r="CC225" s="41"/>
      <c r="CD225" s="41"/>
      <c r="CE225"/>
      <c r="CF225"/>
      <c r="CG225"/>
      <c r="CH225"/>
      <c r="CI225"/>
      <c r="CJ225" s="41"/>
      <c r="CK225" s="41"/>
      <c r="CL225" s="41"/>
      <c r="CM225" s="41"/>
      <c r="CN225" s="41"/>
      <c r="CO225" s="41"/>
      <c r="CP225" s="41"/>
      <c r="CQ225" s="41"/>
      <c r="CR225" s="25"/>
      <c r="CU225" s="21">
        <v>220</v>
      </c>
      <c r="CV225" s="41">
        <v>1</v>
      </c>
      <c r="CW225" s="41">
        <v>1.8192576091040986</v>
      </c>
      <c r="CX225" s="41">
        <v>1.8192576091040986</v>
      </c>
      <c r="CY225" s="41" t="e">
        <v>#N/A</v>
      </c>
      <c r="CZ225" t="e">
        <v>#N/A</v>
      </c>
      <c r="DA225" t="e">
        <v>#N/A</v>
      </c>
      <c r="DB225" t="str">
        <v/>
      </c>
      <c r="DX225">
        <v>220</v>
      </c>
      <c r="DY225">
        <v>6</v>
      </c>
      <c r="DZ225">
        <v>8.8224752287145186E-2</v>
      </c>
      <c r="EA225" t="str">
        <v/>
      </c>
    </row>
    <row r="226" spans="70:131" x14ac:dyDescent="0.2">
      <c r="BR226">
        <v>221</v>
      </c>
      <c r="BS226">
        <v>2.1968503937007871</v>
      </c>
      <c r="BT226" s="21">
        <v>3.5721077460667591E-2</v>
      </c>
      <c r="BU226" s="21">
        <v>13</v>
      </c>
      <c r="BV226" s="41">
        <v>0</v>
      </c>
      <c r="BW226" s="41">
        <v>0</v>
      </c>
      <c r="BX226" s="41" t="str">
        <v/>
      </c>
      <c r="BY226" s="41" t="str">
        <v/>
      </c>
      <c r="BZ226" s="41"/>
      <c r="CA226" s="41"/>
      <c r="CB226" s="41"/>
      <c r="CC226" s="41"/>
      <c r="CD226" s="41"/>
      <c r="CE226"/>
      <c r="CF226"/>
      <c r="CG226"/>
      <c r="CH226"/>
      <c r="CI226"/>
      <c r="CJ226" s="41"/>
      <c r="CK226" s="41"/>
      <c r="CL226" s="41"/>
      <c r="CM226" s="41"/>
      <c r="CN226" s="41"/>
      <c r="CO226" s="41"/>
      <c r="CP226" s="41"/>
      <c r="CQ226" s="41"/>
      <c r="CR226" s="25"/>
      <c r="CU226" s="21">
        <v>221</v>
      </c>
      <c r="CV226" s="41">
        <v>1</v>
      </c>
      <c r="CW226" s="41">
        <v>1.8192576091040986</v>
      </c>
      <c r="CX226" s="41">
        <v>1.8192576091040986</v>
      </c>
      <c r="CY226" s="41" t="e">
        <v>#N/A</v>
      </c>
      <c r="CZ226" t="e">
        <v>#N/A</v>
      </c>
      <c r="DA226" t="e">
        <v>#N/A</v>
      </c>
      <c r="DB226" t="str">
        <v/>
      </c>
      <c r="DX226">
        <v>221</v>
      </c>
      <c r="DY226">
        <v>6</v>
      </c>
      <c r="DZ226">
        <v>8.8224752287145186E-2</v>
      </c>
      <c r="EA226" t="str">
        <v/>
      </c>
    </row>
    <row r="227" spans="70:131" x14ac:dyDescent="0.2">
      <c r="BR227">
        <v>222</v>
      </c>
      <c r="BS227">
        <v>2.2204724409448815</v>
      </c>
      <c r="BT227" s="21">
        <v>3.3905180346050147E-2</v>
      </c>
      <c r="BU227" s="21">
        <v>14</v>
      </c>
      <c r="BV227" s="41">
        <v>1</v>
      </c>
      <c r="BW227" s="41">
        <v>0.20697755624177352</v>
      </c>
      <c r="BX227" s="41">
        <v>11.33</v>
      </c>
      <c r="BY227" s="41" t="str">
        <v/>
      </c>
      <c r="BZ227" s="41"/>
      <c r="CA227" s="41"/>
      <c r="CB227" s="41"/>
      <c r="CC227" s="41"/>
      <c r="CD227" s="41"/>
      <c r="CE227"/>
      <c r="CF227"/>
      <c r="CG227"/>
      <c r="CH227"/>
      <c r="CI227"/>
      <c r="CJ227" s="41"/>
      <c r="CK227" s="41"/>
      <c r="CL227" s="41"/>
      <c r="CM227" s="41"/>
      <c r="CN227" s="41"/>
      <c r="CO227" s="41"/>
      <c r="CP227" s="41"/>
      <c r="CQ227" s="41"/>
      <c r="CR227" s="25"/>
      <c r="CU227" s="21">
        <v>222</v>
      </c>
      <c r="CV227" s="41">
        <v>1</v>
      </c>
      <c r="CW227" s="41">
        <v>1.8192576091040986</v>
      </c>
      <c r="CX227" s="41">
        <v>1.8192576091040986</v>
      </c>
      <c r="CY227" s="41" t="e">
        <v>#N/A</v>
      </c>
      <c r="CZ227" t="e">
        <v>#N/A</v>
      </c>
      <c r="DA227" t="e">
        <v>#N/A</v>
      </c>
      <c r="DB227" t="str">
        <v/>
      </c>
      <c r="DX227">
        <v>222</v>
      </c>
      <c r="DY227">
        <v>6</v>
      </c>
      <c r="DZ227">
        <v>8.8224752287145186E-2</v>
      </c>
      <c r="EA227" t="str">
        <v/>
      </c>
    </row>
    <row r="228" spans="70:131" x14ac:dyDescent="0.2">
      <c r="BR228">
        <v>223</v>
      </c>
      <c r="BS228">
        <v>2.2440944881889759</v>
      </c>
      <c r="BT228" s="21">
        <v>3.2163642824992462E-2</v>
      </c>
      <c r="BU228" s="21">
        <v>14</v>
      </c>
      <c r="BV228" s="41">
        <v>1</v>
      </c>
      <c r="BW228" s="41">
        <v>0.20697755624177352</v>
      </c>
      <c r="BX228" s="41" t="str">
        <v/>
      </c>
      <c r="BY228" s="41" t="str">
        <v/>
      </c>
      <c r="BZ228" s="41"/>
      <c r="CA228" s="41"/>
      <c r="CB228" s="41"/>
      <c r="CC228" s="41"/>
      <c r="CD228" s="41"/>
      <c r="CE228"/>
      <c r="CF228"/>
      <c r="CG228"/>
      <c r="CH228"/>
      <c r="CI228"/>
      <c r="CJ228" s="41"/>
      <c r="CK228" s="41"/>
      <c r="CL228" s="41"/>
      <c r="CM228" s="41"/>
      <c r="CN228" s="41"/>
      <c r="CO228" s="41"/>
      <c r="CP228" s="41"/>
      <c r="CQ228" s="41"/>
      <c r="CR228" s="25"/>
      <c r="CU228" s="21">
        <v>223</v>
      </c>
      <c r="CV228" s="41">
        <v>1</v>
      </c>
      <c r="CW228" s="41">
        <v>1.8192576091040986</v>
      </c>
      <c r="CX228" s="41">
        <v>1.8192576091040986</v>
      </c>
      <c r="CY228" s="41" t="e">
        <v>#N/A</v>
      </c>
      <c r="CZ228" t="e">
        <v>#N/A</v>
      </c>
      <c r="DA228" t="e">
        <v>#N/A</v>
      </c>
      <c r="DB228" t="str">
        <v/>
      </c>
      <c r="DX228">
        <v>223</v>
      </c>
      <c r="DY228">
        <v>6</v>
      </c>
      <c r="DZ228">
        <v>8.8224752287145186E-2</v>
      </c>
      <c r="EA228" t="str">
        <v/>
      </c>
    </row>
    <row r="229" spans="70:131" x14ac:dyDescent="0.2">
      <c r="BR229">
        <v>224</v>
      </c>
      <c r="BS229">
        <v>2.2677165354330704</v>
      </c>
      <c r="BT229" s="21">
        <v>3.0494538537622302E-2</v>
      </c>
      <c r="BU229" s="21">
        <v>14</v>
      </c>
      <c r="BV229" s="41">
        <v>1</v>
      </c>
      <c r="BW229" s="41">
        <v>0.20697755624177352</v>
      </c>
      <c r="BX229" s="41" t="str">
        <v/>
      </c>
      <c r="BY229" s="41" t="str">
        <v/>
      </c>
      <c r="BZ229" s="41"/>
      <c r="CA229" s="41"/>
      <c r="CB229" s="41"/>
      <c r="CC229" s="41"/>
      <c r="CD229" s="41"/>
      <c r="CE229"/>
      <c r="CF229"/>
      <c r="CG229"/>
      <c r="CH229"/>
      <c r="CI229"/>
      <c r="CJ229" s="41"/>
      <c r="CK229" s="41"/>
      <c r="CL229" s="41"/>
      <c r="CM229" s="41"/>
      <c r="CN229" s="41"/>
      <c r="CO229" s="41"/>
      <c r="CP229" s="41"/>
      <c r="CQ229" s="41"/>
      <c r="CR229" s="25"/>
      <c r="CU229" s="21">
        <v>224</v>
      </c>
      <c r="CV229" s="41">
        <v>1</v>
      </c>
      <c r="CW229" s="41">
        <v>1.8192576091040986</v>
      </c>
      <c r="CX229" s="41">
        <v>1.8192576091040986</v>
      </c>
      <c r="CY229" s="41" t="e">
        <v>#N/A</v>
      </c>
      <c r="CZ229" t="e">
        <v>#N/A</v>
      </c>
      <c r="DA229" t="e">
        <v>#N/A</v>
      </c>
      <c r="DB229" t="str">
        <v/>
      </c>
      <c r="DX229">
        <v>224</v>
      </c>
      <c r="DY229">
        <v>6</v>
      </c>
      <c r="DZ229">
        <v>8.8224752287145186E-2</v>
      </c>
      <c r="EA229" t="str">
        <v/>
      </c>
    </row>
    <row r="230" spans="70:131" x14ac:dyDescent="0.2">
      <c r="BR230">
        <v>225</v>
      </c>
      <c r="BS230">
        <v>2.2913385826771648</v>
      </c>
      <c r="BT230" s="21">
        <v>2.8895922510000935E-2</v>
      </c>
      <c r="BU230" s="21">
        <v>14</v>
      </c>
      <c r="BV230" s="41">
        <v>1</v>
      </c>
      <c r="BW230" s="41">
        <v>0.20697755624177352</v>
      </c>
      <c r="BX230" s="41" t="str">
        <v/>
      </c>
      <c r="BY230" s="41" t="str">
        <v/>
      </c>
      <c r="BZ230" s="41"/>
      <c r="CA230" s="41"/>
      <c r="CB230" s="41"/>
      <c r="CC230" s="41"/>
      <c r="CD230" s="41"/>
      <c r="CE230"/>
      <c r="CF230"/>
      <c r="CG230"/>
      <c r="CH230"/>
      <c r="CI230"/>
      <c r="CJ230" s="41"/>
      <c r="CK230" s="41"/>
      <c r="CL230" s="41"/>
      <c r="CM230" s="41"/>
      <c r="CN230" s="41"/>
      <c r="CO230" s="41"/>
      <c r="CP230" s="41"/>
      <c r="CQ230" s="41"/>
      <c r="CR230" s="25"/>
      <c r="CU230" s="21">
        <v>225</v>
      </c>
      <c r="CV230" s="41">
        <v>1</v>
      </c>
      <c r="CW230" s="41">
        <v>1.8192576091040986</v>
      </c>
      <c r="CX230" s="41">
        <v>1.8192576091040986</v>
      </c>
      <c r="CY230" s="41" t="e">
        <v>#N/A</v>
      </c>
      <c r="CZ230" t="e">
        <v>#N/A</v>
      </c>
      <c r="DA230" t="e">
        <v>#N/A</v>
      </c>
      <c r="DB230" t="str">
        <v/>
      </c>
      <c r="DX230">
        <v>225</v>
      </c>
      <c r="DY230">
        <v>6</v>
      </c>
      <c r="DZ230">
        <v>8.8224752287145186E-2</v>
      </c>
      <c r="EA230" t="str">
        <v/>
      </c>
    </row>
    <row r="231" spans="70:131" x14ac:dyDescent="0.2">
      <c r="BR231">
        <v>226</v>
      </c>
      <c r="BS231">
        <v>2.3149606299212602</v>
      </c>
      <c r="BT231" s="21">
        <v>2.7365836345710208E-2</v>
      </c>
      <c r="BU231" s="21">
        <v>14</v>
      </c>
      <c r="BV231" s="41">
        <v>1</v>
      </c>
      <c r="BW231" s="41">
        <v>0.20697755624177352</v>
      </c>
      <c r="BX231" s="41" t="str">
        <v/>
      </c>
      <c r="BY231" s="41" t="str">
        <v/>
      </c>
      <c r="BZ231" s="41"/>
      <c r="CA231" s="41"/>
      <c r="CB231" s="41"/>
      <c r="CC231" s="41"/>
      <c r="CD231" s="41"/>
      <c r="CE231"/>
      <c r="CF231"/>
      <c r="CG231"/>
      <c r="CH231"/>
      <c r="CI231"/>
      <c r="CJ231" s="41"/>
      <c r="CK231" s="41"/>
      <c r="CL231" s="41"/>
      <c r="CM231" s="41"/>
      <c r="CN231" s="41"/>
      <c r="CO231" s="41"/>
      <c r="CP231" s="41"/>
      <c r="CQ231" s="41"/>
      <c r="CR231" s="25"/>
      <c r="CU231" s="21">
        <v>226</v>
      </c>
      <c r="CV231" s="41">
        <v>1</v>
      </c>
      <c r="CW231" s="41">
        <v>1.8192576091040986</v>
      </c>
      <c r="CX231" s="41">
        <v>1.8192576091040986</v>
      </c>
      <c r="CY231" s="41" t="e">
        <v>#N/A</v>
      </c>
      <c r="CZ231" t="e">
        <v>#N/A</v>
      </c>
      <c r="DA231" t="e">
        <v>#N/A</v>
      </c>
      <c r="DB231" t="str">
        <v/>
      </c>
      <c r="DX231">
        <v>226</v>
      </c>
      <c r="DY231">
        <v>6</v>
      </c>
      <c r="DZ231">
        <v>8.8224752287145186E-2</v>
      </c>
      <c r="EA231" t="str">
        <v/>
      </c>
    </row>
    <row r="232" spans="70:131" x14ac:dyDescent="0.2">
      <c r="BR232">
        <v>227</v>
      </c>
      <c r="BS232">
        <v>2.3385826771653546</v>
      </c>
      <c r="BT232" s="21">
        <v>2.5902313183160039E-2</v>
      </c>
      <c r="BU232" s="21">
        <v>14</v>
      </c>
      <c r="BV232" s="41">
        <v>1</v>
      </c>
      <c r="BW232" s="41">
        <v>0.20697755624177352</v>
      </c>
      <c r="BX232" s="41" t="str">
        <v/>
      </c>
      <c r="BY232" s="41" t="str">
        <v/>
      </c>
      <c r="BZ232" s="41"/>
      <c r="CA232" s="41"/>
      <c r="CB232" s="41"/>
      <c r="CC232" s="41"/>
      <c r="CD232" s="41"/>
      <c r="CE232"/>
      <c r="CF232"/>
      <c r="CG232"/>
      <c r="CH232"/>
      <c r="CI232"/>
      <c r="CJ232" s="41"/>
      <c r="CK232" s="41"/>
      <c r="CL232" s="41"/>
      <c r="CM232" s="41"/>
      <c r="CN232" s="41"/>
      <c r="CO232" s="41"/>
      <c r="CP232" s="41"/>
      <c r="CQ232" s="41"/>
      <c r="CR232" s="25"/>
      <c r="CU232" s="21">
        <v>227</v>
      </c>
      <c r="CV232" s="41">
        <v>1</v>
      </c>
      <c r="CW232" s="41">
        <v>1.8192576091040986</v>
      </c>
      <c r="CX232" s="41">
        <v>1.8192576091040986</v>
      </c>
      <c r="CY232" s="41" t="e">
        <v>#N/A</v>
      </c>
      <c r="CZ232" t="e">
        <v>#N/A</v>
      </c>
      <c r="DA232" t="e">
        <v>#N/A</v>
      </c>
      <c r="DB232" t="str">
        <v/>
      </c>
      <c r="DX232">
        <v>227</v>
      </c>
      <c r="DY232">
        <v>6</v>
      </c>
      <c r="DZ232">
        <v>8.8224752287145186E-2</v>
      </c>
      <c r="EA232" t="str">
        <v/>
      </c>
    </row>
    <row r="233" spans="70:131" x14ac:dyDescent="0.2">
      <c r="BR233">
        <v>228</v>
      </c>
      <c r="BS233">
        <v>2.3622047244094491</v>
      </c>
      <c r="BT233" s="21">
        <v>2.4503382414745537E-2</v>
      </c>
      <c r="BU233" s="21">
        <v>14</v>
      </c>
      <c r="BV233" s="41">
        <v>1</v>
      </c>
      <c r="BW233" s="41">
        <v>0.20697755624177352</v>
      </c>
      <c r="BX233" s="41" t="str">
        <v/>
      </c>
      <c r="BY233" s="41" t="str">
        <v/>
      </c>
      <c r="BZ233" s="41"/>
      <c r="CA233" s="41"/>
      <c r="CB233" s="41"/>
      <c r="CC233" s="41"/>
      <c r="CD233" s="41"/>
      <c r="CE233"/>
      <c r="CF233"/>
      <c r="CG233"/>
      <c r="CH233"/>
      <c r="CI233"/>
      <c r="CJ233" s="41"/>
      <c r="CK233" s="41"/>
      <c r="CL233" s="41"/>
      <c r="CM233" s="41"/>
      <c r="CN233" s="41"/>
      <c r="CO233" s="41"/>
      <c r="CP233" s="41"/>
      <c r="CQ233" s="41"/>
      <c r="CR233" s="25"/>
      <c r="CU233" s="21">
        <v>228</v>
      </c>
      <c r="CV233" s="41">
        <v>1</v>
      </c>
      <c r="CW233" s="41">
        <v>1.8192576091040986</v>
      </c>
      <c r="CX233" s="41">
        <v>1.8192576091040986</v>
      </c>
      <c r="CY233" s="41" t="e">
        <v>#N/A</v>
      </c>
      <c r="CZ233" t="e">
        <v>#N/A</v>
      </c>
      <c r="DA233" t="e">
        <v>#N/A</v>
      </c>
      <c r="DB233" t="str">
        <v/>
      </c>
      <c r="DX233">
        <v>228</v>
      </c>
      <c r="DY233">
        <v>6</v>
      </c>
      <c r="DZ233">
        <v>8.8224752287145186E-2</v>
      </c>
      <c r="EA233" t="str">
        <v/>
      </c>
    </row>
    <row r="234" spans="70:131" x14ac:dyDescent="0.2">
      <c r="BR234">
        <v>229</v>
      </c>
      <c r="BS234">
        <v>2.3858267716535435</v>
      </c>
      <c r="BT234" s="21">
        <v>2.3167074165093303E-2</v>
      </c>
      <c r="BU234" s="21">
        <v>14</v>
      </c>
      <c r="BV234" s="41">
        <v>1</v>
      </c>
      <c r="BW234" s="41">
        <v>0.20697755624177352</v>
      </c>
      <c r="BX234" s="41" t="str">
        <v/>
      </c>
      <c r="BY234" s="41" t="str">
        <v/>
      </c>
      <c r="BZ234" s="41"/>
      <c r="CA234" s="41"/>
      <c r="CB234" s="41"/>
      <c r="CC234" s="41"/>
      <c r="CD234" s="41"/>
      <c r="CE234"/>
      <c r="CF234"/>
      <c r="CG234"/>
      <c r="CH234"/>
      <c r="CI234"/>
      <c r="CJ234" s="41"/>
      <c r="CK234" s="41"/>
      <c r="CL234" s="41"/>
      <c r="CM234" s="41"/>
      <c r="CN234" s="41"/>
      <c r="CO234" s="41"/>
      <c r="CP234" s="41"/>
      <c r="CQ234" s="41"/>
      <c r="CR234" s="25"/>
      <c r="CU234" s="21">
        <v>229</v>
      </c>
      <c r="CV234" s="41">
        <v>1</v>
      </c>
      <c r="CW234" s="41">
        <v>1.8192576091040986</v>
      </c>
      <c r="CX234" s="41">
        <v>1.8192576091040986</v>
      </c>
      <c r="CY234" s="41" t="e">
        <v>#N/A</v>
      </c>
      <c r="CZ234" t="e">
        <v>#N/A</v>
      </c>
      <c r="DA234" t="e">
        <v>#N/A</v>
      </c>
      <c r="DB234" t="str">
        <v/>
      </c>
      <c r="DX234">
        <v>229</v>
      </c>
      <c r="DY234">
        <v>6</v>
      </c>
      <c r="DZ234">
        <v>8.8224752287145186E-2</v>
      </c>
      <c r="EA234" t="str">
        <v/>
      </c>
    </row>
    <row r="235" spans="70:131" x14ac:dyDescent="0.2">
      <c r="BR235">
        <v>230</v>
      </c>
      <c r="BS235">
        <v>2.409448818897638</v>
      </c>
      <c r="BT235" s="21">
        <v>2.1891423526696506E-2</v>
      </c>
      <c r="BU235" s="21">
        <v>14</v>
      </c>
      <c r="BV235" s="41">
        <v>1</v>
      </c>
      <c r="BW235" s="41">
        <v>0.20697755624177352</v>
      </c>
      <c r="BX235" s="41" t="str">
        <v/>
      </c>
      <c r="BY235" s="41" t="str">
        <v/>
      </c>
      <c r="BZ235" s="41"/>
      <c r="CA235" s="41"/>
      <c r="CB235" s="41"/>
      <c r="CC235" s="41"/>
      <c r="CD235" s="41"/>
      <c r="CE235"/>
      <c r="CF235"/>
      <c r="CG235"/>
      <c r="CH235"/>
      <c r="CI235"/>
      <c r="CJ235" s="41"/>
      <c r="CK235" s="41"/>
      <c r="CL235" s="41"/>
      <c r="CM235" s="41"/>
      <c r="CN235" s="41"/>
      <c r="CO235" s="41"/>
      <c r="CP235" s="41"/>
      <c r="CQ235" s="41"/>
      <c r="CR235" s="25"/>
      <c r="CU235" s="21">
        <v>230</v>
      </c>
      <c r="CV235" s="41">
        <v>1</v>
      </c>
      <c r="CW235" s="41">
        <v>1.8192576091040986</v>
      </c>
      <c r="CX235" s="41">
        <v>1.8192576091040986</v>
      </c>
      <c r="CY235" s="41" t="e">
        <v>#N/A</v>
      </c>
      <c r="CZ235" t="e">
        <v>#N/A</v>
      </c>
      <c r="DA235" t="e">
        <v>#N/A</v>
      </c>
      <c r="DB235" t="str">
        <v/>
      </c>
      <c r="DX235">
        <v>230</v>
      </c>
      <c r="DY235">
        <v>6</v>
      </c>
      <c r="DZ235">
        <v>8.8224752287145186E-2</v>
      </c>
      <c r="EA235" t="str">
        <v/>
      </c>
    </row>
    <row r="236" spans="70:131" x14ac:dyDescent="0.2">
      <c r="BR236">
        <v>231</v>
      </c>
      <c r="BS236">
        <v>2.4330708661417324</v>
      </c>
      <c r="BT236" s="21">
        <v>2.0674474552252395E-2</v>
      </c>
      <c r="BU236" s="21">
        <v>14</v>
      </c>
      <c r="BV236" s="41">
        <v>1</v>
      </c>
      <c r="BW236" s="41">
        <v>0.20697755624177352</v>
      </c>
      <c r="BX236" s="41" t="str">
        <v/>
      </c>
      <c r="BY236" s="41" t="str">
        <v/>
      </c>
      <c r="BZ236" s="41"/>
      <c r="CA236" s="41"/>
      <c r="CB236" s="41"/>
      <c r="CC236" s="41"/>
      <c r="CD236" s="41"/>
      <c r="CE236"/>
      <c r="CF236"/>
      <c r="CG236"/>
      <c r="CH236"/>
      <c r="CI236"/>
      <c r="CJ236" s="41"/>
      <c r="CK236" s="41"/>
      <c r="CL236" s="41"/>
      <c r="CM236" s="41"/>
      <c r="CN236" s="41"/>
      <c r="CO236" s="41"/>
      <c r="CP236" s="41"/>
      <c r="CQ236" s="41"/>
      <c r="CR236" s="25"/>
      <c r="CU236" s="21">
        <v>231</v>
      </c>
      <c r="CV236" s="41">
        <v>1</v>
      </c>
      <c r="CW236" s="41">
        <v>1.8192576091040986</v>
      </c>
      <c r="CX236" s="41">
        <v>1.8192576091040986</v>
      </c>
      <c r="CY236" s="41" t="e">
        <v>#N/A</v>
      </c>
      <c r="CZ236" t="e">
        <v>#N/A</v>
      </c>
      <c r="DA236" t="e">
        <v>#N/A</v>
      </c>
      <c r="DB236" t="str">
        <v/>
      </c>
      <c r="DX236">
        <v>231</v>
      </c>
      <c r="DY236">
        <v>6</v>
      </c>
      <c r="DZ236">
        <v>8.8224752287145186E-2</v>
      </c>
      <c r="EA236" t="str">
        <v/>
      </c>
    </row>
    <row r="237" spans="70:131" x14ac:dyDescent="0.2">
      <c r="BR237">
        <v>232</v>
      </c>
      <c r="BS237">
        <v>2.4566929133858268</v>
      </c>
      <c r="BT237" s="21">
        <v>1.9514284003976069E-2</v>
      </c>
      <c r="BU237" s="21">
        <v>14</v>
      </c>
      <c r="BV237" s="41">
        <v>1</v>
      </c>
      <c r="BW237" s="41">
        <v>0.20697755624177352</v>
      </c>
      <c r="BX237" s="41" t="str">
        <v/>
      </c>
      <c r="BY237" s="41" t="str">
        <v/>
      </c>
      <c r="BZ237" s="41"/>
      <c r="CA237" s="41"/>
      <c r="CB237" s="41"/>
      <c r="CC237" s="41"/>
      <c r="CD237" s="41"/>
      <c r="CE237"/>
      <c r="CF237"/>
      <c r="CG237"/>
      <c r="CH237"/>
      <c r="CI237"/>
      <c r="CJ237" s="41"/>
      <c r="CK237" s="41"/>
      <c r="CL237" s="41"/>
      <c r="CM237" s="41"/>
      <c r="CN237" s="41"/>
      <c r="CO237" s="41"/>
      <c r="CP237" s="41"/>
      <c r="CQ237" s="41"/>
      <c r="CR237" s="25"/>
      <c r="CU237" s="21">
        <v>232</v>
      </c>
      <c r="CV237" s="41">
        <v>1</v>
      </c>
      <c r="CW237" s="41">
        <v>1.8192576091040986</v>
      </c>
      <c r="CX237" s="41">
        <v>1.8192576091040986</v>
      </c>
      <c r="CY237" s="41" t="e">
        <v>#N/A</v>
      </c>
      <c r="CZ237" t="e">
        <v>#N/A</v>
      </c>
      <c r="DA237" t="e">
        <v>#N/A</v>
      </c>
      <c r="DB237" t="str">
        <v/>
      </c>
      <c r="DX237">
        <v>232</v>
      </c>
      <c r="DY237">
        <v>6</v>
      </c>
      <c r="DZ237">
        <v>8.8224752287145186E-2</v>
      </c>
      <c r="EA237" t="str">
        <v/>
      </c>
    </row>
    <row r="238" spans="70:131" x14ac:dyDescent="0.2">
      <c r="BR238">
        <v>233</v>
      </c>
      <c r="BS238">
        <v>2.4803149606299213</v>
      </c>
      <c r="BT238" s="21">
        <v>1.840892486107203E-2</v>
      </c>
      <c r="BU238" s="21">
        <v>14</v>
      </c>
      <c r="BV238" s="41">
        <v>1</v>
      </c>
      <c r="BW238" s="41">
        <v>0.20697755624177352</v>
      </c>
      <c r="BX238" s="41" t="str">
        <v/>
      </c>
      <c r="BY238" s="41" t="str">
        <v/>
      </c>
      <c r="BZ238" s="41"/>
      <c r="CA238" s="41"/>
      <c r="CB238" s="41"/>
      <c r="CC238" s="41"/>
      <c r="CD238" s="41"/>
      <c r="CE238"/>
      <c r="CF238"/>
      <c r="CG238"/>
      <c r="CH238"/>
      <c r="CI238"/>
      <c r="CJ238" s="41"/>
      <c r="CK238" s="41"/>
      <c r="CL238" s="41"/>
      <c r="CM238" s="41"/>
      <c r="CN238" s="41"/>
      <c r="CO238" s="41"/>
      <c r="CP238" s="41"/>
      <c r="CQ238" s="41"/>
      <c r="CR238" s="25"/>
      <c r="CU238" s="21">
        <v>233</v>
      </c>
      <c r="CV238" s="41">
        <v>1</v>
      </c>
      <c r="CW238" s="41">
        <v>1.8192576091040986</v>
      </c>
      <c r="CX238" s="41">
        <v>1.8192576091040986</v>
      </c>
      <c r="CY238" s="41" t="e">
        <v>#N/A</v>
      </c>
      <c r="CZ238" t="e">
        <v>#N/A</v>
      </c>
      <c r="DA238" t="e">
        <v>#N/A</v>
      </c>
      <c r="DB238" t="str">
        <v/>
      </c>
      <c r="DX238">
        <v>233</v>
      </c>
      <c r="DY238">
        <v>6</v>
      </c>
      <c r="DZ238">
        <v>8.8224752287145186E-2</v>
      </c>
      <c r="EA238" t="str">
        <v/>
      </c>
    </row>
    <row r="239" spans="70:131" x14ac:dyDescent="0.2">
      <c r="BR239">
        <v>234</v>
      </c>
      <c r="BS239">
        <v>2.5039370078740157</v>
      </c>
      <c r="BT239" s="21">
        <v>1.7356489587397227E-2</v>
      </c>
      <c r="BU239" s="21">
        <v>14</v>
      </c>
      <c r="BV239" s="41">
        <v>1</v>
      </c>
      <c r="BW239" s="41">
        <v>0.20697755624177352</v>
      </c>
      <c r="BX239" s="41" t="str">
        <v/>
      </c>
      <c r="BY239" s="41" t="str">
        <v/>
      </c>
      <c r="BZ239" s="41"/>
      <c r="CA239" s="41"/>
      <c r="CB239" s="41"/>
      <c r="CC239" s="41"/>
      <c r="CD239" s="41"/>
      <c r="CE239"/>
      <c r="CF239"/>
      <c r="CG239"/>
      <c r="CH239"/>
      <c r="CI239"/>
      <c r="CJ239" s="41"/>
      <c r="CK239" s="41"/>
      <c r="CL239" s="41"/>
      <c r="CM239" s="41"/>
      <c r="CN239" s="41"/>
      <c r="CO239" s="41"/>
      <c r="CP239" s="41"/>
      <c r="CQ239" s="41"/>
      <c r="CR239" s="25"/>
      <c r="CU239" s="21">
        <v>234</v>
      </c>
      <c r="CV239" s="41">
        <v>1</v>
      </c>
      <c r="CW239" s="41">
        <v>1.8192576091040986</v>
      </c>
      <c r="CX239" s="41">
        <v>1.8192576091040986</v>
      </c>
      <c r="CY239" s="41" t="e">
        <v>#N/A</v>
      </c>
      <c r="CZ239" t="e">
        <v>#N/A</v>
      </c>
      <c r="DA239" t="e">
        <v>#N/A</v>
      </c>
      <c r="DB239" t="str">
        <v/>
      </c>
      <c r="DX239">
        <v>234</v>
      </c>
      <c r="DY239">
        <v>6</v>
      </c>
      <c r="DZ239">
        <v>8.8224752287145186E-2</v>
      </c>
      <c r="EA239" t="str">
        <v/>
      </c>
    </row>
    <row r="240" spans="70:131" x14ac:dyDescent="0.2">
      <c r="BR240">
        <v>235</v>
      </c>
      <c r="BS240">
        <v>2.5275590551181102</v>
      </c>
      <c r="BT240" s="21">
        <v>1.6355093162145264E-2</v>
      </c>
      <c r="BU240" s="21">
        <v>14</v>
      </c>
      <c r="BV240" s="41">
        <v>1</v>
      </c>
      <c r="BW240" s="41">
        <v>0.20697755624177352</v>
      </c>
      <c r="BX240" s="41" t="str">
        <v/>
      </c>
      <c r="BY240" s="41" t="str">
        <v/>
      </c>
      <c r="BZ240" s="41"/>
      <c r="CA240" s="41"/>
      <c r="CB240" s="41"/>
      <c r="CC240" s="41"/>
      <c r="CD240" s="41"/>
      <c r="CE240"/>
      <c r="CF240"/>
      <c r="CG240"/>
      <c r="CH240"/>
      <c r="CI240"/>
      <c r="CJ240" s="41"/>
      <c r="CK240" s="41"/>
      <c r="CL240" s="41"/>
      <c r="CM240" s="41"/>
      <c r="CN240" s="41"/>
      <c r="CO240" s="41"/>
      <c r="CP240" s="41"/>
      <c r="CQ240" s="41"/>
      <c r="CR240" s="25"/>
      <c r="CU240" s="21">
        <v>235</v>
      </c>
      <c r="CV240" s="41">
        <v>1</v>
      </c>
      <c r="CW240" s="41">
        <v>1.8192576091040986</v>
      </c>
      <c r="CX240" s="41">
        <v>1.8192576091040986</v>
      </c>
      <c r="CY240" s="41" t="e">
        <v>#N/A</v>
      </c>
      <c r="CZ240" t="e">
        <v>#N/A</v>
      </c>
      <c r="DA240" t="e">
        <v>#N/A</v>
      </c>
      <c r="DB240" t="str">
        <v/>
      </c>
      <c r="DX240">
        <v>235</v>
      </c>
      <c r="DY240">
        <v>6</v>
      </c>
      <c r="DZ240">
        <v>8.8224752287145186E-2</v>
      </c>
      <c r="EA240" t="str">
        <v/>
      </c>
    </row>
    <row r="241" spans="70:131" x14ac:dyDescent="0.2">
      <c r="BR241">
        <v>236</v>
      </c>
      <c r="BS241">
        <v>2.5511811023622046</v>
      </c>
      <c r="BT241" s="21">
        <v>1.54028758771209E-2</v>
      </c>
      <c r="BU241" s="21">
        <v>14</v>
      </c>
      <c r="BV241" s="41">
        <v>1</v>
      </c>
      <c r="BW241" s="41">
        <v>0.20697755624177352</v>
      </c>
      <c r="BX241" s="41" t="str">
        <v/>
      </c>
      <c r="BY241" s="41" t="str">
        <v/>
      </c>
      <c r="BZ241" s="41"/>
      <c r="CA241" s="41"/>
      <c r="CB241" s="41"/>
      <c r="CC241" s="41"/>
      <c r="CD241" s="41"/>
      <c r="CE241"/>
      <c r="CF241"/>
      <c r="CG241"/>
      <c r="CH241"/>
      <c r="CI241"/>
      <c r="CJ241" s="41"/>
      <c r="CK241" s="41"/>
      <c r="CL241" s="41"/>
      <c r="CM241" s="41"/>
      <c r="CN241" s="41"/>
      <c r="CO241" s="41"/>
      <c r="CP241" s="41"/>
      <c r="CQ241" s="41"/>
      <c r="CR241" s="25"/>
      <c r="CU241" s="21">
        <v>236</v>
      </c>
      <c r="CV241" s="41">
        <v>1</v>
      </c>
      <c r="CW241" s="41">
        <v>1.8192576091040986</v>
      </c>
      <c r="CX241" s="41">
        <v>1.8192576091040986</v>
      </c>
      <c r="CY241" s="41" t="e">
        <v>#N/A</v>
      </c>
      <c r="CZ241" t="e">
        <v>#N/A</v>
      </c>
      <c r="DA241" t="e">
        <v>#N/A</v>
      </c>
      <c r="DB241" t="str">
        <v/>
      </c>
      <c r="DX241">
        <v>236</v>
      </c>
      <c r="DY241">
        <v>6</v>
      </c>
      <c r="DZ241">
        <v>8.8224752287145186E-2</v>
      </c>
      <c r="EA241" t="str">
        <v/>
      </c>
    </row>
    <row r="242" spans="70:131" x14ac:dyDescent="0.2">
      <c r="BR242">
        <v>237</v>
      </c>
      <c r="BS242">
        <v>2.5748031496062991</v>
      </c>
      <c r="BT242" s="21">
        <v>1.449800590485566E-2</v>
      </c>
      <c r="BU242" s="21">
        <v>14</v>
      </c>
      <c r="BV242" s="41">
        <v>1</v>
      </c>
      <c r="BW242" s="41">
        <v>0.20697755624177352</v>
      </c>
      <c r="BX242" s="41" t="str">
        <v/>
      </c>
      <c r="BY242" s="41" t="str">
        <v/>
      </c>
      <c r="BZ242" s="41"/>
      <c r="CA242" s="41"/>
      <c r="CB242" s="41"/>
      <c r="CC242" s="41"/>
      <c r="CD242" s="41"/>
      <c r="CE242"/>
      <c r="CF242"/>
      <c r="CG242"/>
      <c r="CH242"/>
      <c r="CI242"/>
      <c r="CJ242" s="41"/>
      <c r="CK242" s="41"/>
      <c r="CL242" s="41"/>
      <c r="CM242" s="41"/>
      <c r="CN242" s="41"/>
      <c r="CO242" s="41"/>
      <c r="CP242" s="41"/>
      <c r="CQ242" s="41"/>
      <c r="CR242" s="25"/>
      <c r="CU242" s="21">
        <v>237</v>
      </c>
      <c r="CV242" s="41">
        <v>1</v>
      </c>
      <c r="CW242" s="41">
        <v>1.8192576091040986</v>
      </c>
      <c r="CX242" s="41">
        <v>1.8192576091040986</v>
      </c>
      <c r="CY242" s="41" t="e">
        <v>#N/A</v>
      </c>
      <c r="CZ242" t="e">
        <v>#N/A</v>
      </c>
      <c r="DA242" t="e">
        <v>#N/A</v>
      </c>
      <c r="DB242" t="str">
        <v/>
      </c>
      <c r="DX242">
        <v>237</v>
      </c>
      <c r="DY242">
        <v>6</v>
      </c>
      <c r="DZ242">
        <v>8.8224752287145186E-2</v>
      </c>
      <c r="EA242" t="str">
        <v/>
      </c>
    </row>
    <row r="243" spans="70:131" x14ac:dyDescent="0.2">
      <c r="BR243">
        <v>238</v>
      </c>
      <c r="BS243">
        <v>2.5984251968503935</v>
      </c>
      <c r="BT243" s="21">
        <v>1.3638681642439747E-2</v>
      </c>
      <c r="BU243" s="21">
        <v>14</v>
      </c>
      <c r="BV243" s="41">
        <v>1</v>
      </c>
      <c r="BW243" s="41">
        <v>0.20697755624177352</v>
      </c>
      <c r="BX243" s="41" t="str">
        <v/>
      </c>
      <c r="BY243" s="41" t="str">
        <v/>
      </c>
      <c r="BZ243" s="41"/>
      <c r="CA243" s="41"/>
      <c r="CB243" s="41"/>
      <c r="CC243" s="41"/>
      <c r="CD243" s="41"/>
      <c r="CE243"/>
      <c r="CF243"/>
      <c r="CG243"/>
      <c r="CH243"/>
      <c r="CI243"/>
      <c r="CJ243" s="41"/>
      <c r="CK243" s="41"/>
      <c r="CL243" s="41"/>
      <c r="CM243" s="41"/>
      <c r="CN243" s="41"/>
      <c r="CO243" s="41"/>
      <c r="CP243" s="41"/>
      <c r="CQ243" s="41"/>
      <c r="CR243" s="25"/>
      <c r="CU243" s="21">
        <v>238</v>
      </c>
      <c r="CV243" s="41">
        <v>1</v>
      </c>
      <c r="CW243" s="41">
        <v>1.8192576091040986</v>
      </c>
      <c r="CX243" s="41">
        <v>1.8192576091040986</v>
      </c>
      <c r="CY243" s="41" t="e">
        <v>#N/A</v>
      </c>
      <c r="CZ243" t="e">
        <v>#N/A</v>
      </c>
      <c r="DA243" t="e">
        <v>#N/A</v>
      </c>
      <c r="DB243" t="str">
        <v/>
      </c>
      <c r="DX243">
        <v>238</v>
      </c>
      <c r="DY243">
        <v>6</v>
      </c>
      <c r="DZ243">
        <v>8.8224752287145186E-2</v>
      </c>
      <c r="EA243" t="str">
        <v/>
      </c>
    </row>
    <row r="244" spans="70:131" x14ac:dyDescent="0.2">
      <c r="BR244">
        <v>239</v>
      </c>
      <c r="BS244">
        <v>2.622047244094488</v>
      </c>
      <c r="BT244" s="21">
        <v>1.2823133836513139E-2</v>
      </c>
      <c r="BU244" s="21">
        <v>15</v>
      </c>
      <c r="BV244" s="41">
        <v>0</v>
      </c>
      <c r="BW244" s="41">
        <v>0</v>
      </c>
      <c r="BX244" s="41">
        <v>13.05</v>
      </c>
      <c r="BY244" s="41" t="str">
        <v/>
      </c>
      <c r="BZ244" s="41"/>
      <c r="CA244" s="41"/>
      <c r="CB244" s="41"/>
      <c r="CC244" s="41"/>
      <c r="CD244" s="41"/>
      <c r="CE244"/>
      <c r="CF244"/>
      <c r="CG244"/>
      <c r="CH244"/>
      <c r="CI244"/>
      <c r="CJ244" s="41"/>
      <c r="CK244" s="41"/>
      <c r="CL244" s="41"/>
      <c r="CM244" s="41"/>
      <c r="CN244" s="41"/>
      <c r="CO244" s="41"/>
      <c r="CP244" s="41"/>
      <c r="CQ244" s="41"/>
      <c r="CR244" s="25"/>
      <c r="CU244" s="21">
        <v>239</v>
      </c>
      <c r="CV244" s="41">
        <v>1</v>
      </c>
      <c r="CW244" s="41">
        <v>1.8192576091040986</v>
      </c>
      <c r="CX244" s="41">
        <v>1.8192576091040986</v>
      </c>
      <c r="CY244" s="41" t="e">
        <v>#N/A</v>
      </c>
      <c r="CZ244" t="e">
        <v>#N/A</v>
      </c>
      <c r="DA244" t="e">
        <v>#N/A</v>
      </c>
      <c r="DB244" t="str">
        <v/>
      </c>
      <c r="DX244">
        <v>239</v>
      </c>
      <c r="DY244">
        <v>6</v>
      </c>
      <c r="DZ244">
        <v>8.8224752287145186E-2</v>
      </c>
      <c r="EA244" t="str">
        <v/>
      </c>
    </row>
    <row r="245" spans="70:131" x14ac:dyDescent="0.2">
      <c r="BR245">
        <v>240</v>
      </c>
      <c r="BS245">
        <v>2.6456692913385824</v>
      </c>
      <c r="BT245" s="21">
        <v>1.2049627495369144E-2</v>
      </c>
      <c r="BU245" s="21">
        <v>15</v>
      </c>
      <c r="BV245" s="41">
        <v>0</v>
      </c>
      <c r="BW245" s="41">
        <v>0</v>
      </c>
      <c r="BX245" s="41" t="str">
        <v/>
      </c>
      <c r="BY245" s="41" t="str">
        <v/>
      </c>
      <c r="BZ245" s="41"/>
      <c r="CA245" s="41"/>
      <c r="CB245" s="41"/>
      <c r="CC245" s="41"/>
      <c r="CD245" s="41"/>
      <c r="CE245"/>
      <c r="CF245"/>
      <c r="CG245"/>
      <c r="CH245"/>
      <c r="CI245"/>
      <c r="CJ245" s="41"/>
      <c r="CK245" s="41"/>
      <c r="CL245" s="41"/>
      <c r="CM245" s="41"/>
      <c r="CN245" s="41"/>
      <c r="CO245" s="41"/>
      <c r="CP245" s="41"/>
      <c r="CQ245" s="41"/>
      <c r="CR245" s="25"/>
      <c r="CU245" s="21">
        <v>240</v>
      </c>
      <c r="CV245" s="41">
        <v>1</v>
      </c>
      <c r="CW245" s="41">
        <v>1.8192576091040986</v>
      </c>
      <c r="CX245" s="41">
        <v>1.8192576091040986</v>
      </c>
      <c r="CY245" s="41" t="e">
        <v>#N/A</v>
      </c>
      <c r="CZ245" t="e">
        <v>#N/A</v>
      </c>
      <c r="DA245" t="e">
        <v>#N/A</v>
      </c>
      <c r="DB245" t="str">
        <v/>
      </c>
      <c r="DX245">
        <v>240</v>
      </c>
      <c r="DY245">
        <v>6</v>
      </c>
      <c r="DZ245">
        <v>8.8224752287145186E-2</v>
      </c>
      <c r="EA245" t="str">
        <v/>
      </c>
    </row>
    <row r="246" spans="70:131" x14ac:dyDescent="0.2">
      <c r="BR246">
        <v>241</v>
      </c>
      <c r="BS246">
        <v>2.6692913385826769</v>
      </c>
      <c r="BT246" s="21">
        <v>1.131646359457898E-2</v>
      </c>
      <c r="BU246" s="21">
        <v>15</v>
      </c>
      <c r="BV246" s="41">
        <v>0</v>
      </c>
      <c r="BW246" s="41">
        <v>0</v>
      </c>
      <c r="BX246" s="41" t="str">
        <v/>
      </c>
      <c r="BY246" s="41" t="str">
        <v/>
      </c>
      <c r="BZ246" s="41"/>
      <c r="CA246" s="41"/>
      <c r="CB246" s="41"/>
      <c r="CC246" s="41"/>
      <c r="CD246" s="41"/>
      <c r="CE246"/>
      <c r="CF246"/>
      <c r="CG246"/>
      <c r="CH246"/>
      <c r="CI246"/>
      <c r="CJ246" s="41"/>
      <c r="CK246" s="41"/>
      <c r="CL246" s="41"/>
      <c r="CM246" s="41"/>
      <c r="CN246" s="41"/>
      <c r="CO246" s="41"/>
      <c r="CP246" s="41"/>
      <c r="CQ246" s="41"/>
      <c r="CR246" s="25"/>
      <c r="CU246" s="21">
        <v>241</v>
      </c>
      <c r="CV246" s="41">
        <v>1</v>
      </c>
      <c r="CW246" s="41">
        <v>1.8192576091040986</v>
      </c>
      <c r="CX246" s="41">
        <v>1.8192576091040986</v>
      </c>
      <c r="CY246" s="41" t="e">
        <v>#N/A</v>
      </c>
      <c r="CZ246" t="e">
        <v>#N/A</v>
      </c>
      <c r="DA246" t="e">
        <v>#N/A</v>
      </c>
      <c r="DB246" t="str">
        <v/>
      </c>
      <c r="DX246">
        <v>241</v>
      </c>
      <c r="DY246">
        <v>6</v>
      </c>
      <c r="DZ246">
        <v>8.8224752287145186E-2</v>
      </c>
      <c r="EA246" t="str">
        <v/>
      </c>
    </row>
    <row r="247" spans="70:131" x14ac:dyDescent="0.2">
      <c r="BR247">
        <v>242</v>
      </c>
      <c r="BS247">
        <v>2.6929133858267713</v>
      </c>
      <c r="BT247" s="21">
        <v>1.0621980582946028E-2</v>
      </c>
      <c r="BU247" s="21">
        <v>15</v>
      </c>
      <c r="BV247" s="41">
        <v>0</v>
      </c>
      <c r="BW247" s="41">
        <v>0</v>
      </c>
      <c r="BX247" s="41" t="str">
        <v/>
      </c>
      <c r="BY247" s="41" t="str">
        <v/>
      </c>
      <c r="BZ247" s="41"/>
      <c r="CA247" s="41"/>
      <c r="CB247" s="41"/>
      <c r="CC247" s="41"/>
      <c r="CD247" s="41"/>
      <c r="CE247"/>
      <c r="CF247"/>
      <c r="CG247"/>
      <c r="CH247"/>
      <c r="CI247"/>
      <c r="CJ247" s="41"/>
      <c r="CK247" s="41"/>
      <c r="CL247" s="41"/>
      <c r="CM247" s="41"/>
      <c r="CN247" s="41"/>
      <c r="CO247" s="41"/>
      <c r="CP247" s="41"/>
      <c r="CQ247" s="41"/>
      <c r="CR247" s="25"/>
      <c r="CU247" s="21">
        <v>242</v>
      </c>
      <c r="CV247" s="41">
        <v>1</v>
      </c>
      <c r="CW247" s="41">
        <v>1.8192576091040986</v>
      </c>
      <c r="CX247" s="41">
        <v>1.8192576091040986</v>
      </c>
      <c r="CY247" s="41" t="e">
        <v>#N/A</v>
      </c>
      <c r="CZ247" t="e">
        <v>#N/A</v>
      </c>
      <c r="DA247" t="e">
        <v>#N/A</v>
      </c>
      <c r="DB247" t="str">
        <v/>
      </c>
      <c r="DX247">
        <v>242</v>
      </c>
      <c r="DY247">
        <v>6</v>
      </c>
      <c r="DZ247">
        <v>8.8224752287145186E-2</v>
      </c>
      <c r="EA247" t="str">
        <v/>
      </c>
    </row>
    <row r="248" spans="70:131" x14ac:dyDescent="0.2">
      <c r="BR248">
        <v>243</v>
      </c>
      <c r="BS248">
        <v>2.7165354330708658</v>
      </c>
      <c r="BT248" s="21">
        <v>9.9645556959455719E-3</v>
      </c>
      <c r="BU248" s="21">
        <v>15</v>
      </c>
      <c r="BV248" s="41">
        <v>0</v>
      </c>
      <c r="BW248" s="41">
        <v>0</v>
      </c>
      <c r="BX248" s="41" t="str">
        <v/>
      </c>
      <c r="BY248" s="41" t="str">
        <v/>
      </c>
      <c r="BZ248" s="41"/>
      <c r="CA248" s="41"/>
      <c r="CB248" s="41"/>
      <c r="CC248" s="41"/>
      <c r="CD248" s="41"/>
      <c r="CE248"/>
      <c r="CF248"/>
      <c r="CG248"/>
      <c r="CH248"/>
      <c r="CI248"/>
      <c r="CJ248" s="41"/>
      <c r="CK248" s="41"/>
      <c r="CL248" s="41"/>
      <c r="CM248" s="41"/>
      <c r="CN248" s="41"/>
      <c r="CO248" s="41"/>
      <c r="CP248" s="41"/>
      <c r="CQ248" s="41"/>
      <c r="CR248" s="25"/>
      <c r="CU248" s="21">
        <v>243</v>
      </c>
      <c r="CV248" s="41">
        <v>1</v>
      </c>
      <c r="CW248" s="41">
        <v>1.8192576091040986</v>
      </c>
      <c r="CX248" s="41">
        <v>1.8192576091040986</v>
      </c>
      <c r="CY248" s="41" t="e">
        <v>#N/A</v>
      </c>
      <c r="CZ248" t="e">
        <v>#N/A</v>
      </c>
      <c r="DA248" t="e">
        <v>#N/A</v>
      </c>
      <c r="DB248" t="str">
        <v/>
      </c>
      <c r="DX248">
        <v>243</v>
      </c>
      <c r="DY248">
        <v>6</v>
      </c>
      <c r="DZ248">
        <v>8.8224752287145186E-2</v>
      </c>
      <c r="EA248" t="str">
        <v/>
      </c>
    </row>
    <row r="249" spans="70:131" x14ac:dyDescent="0.2">
      <c r="BR249">
        <v>244</v>
      </c>
      <c r="BS249">
        <v>2.7401574803149602</v>
      </c>
      <c r="BT249" s="21">
        <v>9.3426060841007141E-3</v>
      </c>
      <c r="BU249" s="21">
        <v>15</v>
      </c>
      <c r="BV249" s="41">
        <v>0</v>
      </c>
      <c r="BW249" s="41">
        <v>0</v>
      </c>
      <c r="BX249" s="41" t="str">
        <v/>
      </c>
      <c r="BY249" s="41" t="str">
        <v/>
      </c>
      <c r="BZ249" s="41"/>
      <c r="CA249" s="41"/>
      <c r="CB249" s="41"/>
      <c r="CC249" s="41"/>
      <c r="CD249" s="41"/>
      <c r="CE249"/>
      <c r="CF249"/>
      <c r="CG249"/>
      <c r="CH249"/>
      <c r="CI249"/>
      <c r="CJ249" s="41"/>
      <c r="CK249" s="41"/>
      <c r="CL249" s="41"/>
      <c r="CM249" s="41"/>
      <c r="CN249" s="41"/>
      <c r="CO249" s="41"/>
      <c r="CP249" s="41"/>
      <c r="CQ249" s="41"/>
      <c r="CR249" s="25"/>
      <c r="CU249" s="21">
        <v>244</v>
      </c>
      <c r="CV249" s="41">
        <v>2</v>
      </c>
      <c r="CW249" s="41">
        <v>1.0047263613915816</v>
      </c>
      <c r="CX249" s="41" t="e">
        <v>#N/A</v>
      </c>
      <c r="CY249" s="41">
        <v>1.0047263613915816</v>
      </c>
      <c r="CZ249" t="e">
        <v>#N/A</v>
      </c>
      <c r="DA249" t="e">
        <v>#N/A</v>
      </c>
      <c r="DB249">
        <v>-0.77600000000000002</v>
      </c>
      <c r="DX249">
        <v>244</v>
      </c>
      <c r="DY249">
        <v>6</v>
      </c>
      <c r="DZ249">
        <v>8.8224752287145186E-2</v>
      </c>
      <c r="EA249" t="str">
        <v/>
      </c>
    </row>
    <row r="250" spans="70:131" x14ac:dyDescent="0.2">
      <c r="BR250">
        <v>245</v>
      </c>
      <c r="BS250">
        <v>2.7637795275590546</v>
      </c>
      <c r="BT250" s="21">
        <v>8.7545897639901629E-3</v>
      </c>
      <c r="BU250" s="21">
        <v>15</v>
      </c>
      <c r="BV250" s="41">
        <v>0</v>
      </c>
      <c r="BW250" s="41">
        <v>0</v>
      </c>
      <c r="BX250" s="41" t="str">
        <v/>
      </c>
      <c r="BY250" s="41" t="str">
        <v/>
      </c>
      <c r="BZ250" s="41"/>
      <c r="CA250" s="41"/>
      <c r="CB250" s="41"/>
      <c r="CC250" s="41"/>
      <c r="CD250" s="41"/>
      <c r="CE250"/>
      <c r="CF250"/>
      <c r="CG250"/>
      <c r="CH250"/>
      <c r="CI250"/>
      <c r="CJ250" s="41"/>
      <c r="CK250" s="41"/>
      <c r="CL250" s="41"/>
      <c r="CM250" s="41"/>
      <c r="CN250" s="41"/>
      <c r="CO250" s="41"/>
      <c r="CP250" s="41"/>
      <c r="CQ250" s="41"/>
      <c r="CR250" s="25"/>
      <c r="CU250" s="21">
        <v>245</v>
      </c>
      <c r="CV250" s="41">
        <v>2</v>
      </c>
      <c r="CW250" s="41">
        <v>1.0047263613915816</v>
      </c>
      <c r="CX250" s="41" t="e">
        <v>#N/A</v>
      </c>
      <c r="CY250" s="41">
        <v>1.0047263613915816</v>
      </c>
      <c r="CZ250" t="e">
        <v>#N/A</v>
      </c>
      <c r="DA250" t="e">
        <v>#N/A</v>
      </c>
      <c r="DB250" t="str">
        <v/>
      </c>
      <c r="DX250">
        <v>245</v>
      </c>
      <c r="DY250">
        <v>6</v>
      </c>
      <c r="DZ250">
        <v>8.8224752287145186E-2</v>
      </c>
      <c r="EA250" t="str">
        <v/>
      </c>
    </row>
    <row r="251" spans="70:131" x14ac:dyDescent="0.2">
      <c r="BR251">
        <v>246</v>
      </c>
      <c r="BS251">
        <v>2.7874015748031491</v>
      </c>
      <c r="BT251" s="21">
        <v>8.1990063997802055E-3</v>
      </c>
      <c r="BU251" s="21">
        <v>15</v>
      </c>
      <c r="BV251" s="41">
        <v>0</v>
      </c>
      <c r="BW251" s="41">
        <v>0</v>
      </c>
      <c r="BX251" s="41" t="str">
        <v/>
      </c>
      <c r="BY251" s="41" t="str">
        <v/>
      </c>
      <c r="BZ251" s="41"/>
      <c r="CA251" s="41"/>
      <c r="CB251" s="41"/>
      <c r="CC251" s="41"/>
      <c r="CD251" s="41"/>
      <c r="CE251"/>
      <c r="CF251"/>
      <c r="CG251"/>
      <c r="CH251"/>
      <c r="CI251"/>
      <c r="CJ251" s="41"/>
      <c r="CK251" s="41"/>
      <c r="CL251" s="41"/>
      <c r="CM251" s="41"/>
      <c r="CN251" s="41"/>
      <c r="CO251" s="41"/>
      <c r="CP251" s="41"/>
      <c r="CQ251" s="41"/>
      <c r="CR251" s="25"/>
      <c r="CU251" s="21">
        <v>246</v>
      </c>
      <c r="CV251" s="41">
        <v>2</v>
      </c>
      <c r="CW251" s="41">
        <v>1.0047263613915816</v>
      </c>
      <c r="CX251" s="41" t="e">
        <v>#N/A</v>
      </c>
      <c r="CY251" s="41">
        <v>1.0047263613915816</v>
      </c>
      <c r="CZ251" t="e">
        <v>#N/A</v>
      </c>
      <c r="DA251" t="e">
        <v>#N/A</v>
      </c>
      <c r="DB251" t="str">
        <v/>
      </c>
      <c r="DX251">
        <v>246</v>
      </c>
      <c r="DY251">
        <v>6</v>
      </c>
      <c r="DZ251">
        <v>8.8224752287145186E-2</v>
      </c>
      <c r="EA251" t="str">
        <v/>
      </c>
    </row>
    <row r="252" spans="70:131" x14ac:dyDescent="0.2">
      <c r="BR252">
        <v>247</v>
      </c>
      <c r="BS252">
        <v>2.8110236220472444</v>
      </c>
      <c r="BT252" s="21">
        <v>7.6743979233234441E-3</v>
      </c>
      <c r="BU252" s="21">
        <v>15</v>
      </c>
      <c r="BV252" s="41">
        <v>0</v>
      </c>
      <c r="BW252" s="41">
        <v>0</v>
      </c>
      <c r="BX252" s="41" t="str">
        <v/>
      </c>
      <c r="BY252" s="41" t="str">
        <v/>
      </c>
      <c r="BZ252" s="41"/>
      <c r="CA252" s="41"/>
      <c r="CB252" s="41"/>
      <c r="CC252" s="41"/>
      <c r="CD252" s="41"/>
      <c r="CE252"/>
      <c r="CF252"/>
      <c r="CG252"/>
      <c r="CH252"/>
      <c r="CI252"/>
      <c r="CJ252" s="41"/>
      <c r="CK252" s="41"/>
      <c r="CL252" s="41"/>
      <c r="CM252" s="41"/>
      <c r="CN252" s="41"/>
      <c r="CO252" s="41"/>
      <c r="CP252" s="41"/>
      <c r="CQ252" s="41"/>
      <c r="CR252" s="25"/>
      <c r="CU252" s="21">
        <v>247</v>
      </c>
      <c r="CV252" s="41">
        <v>2</v>
      </c>
      <c r="CW252" s="41">
        <v>1.0047263613915816</v>
      </c>
      <c r="CX252" s="41" t="e">
        <v>#N/A</v>
      </c>
      <c r="CY252" s="41">
        <v>1.0047263613915816</v>
      </c>
      <c r="CZ252" t="e">
        <v>#N/A</v>
      </c>
      <c r="DA252" t="e">
        <v>#N/A</v>
      </c>
      <c r="DB252" t="str">
        <v/>
      </c>
      <c r="DX252">
        <v>247</v>
      </c>
      <c r="DY252">
        <v>6</v>
      </c>
      <c r="DZ252">
        <v>8.8224752287145186E-2</v>
      </c>
      <c r="EA252" t="str">
        <v/>
      </c>
    </row>
    <row r="253" spans="70:131" x14ac:dyDescent="0.2">
      <c r="BR253">
        <v>248</v>
      </c>
      <c r="BS253">
        <v>2.8346456692913389</v>
      </c>
      <c r="BT253" s="21">
        <v>7.1793490009733505E-3</v>
      </c>
      <c r="BU253" s="21">
        <v>15</v>
      </c>
      <c r="BV253" s="41">
        <v>0</v>
      </c>
      <c r="BW253" s="41">
        <v>0</v>
      </c>
      <c r="BX253" s="41" t="str">
        <v/>
      </c>
      <c r="BY253" s="41" t="str">
        <v/>
      </c>
      <c r="BZ253" s="41"/>
      <c r="CA253" s="41"/>
      <c r="CB253" s="41"/>
      <c r="CC253" s="41"/>
      <c r="CD253" s="41"/>
      <c r="CE253"/>
      <c r="CF253"/>
      <c r="CG253"/>
      <c r="CH253"/>
      <c r="CI253"/>
      <c r="CJ253" s="41"/>
      <c r="CK253" s="41"/>
      <c r="CL253" s="41"/>
      <c r="CM253" s="41"/>
      <c r="CN253" s="41"/>
      <c r="CO253" s="41"/>
      <c r="CP253" s="41"/>
      <c r="CQ253" s="41"/>
      <c r="CR253" s="25"/>
      <c r="CU253" s="21">
        <v>248</v>
      </c>
      <c r="CV253" s="41">
        <v>2</v>
      </c>
      <c r="CW253" s="41">
        <v>1.0047263613915816</v>
      </c>
      <c r="CX253" s="41" t="e">
        <v>#N/A</v>
      </c>
      <c r="CY253" s="41">
        <v>1.0047263613915816</v>
      </c>
      <c r="CZ253" t="e">
        <v>#N/A</v>
      </c>
      <c r="DA253" t="e">
        <v>#N/A</v>
      </c>
      <c r="DB253" t="str">
        <v/>
      </c>
      <c r="DX253">
        <v>248</v>
      </c>
      <c r="DY253">
        <v>6</v>
      </c>
      <c r="DZ253">
        <v>8.8224752287145186E-2</v>
      </c>
      <c r="EA253" t="str">
        <v/>
      </c>
    </row>
    <row r="254" spans="70:131" x14ac:dyDescent="0.2">
      <c r="BR254">
        <v>249</v>
      </c>
      <c r="BS254">
        <v>2.8582677165354333</v>
      </c>
      <c r="BT254" s="21">
        <v>6.7124873553275569E-3</v>
      </c>
      <c r="BU254" s="21">
        <v>15</v>
      </c>
      <c r="BV254" s="41">
        <v>0</v>
      </c>
      <c r="BW254" s="41">
        <v>0</v>
      </c>
      <c r="BX254" s="41" t="str">
        <v/>
      </c>
      <c r="BY254" s="41" t="str">
        <v/>
      </c>
      <c r="BZ254" s="41"/>
      <c r="CA254" s="41"/>
      <c r="CB254" s="41"/>
      <c r="CC254" s="41"/>
      <c r="CD254" s="41"/>
      <c r="CE254"/>
      <c r="CF254"/>
      <c r="CG254"/>
      <c r="CH254"/>
      <c r="CI254"/>
      <c r="CJ254" s="41"/>
      <c r="CK254" s="41"/>
      <c r="CL254" s="41"/>
      <c r="CM254" s="41"/>
      <c r="CN254" s="41"/>
      <c r="CO254" s="41"/>
      <c r="CP254" s="41"/>
      <c r="CQ254" s="41"/>
      <c r="CR254" s="25"/>
      <c r="CU254" s="21">
        <v>249</v>
      </c>
      <c r="CV254" s="41">
        <v>2</v>
      </c>
      <c r="CW254" s="41">
        <v>1.0047263613915816</v>
      </c>
      <c r="CX254" s="41" t="e">
        <v>#N/A</v>
      </c>
      <c r="CY254" s="41">
        <v>1.0047263613915816</v>
      </c>
      <c r="CZ254" t="e">
        <v>#N/A</v>
      </c>
      <c r="DA254" t="e">
        <v>#N/A</v>
      </c>
      <c r="DB254" t="str">
        <v/>
      </c>
      <c r="DX254">
        <v>249</v>
      </c>
      <c r="DY254">
        <v>6</v>
      </c>
      <c r="DZ254">
        <v>8.8224752287145186E-2</v>
      </c>
      <c r="EA254" t="str">
        <v/>
      </c>
    </row>
    <row r="255" spans="70:131" x14ac:dyDescent="0.2">
      <c r="BR255">
        <v>250</v>
      </c>
      <c r="BS255">
        <v>2.8818897637795278</v>
      </c>
      <c r="BT255" s="21">
        <v>6.2724839501383011E-3</v>
      </c>
      <c r="BU255" s="21">
        <v>15</v>
      </c>
      <c r="BV255" s="41">
        <v>0</v>
      </c>
      <c r="BW255" s="41">
        <v>0</v>
      </c>
      <c r="BX255" s="41" t="str">
        <v/>
      </c>
      <c r="BY255" s="41" t="str">
        <v/>
      </c>
      <c r="BZ255" s="41"/>
      <c r="CA255" s="41"/>
      <c r="CB255" s="41"/>
      <c r="CC255" s="41"/>
      <c r="CD255" s="41"/>
      <c r="CE255"/>
      <c r="CF255"/>
      <c r="CG255"/>
      <c r="CH255"/>
      <c r="CI255"/>
      <c r="CJ255" s="41"/>
      <c r="CK255" s="41"/>
      <c r="CL255" s="41"/>
      <c r="CM255" s="41"/>
      <c r="CN255" s="41"/>
      <c r="CO255" s="41"/>
      <c r="CP255" s="41"/>
      <c r="CQ255" s="41"/>
      <c r="CR255" s="25"/>
      <c r="CU255" s="21">
        <v>250</v>
      </c>
      <c r="CV255" s="41">
        <v>2</v>
      </c>
      <c r="CW255" s="41">
        <v>1.0047263613915816</v>
      </c>
      <c r="CX255" s="41" t="e">
        <v>#N/A</v>
      </c>
      <c r="CY255" s="41">
        <v>1.0047263613915816</v>
      </c>
      <c r="CZ255" t="e">
        <v>#N/A</v>
      </c>
      <c r="DA255" t="e">
        <v>#N/A</v>
      </c>
      <c r="DB255" t="str">
        <v/>
      </c>
      <c r="DX255">
        <v>250</v>
      </c>
      <c r="DY255">
        <v>6</v>
      </c>
      <c r="DZ255">
        <v>8.8224752287145186E-2</v>
      </c>
      <c r="EA255" t="str">
        <v/>
      </c>
    </row>
    <row r="256" spans="70:131" x14ac:dyDescent="0.2">
      <c r="BR256">
        <v>251</v>
      </c>
      <c r="BS256">
        <v>2.9055118110236222</v>
      </c>
      <c r="BT256" s="21">
        <v>5.8580530466154357E-3</v>
      </c>
      <c r="BU256" s="21">
        <v>15</v>
      </c>
      <c r="BV256" s="41">
        <v>0</v>
      </c>
      <c r="BW256" s="41">
        <v>0</v>
      </c>
      <c r="BX256" s="41" t="str">
        <v/>
      </c>
      <c r="BY256" s="41" t="str">
        <v/>
      </c>
      <c r="BZ256" s="41"/>
      <c r="CA256" s="41"/>
      <c r="CB256" s="41"/>
      <c r="CC256" s="41"/>
      <c r="CD256" s="41"/>
      <c r="CE256"/>
      <c r="CF256"/>
      <c r="CG256"/>
      <c r="CH256"/>
      <c r="CI256"/>
      <c r="CJ256" s="41"/>
      <c r="CK256" s="41"/>
      <c r="CL256" s="41"/>
      <c r="CM256" s="41"/>
      <c r="CN256" s="41"/>
      <c r="CO256" s="41"/>
      <c r="CP256" s="41"/>
      <c r="CQ256" s="41"/>
      <c r="CR256" s="25"/>
      <c r="CU256" s="21">
        <v>251</v>
      </c>
      <c r="CV256" s="41">
        <v>2</v>
      </c>
      <c r="CW256" s="41">
        <v>1.0047263613915816</v>
      </c>
      <c r="CX256" s="41" t="e">
        <v>#N/A</v>
      </c>
      <c r="CY256" s="41">
        <v>1.0047263613915816</v>
      </c>
      <c r="CZ256" t="e">
        <v>#N/A</v>
      </c>
      <c r="DA256" t="e">
        <v>#N/A</v>
      </c>
      <c r="DB256" t="str">
        <v/>
      </c>
      <c r="DX256">
        <v>251</v>
      </c>
      <c r="DY256">
        <v>6</v>
      </c>
      <c r="DZ256">
        <v>8.8224752287145186E-2</v>
      </c>
      <c r="EA256" t="str">
        <v/>
      </c>
    </row>
    <row r="257" spans="70:131" x14ac:dyDescent="0.2">
      <c r="BR257">
        <v>252</v>
      </c>
      <c r="BS257">
        <v>2.9291338582677167</v>
      </c>
      <c r="BT257" s="21">
        <v>5.4679521393008702E-3</v>
      </c>
      <c r="BU257" s="21">
        <v>15</v>
      </c>
      <c r="BV257" s="41">
        <v>0</v>
      </c>
      <c r="BW257" s="41">
        <v>0</v>
      </c>
      <c r="BX257" s="41" t="str">
        <v/>
      </c>
      <c r="BY257" s="41" t="str">
        <v/>
      </c>
      <c r="BZ257" s="41"/>
      <c r="CA257" s="41"/>
      <c r="CB257" s="41"/>
      <c r="CC257" s="41"/>
      <c r="CD257" s="41"/>
      <c r="CE257"/>
      <c r="CF257"/>
      <c r="CG257"/>
      <c r="CH257"/>
      <c r="CI257"/>
      <c r="CJ257" s="41"/>
      <c r="CK257" s="41"/>
      <c r="CL257" s="41"/>
      <c r="CM257" s="41"/>
      <c r="CN257" s="41"/>
      <c r="CO257" s="41"/>
      <c r="CP257" s="41"/>
      <c r="CQ257" s="41"/>
      <c r="CR257" s="25"/>
      <c r="CU257" s="21">
        <v>252</v>
      </c>
      <c r="CV257" s="41">
        <v>2</v>
      </c>
      <c r="CW257" s="41">
        <v>1.0047263613915816</v>
      </c>
      <c r="CX257" s="41" t="e">
        <v>#N/A</v>
      </c>
      <c r="CY257" s="41">
        <v>1.0047263613915816</v>
      </c>
      <c r="CZ257" t="e">
        <v>#N/A</v>
      </c>
      <c r="DA257" t="e">
        <v>#N/A</v>
      </c>
      <c r="DB257" t="str">
        <v/>
      </c>
      <c r="DX257">
        <v>252</v>
      </c>
      <c r="DY257">
        <v>6</v>
      </c>
      <c r="DZ257">
        <v>8.8224752287145186E-2</v>
      </c>
      <c r="EA257" t="str">
        <v>13 (100%)</v>
      </c>
    </row>
    <row r="258" spans="70:131" x14ac:dyDescent="0.2">
      <c r="BR258">
        <v>253</v>
      </c>
      <c r="BS258">
        <v>2.9527559055118111</v>
      </c>
      <c r="BT258" s="21">
        <v>5.1009817796137192E-3</v>
      </c>
      <c r="BU258" s="21">
        <v>15</v>
      </c>
      <c r="BV258" s="41">
        <v>0</v>
      </c>
      <c r="BW258" s="41">
        <v>0</v>
      </c>
      <c r="BX258" s="41" t="str">
        <v/>
      </c>
      <c r="BY258" s="41" t="str">
        <v/>
      </c>
      <c r="BZ258" s="41"/>
      <c r="CA258" s="41"/>
      <c r="CB258" s="41"/>
      <c r="CC258" s="41"/>
      <c r="CD258" s="41"/>
      <c r="CE258"/>
      <c r="CF258"/>
      <c r="CG258"/>
      <c r="CH258"/>
      <c r="CI258"/>
      <c r="CJ258" s="41"/>
      <c r="CK258" s="41"/>
      <c r="CL258" s="41"/>
      <c r="CM258" s="41"/>
      <c r="CN258" s="41"/>
      <c r="CO258" s="41"/>
      <c r="CP258" s="41"/>
      <c r="CQ258" s="41"/>
      <c r="CR258" s="25"/>
      <c r="CU258" s="21">
        <v>253</v>
      </c>
      <c r="CV258" s="41">
        <v>2</v>
      </c>
      <c r="CW258" s="41">
        <v>1.0047263613915816</v>
      </c>
      <c r="CX258" s="41" t="e">
        <v>#N/A</v>
      </c>
      <c r="CY258" s="41">
        <v>1.0047263613915816</v>
      </c>
      <c r="CZ258" t="e">
        <v>#N/A</v>
      </c>
      <c r="DA258" t="e">
        <v>#N/A</v>
      </c>
      <c r="DB258" t="str">
        <v/>
      </c>
    </row>
    <row r="259" spans="70:131" x14ac:dyDescent="0.2">
      <c r="BR259">
        <v>254</v>
      </c>
      <c r="BS259">
        <v>2.9763779527559056</v>
      </c>
      <c r="BT259" s="21">
        <v>4.7559852950567272E-3</v>
      </c>
      <c r="BU259" s="21">
        <v>15</v>
      </c>
      <c r="BV259" s="41">
        <v>0</v>
      </c>
      <c r="BW259" s="41">
        <v>0</v>
      </c>
      <c r="BX259" s="41" t="str">
        <v/>
      </c>
      <c r="BY259" s="41" t="str">
        <v/>
      </c>
      <c r="BZ259" s="41"/>
      <c r="CA259" s="41"/>
      <c r="CB259" s="41"/>
      <c r="CC259" s="41"/>
      <c r="CD259" s="41"/>
      <c r="CE259"/>
      <c r="CF259"/>
      <c r="CG259"/>
      <c r="CH259"/>
      <c r="CI259"/>
      <c r="CJ259" s="41"/>
      <c r="CK259" s="41"/>
      <c r="CL259" s="41"/>
      <c r="CM259" s="41"/>
      <c r="CN259" s="41"/>
      <c r="CO259" s="41"/>
      <c r="CP259" s="41"/>
      <c r="CQ259" s="41"/>
      <c r="CR259" s="25"/>
      <c r="CU259" s="21">
        <v>254</v>
      </c>
      <c r="CV259" s="41">
        <v>2</v>
      </c>
      <c r="CW259" s="41">
        <v>1.0047263613915816</v>
      </c>
      <c r="CX259" s="41" t="e">
        <v>#N/A</v>
      </c>
      <c r="CY259" s="41">
        <v>1.0047263613915816</v>
      </c>
      <c r="CZ259" t="e">
        <v>#N/A</v>
      </c>
      <c r="DA259" t="e">
        <v>#N/A</v>
      </c>
      <c r="DB259" t="str">
        <v/>
      </c>
    </row>
    <row r="260" spans="70:131" x14ac:dyDescent="0.2">
      <c r="BR260">
        <v>255</v>
      </c>
      <c r="BS260">
        <v>3</v>
      </c>
      <c r="BT260" s="21">
        <v>4.4318484119380075E-3</v>
      </c>
      <c r="BU260" s="21">
        <v>15</v>
      </c>
      <c r="BV260" s="41">
        <v>0</v>
      </c>
      <c r="BW260" s="41">
        <v>0</v>
      </c>
      <c r="BX260" s="41">
        <v>14.77</v>
      </c>
      <c r="BY260" s="41" t="str">
        <v>3σ</v>
      </c>
      <c r="BZ260" s="41"/>
      <c r="CA260" s="41"/>
      <c r="CB260" s="41"/>
      <c r="CC260" s="41"/>
      <c r="CD260" s="41"/>
      <c r="CE260"/>
      <c r="CF260"/>
      <c r="CG260"/>
      <c r="CH260"/>
      <c r="CI260"/>
      <c r="CJ260" s="41"/>
      <c r="CK260" s="41"/>
      <c r="CL260" s="41"/>
      <c r="CM260" s="41"/>
      <c r="CN260" s="41"/>
      <c r="CO260" s="41"/>
      <c r="CP260" s="41"/>
      <c r="CQ260" s="41"/>
      <c r="CR260" s="25"/>
      <c r="CU260" s="21">
        <v>255</v>
      </c>
      <c r="CV260" s="41">
        <v>2</v>
      </c>
      <c r="CW260" s="41">
        <v>1.0047263613915816</v>
      </c>
      <c r="CX260" s="41" t="e">
        <v>#N/A</v>
      </c>
      <c r="CY260" s="41">
        <v>1.0047263613915816</v>
      </c>
      <c r="CZ260" t="e">
        <v>#N/A</v>
      </c>
      <c r="DA260" t="e">
        <v>#N/A</v>
      </c>
      <c r="DB260" t="str">
        <v/>
      </c>
    </row>
    <row r="261" spans="70:131" x14ac:dyDescent="0.2">
      <c r="BV261" s="41"/>
      <c r="BW261" s="41"/>
      <c r="BX261" s="41"/>
      <c r="BY261" s="41"/>
      <c r="BZ261" s="41"/>
      <c r="CA261" s="41"/>
      <c r="CB261" s="41"/>
      <c r="CC261" s="41"/>
      <c r="CD261" s="41"/>
      <c r="CE261"/>
      <c r="CF261"/>
      <c r="CG261"/>
      <c r="CH261"/>
      <c r="CI261"/>
      <c r="CJ261" s="41"/>
      <c r="CK261" s="41"/>
      <c r="CL261" s="41"/>
      <c r="CM261" s="41"/>
      <c r="CN261" s="41"/>
      <c r="CO261" s="41"/>
      <c r="CP261" s="41"/>
      <c r="CQ261" s="41"/>
      <c r="CR261" s="25"/>
      <c r="CU261" s="21">
        <v>256</v>
      </c>
      <c r="CV261" s="41">
        <v>2</v>
      </c>
      <c r="CW261" s="41">
        <v>1.0047263613915816</v>
      </c>
      <c r="CX261" s="41" t="e">
        <v>#N/A</v>
      </c>
      <c r="CY261" s="41">
        <v>1.0047263613915816</v>
      </c>
      <c r="CZ261" t="e">
        <v>#N/A</v>
      </c>
      <c r="DA261" t="e">
        <v>#N/A</v>
      </c>
      <c r="DB261" t="str">
        <v/>
      </c>
    </row>
    <row r="262" spans="70:131" x14ac:dyDescent="0.2">
      <c r="BV262" s="41"/>
      <c r="BW262" s="41"/>
      <c r="BX262" s="41"/>
      <c r="BY262" s="41"/>
      <c r="BZ262" s="41"/>
      <c r="CA262" s="41"/>
      <c r="CB262" s="41"/>
      <c r="CC262" s="41"/>
      <c r="CD262" s="41"/>
      <c r="CE262"/>
      <c r="CF262"/>
      <c r="CG262"/>
      <c r="CH262"/>
      <c r="CI262"/>
      <c r="CJ262" s="41"/>
      <c r="CK262" s="41"/>
      <c r="CL262" s="41"/>
      <c r="CM262" s="41"/>
      <c r="CN262" s="41"/>
      <c r="CO262" s="41"/>
      <c r="CP262" s="41"/>
      <c r="CQ262" s="41"/>
      <c r="CR262" s="25"/>
      <c r="CU262" s="21">
        <v>257</v>
      </c>
      <c r="CV262" s="41">
        <v>2</v>
      </c>
      <c r="CW262" s="41">
        <v>1.0047263613915816</v>
      </c>
      <c r="CX262" s="41" t="e">
        <v>#N/A</v>
      </c>
      <c r="CY262" s="41">
        <v>1.0047263613915816</v>
      </c>
      <c r="CZ262" t="e">
        <v>#N/A</v>
      </c>
      <c r="DA262" t="e">
        <v>#N/A</v>
      </c>
      <c r="DB262" t="str">
        <v/>
      </c>
    </row>
    <row r="263" spans="70:131" x14ac:dyDescent="0.2">
      <c r="BV263" s="41"/>
      <c r="BW263" s="41"/>
      <c r="BX263" s="41"/>
      <c r="BY263" s="41"/>
      <c r="BZ263" s="41"/>
      <c r="CA263" s="41"/>
      <c r="CB263" s="41"/>
      <c r="CC263" s="41"/>
      <c r="CD263" s="41"/>
      <c r="CE263"/>
      <c r="CF263"/>
      <c r="CG263"/>
      <c r="CH263"/>
      <c r="CI263"/>
      <c r="CJ263" s="41"/>
      <c r="CK263" s="41"/>
      <c r="CL263" s="41"/>
      <c r="CM263" s="41"/>
      <c r="CN263" s="41"/>
      <c r="CO263" s="41"/>
      <c r="CP263" s="41"/>
      <c r="CQ263" s="41"/>
      <c r="CR263" s="25"/>
      <c r="CU263" s="21">
        <v>258</v>
      </c>
      <c r="CV263" s="41">
        <v>2</v>
      </c>
      <c r="CW263" s="41">
        <v>1.0047263613915816</v>
      </c>
      <c r="CX263" s="41" t="e">
        <v>#N/A</v>
      </c>
      <c r="CY263" s="41">
        <v>1.0047263613915816</v>
      </c>
      <c r="CZ263" t="e">
        <v>#N/A</v>
      </c>
      <c r="DA263" t="e">
        <v>#N/A</v>
      </c>
      <c r="DB263" t="str">
        <v/>
      </c>
    </row>
    <row r="264" spans="70:131" x14ac:dyDescent="0.2">
      <c r="BV264" s="41"/>
      <c r="BW264" s="41"/>
      <c r="BX264" s="41"/>
      <c r="BY264" s="41"/>
      <c r="BZ264" s="41"/>
      <c r="CA264" s="41"/>
      <c r="CB264" s="41"/>
      <c r="CC264" s="41"/>
      <c r="CD264" s="41"/>
      <c r="CE264"/>
      <c r="CF264"/>
      <c r="CG264"/>
      <c r="CH264"/>
      <c r="CI264"/>
      <c r="CJ264" s="41"/>
      <c r="CK264" s="41"/>
      <c r="CL264" s="41"/>
      <c r="CM264" s="41"/>
      <c r="CN264" s="41"/>
      <c r="CO264" s="41"/>
      <c r="CP264" s="41"/>
      <c r="CQ264" s="41"/>
      <c r="CR264" s="25"/>
      <c r="CU264" s="21">
        <v>259</v>
      </c>
      <c r="CV264" s="41">
        <v>2</v>
      </c>
      <c r="CW264" s="41">
        <v>1.0047263613915816</v>
      </c>
      <c r="CX264" s="41" t="e">
        <v>#N/A</v>
      </c>
      <c r="CY264" s="41">
        <v>1.0047263613915816</v>
      </c>
      <c r="CZ264" t="e">
        <v>#N/A</v>
      </c>
      <c r="DA264" t="e">
        <v>#N/A</v>
      </c>
      <c r="DB264" t="str">
        <v/>
      </c>
    </row>
    <row r="265" spans="70:131" x14ac:dyDescent="0.2">
      <c r="BV265" s="41"/>
      <c r="BW265" s="41"/>
      <c r="BX265" s="41"/>
      <c r="BY265" s="41"/>
      <c r="BZ265" s="41"/>
      <c r="CA265" s="41"/>
      <c r="CB265" s="41"/>
      <c r="CC265" s="41"/>
      <c r="CD265" s="41"/>
      <c r="CE265"/>
      <c r="CF265"/>
      <c r="CG265"/>
      <c r="CH265"/>
      <c r="CI265"/>
      <c r="CJ265" s="41"/>
      <c r="CK265" s="41"/>
      <c r="CL265" s="41"/>
      <c r="CM265" s="41"/>
      <c r="CN265" s="41"/>
      <c r="CO265" s="41"/>
      <c r="CP265" s="41"/>
      <c r="CQ265" s="41"/>
      <c r="CR265" s="25"/>
      <c r="CU265" s="21">
        <v>260</v>
      </c>
      <c r="CV265" s="41">
        <v>2</v>
      </c>
      <c r="CW265" s="41">
        <v>1.0047263613915816</v>
      </c>
      <c r="CX265" s="41" t="e">
        <v>#N/A</v>
      </c>
      <c r="CY265" s="41">
        <v>1.0047263613915816</v>
      </c>
      <c r="CZ265" t="e">
        <v>#N/A</v>
      </c>
      <c r="DA265" t="e">
        <v>#N/A</v>
      </c>
      <c r="DB265" t="str">
        <v/>
      </c>
    </row>
    <row r="266" spans="70:131" x14ac:dyDescent="0.2">
      <c r="BV266" s="41"/>
      <c r="BW266" s="41"/>
      <c r="BX266" s="41"/>
      <c r="BY266" s="41"/>
      <c r="BZ266" s="41"/>
      <c r="CA266" s="41"/>
      <c r="CB266" s="41"/>
      <c r="CC266" s="41"/>
      <c r="CD266" s="41"/>
      <c r="CE266"/>
      <c r="CF266"/>
      <c r="CG266"/>
      <c r="CH266"/>
      <c r="CI266"/>
      <c r="CJ266" s="41"/>
      <c r="CK266" s="41"/>
      <c r="CL266" s="41"/>
      <c r="CM266" s="41"/>
      <c r="CN266" s="41"/>
      <c r="CO266" s="41"/>
      <c r="CP266" s="41"/>
      <c r="CQ266" s="41"/>
      <c r="CR266" s="25"/>
      <c r="CU266" s="21">
        <v>261</v>
      </c>
      <c r="CV266" s="41">
        <v>2</v>
      </c>
      <c r="CW266" s="41">
        <v>1.0047263613915816</v>
      </c>
      <c r="CX266" s="41" t="e">
        <v>#N/A</v>
      </c>
      <c r="CY266" s="41">
        <v>1.0047263613915816</v>
      </c>
      <c r="CZ266" t="e">
        <v>#N/A</v>
      </c>
      <c r="DA266" t="e">
        <v>#N/A</v>
      </c>
      <c r="DB266" t="str">
        <v/>
      </c>
    </row>
    <row r="267" spans="70:131" x14ac:dyDescent="0.2">
      <c r="CE267"/>
      <c r="CF267"/>
      <c r="CG267"/>
      <c r="CH267"/>
      <c r="CI267"/>
      <c r="CU267" s="21">
        <v>262</v>
      </c>
      <c r="CV267" s="41">
        <v>2</v>
      </c>
      <c r="CW267" s="41">
        <v>1.0047263613915816</v>
      </c>
      <c r="CX267" s="41" t="e">
        <v>#N/A</v>
      </c>
      <c r="CY267" s="41">
        <v>1.0047263613915816</v>
      </c>
      <c r="CZ267" t="e">
        <v>#N/A</v>
      </c>
      <c r="DA267" t="e">
        <v>#N/A</v>
      </c>
      <c r="DB267" t="str">
        <v/>
      </c>
    </row>
    <row r="268" spans="70:131" x14ac:dyDescent="0.2">
      <c r="CE268"/>
      <c r="CF268"/>
      <c r="CG268"/>
      <c r="CH268"/>
      <c r="CI268"/>
      <c r="CU268" s="21">
        <v>263</v>
      </c>
      <c r="CV268" s="41">
        <v>2</v>
      </c>
      <c r="CW268" s="41">
        <v>1.0047263613915816</v>
      </c>
      <c r="CX268" s="41" t="e">
        <v>#N/A</v>
      </c>
      <c r="CY268" s="41">
        <v>1.0047263613915816</v>
      </c>
      <c r="CZ268" t="e">
        <v>#N/A</v>
      </c>
      <c r="DA268" t="e">
        <v>#N/A</v>
      </c>
      <c r="DB268" t="str">
        <v/>
      </c>
    </row>
    <row r="269" spans="70:131" x14ac:dyDescent="0.2">
      <c r="CE269"/>
      <c r="CF269"/>
      <c r="CG269"/>
      <c r="CH269"/>
      <c r="CI269"/>
      <c r="CU269" s="21">
        <v>264</v>
      </c>
      <c r="CV269" s="41">
        <v>2</v>
      </c>
      <c r="CW269" s="41">
        <v>1.0047263613915816</v>
      </c>
      <c r="CX269" s="41" t="e">
        <v>#N/A</v>
      </c>
      <c r="CY269" s="41">
        <v>1.0047263613915816</v>
      </c>
      <c r="CZ269" t="e">
        <v>#N/A</v>
      </c>
      <c r="DA269" t="e">
        <v>#N/A</v>
      </c>
      <c r="DB269" t="str">
        <v/>
      </c>
    </row>
    <row r="270" spans="70:131" x14ac:dyDescent="0.2">
      <c r="CE270"/>
      <c r="CF270"/>
      <c r="CG270"/>
      <c r="CH270"/>
      <c r="CI270"/>
      <c r="CU270" s="21">
        <v>265</v>
      </c>
      <c r="CV270" s="41">
        <v>2</v>
      </c>
      <c r="CW270" s="41">
        <v>1.0047263613915816</v>
      </c>
      <c r="CX270" s="41" t="e">
        <v>#N/A</v>
      </c>
      <c r="CY270" s="41">
        <v>1.0047263613915816</v>
      </c>
      <c r="CZ270" t="e">
        <v>#N/A</v>
      </c>
      <c r="DA270" t="e">
        <v>#N/A</v>
      </c>
      <c r="DB270" t="str">
        <v/>
      </c>
    </row>
    <row r="271" spans="70:131" x14ac:dyDescent="0.2">
      <c r="CE271"/>
      <c r="CF271"/>
      <c r="CG271"/>
      <c r="CH271"/>
      <c r="CI271"/>
      <c r="CU271" s="21">
        <v>266</v>
      </c>
      <c r="CV271" s="41">
        <v>2</v>
      </c>
      <c r="CW271" s="41">
        <v>1.0047263613915816</v>
      </c>
      <c r="CX271" s="41" t="e">
        <v>#N/A</v>
      </c>
      <c r="CY271" s="41">
        <v>1.0047263613915816</v>
      </c>
      <c r="CZ271" t="e">
        <v>#N/A</v>
      </c>
      <c r="DA271" t="e">
        <v>#N/A</v>
      </c>
      <c r="DB271" t="str">
        <v/>
      </c>
    </row>
    <row r="272" spans="70:131" x14ac:dyDescent="0.2">
      <c r="CE272"/>
      <c r="CF272"/>
      <c r="CG272"/>
      <c r="CH272"/>
      <c r="CI272"/>
      <c r="CU272" s="21">
        <v>267</v>
      </c>
      <c r="CV272" s="41">
        <v>2</v>
      </c>
      <c r="CW272" s="41">
        <v>1.0047263613915816</v>
      </c>
      <c r="CX272" s="41" t="e">
        <v>#N/A</v>
      </c>
      <c r="CY272" s="41">
        <v>1.0047263613915816</v>
      </c>
      <c r="CZ272" t="e">
        <v>#N/A</v>
      </c>
      <c r="DA272" t="e">
        <v>#N/A</v>
      </c>
      <c r="DB272" t="str">
        <v/>
      </c>
    </row>
    <row r="273" spans="83:106" x14ac:dyDescent="0.2">
      <c r="CE273"/>
      <c r="CF273"/>
      <c r="CG273"/>
      <c r="CH273"/>
      <c r="CI273"/>
      <c r="CU273" s="21">
        <v>268</v>
      </c>
      <c r="CV273" s="41">
        <v>2</v>
      </c>
      <c r="CW273" s="41">
        <v>1.0047263613915816</v>
      </c>
      <c r="CX273" s="41" t="e">
        <v>#N/A</v>
      </c>
      <c r="CY273" s="41">
        <v>1.0047263613915816</v>
      </c>
      <c r="CZ273" t="e">
        <v>#N/A</v>
      </c>
      <c r="DA273" t="e">
        <v>#N/A</v>
      </c>
      <c r="DB273" t="str">
        <v/>
      </c>
    </row>
    <row r="274" spans="83:106" x14ac:dyDescent="0.2">
      <c r="CE274"/>
      <c r="CF274"/>
      <c r="CG274"/>
      <c r="CH274"/>
      <c r="CI274"/>
      <c r="CU274" s="21">
        <v>269</v>
      </c>
      <c r="CV274" s="41">
        <v>2</v>
      </c>
      <c r="CW274" s="41">
        <v>1.0047263613915816</v>
      </c>
      <c r="CX274" s="41" t="e">
        <v>#N/A</v>
      </c>
      <c r="CY274" s="41">
        <v>1.0047263613915816</v>
      </c>
      <c r="CZ274" t="e">
        <v>#N/A</v>
      </c>
      <c r="DA274" t="e">
        <v>#N/A</v>
      </c>
      <c r="DB274" t="str">
        <v/>
      </c>
    </row>
    <row r="275" spans="83:106" x14ac:dyDescent="0.2">
      <c r="CE275"/>
      <c r="CF275"/>
      <c r="CG275"/>
      <c r="CH275"/>
      <c r="CI275"/>
      <c r="CU275" s="21">
        <v>270</v>
      </c>
      <c r="CV275" s="41">
        <v>2</v>
      </c>
      <c r="CW275" s="41">
        <v>1.0047263613915816</v>
      </c>
      <c r="CX275" s="41" t="e">
        <v>#N/A</v>
      </c>
      <c r="CY275" s="41">
        <v>1.0047263613915816</v>
      </c>
      <c r="CZ275" t="e">
        <v>#N/A</v>
      </c>
      <c r="DA275" t="e">
        <v>#N/A</v>
      </c>
      <c r="DB275" t="str">
        <v/>
      </c>
    </row>
    <row r="276" spans="83:106" x14ac:dyDescent="0.2">
      <c r="CE276"/>
      <c r="CF276"/>
      <c r="CG276"/>
      <c r="CH276"/>
      <c r="CI276"/>
      <c r="CU276" s="21">
        <v>271</v>
      </c>
      <c r="CV276" s="41">
        <v>2</v>
      </c>
      <c r="CW276" s="41">
        <v>1.0047263613915816</v>
      </c>
      <c r="CX276" s="41" t="e">
        <v>#N/A</v>
      </c>
      <c r="CY276" s="41">
        <v>1.0047263613915816</v>
      </c>
      <c r="CZ276" t="e">
        <v>#N/A</v>
      </c>
      <c r="DA276" t="e">
        <v>#N/A</v>
      </c>
      <c r="DB276" t="str">
        <v/>
      </c>
    </row>
    <row r="277" spans="83:106" x14ac:dyDescent="0.2">
      <c r="CE277"/>
      <c r="CF277"/>
      <c r="CG277"/>
      <c r="CH277"/>
      <c r="CI277"/>
      <c r="CU277" s="21">
        <v>272</v>
      </c>
      <c r="CV277" s="41">
        <v>2</v>
      </c>
      <c r="CW277" s="41">
        <v>1.0047263613915816</v>
      </c>
      <c r="CX277" s="41" t="e">
        <v>#N/A</v>
      </c>
      <c r="CY277" s="41">
        <v>1.0047263613915816</v>
      </c>
      <c r="CZ277" t="e">
        <v>#N/A</v>
      </c>
      <c r="DA277" t="e">
        <v>#N/A</v>
      </c>
      <c r="DB277" t="str">
        <v/>
      </c>
    </row>
    <row r="278" spans="83:106" x14ac:dyDescent="0.2">
      <c r="CE278"/>
      <c r="CF278"/>
      <c r="CG278"/>
      <c r="CH278"/>
      <c r="CI278"/>
      <c r="CU278" s="21">
        <v>273</v>
      </c>
      <c r="CV278" s="41">
        <v>2</v>
      </c>
      <c r="CW278" s="41">
        <v>1.0047263613915816</v>
      </c>
      <c r="CX278" s="41" t="e">
        <v>#N/A</v>
      </c>
      <c r="CY278" s="41">
        <v>1.0047263613915816</v>
      </c>
      <c r="CZ278" t="e">
        <v>#N/A</v>
      </c>
      <c r="DA278" t="e">
        <v>#N/A</v>
      </c>
      <c r="DB278" t="str">
        <v/>
      </c>
    </row>
    <row r="279" spans="83:106" x14ac:dyDescent="0.2">
      <c r="CE279"/>
      <c r="CF279"/>
      <c r="CG279"/>
      <c r="CH279"/>
      <c r="CI279"/>
      <c r="CU279" s="21">
        <v>274</v>
      </c>
      <c r="CV279" s="41">
        <v>2</v>
      </c>
      <c r="CW279" s="41">
        <v>1.0047263613915816</v>
      </c>
      <c r="CX279" s="41" t="e">
        <v>#N/A</v>
      </c>
      <c r="CY279" s="41">
        <v>1.0047263613915816</v>
      </c>
      <c r="CZ279" t="e">
        <v>#N/A</v>
      </c>
      <c r="DA279" t="e">
        <v>#N/A</v>
      </c>
      <c r="DB279" t="str">
        <v/>
      </c>
    </row>
    <row r="280" spans="83:106" x14ac:dyDescent="0.2">
      <c r="CE280"/>
      <c r="CF280"/>
      <c r="CG280"/>
      <c r="CH280"/>
      <c r="CI280"/>
      <c r="CU280" s="21">
        <v>275</v>
      </c>
      <c r="CV280" s="41">
        <v>2</v>
      </c>
      <c r="CW280" s="41">
        <v>1.0047263613915816</v>
      </c>
      <c r="CX280" s="41" t="e">
        <v>#N/A</v>
      </c>
      <c r="CY280" s="41">
        <v>1.0047263613915816</v>
      </c>
      <c r="CZ280" t="e">
        <v>#N/A</v>
      </c>
      <c r="DA280" t="e">
        <v>#N/A</v>
      </c>
      <c r="DB280" t="str">
        <v/>
      </c>
    </row>
    <row r="281" spans="83:106" x14ac:dyDescent="0.2">
      <c r="CE281"/>
      <c r="CF281"/>
      <c r="CG281"/>
      <c r="CH281"/>
      <c r="CI281"/>
      <c r="CU281" s="21">
        <v>276</v>
      </c>
      <c r="CV281" s="41">
        <v>2</v>
      </c>
      <c r="CW281" s="41">
        <v>1.0047263613915816</v>
      </c>
      <c r="CX281" s="41" t="e">
        <v>#N/A</v>
      </c>
      <c r="CY281" s="41">
        <v>1.0047263613915816</v>
      </c>
      <c r="CZ281" t="e">
        <v>#N/A</v>
      </c>
      <c r="DA281" t="e">
        <v>#N/A</v>
      </c>
      <c r="DB281" t="str">
        <v/>
      </c>
    </row>
    <row r="282" spans="83:106" x14ac:dyDescent="0.2">
      <c r="CE282"/>
      <c r="CF282"/>
      <c r="CG282"/>
      <c r="CH282"/>
      <c r="CI282"/>
      <c r="CU282" s="21">
        <v>277</v>
      </c>
      <c r="CV282" s="41">
        <v>2</v>
      </c>
      <c r="CW282" s="41">
        <v>1.0047263613915816</v>
      </c>
      <c r="CX282" s="41" t="e">
        <v>#N/A</v>
      </c>
      <c r="CY282" s="41">
        <v>1.0047263613915816</v>
      </c>
      <c r="CZ282" t="e">
        <v>#N/A</v>
      </c>
      <c r="DA282" t="e">
        <v>#N/A</v>
      </c>
      <c r="DB282" t="str">
        <v/>
      </c>
    </row>
    <row r="283" spans="83:106" x14ac:dyDescent="0.2">
      <c r="CE283"/>
      <c r="CF283"/>
      <c r="CG283"/>
      <c r="CH283"/>
      <c r="CI283"/>
      <c r="CU283" s="21">
        <v>278</v>
      </c>
      <c r="CV283" s="41">
        <v>2</v>
      </c>
      <c r="CW283" s="41">
        <v>1.0047263613915816</v>
      </c>
      <c r="CX283" s="41" t="e">
        <v>#N/A</v>
      </c>
      <c r="CY283" s="41">
        <v>1.0047263613915816</v>
      </c>
      <c r="CZ283" t="e">
        <v>#N/A</v>
      </c>
      <c r="DA283" t="e">
        <v>#N/A</v>
      </c>
      <c r="DB283" t="str">
        <v/>
      </c>
    </row>
    <row r="284" spans="83:106" x14ac:dyDescent="0.2">
      <c r="CE284"/>
      <c r="CF284"/>
      <c r="CG284"/>
      <c r="CH284"/>
      <c r="CI284"/>
      <c r="CU284" s="21">
        <v>279</v>
      </c>
      <c r="CV284" s="41">
        <v>2</v>
      </c>
      <c r="CW284" s="41">
        <v>1.0047263613915816</v>
      </c>
      <c r="CX284" s="41" t="e">
        <v>#N/A</v>
      </c>
      <c r="CY284" s="41">
        <v>1.0047263613915816</v>
      </c>
      <c r="CZ284" t="e">
        <v>#N/A</v>
      </c>
      <c r="DA284" t="e">
        <v>#N/A</v>
      </c>
      <c r="DB284" t="str">
        <v/>
      </c>
    </row>
    <row r="285" spans="83:106" x14ac:dyDescent="0.2">
      <c r="CE285"/>
      <c r="CF285"/>
      <c r="CG285"/>
      <c r="CH285"/>
      <c r="CI285"/>
      <c r="CU285" s="21">
        <v>280</v>
      </c>
      <c r="CV285" s="41">
        <v>2</v>
      </c>
      <c r="CW285" s="41">
        <v>1.0047263613915816</v>
      </c>
      <c r="CX285" s="41" t="e">
        <v>#N/A</v>
      </c>
      <c r="CY285" s="41">
        <v>1.0047263613915816</v>
      </c>
      <c r="CZ285" t="e">
        <v>#N/A</v>
      </c>
      <c r="DA285" t="e">
        <v>#N/A</v>
      </c>
      <c r="DB285" t="str">
        <v/>
      </c>
    </row>
    <row r="286" spans="83:106" x14ac:dyDescent="0.2">
      <c r="CE286"/>
      <c r="CF286"/>
      <c r="CG286"/>
      <c r="CH286"/>
      <c r="CI286"/>
      <c r="CU286" s="21">
        <v>281</v>
      </c>
      <c r="CV286" s="41">
        <v>2</v>
      </c>
      <c r="CW286" s="41">
        <v>1.0047263613915816</v>
      </c>
      <c r="CX286" s="41" t="e">
        <v>#N/A</v>
      </c>
      <c r="CY286" s="41">
        <v>1.0047263613915816</v>
      </c>
      <c r="CZ286" t="e">
        <v>#N/A</v>
      </c>
      <c r="DA286" t="e">
        <v>#N/A</v>
      </c>
      <c r="DB286" t="str">
        <v/>
      </c>
    </row>
    <row r="287" spans="83:106" x14ac:dyDescent="0.2">
      <c r="CE287"/>
      <c r="CF287"/>
      <c r="CG287"/>
      <c r="CH287"/>
      <c r="CI287"/>
      <c r="CU287" s="21">
        <v>282</v>
      </c>
      <c r="CV287" s="41">
        <v>2</v>
      </c>
      <c r="CW287" s="41">
        <v>1.0047263613915816</v>
      </c>
      <c r="CX287" s="41" t="e">
        <v>#N/A</v>
      </c>
      <c r="CY287" s="41">
        <v>1.0047263613915816</v>
      </c>
      <c r="CZ287" t="e">
        <v>#N/A</v>
      </c>
      <c r="DA287" t="e">
        <v>#N/A</v>
      </c>
      <c r="DB287" t="str">
        <v/>
      </c>
    </row>
    <row r="288" spans="83:106" x14ac:dyDescent="0.2">
      <c r="CE288"/>
      <c r="CF288"/>
      <c r="CG288"/>
      <c r="CH288"/>
      <c r="CI288"/>
      <c r="CU288" s="21">
        <v>283</v>
      </c>
      <c r="CV288" s="41">
        <v>2</v>
      </c>
      <c r="CW288" s="41">
        <v>1.0047263613915816</v>
      </c>
      <c r="CX288" s="41" t="e">
        <v>#N/A</v>
      </c>
      <c r="CY288" s="41">
        <v>1.0047263613915816</v>
      </c>
      <c r="CZ288" t="e">
        <v>#N/A</v>
      </c>
      <c r="DA288" t="e">
        <v>#N/A</v>
      </c>
      <c r="DB288" t="str">
        <v/>
      </c>
    </row>
    <row r="289" spans="83:106" x14ac:dyDescent="0.2">
      <c r="CE289"/>
      <c r="CF289"/>
      <c r="CG289"/>
      <c r="CH289"/>
      <c r="CI289"/>
      <c r="CU289" s="21">
        <v>284</v>
      </c>
      <c r="CV289" s="41">
        <v>2</v>
      </c>
      <c r="CW289" s="41">
        <v>1.0047263613915816</v>
      </c>
      <c r="CX289" s="41" t="e">
        <v>#N/A</v>
      </c>
      <c r="CY289" s="41">
        <v>1.0047263613915816</v>
      </c>
      <c r="CZ289" t="e">
        <v>#N/A</v>
      </c>
      <c r="DA289" t="e">
        <v>#N/A</v>
      </c>
      <c r="DB289" t="str">
        <v/>
      </c>
    </row>
    <row r="290" spans="83:106" x14ac:dyDescent="0.2">
      <c r="CE290"/>
      <c r="CF290"/>
      <c r="CG290"/>
      <c r="CH290"/>
      <c r="CI290"/>
      <c r="CU290" s="21">
        <v>285</v>
      </c>
      <c r="CV290" s="41">
        <v>2</v>
      </c>
      <c r="CW290" s="41">
        <v>1.0047263613915816</v>
      </c>
      <c r="CX290" s="41" t="e">
        <v>#N/A</v>
      </c>
      <c r="CY290" s="41">
        <v>1.0047263613915816</v>
      </c>
      <c r="CZ290" t="e">
        <v>#N/A</v>
      </c>
      <c r="DA290" t="e">
        <v>#N/A</v>
      </c>
      <c r="DB290" t="str">
        <v/>
      </c>
    </row>
    <row r="291" spans="83:106" x14ac:dyDescent="0.2">
      <c r="CE291"/>
      <c r="CF291"/>
      <c r="CG291"/>
      <c r="CH291"/>
      <c r="CI291"/>
      <c r="CU291" s="21">
        <v>286</v>
      </c>
      <c r="CV291" s="41">
        <v>2</v>
      </c>
      <c r="CW291" s="41">
        <v>1.0047263613915816</v>
      </c>
      <c r="CX291" s="41" t="e">
        <v>#N/A</v>
      </c>
      <c r="CY291" s="41">
        <v>1.0047263613915816</v>
      </c>
      <c r="CZ291" t="e">
        <v>#N/A</v>
      </c>
      <c r="DA291" t="e">
        <v>#N/A</v>
      </c>
      <c r="DB291" t="str">
        <v/>
      </c>
    </row>
    <row r="292" spans="83:106" x14ac:dyDescent="0.2">
      <c r="CE292"/>
      <c r="CF292"/>
      <c r="CG292"/>
      <c r="CH292"/>
      <c r="CI292"/>
      <c r="CU292" s="21">
        <v>287</v>
      </c>
      <c r="CV292" s="41">
        <v>2</v>
      </c>
      <c r="CW292" s="41">
        <v>1.0047263613915816</v>
      </c>
      <c r="CX292" s="41" t="e">
        <v>#N/A</v>
      </c>
      <c r="CY292" s="41">
        <v>1.0047263613915816</v>
      </c>
      <c r="CZ292" t="e">
        <v>#N/A</v>
      </c>
      <c r="DA292" t="e">
        <v>#N/A</v>
      </c>
      <c r="DB292" t="str">
        <v/>
      </c>
    </row>
    <row r="293" spans="83:106" x14ac:dyDescent="0.2">
      <c r="CE293"/>
      <c r="CF293"/>
      <c r="CG293"/>
      <c r="CH293"/>
      <c r="CI293"/>
      <c r="CU293" s="21">
        <v>288</v>
      </c>
      <c r="CV293" s="41">
        <v>2</v>
      </c>
      <c r="CW293" s="41">
        <v>1.0047263613915816</v>
      </c>
      <c r="CX293" s="41" t="e">
        <v>#N/A</v>
      </c>
      <c r="CY293" s="41">
        <v>1.0047263613915816</v>
      </c>
      <c r="CZ293" t="e">
        <v>#N/A</v>
      </c>
      <c r="DA293" t="e">
        <v>#N/A</v>
      </c>
      <c r="DB293" t="str">
        <v/>
      </c>
    </row>
    <row r="294" spans="83:106" x14ac:dyDescent="0.2">
      <c r="CE294"/>
      <c r="CF294"/>
      <c r="CG294"/>
      <c r="CH294"/>
      <c r="CI294"/>
      <c r="CU294" s="21">
        <v>289</v>
      </c>
      <c r="CV294" s="41">
        <v>2</v>
      </c>
      <c r="CW294" s="41">
        <v>1.0047263613915816</v>
      </c>
      <c r="CX294" s="41" t="e">
        <v>#N/A</v>
      </c>
      <c r="CY294" s="41">
        <v>1.0047263613915816</v>
      </c>
      <c r="CZ294" t="e">
        <v>#N/A</v>
      </c>
      <c r="DA294" t="e">
        <v>#N/A</v>
      </c>
      <c r="DB294" t="str">
        <v/>
      </c>
    </row>
    <row r="295" spans="83:106" x14ac:dyDescent="0.2">
      <c r="CE295"/>
      <c r="CF295"/>
      <c r="CG295"/>
      <c r="CH295"/>
      <c r="CI295"/>
      <c r="CU295" s="21">
        <v>290</v>
      </c>
      <c r="CV295" s="41">
        <v>2</v>
      </c>
      <c r="CW295" s="41">
        <v>1.0047263613915816</v>
      </c>
      <c r="CX295" s="41" t="e">
        <v>#N/A</v>
      </c>
      <c r="CY295" s="41">
        <v>1.0047263613915816</v>
      </c>
      <c r="CZ295" t="e">
        <v>#N/A</v>
      </c>
      <c r="DA295" t="e">
        <v>#N/A</v>
      </c>
      <c r="DB295" t="str">
        <v/>
      </c>
    </row>
    <row r="296" spans="83:106" x14ac:dyDescent="0.2">
      <c r="CE296"/>
      <c r="CF296"/>
      <c r="CG296"/>
      <c r="CH296"/>
      <c r="CI296"/>
      <c r="CU296" s="21">
        <v>291</v>
      </c>
      <c r="CV296" s="41">
        <v>2</v>
      </c>
      <c r="CW296" s="41">
        <v>1.0047263613915816</v>
      </c>
      <c r="CX296" s="41" t="e">
        <v>#N/A</v>
      </c>
      <c r="CY296" s="41">
        <v>1.0047263613915816</v>
      </c>
      <c r="CZ296" t="e">
        <v>#N/A</v>
      </c>
      <c r="DA296" t="e">
        <v>#N/A</v>
      </c>
      <c r="DB296" t="str">
        <v/>
      </c>
    </row>
    <row r="297" spans="83:106" x14ac:dyDescent="0.2">
      <c r="CE297"/>
      <c r="CF297"/>
      <c r="CG297"/>
      <c r="CH297"/>
      <c r="CI297"/>
      <c r="CU297" s="21">
        <v>292</v>
      </c>
      <c r="CV297" s="41">
        <v>2</v>
      </c>
      <c r="CW297" s="41">
        <v>1.0047263613915816</v>
      </c>
      <c r="CX297" s="41" t="e">
        <v>#N/A</v>
      </c>
      <c r="CY297" s="41">
        <v>1.0047263613915816</v>
      </c>
      <c r="CZ297" t="e">
        <v>#N/A</v>
      </c>
      <c r="DA297" t="e">
        <v>#N/A</v>
      </c>
      <c r="DB297" t="str">
        <v/>
      </c>
    </row>
    <row r="298" spans="83:106" x14ac:dyDescent="0.2">
      <c r="CE298"/>
      <c r="CF298"/>
      <c r="CG298"/>
      <c r="CH298"/>
      <c r="CI298"/>
      <c r="CU298" s="21">
        <v>293</v>
      </c>
      <c r="CV298" s="41">
        <v>2</v>
      </c>
      <c r="CW298" s="41">
        <v>1.0047263613915816</v>
      </c>
      <c r="CX298" s="41" t="e">
        <v>#N/A</v>
      </c>
      <c r="CY298" s="41">
        <v>1.0047263613915816</v>
      </c>
      <c r="CZ298" t="e">
        <v>#N/A</v>
      </c>
      <c r="DA298" t="e">
        <v>#N/A</v>
      </c>
      <c r="DB298" t="str">
        <v/>
      </c>
    </row>
    <row r="299" spans="83:106" x14ac:dyDescent="0.2">
      <c r="CE299"/>
      <c r="CF299"/>
      <c r="CG299"/>
      <c r="CH299"/>
      <c r="CI299"/>
      <c r="CU299" s="21">
        <v>294</v>
      </c>
      <c r="CV299" s="41">
        <v>2</v>
      </c>
      <c r="CW299" s="41">
        <v>1.0047263613915816</v>
      </c>
      <c r="CX299" s="41" t="e">
        <v>#N/A</v>
      </c>
      <c r="CY299" s="41">
        <v>1.0047263613915816</v>
      </c>
      <c r="CZ299" t="e">
        <v>#N/A</v>
      </c>
      <c r="DA299" t="e">
        <v>#N/A</v>
      </c>
      <c r="DB299" t="str">
        <v/>
      </c>
    </row>
    <row r="300" spans="83:106" x14ac:dyDescent="0.2">
      <c r="CE300"/>
      <c r="CF300"/>
      <c r="CG300"/>
      <c r="CH300"/>
      <c r="CI300"/>
      <c r="CU300" s="21">
        <v>295</v>
      </c>
      <c r="CV300" s="41">
        <v>2</v>
      </c>
      <c r="CW300" s="41">
        <v>1.0047263613915816</v>
      </c>
      <c r="CX300" s="41" t="e">
        <v>#N/A</v>
      </c>
      <c r="CY300" s="41">
        <v>1.0047263613915816</v>
      </c>
      <c r="CZ300" t="e">
        <v>#N/A</v>
      </c>
      <c r="DA300" t="e">
        <v>#N/A</v>
      </c>
      <c r="DB300" t="str">
        <v/>
      </c>
    </row>
    <row r="301" spans="83:106" x14ac:dyDescent="0.2">
      <c r="CE301"/>
      <c r="CF301"/>
      <c r="CG301"/>
      <c r="CH301"/>
      <c r="CI301"/>
      <c r="CU301" s="21">
        <v>296</v>
      </c>
      <c r="CV301" s="41">
        <v>2</v>
      </c>
      <c r="CW301" s="41">
        <v>1.0047263613915816</v>
      </c>
      <c r="CX301" s="41" t="e">
        <v>#N/A</v>
      </c>
      <c r="CY301" s="41">
        <v>1.0047263613915816</v>
      </c>
      <c r="CZ301" t="e">
        <v>#N/A</v>
      </c>
      <c r="DA301" t="e">
        <v>#N/A</v>
      </c>
      <c r="DB301" t="str">
        <v/>
      </c>
    </row>
    <row r="302" spans="83:106" x14ac:dyDescent="0.2">
      <c r="CE302"/>
      <c r="CF302"/>
      <c r="CG302"/>
      <c r="CH302"/>
      <c r="CI302"/>
      <c r="CU302" s="21">
        <v>297</v>
      </c>
      <c r="CV302" s="41">
        <v>2</v>
      </c>
      <c r="CW302" s="41">
        <v>1.0047263613915816</v>
      </c>
      <c r="CX302" s="41" t="e">
        <v>#N/A</v>
      </c>
      <c r="CY302" s="41">
        <v>1.0047263613915816</v>
      </c>
      <c r="CZ302" t="e">
        <v>#N/A</v>
      </c>
      <c r="DA302" t="e">
        <v>#N/A</v>
      </c>
      <c r="DB302" t="str">
        <v/>
      </c>
    </row>
    <row r="303" spans="83:106" x14ac:dyDescent="0.2">
      <c r="CE303"/>
      <c r="CF303"/>
      <c r="CG303"/>
      <c r="CH303"/>
      <c r="CI303"/>
      <c r="CU303" s="21">
        <v>298</v>
      </c>
      <c r="CV303" s="41">
        <v>2</v>
      </c>
      <c r="CW303" s="41">
        <v>1.0047263613915816</v>
      </c>
      <c r="CX303" s="41" t="e">
        <v>#N/A</v>
      </c>
      <c r="CY303" s="41">
        <v>1.0047263613915816</v>
      </c>
      <c r="CZ303" t="e">
        <v>#N/A</v>
      </c>
      <c r="DA303" t="e">
        <v>#N/A</v>
      </c>
      <c r="DB303" t="str">
        <v/>
      </c>
    </row>
    <row r="304" spans="83:106" x14ac:dyDescent="0.2">
      <c r="CE304"/>
      <c r="CF304"/>
      <c r="CG304"/>
      <c r="CH304"/>
      <c r="CI304"/>
      <c r="CU304" s="21">
        <v>299</v>
      </c>
      <c r="CV304" s="41">
        <v>2</v>
      </c>
      <c r="CW304" s="41">
        <v>1.0047263613915816</v>
      </c>
      <c r="CX304" s="41" t="e">
        <v>#N/A</v>
      </c>
      <c r="CY304" s="41">
        <v>1.0047263613915816</v>
      </c>
      <c r="CZ304" t="e">
        <v>#N/A</v>
      </c>
      <c r="DA304" t="e">
        <v>#N/A</v>
      </c>
      <c r="DB304" t="str">
        <v/>
      </c>
    </row>
    <row r="305" spans="83:106" x14ac:dyDescent="0.2">
      <c r="CE305"/>
      <c r="CF305"/>
      <c r="CG305"/>
      <c r="CH305"/>
      <c r="CI305"/>
      <c r="CU305" s="21">
        <v>300</v>
      </c>
      <c r="CV305" s="41">
        <v>2</v>
      </c>
      <c r="CW305" s="41">
        <v>1.0047263613915816</v>
      </c>
      <c r="CX305" s="41" t="e">
        <v>#N/A</v>
      </c>
      <c r="CY305" s="41">
        <v>1.0047263613915816</v>
      </c>
      <c r="CZ305" t="e">
        <v>#N/A</v>
      </c>
      <c r="DA305" t="e">
        <v>#N/A</v>
      </c>
      <c r="DB305" t="str">
        <v/>
      </c>
    </row>
    <row r="306" spans="83:106" x14ac:dyDescent="0.2">
      <c r="CE306"/>
      <c r="CF306"/>
      <c r="CG306"/>
      <c r="CH306"/>
      <c r="CI306"/>
      <c r="CU306" s="21">
        <v>301</v>
      </c>
      <c r="CV306" s="41">
        <v>2</v>
      </c>
      <c r="CW306" s="41">
        <v>1.0047263613915816</v>
      </c>
      <c r="CX306" s="41" t="e">
        <v>#N/A</v>
      </c>
      <c r="CY306" s="41">
        <v>1.0047263613915816</v>
      </c>
      <c r="CZ306" t="e">
        <v>#N/A</v>
      </c>
      <c r="DA306" t="e">
        <v>#N/A</v>
      </c>
      <c r="DB306" t="str">
        <v/>
      </c>
    </row>
    <row r="307" spans="83:106" x14ac:dyDescent="0.2">
      <c r="CE307"/>
      <c r="CF307"/>
      <c r="CG307"/>
      <c r="CH307"/>
      <c r="CI307"/>
      <c r="CU307" s="21">
        <v>302</v>
      </c>
      <c r="CV307" s="41">
        <v>2</v>
      </c>
      <c r="CW307" s="41">
        <v>1.0047263613915816</v>
      </c>
      <c r="CX307" s="41" t="e">
        <v>#N/A</v>
      </c>
      <c r="CY307" s="41">
        <v>1.0047263613915816</v>
      </c>
      <c r="CZ307" t="e">
        <v>#N/A</v>
      </c>
      <c r="DA307" t="e">
        <v>#N/A</v>
      </c>
      <c r="DB307" t="str">
        <v/>
      </c>
    </row>
    <row r="308" spans="83:106" x14ac:dyDescent="0.2">
      <c r="CE308"/>
      <c r="CF308"/>
      <c r="CG308"/>
      <c r="CH308"/>
      <c r="CI308"/>
      <c r="CU308" s="21">
        <v>303</v>
      </c>
      <c r="CV308" s="41">
        <v>2</v>
      </c>
      <c r="CW308" s="41">
        <v>1.0047263613915816</v>
      </c>
      <c r="CX308" s="41" t="e">
        <v>#N/A</v>
      </c>
      <c r="CY308" s="41">
        <v>1.0047263613915816</v>
      </c>
      <c r="CZ308" t="e">
        <v>#N/A</v>
      </c>
      <c r="DA308" t="e">
        <v>#N/A</v>
      </c>
      <c r="DB308" t="str">
        <v/>
      </c>
    </row>
    <row r="309" spans="83:106" x14ac:dyDescent="0.2">
      <c r="CE309"/>
      <c r="CF309"/>
      <c r="CG309"/>
      <c r="CH309"/>
      <c r="CI309"/>
      <c r="CU309" s="21">
        <v>304</v>
      </c>
      <c r="CV309" s="41">
        <v>2</v>
      </c>
      <c r="CW309" s="41">
        <v>1.0047263613915816</v>
      </c>
      <c r="CX309" s="41" t="e">
        <v>#N/A</v>
      </c>
      <c r="CY309" s="41">
        <v>1.0047263613915816</v>
      </c>
      <c r="CZ309" t="e">
        <v>#N/A</v>
      </c>
      <c r="DA309" t="e">
        <v>#N/A</v>
      </c>
      <c r="DB309" t="str">
        <v/>
      </c>
    </row>
    <row r="310" spans="83:106" x14ac:dyDescent="0.2">
      <c r="CE310"/>
      <c r="CF310"/>
      <c r="CG310"/>
      <c r="CH310"/>
      <c r="CI310"/>
      <c r="CU310" s="21">
        <v>305</v>
      </c>
      <c r="CV310" s="41">
        <v>2</v>
      </c>
      <c r="CW310" s="41">
        <v>1.0047263613915816</v>
      </c>
      <c r="CX310" s="41" t="e">
        <v>#N/A</v>
      </c>
      <c r="CY310" s="41">
        <v>1.0047263613915816</v>
      </c>
      <c r="CZ310" t="e">
        <v>#N/A</v>
      </c>
      <c r="DA310" t="e">
        <v>#N/A</v>
      </c>
      <c r="DB310" t="str">
        <v/>
      </c>
    </row>
    <row r="311" spans="83:106" x14ac:dyDescent="0.2">
      <c r="CE311"/>
      <c r="CF311"/>
      <c r="CG311"/>
      <c r="CH311"/>
      <c r="CI311"/>
      <c r="CU311" s="21">
        <v>306</v>
      </c>
      <c r="CV311" s="41">
        <v>2</v>
      </c>
      <c r="CW311" s="41">
        <v>1.0047263613915816</v>
      </c>
      <c r="CX311" s="41" t="e">
        <v>#N/A</v>
      </c>
      <c r="CY311" s="41">
        <v>1.0047263613915816</v>
      </c>
      <c r="CZ311" t="e">
        <v>#N/A</v>
      </c>
      <c r="DA311" t="e">
        <v>#N/A</v>
      </c>
      <c r="DB311" t="str">
        <v/>
      </c>
    </row>
    <row r="312" spans="83:106" x14ac:dyDescent="0.2">
      <c r="CE312"/>
      <c r="CF312"/>
      <c r="CG312"/>
      <c r="CH312"/>
      <c r="CI312"/>
      <c r="CU312" s="21">
        <v>307</v>
      </c>
      <c r="CV312" s="41">
        <v>2</v>
      </c>
      <c r="CW312" s="41">
        <v>1.0047263613915816</v>
      </c>
      <c r="CX312" s="41" t="e">
        <v>#N/A</v>
      </c>
      <c r="CY312" s="41">
        <v>1.0047263613915816</v>
      </c>
      <c r="CZ312" t="e">
        <v>#N/A</v>
      </c>
      <c r="DA312" t="e">
        <v>#N/A</v>
      </c>
      <c r="DB312" t="str">
        <v/>
      </c>
    </row>
    <row r="313" spans="83:106" x14ac:dyDescent="0.2">
      <c r="CE313"/>
      <c r="CF313"/>
      <c r="CG313"/>
      <c r="CH313"/>
      <c r="CI313"/>
      <c r="CU313" s="21">
        <v>308</v>
      </c>
      <c r="CV313" s="41">
        <v>2</v>
      </c>
      <c r="CW313" s="41">
        <v>1.0047263613915816</v>
      </c>
      <c r="CX313" s="41" t="e">
        <v>#N/A</v>
      </c>
      <c r="CY313" s="41">
        <v>1.0047263613915816</v>
      </c>
      <c r="CZ313" t="e">
        <v>#N/A</v>
      </c>
      <c r="DA313" t="e">
        <v>#N/A</v>
      </c>
      <c r="DB313" t="str">
        <v/>
      </c>
    </row>
    <row r="314" spans="83:106" x14ac:dyDescent="0.2">
      <c r="CE314"/>
      <c r="CF314"/>
      <c r="CG314"/>
      <c r="CH314"/>
      <c r="CI314"/>
      <c r="CU314" s="21">
        <v>309</v>
      </c>
      <c r="CV314" s="41">
        <v>2</v>
      </c>
      <c r="CW314" s="41">
        <v>1.0047263613915816</v>
      </c>
      <c r="CX314" s="41" t="e">
        <v>#N/A</v>
      </c>
      <c r="CY314" s="41">
        <v>1.0047263613915816</v>
      </c>
      <c r="CZ314" t="e">
        <v>#N/A</v>
      </c>
      <c r="DA314" t="e">
        <v>#N/A</v>
      </c>
      <c r="DB314" t="str">
        <v/>
      </c>
    </row>
    <row r="315" spans="83:106" x14ac:dyDescent="0.2">
      <c r="CE315"/>
      <c r="CF315"/>
      <c r="CG315"/>
      <c r="CH315"/>
      <c r="CI315"/>
      <c r="CU315" s="21">
        <v>310</v>
      </c>
      <c r="CV315" s="41">
        <v>2</v>
      </c>
      <c r="CW315" s="41">
        <v>1.0047263613915816</v>
      </c>
      <c r="CX315" s="41" t="e">
        <v>#N/A</v>
      </c>
      <c r="CY315" s="41">
        <v>1.0047263613915816</v>
      </c>
      <c r="CZ315" t="e">
        <v>#N/A</v>
      </c>
      <c r="DA315" t="e">
        <v>#N/A</v>
      </c>
      <c r="DB315" t="str">
        <v/>
      </c>
    </row>
    <row r="316" spans="83:106" x14ac:dyDescent="0.2">
      <c r="CE316"/>
      <c r="CF316"/>
      <c r="CG316"/>
      <c r="CH316"/>
      <c r="CI316"/>
      <c r="CU316" s="21">
        <v>311</v>
      </c>
      <c r="CV316" s="41">
        <v>2</v>
      </c>
      <c r="CW316" s="41">
        <v>1.0047263613915816</v>
      </c>
      <c r="CX316" s="41" t="e">
        <v>#N/A</v>
      </c>
      <c r="CY316" s="41">
        <v>1.0047263613915816</v>
      </c>
      <c r="CZ316" t="e">
        <v>#N/A</v>
      </c>
      <c r="DA316" t="e">
        <v>#N/A</v>
      </c>
      <c r="DB316" t="str">
        <v/>
      </c>
    </row>
    <row r="317" spans="83:106" x14ac:dyDescent="0.2">
      <c r="CE317"/>
      <c r="CF317"/>
      <c r="CG317"/>
      <c r="CH317"/>
      <c r="CI317"/>
      <c r="CU317" s="21">
        <v>312</v>
      </c>
      <c r="CV317" s="41">
        <v>2</v>
      </c>
      <c r="CW317" s="41">
        <v>1.0047263613915816</v>
      </c>
      <c r="CX317" s="41" t="e">
        <v>#N/A</v>
      </c>
      <c r="CY317" s="41">
        <v>1.0047263613915816</v>
      </c>
      <c r="CZ317" t="e">
        <v>#N/A</v>
      </c>
      <c r="DA317" t="e">
        <v>#N/A</v>
      </c>
      <c r="DB317" t="str">
        <v/>
      </c>
    </row>
    <row r="318" spans="83:106" x14ac:dyDescent="0.2">
      <c r="CE318"/>
      <c r="CF318"/>
      <c r="CG318"/>
      <c r="CH318"/>
      <c r="CI318"/>
      <c r="CU318" s="21">
        <v>313</v>
      </c>
      <c r="CV318" s="41">
        <v>2</v>
      </c>
      <c r="CW318" s="41">
        <v>1.0047263613915816</v>
      </c>
      <c r="CX318" s="41" t="e">
        <v>#N/A</v>
      </c>
      <c r="CY318" s="41">
        <v>1.0047263613915816</v>
      </c>
      <c r="CZ318" t="e">
        <v>#N/A</v>
      </c>
      <c r="DA318" t="e">
        <v>#N/A</v>
      </c>
      <c r="DB318" t="str">
        <v/>
      </c>
    </row>
    <row r="319" spans="83:106" x14ac:dyDescent="0.2">
      <c r="CE319"/>
      <c r="CF319"/>
      <c r="CG319"/>
      <c r="CH319"/>
      <c r="CI319"/>
      <c r="CU319" s="21">
        <v>314</v>
      </c>
      <c r="CV319" s="41">
        <v>2</v>
      </c>
      <c r="CW319" s="41">
        <v>1.0047263613915816</v>
      </c>
      <c r="CX319" s="41" t="e">
        <v>#N/A</v>
      </c>
      <c r="CY319" s="41">
        <v>1.0047263613915816</v>
      </c>
      <c r="CZ319" t="e">
        <v>#N/A</v>
      </c>
      <c r="DA319" t="e">
        <v>#N/A</v>
      </c>
      <c r="DB319" t="str">
        <v/>
      </c>
    </row>
    <row r="320" spans="83:106" x14ac:dyDescent="0.2">
      <c r="CE320"/>
      <c r="CF320"/>
      <c r="CG320"/>
      <c r="CH320"/>
      <c r="CI320"/>
      <c r="CU320" s="21">
        <v>315</v>
      </c>
      <c r="CV320" s="41">
        <v>2</v>
      </c>
      <c r="CW320" s="41">
        <v>1.0047263613915816</v>
      </c>
      <c r="CX320" s="41" t="e">
        <v>#N/A</v>
      </c>
      <c r="CY320" s="41">
        <v>1.0047263613915816</v>
      </c>
      <c r="CZ320" s="47" t="e">
        <v>#N/A</v>
      </c>
      <c r="DA320" t="e">
        <v>#N/A</v>
      </c>
      <c r="DB320" t="str">
        <v/>
      </c>
    </row>
    <row r="321" spans="83:106" x14ac:dyDescent="0.2">
      <c r="CE321"/>
      <c r="CF321"/>
      <c r="CG321"/>
      <c r="CH321"/>
      <c r="CI321"/>
      <c r="CU321" s="21">
        <v>316</v>
      </c>
      <c r="CV321" s="41">
        <v>2</v>
      </c>
      <c r="CW321" s="41">
        <v>1.0047263613915816</v>
      </c>
      <c r="CX321" s="41" t="e">
        <v>#N/A</v>
      </c>
      <c r="CY321" s="41">
        <v>1.0047263613915816</v>
      </c>
      <c r="CZ321" s="47" t="e">
        <v>#N/A</v>
      </c>
      <c r="DA321" t="e">
        <v>#N/A</v>
      </c>
      <c r="DB321" t="str">
        <v/>
      </c>
    </row>
    <row r="322" spans="83:106" x14ac:dyDescent="0.2">
      <c r="CE322"/>
      <c r="CF322"/>
      <c r="CG322"/>
      <c r="CH322"/>
      <c r="CI322"/>
      <c r="CU322" s="21">
        <v>317</v>
      </c>
      <c r="CV322" s="41">
        <v>2</v>
      </c>
      <c r="CW322" s="41">
        <v>1.0047263613915816</v>
      </c>
      <c r="CX322" s="41" t="e">
        <v>#N/A</v>
      </c>
      <c r="CY322" s="41">
        <v>1.0047263613915816</v>
      </c>
      <c r="CZ322" s="47" t="e">
        <v>#N/A</v>
      </c>
      <c r="DA322" t="e">
        <v>#N/A</v>
      </c>
      <c r="DB322" t="str">
        <v/>
      </c>
    </row>
    <row r="323" spans="83:106" x14ac:dyDescent="0.2">
      <c r="CE323"/>
      <c r="CF323"/>
      <c r="CG323"/>
      <c r="CH323"/>
      <c r="CI323"/>
      <c r="CU323" s="21">
        <v>318</v>
      </c>
      <c r="CV323" s="41">
        <v>2</v>
      </c>
      <c r="CW323" s="41">
        <v>1.0047263613915816</v>
      </c>
      <c r="CX323" s="41" t="e">
        <v>#N/A</v>
      </c>
      <c r="CY323" s="41">
        <v>1.0047263613915816</v>
      </c>
      <c r="CZ323" s="47" t="e">
        <v>#N/A</v>
      </c>
      <c r="DA323" t="e">
        <v>#N/A</v>
      </c>
      <c r="DB323" t="str">
        <v/>
      </c>
    </row>
    <row r="324" spans="83:106" x14ac:dyDescent="0.2">
      <c r="CE324"/>
      <c r="CF324"/>
      <c r="CG324"/>
      <c r="CH324"/>
      <c r="CI324"/>
      <c r="CU324" s="21">
        <v>319</v>
      </c>
      <c r="CV324" s="41">
        <v>2</v>
      </c>
      <c r="CW324" s="41">
        <v>1.0047263613915816</v>
      </c>
      <c r="CX324" s="41" t="e">
        <v>#N/A</v>
      </c>
      <c r="CY324" s="41">
        <v>1.0047263613915816</v>
      </c>
      <c r="CZ324" s="47" t="e">
        <v>#N/A</v>
      </c>
      <c r="DA324" t="e">
        <v>#N/A</v>
      </c>
      <c r="DB324" t="str">
        <v/>
      </c>
    </row>
    <row r="325" spans="83:106" x14ac:dyDescent="0.2">
      <c r="CE325"/>
      <c r="CF325"/>
      <c r="CG325"/>
      <c r="CH325"/>
      <c r="CI325"/>
      <c r="CU325" s="21">
        <v>320</v>
      </c>
      <c r="CV325" s="41">
        <v>2</v>
      </c>
      <c r="CW325" s="41">
        <v>1.0047263613915816</v>
      </c>
      <c r="CX325" s="41" t="e">
        <v>#N/A</v>
      </c>
      <c r="CY325" s="41">
        <v>1.0047263613915816</v>
      </c>
      <c r="CZ325" s="47" t="e">
        <v>#N/A</v>
      </c>
      <c r="DA325" t="e">
        <v>#N/A</v>
      </c>
      <c r="DB325" t="str">
        <v/>
      </c>
    </row>
    <row r="326" spans="83:106" x14ac:dyDescent="0.2">
      <c r="CE326"/>
      <c r="CF326"/>
      <c r="CG326"/>
      <c r="CH326"/>
      <c r="CI326"/>
      <c r="CU326" s="21">
        <v>321</v>
      </c>
      <c r="CV326" s="41">
        <v>2</v>
      </c>
      <c r="CW326" s="41">
        <v>1.0047263613915816</v>
      </c>
      <c r="CX326" s="41" t="e">
        <v>#N/A</v>
      </c>
      <c r="CY326" s="41">
        <v>1.0047263613915816</v>
      </c>
      <c r="CZ326" s="47" t="e">
        <v>#N/A</v>
      </c>
      <c r="DA326" t="e">
        <v>#N/A</v>
      </c>
      <c r="DB326" t="str">
        <v/>
      </c>
    </row>
    <row r="327" spans="83:106" x14ac:dyDescent="0.2">
      <c r="CE327"/>
      <c r="CF327"/>
      <c r="CG327"/>
      <c r="CH327"/>
      <c r="CI327"/>
      <c r="CU327" s="21">
        <v>322</v>
      </c>
      <c r="CV327" s="41">
        <v>2</v>
      </c>
      <c r="CW327" s="41">
        <v>1.0047263613915816</v>
      </c>
      <c r="CX327" s="41" t="e">
        <v>#N/A</v>
      </c>
      <c r="CY327" s="41">
        <v>1.0047263613915816</v>
      </c>
      <c r="CZ327" s="47" t="e">
        <v>#N/A</v>
      </c>
      <c r="DA327" t="e">
        <v>#N/A</v>
      </c>
      <c r="DB327" t="str">
        <v/>
      </c>
    </row>
    <row r="328" spans="83:106" x14ac:dyDescent="0.2">
      <c r="CE328"/>
      <c r="CF328"/>
      <c r="CG328"/>
      <c r="CH328"/>
      <c r="CI328"/>
      <c r="CU328" s="21">
        <v>323</v>
      </c>
      <c r="CV328" s="41">
        <v>2</v>
      </c>
      <c r="CW328" s="41">
        <v>1.0047263613915816</v>
      </c>
      <c r="CX328" s="41" t="e">
        <v>#N/A</v>
      </c>
      <c r="CY328" s="41">
        <v>1.0047263613915816</v>
      </c>
      <c r="CZ328" s="47" t="e">
        <v>#N/A</v>
      </c>
      <c r="DA328" t="e">
        <v>#N/A</v>
      </c>
      <c r="DB328" t="str">
        <v/>
      </c>
    </row>
    <row r="329" spans="83:106" x14ac:dyDescent="0.2">
      <c r="CE329"/>
      <c r="CF329"/>
      <c r="CG329"/>
      <c r="CH329"/>
      <c r="CI329"/>
      <c r="CU329" s="21">
        <v>324</v>
      </c>
      <c r="CV329" s="41">
        <v>2</v>
      </c>
      <c r="CW329" s="41">
        <v>1.0047263613915816</v>
      </c>
      <c r="CX329" s="41" t="e">
        <v>#N/A</v>
      </c>
      <c r="CY329" s="41">
        <v>1.0047263613915816</v>
      </c>
      <c r="CZ329" s="47" t="e">
        <v>#N/A</v>
      </c>
      <c r="DA329" t="e">
        <v>#N/A</v>
      </c>
      <c r="DB329" t="str">
        <v/>
      </c>
    </row>
    <row r="330" spans="83:106" x14ac:dyDescent="0.2">
      <c r="CE330"/>
      <c r="CF330"/>
      <c r="CG330"/>
      <c r="CH330"/>
      <c r="CI330"/>
      <c r="CU330" s="21">
        <v>325</v>
      </c>
      <c r="CV330" s="41">
        <v>2</v>
      </c>
      <c r="CW330" s="41">
        <v>1.0047263613915816</v>
      </c>
      <c r="CX330" s="41" t="e">
        <v>#N/A</v>
      </c>
      <c r="CY330" s="41">
        <v>1.0047263613915816</v>
      </c>
      <c r="CZ330" s="47" t="e">
        <v>#N/A</v>
      </c>
      <c r="DA330" t="e">
        <v>#N/A</v>
      </c>
      <c r="DB330" t="str">
        <v/>
      </c>
    </row>
    <row r="331" spans="83:106" x14ac:dyDescent="0.2">
      <c r="CE331"/>
      <c r="CF331"/>
      <c r="CG331"/>
      <c r="CH331"/>
      <c r="CI331"/>
      <c r="CU331" s="21">
        <v>326</v>
      </c>
      <c r="CV331" s="41">
        <v>2</v>
      </c>
      <c r="CW331" s="41">
        <v>1.0047263613915816</v>
      </c>
      <c r="CX331" s="41" t="e">
        <v>#N/A</v>
      </c>
      <c r="CY331" s="41">
        <v>1.0047263613915816</v>
      </c>
      <c r="CZ331" s="47" t="e">
        <v>#N/A</v>
      </c>
      <c r="DA331" t="e">
        <v>#N/A</v>
      </c>
      <c r="DB331" t="str">
        <v/>
      </c>
    </row>
    <row r="332" spans="83:106" x14ac:dyDescent="0.2">
      <c r="CE332"/>
      <c r="CF332"/>
      <c r="CG332"/>
      <c r="CH332"/>
      <c r="CI332"/>
      <c r="CU332" s="21">
        <v>327</v>
      </c>
      <c r="CV332" s="41">
        <v>2</v>
      </c>
      <c r="CW332" s="41">
        <v>1.0047263613915816</v>
      </c>
      <c r="CX332" s="41" t="e">
        <v>#N/A</v>
      </c>
      <c r="CY332" s="41">
        <v>1.0047263613915816</v>
      </c>
      <c r="CZ332" s="47" t="e">
        <v>#N/A</v>
      </c>
      <c r="DA332" t="e">
        <v>#N/A</v>
      </c>
      <c r="DB332" t="str">
        <v/>
      </c>
    </row>
    <row r="333" spans="83:106" x14ac:dyDescent="0.2">
      <c r="CE333"/>
      <c r="CF333"/>
      <c r="CG333"/>
      <c r="CH333"/>
      <c r="CI333"/>
      <c r="CU333" s="21">
        <v>328</v>
      </c>
      <c r="CV333" s="41">
        <v>2</v>
      </c>
      <c r="CW333" s="41">
        <v>1.0047263613915816</v>
      </c>
      <c r="CX333" s="41" t="e">
        <v>#N/A</v>
      </c>
      <c r="CY333" s="41">
        <v>1.0047263613915816</v>
      </c>
      <c r="CZ333" s="47" t="e">
        <v>#N/A</v>
      </c>
      <c r="DA333" t="e">
        <v>#N/A</v>
      </c>
      <c r="DB333" t="str">
        <v/>
      </c>
    </row>
    <row r="334" spans="83:106" x14ac:dyDescent="0.2">
      <c r="CE334"/>
      <c r="CF334"/>
      <c r="CG334"/>
      <c r="CH334"/>
      <c r="CI334"/>
      <c r="CU334" s="21">
        <v>329</v>
      </c>
      <c r="CV334" s="41">
        <v>2</v>
      </c>
      <c r="CW334" s="41">
        <v>1.0047263613915816</v>
      </c>
      <c r="CX334" s="41" t="e">
        <v>#N/A</v>
      </c>
      <c r="CY334" s="41">
        <v>1.0047263613915816</v>
      </c>
      <c r="CZ334" s="47" t="e">
        <v>#N/A</v>
      </c>
      <c r="DA334" t="e">
        <v>#N/A</v>
      </c>
      <c r="DB334" t="str">
        <v/>
      </c>
    </row>
    <row r="335" spans="83:106" x14ac:dyDescent="0.2">
      <c r="CE335"/>
      <c r="CF335"/>
      <c r="CG335"/>
      <c r="CH335"/>
      <c r="CI335"/>
      <c r="CU335" s="21">
        <v>330</v>
      </c>
      <c r="CV335" s="41">
        <v>2</v>
      </c>
      <c r="CW335" s="41">
        <v>1.0047263613915816</v>
      </c>
      <c r="CX335" s="41" t="e">
        <v>#N/A</v>
      </c>
      <c r="CY335" s="41">
        <v>1.0047263613915816</v>
      </c>
      <c r="CZ335" s="47" t="e">
        <v>#N/A</v>
      </c>
      <c r="DA335" t="e">
        <v>#N/A</v>
      </c>
      <c r="DB335" t="str">
        <v/>
      </c>
    </row>
    <row r="336" spans="83:106" x14ac:dyDescent="0.2">
      <c r="CE336"/>
      <c r="CF336"/>
      <c r="CG336"/>
      <c r="CH336"/>
      <c r="CI336"/>
      <c r="CU336" s="21">
        <v>331</v>
      </c>
      <c r="CV336" s="41">
        <v>2</v>
      </c>
      <c r="CW336" s="41">
        <v>1.0047263613915816</v>
      </c>
      <c r="CX336" s="41" t="e">
        <v>#N/A</v>
      </c>
      <c r="CY336" s="41">
        <v>1.0047263613915816</v>
      </c>
      <c r="CZ336" s="47" t="e">
        <v>#N/A</v>
      </c>
      <c r="DA336" t="e">
        <v>#N/A</v>
      </c>
      <c r="DB336" t="str">
        <v/>
      </c>
    </row>
    <row r="337" spans="83:106" x14ac:dyDescent="0.2">
      <c r="CE337"/>
      <c r="CF337"/>
      <c r="CG337"/>
      <c r="CH337"/>
      <c r="CI337"/>
      <c r="CU337" s="21">
        <v>332</v>
      </c>
      <c r="CV337" s="41">
        <v>2</v>
      </c>
      <c r="CW337" s="41">
        <v>1.0047263613915816</v>
      </c>
      <c r="CX337" s="41" t="e">
        <v>#N/A</v>
      </c>
      <c r="CY337" s="41">
        <v>1.0047263613915816</v>
      </c>
      <c r="CZ337" s="47" t="e">
        <v>#N/A</v>
      </c>
      <c r="DA337" t="e">
        <v>#N/A</v>
      </c>
      <c r="DB337" t="str">
        <v/>
      </c>
    </row>
    <row r="338" spans="83:106" x14ac:dyDescent="0.2">
      <c r="CE338"/>
      <c r="CF338"/>
      <c r="CG338"/>
      <c r="CH338"/>
      <c r="CI338"/>
      <c r="CU338" s="21">
        <v>333</v>
      </c>
      <c r="CV338" s="41">
        <v>2</v>
      </c>
      <c r="CW338" s="41">
        <v>1.0047263613915816</v>
      </c>
      <c r="CX338" s="41" t="e">
        <v>#N/A</v>
      </c>
      <c r="CY338" s="41">
        <v>1.0047263613915816</v>
      </c>
      <c r="CZ338" s="47" t="e">
        <v>#N/A</v>
      </c>
      <c r="DA338" t="e">
        <v>#N/A</v>
      </c>
      <c r="DB338" t="str">
        <v/>
      </c>
    </row>
    <row r="339" spans="83:106" x14ac:dyDescent="0.2">
      <c r="CE339"/>
      <c r="CF339"/>
      <c r="CG339"/>
      <c r="CH339"/>
      <c r="CI339"/>
      <c r="CU339" s="21">
        <v>334</v>
      </c>
      <c r="CV339" s="41">
        <v>2</v>
      </c>
      <c r="CW339" s="41">
        <v>1.0047263613915816</v>
      </c>
      <c r="CX339" s="41" t="e">
        <v>#N/A</v>
      </c>
      <c r="CY339" s="41">
        <v>1.0047263613915816</v>
      </c>
      <c r="CZ339" s="47" t="e">
        <v>#N/A</v>
      </c>
      <c r="DA339" t="e">
        <v>#N/A</v>
      </c>
      <c r="DB339" t="str">
        <v/>
      </c>
    </row>
    <row r="340" spans="83:106" x14ac:dyDescent="0.2">
      <c r="CE340"/>
      <c r="CF340"/>
      <c r="CG340"/>
      <c r="CH340"/>
      <c r="CI340"/>
      <c r="CU340" s="21">
        <v>335</v>
      </c>
      <c r="CV340" s="41">
        <v>2</v>
      </c>
      <c r="CW340" s="41">
        <v>1.0047263613915816</v>
      </c>
      <c r="CX340" s="41" t="e">
        <v>#N/A</v>
      </c>
      <c r="CY340" s="41">
        <v>1.0047263613915816</v>
      </c>
      <c r="CZ340" s="47" t="e">
        <v>#N/A</v>
      </c>
      <c r="DA340" t="e">
        <v>#N/A</v>
      </c>
      <c r="DB340" t="str">
        <v/>
      </c>
    </row>
    <row r="341" spans="83:106" x14ac:dyDescent="0.2">
      <c r="CE341"/>
      <c r="CF341"/>
      <c r="CG341"/>
      <c r="CH341"/>
      <c r="CI341"/>
      <c r="CU341" s="21">
        <v>336</v>
      </c>
      <c r="CV341" s="41">
        <v>2</v>
      </c>
      <c r="CW341" s="41">
        <v>1.0047263613915816</v>
      </c>
      <c r="CX341" s="41" t="e">
        <v>#N/A</v>
      </c>
      <c r="CY341" s="41">
        <v>1.0047263613915816</v>
      </c>
      <c r="CZ341" s="47" t="e">
        <v>#N/A</v>
      </c>
      <c r="DA341" t="e">
        <v>#N/A</v>
      </c>
      <c r="DB341" t="str">
        <v/>
      </c>
    </row>
    <row r="342" spans="83:106" x14ac:dyDescent="0.2">
      <c r="CE342"/>
      <c r="CF342"/>
      <c r="CG342"/>
      <c r="CH342"/>
      <c r="CI342"/>
      <c r="CU342" s="21">
        <v>337</v>
      </c>
      <c r="CV342" s="41">
        <v>2</v>
      </c>
      <c r="CW342" s="41">
        <v>1.0047263613915816</v>
      </c>
      <c r="CX342" s="41" t="e">
        <v>#N/A</v>
      </c>
      <c r="CY342" s="41">
        <v>1.0047263613915816</v>
      </c>
      <c r="CZ342" s="47" t="e">
        <v>#N/A</v>
      </c>
      <c r="DA342" t="e">
        <v>#N/A</v>
      </c>
      <c r="DB342" t="str">
        <v/>
      </c>
    </row>
    <row r="343" spans="83:106" x14ac:dyDescent="0.2">
      <c r="CE343"/>
      <c r="CF343"/>
      <c r="CG343"/>
      <c r="CH343"/>
      <c r="CI343"/>
      <c r="CU343" s="21">
        <v>338</v>
      </c>
      <c r="CV343" s="41">
        <v>2</v>
      </c>
      <c r="CW343" s="41">
        <v>1.0047263613915816</v>
      </c>
      <c r="CX343" s="41" t="e">
        <v>#N/A</v>
      </c>
      <c r="CY343" s="41">
        <v>1.0047263613915816</v>
      </c>
      <c r="CZ343" s="47" t="e">
        <v>#N/A</v>
      </c>
      <c r="DA343" t="e">
        <v>#N/A</v>
      </c>
      <c r="DB343" t="str">
        <v/>
      </c>
    </row>
    <row r="344" spans="83:106" x14ac:dyDescent="0.2">
      <c r="CE344"/>
      <c r="CF344"/>
      <c r="CG344"/>
      <c r="CH344"/>
      <c r="CI344"/>
      <c r="CU344" s="21">
        <v>339</v>
      </c>
      <c r="CV344" s="41">
        <v>2</v>
      </c>
      <c r="CW344" s="41">
        <v>1.0047263613915816</v>
      </c>
      <c r="CX344" s="41" t="e">
        <v>#N/A</v>
      </c>
      <c r="CY344" s="41">
        <v>1.0047263613915816</v>
      </c>
      <c r="CZ344" s="47" t="e">
        <v>#N/A</v>
      </c>
      <c r="DA344" t="e">
        <v>#N/A</v>
      </c>
      <c r="DB344" t="str">
        <v/>
      </c>
    </row>
    <row r="345" spans="83:106" x14ac:dyDescent="0.2">
      <c r="CE345"/>
      <c r="CF345"/>
      <c r="CG345"/>
      <c r="CH345"/>
      <c r="CI345"/>
      <c r="CU345" s="21">
        <v>340</v>
      </c>
      <c r="CV345" s="41">
        <v>2</v>
      </c>
      <c r="CW345" s="41">
        <v>1.0047263613915816</v>
      </c>
      <c r="CX345" s="41" t="e">
        <v>#N/A</v>
      </c>
      <c r="CY345" s="41">
        <v>1.0047263613915816</v>
      </c>
      <c r="CZ345" s="47" t="e">
        <v>#N/A</v>
      </c>
      <c r="DA345" t="e">
        <v>#N/A</v>
      </c>
      <c r="DB345" t="str">
        <v/>
      </c>
    </row>
    <row r="346" spans="83:106" x14ac:dyDescent="0.2">
      <c r="CE346"/>
      <c r="CF346"/>
      <c r="CG346"/>
      <c r="CH346"/>
      <c r="CI346"/>
      <c r="CU346" s="21">
        <v>341</v>
      </c>
      <c r="CV346" s="41">
        <v>2</v>
      </c>
      <c r="CW346" s="41">
        <v>1.0047263613915816</v>
      </c>
      <c r="CX346" s="41" t="e">
        <v>#N/A</v>
      </c>
      <c r="CY346" s="41">
        <v>1.0047263613915816</v>
      </c>
      <c r="CZ346" s="47" t="e">
        <v>#N/A</v>
      </c>
      <c r="DA346" t="e">
        <v>#N/A</v>
      </c>
      <c r="DB346" t="str">
        <v/>
      </c>
    </row>
    <row r="347" spans="83:106" x14ac:dyDescent="0.2">
      <c r="CE347"/>
      <c r="CF347"/>
      <c r="CG347"/>
      <c r="CH347"/>
      <c r="CI347"/>
      <c r="CU347" s="21">
        <v>342</v>
      </c>
      <c r="CV347" s="41">
        <v>2</v>
      </c>
      <c r="CW347" s="41">
        <v>1.0047263613915816</v>
      </c>
      <c r="CX347" s="41" t="e">
        <v>#N/A</v>
      </c>
      <c r="CY347" s="41">
        <v>1.0047263613915816</v>
      </c>
      <c r="CZ347" s="47" t="e">
        <v>#N/A</v>
      </c>
      <c r="DA347" t="e">
        <v>#N/A</v>
      </c>
      <c r="DB347" t="str">
        <v/>
      </c>
    </row>
    <row r="348" spans="83:106" x14ac:dyDescent="0.2">
      <c r="CE348"/>
      <c r="CF348"/>
      <c r="CG348"/>
      <c r="CH348"/>
      <c r="CI348"/>
      <c r="CU348" s="21">
        <v>343</v>
      </c>
      <c r="CV348" s="41">
        <v>2</v>
      </c>
      <c r="CW348" s="41">
        <v>1.0047263613915816</v>
      </c>
      <c r="CX348" s="41" t="e">
        <v>#N/A</v>
      </c>
      <c r="CY348" s="41">
        <v>1.0047263613915816</v>
      </c>
      <c r="CZ348" s="47" t="e">
        <v>#N/A</v>
      </c>
      <c r="DA348" t="e">
        <v>#N/A</v>
      </c>
      <c r="DB348" t="str">
        <v/>
      </c>
    </row>
    <row r="349" spans="83:106" x14ac:dyDescent="0.2">
      <c r="CE349"/>
      <c r="CF349"/>
      <c r="CG349"/>
      <c r="CH349"/>
      <c r="CI349"/>
      <c r="CU349" s="21">
        <v>344</v>
      </c>
      <c r="CV349" s="41">
        <v>2</v>
      </c>
      <c r="CW349" s="41">
        <v>1.0047263613915816</v>
      </c>
      <c r="CX349" s="41" t="e">
        <v>#N/A</v>
      </c>
      <c r="CY349" s="41">
        <v>1.0047263613915816</v>
      </c>
      <c r="CZ349" s="47" t="e">
        <v>#N/A</v>
      </c>
      <c r="DA349" t="e">
        <v>#N/A</v>
      </c>
      <c r="DB349" t="str">
        <v/>
      </c>
    </row>
    <row r="350" spans="83:106" x14ac:dyDescent="0.2">
      <c r="CE350"/>
      <c r="CF350"/>
      <c r="CG350"/>
      <c r="CH350"/>
      <c r="CI350"/>
      <c r="CU350" s="21">
        <v>345</v>
      </c>
      <c r="CV350" s="41">
        <v>2</v>
      </c>
      <c r="CW350" s="41">
        <v>1.0047263613915816</v>
      </c>
      <c r="CX350" s="41" t="e">
        <v>#N/A</v>
      </c>
      <c r="CY350" s="41">
        <v>1.0047263613915816</v>
      </c>
      <c r="CZ350" s="47" t="e">
        <v>#N/A</v>
      </c>
      <c r="DA350" t="e">
        <v>#N/A</v>
      </c>
      <c r="DB350" t="str">
        <v/>
      </c>
    </row>
    <row r="351" spans="83:106" x14ac:dyDescent="0.2">
      <c r="CE351"/>
      <c r="CF351"/>
      <c r="CG351"/>
      <c r="CH351"/>
      <c r="CI351"/>
      <c r="CU351" s="21">
        <v>346</v>
      </c>
      <c r="CV351" s="41">
        <v>2</v>
      </c>
      <c r="CW351" s="41">
        <v>1.0047263613915816</v>
      </c>
      <c r="CX351" s="41" t="e">
        <v>#N/A</v>
      </c>
      <c r="CY351" s="41">
        <v>1.0047263613915816</v>
      </c>
      <c r="CZ351" s="47" t="e">
        <v>#N/A</v>
      </c>
      <c r="DA351" t="e">
        <v>#N/A</v>
      </c>
      <c r="DB351" t="str">
        <v/>
      </c>
    </row>
    <row r="352" spans="83:106" x14ac:dyDescent="0.2">
      <c r="CE352"/>
      <c r="CF352"/>
      <c r="CG352"/>
      <c r="CH352"/>
      <c r="CI352"/>
      <c r="CU352" s="21">
        <v>347</v>
      </c>
      <c r="CV352" s="41">
        <v>2</v>
      </c>
      <c r="CW352" s="41">
        <v>1.0047263613915816</v>
      </c>
      <c r="CX352" s="41" t="e">
        <v>#N/A</v>
      </c>
      <c r="CY352" s="41">
        <v>1.0047263613915816</v>
      </c>
      <c r="CZ352" s="47" t="e">
        <v>#N/A</v>
      </c>
      <c r="DA352" t="e">
        <v>#N/A</v>
      </c>
      <c r="DB352" t="str">
        <v/>
      </c>
    </row>
    <row r="353" spans="83:106" x14ac:dyDescent="0.2">
      <c r="CE353"/>
      <c r="CF353"/>
      <c r="CG353"/>
      <c r="CH353"/>
      <c r="CI353"/>
      <c r="CU353" s="21">
        <v>348</v>
      </c>
      <c r="CV353" s="41">
        <v>2</v>
      </c>
      <c r="CW353" s="41">
        <v>1.0047263613915816</v>
      </c>
      <c r="CX353" s="41" t="e">
        <v>#N/A</v>
      </c>
      <c r="CY353" s="41">
        <v>1.0047263613915816</v>
      </c>
      <c r="CZ353" s="47" t="e">
        <v>#N/A</v>
      </c>
      <c r="DA353" t="e">
        <v>#N/A</v>
      </c>
      <c r="DB353" t="str">
        <v/>
      </c>
    </row>
    <row r="354" spans="83:106" x14ac:dyDescent="0.2">
      <c r="CE354"/>
      <c r="CF354"/>
      <c r="CG354"/>
      <c r="CH354"/>
      <c r="CI354"/>
      <c r="CU354" s="21">
        <v>349</v>
      </c>
      <c r="CV354" s="41">
        <v>2</v>
      </c>
      <c r="CW354" s="41">
        <v>1.0047263613915816</v>
      </c>
      <c r="CX354" s="41" t="e">
        <v>#N/A</v>
      </c>
      <c r="CY354" s="41">
        <v>1.0047263613915816</v>
      </c>
      <c r="CZ354" s="47" t="e">
        <v>#N/A</v>
      </c>
      <c r="DA354" t="e">
        <v>#N/A</v>
      </c>
      <c r="DB354" t="str">
        <v/>
      </c>
    </row>
    <row r="355" spans="83:106" x14ac:dyDescent="0.2">
      <c r="CE355"/>
      <c r="CF355"/>
      <c r="CG355"/>
      <c r="CH355"/>
      <c r="CI355"/>
      <c r="CU355" s="21">
        <v>350</v>
      </c>
      <c r="CV355" s="41">
        <v>2</v>
      </c>
      <c r="CW355" s="41">
        <v>1.0047263613915816</v>
      </c>
      <c r="CX355" s="41" t="e">
        <v>#N/A</v>
      </c>
      <c r="CY355" s="41">
        <v>1.0047263613915816</v>
      </c>
      <c r="CZ355" s="47" t="e">
        <v>#N/A</v>
      </c>
      <c r="DA355" t="e">
        <v>#N/A</v>
      </c>
      <c r="DB355" t="str">
        <v/>
      </c>
    </row>
    <row r="356" spans="83:106" x14ac:dyDescent="0.2">
      <c r="CE356"/>
      <c r="CF356"/>
      <c r="CG356"/>
      <c r="CH356"/>
      <c r="CI356"/>
      <c r="CU356" s="21">
        <v>351</v>
      </c>
      <c r="CV356" s="41">
        <v>2</v>
      </c>
      <c r="CW356" s="41">
        <v>1.0047263613915816</v>
      </c>
      <c r="CX356" s="41" t="e">
        <v>#N/A</v>
      </c>
      <c r="CY356" s="41">
        <v>1.0047263613915816</v>
      </c>
      <c r="CZ356" s="47" t="e">
        <v>#N/A</v>
      </c>
      <c r="DA356" t="e">
        <v>#N/A</v>
      </c>
      <c r="DB356" t="str">
        <v/>
      </c>
    </row>
    <row r="357" spans="83:106" x14ac:dyDescent="0.2">
      <c r="CE357"/>
      <c r="CF357"/>
      <c r="CG357"/>
      <c r="CH357"/>
      <c r="CI357"/>
      <c r="CU357" s="21">
        <v>352</v>
      </c>
      <c r="CV357" s="41">
        <v>2</v>
      </c>
      <c r="CW357" s="41">
        <v>1.0047263613915816</v>
      </c>
      <c r="CX357" s="41" t="e">
        <v>#N/A</v>
      </c>
      <c r="CY357" s="41">
        <v>1.0047263613915816</v>
      </c>
      <c r="CZ357" s="47" t="e">
        <v>#N/A</v>
      </c>
      <c r="DA357" t="e">
        <v>#N/A</v>
      </c>
      <c r="DB357" t="str">
        <v/>
      </c>
    </row>
    <row r="358" spans="83:106" x14ac:dyDescent="0.2">
      <c r="CE358"/>
      <c r="CF358"/>
      <c r="CG358"/>
      <c r="CH358"/>
      <c r="CI358"/>
      <c r="CU358" s="21">
        <v>353</v>
      </c>
      <c r="CV358" s="41">
        <v>2</v>
      </c>
      <c r="CW358" s="41">
        <v>1.0047263613915816</v>
      </c>
      <c r="CX358" s="41" t="e">
        <v>#N/A</v>
      </c>
      <c r="CY358" s="41">
        <v>1.0047263613915816</v>
      </c>
      <c r="CZ358" s="47" t="e">
        <v>#N/A</v>
      </c>
      <c r="DA358" t="e">
        <v>#N/A</v>
      </c>
      <c r="DB358" t="str">
        <v/>
      </c>
    </row>
    <row r="359" spans="83:106" x14ac:dyDescent="0.2">
      <c r="CE359"/>
      <c r="CF359"/>
      <c r="CG359"/>
      <c r="CH359"/>
      <c r="CI359"/>
      <c r="CU359" s="21">
        <v>354</v>
      </c>
      <c r="CV359" s="41">
        <v>2</v>
      </c>
      <c r="CW359" s="41">
        <v>1.0047263613915816</v>
      </c>
      <c r="CX359" s="41" t="e">
        <v>#N/A</v>
      </c>
      <c r="CY359" s="41">
        <v>1.0047263613915816</v>
      </c>
      <c r="CZ359" s="47" t="e">
        <v>#N/A</v>
      </c>
      <c r="DA359" t="e">
        <v>#N/A</v>
      </c>
      <c r="DB359" t="str">
        <v/>
      </c>
    </row>
    <row r="360" spans="83:106" x14ac:dyDescent="0.2">
      <c r="CE360"/>
      <c r="CF360"/>
      <c r="CG360"/>
      <c r="CH360"/>
      <c r="CI360"/>
      <c r="CU360" s="21">
        <v>355</v>
      </c>
      <c r="CV360" s="41">
        <v>2</v>
      </c>
      <c r="CW360" s="41">
        <v>1.0047263613915816</v>
      </c>
      <c r="CX360" s="41" t="e">
        <v>#N/A</v>
      </c>
      <c r="CY360" s="41">
        <v>1.0047263613915816</v>
      </c>
      <c r="CZ360" s="47" t="e">
        <v>#N/A</v>
      </c>
      <c r="DA360" t="e">
        <v>#N/A</v>
      </c>
      <c r="DB360" t="str">
        <v/>
      </c>
    </row>
    <row r="361" spans="83:106" x14ac:dyDescent="0.2">
      <c r="CE361"/>
      <c r="CF361"/>
      <c r="CG361"/>
      <c r="CH361"/>
      <c r="CI361"/>
      <c r="CU361" s="21">
        <v>356</v>
      </c>
      <c r="CV361" s="41">
        <v>2</v>
      </c>
      <c r="CW361" s="41">
        <v>1.0047263613915816</v>
      </c>
      <c r="CX361" s="41" t="e">
        <v>#N/A</v>
      </c>
      <c r="CY361" s="41">
        <v>1.0047263613915816</v>
      </c>
      <c r="CZ361" s="47" t="e">
        <v>#N/A</v>
      </c>
      <c r="DA361" t="e">
        <v>#N/A</v>
      </c>
      <c r="DB361" t="str">
        <v/>
      </c>
    </row>
    <row r="362" spans="83:106" x14ac:dyDescent="0.2">
      <c r="CE362"/>
      <c r="CF362"/>
      <c r="CG362"/>
      <c r="CH362"/>
      <c r="CI362"/>
      <c r="CU362" s="21">
        <v>357</v>
      </c>
      <c r="CV362" s="41">
        <v>2</v>
      </c>
      <c r="CW362" s="41">
        <v>1.0047263613915816</v>
      </c>
      <c r="CX362" s="41" t="e">
        <v>#N/A</v>
      </c>
      <c r="CY362" s="41">
        <v>1.0047263613915816</v>
      </c>
      <c r="CZ362" s="47" t="e">
        <v>#N/A</v>
      </c>
      <c r="DA362" t="e">
        <v>#N/A</v>
      </c>
      <c r="DB362" t="str">
        <v/>
      </c>
    </row>
    <row r="363" spans="83:106" x14ac:dyDescent="0.2">
      <c r="CE363"/>
      <c r="CF363"/>
      <c r="CG363"/>
      <c r="CH363"/>
      <c r="CI363"/>
      <c r="CU363" s="21">
        <v>358</v>
      </c>
      <c r="CV363" s="41">
        <v>2</v>
      </c>
      <c r="CW363" s="41">
        <v>1.0047263613915816</v>
      </c>
      <c r="CX363" s="41" t="e">
        <v>#N/A</v>
      </c>
      <c r="CY363" s="41">
        <v>1.0047263613915816</v>
      </c>
      <c r="CZ363" s="47" t="e">
        <v>#N/A</v>
      </c>
      <c r="DA363" t="e">
        <v>#N/A</v>
      </c>
      <c r="DB363" t="str">
        <v/>
      </c>
    </row>
    <row r="364" spans="83:106" x14ac:dyDescent="0.2">
      <c r="CE364"/>
      <c r="CF364"/>
      <c r="CG364"/>
      <c r="CH364"/>
      <c r="CI364"/>
      <c r="CU364" s="21">
        <v>359</v>
      </c>
      <c r="CV364" s="41">
        <v>2</v>
      </c>
      <c r="CW364" s="41">
        <v>1.0047263613915816</v>
      </c>
      <c r="CX364" s="41" t="e">
        <v>#N/A</v>
      </c>
      <c r="CY364" s="41">
        <v>1.0047263613915816</v>
      </c>
      <c r="CZ364" s="47" t="e">
        <v>#N/A</v>
      </c>
      <c r="DA364" t="e">
        <v>#N/A</v>
      </c>
      <c r="DB364" t="str">
        <v/>
      </c>
    </row>
    <row r="365" spans="83:106" x14ac:dyDescent="0.2">
      <c r="CE365"/>
      <c r="CF365"/>
      <c r="CG365"/>
      <c r="CH365"/>
      <c r="CI365"/>
      <c r="CU365" s="21">
        <v>360</v>
      </c>
      <c r="CV365" s="41">
        <v>2</v>
      </c>
      <c r="CW365" s="41">
        <v>1.0047263613915816</v>
      </c>
      <c r="CX365" s="41" t="e">
        <v>#N/A</v>
      </c>
      <c r="CY365" s="41">
        <v>1.0047263613915816</v>
      </c>
      <c r="CZ365" s="47" t="e">
        <v>#N/A</v>
      </c>
      <c r="DA365" t="e">
        <v>#N/A</v>
      </c>
      <c r="DB365" t="str">
        <v/>
      </c>
    </row>
    <row r="366" spans="83:106" x14ac:dyDescent="0.2">
      <c r="CE366"/>
      <c r="CF366"/>
      <c r="CG366"/>
      <c r="CH366"/>
      <c r="CI366"/>
      <c r="CU366" s="21">
        <v>361</v>
      </c>
      <c r="CV366" s="41">
        <v>2</v>
      </c>
      <c r="CW366" s="41">
        <v>1.0047263613915816</v>
      </c>
      <c r="CX366" s="41" t="e">
        <v>#N/A</v>
      </c>
      <c r="CY366" s="41">
        <v>1.0047263613915816</v>
      </c>
      <c r="CZ366" s="47" t="e">
        <v>#N/A</v>
      </c>
      <c r="DA366" t="e">
        <v>#N/A</v>
      </c>
      <c r="DB366" t="str">
        <v/>
      </c>
    </row>
    <row r="367" spans="83:106" x14ac:dyDescent="0.2">
      <c r="CE367"/>
      <c r="CF367"/>
      <c r="CG367"/>
      <c r="CH367"/>
      <c r="CI367"/>
      <c r="CU367" s="21">
        <v>362</v>
      </c>
      <c r="CV367" s="41">
        <v>2</v>
      </c>
      <c r="CW367" s="41">
        <v>1.0047263613915816</v>
      </c>
      <c r="CX367" s="41" t="e">
        <v>#N/A</v>
      </c>
      <c r="CY367" s="41">
        <v>1.0047263613915816</v>
      </c>
      <c r="CZ367" s="47" t="e">
        <v>#N/A</v>
      </c>
      <c r="DA367" t="e">
        <v>#N/A</v>
      </c>
      <c r="DB367" t="str">
        <v/>
      </c>
    </row>
    <row r="368" spans="83:106" x14ac:dyDescent="0.2">
      <c r="CE368"/>
      <c r="CF368"/>
      <c r="CG368"/>
      <c r="CH368"/>
      <c r="CI368"/>
      <c r="CU368" s="21">
        <v>363</v>
      </c>
      <c r="CV368" s="41">
        <v>2</v>
      </c>
      <c r="CW368" s="41">
        <v>1.0047263613915816</v>
      </c>
      <c r="CX368" s="41" t="e">
        <v>#N/A</v>
      </c>
      <c r="CY368" s="41">
        <v>1.0047263613915816</v>
      </c>
      <c r="CZ368" s="47" t="e">
        <v>#N/A</v>
      </c>
      <c r="DA368" t="e">
        <v>#N/A</v>
      </c>
      <c r="DB368" t="str">
        <v/>
      </c>
    </row>
    <row r="369" spans="83:106" x14ac:dyDescent="0.2">
      <c r="CE369"/>
      <c r="CF369"/>
      <c r="CG369"/>
      <c r="CH369"/>
      <c r="CI369"/>
      <c r="CU369" s="21">
        <v>364</v>
      </c>
      <c r="CV369" s="41">
        <v>2</v>
      </c>
      <c r="CW369" s="41">
        <v>1.0047263613915816</v>
      </c>
      <c r="CX369" s="41" t="e">
        <v>#N/A</v>
      </c>
      <c r="CY369" s="41">
        <v>1.0047263613915816</v>
      </c>
      <c r="CZ369" s="47" t="e">
        <v>#N/A</v>
      </c>
      <c r="DA369" t="e">
        <v>#N/A</v>
      </c>
      <c r="DB369" t="str">
        <v/>
      </c>
    </row>
    <row r="370" spans="83:106" x14ac:dyDescent="0.2">
      <c r="CE370"/>
      <c r="CF370"/>
      <c r="CG370"/>
      <c r="CH370"/>
      <c r="CI370"/>
      <c r="CU370" s="21">
        <v>365</v>
      </c>
      <c r="CV370" s="41">
        <v>2</v>
      </c>
      <c r="CW370" s="41">
        <v>1.0047263613915816</v>
      </c>
      <c r="CX370" s="41" t="e">
        <v>#N/A</v>
      </c>
      <c r="CY370" s="41">
        <v>1.0047263613915816</v>
      </c>
      <c r="CZ370" s="47" t="e">
        <v>#N/A</v>
      </c>
      <c r="DA370" t="e">
        <v>#N/A</v>
      </c>
      <c r="DB370" t="str">
        <v/>
      </c>
    </row>
    <row r="371" spans="83:106" x14ac:dyDescent="0.2">
      <c r="CE371"/>
      <c r="CF371"/>
      <c r="CG371"/>
      <c r="CH371"/>
      <c r="CI371"/>
      <c r="CU371" s="21">
        <v>366</v>
      </c>
      <c r="CV371" s="41">
        <v>2</v>
      </c>
      <c r="CW371" s="41">
        <v>1.0047263613915816</v>
      </c>
      <c r="CX371" s="41" t="e">
        <v>#N/A</v>
      </c>
      <c r="CY371" s="41">
        <v>1.0047263613915816</v>
      </c>
      <c r="CZ371" s="47" t="e">
        <v>#N/A</v>
      </c>
      <c r="DA371" t="e">
        <v>#N/A</v>
      </c>
      <c r="DB371" t="str">
        <v/>
      </c>
    </row>
    <row r="372" spans="83:106" x14ac:dyDescent="0.2">
      <c r="CE372"/>
      <c r="CF372"/>
      <c r="CG372"/>
      <c r="CH372"/>
      <c r="CI372"/>
      <c r="CU372" s="21">
        <v>367</v>
      </c>
      <c r="CV372" s="41">
        <v>2</v>
      </c>
      <c r="CW372" s="41">
        <v>1.0047263613915816</v>
      </c>
      <c r="CX372" s="41" t="e">
        <v>#N/A</v>
      </c>
      <c r="CY372" s="41">
        <v>1.0047263613915816</v>
      </c>
      <c r="CZ372" s="47" t="e">
        <v>#N/A</v>
      </c>
      <c r="DA372" t="e">
        <v>#N/A</v>
      </c>
      <c r="DB372" t="str">
        <v/>
      </c>
    </row>
    <row r="373" spans="83:106" x14ac:dyDescent="0.2">
      <c r="CE373"/>
      <c r="CF373"/>
      <c r="CG373"/>
      <c r="CH373"/>
      <c r="CI373"/>
      <c r="CU373" s="21">
        <v>368</v>
      </c>
      <c r="CV373" s="41">
        <v>2</v>
      </c>
      <c r="CW373" s="41">
        <v>1.0047263613915816</v>
      </c>
      <c r="CX373" s="41" t="e">
        <v>#N/A</v>
      </c>
      <c r="CY373" s="41">
        <v>1.0047263613915816</v>
      </c>
      <c r="CZ373" s="47" t="e">
        <v>#N/A</v>
      </c>
      <c r="DA373" t="e">
        <v>#N/A</v>
      </c>
      <c r="DB373" t="str">
        <v/>
      </c>
    </row>
    <row r="374" spans="83:106" x14ac:dyDescent="0.2">
      <c r="CE374"/>
      <c r="CF374"/>
      <c r="CG374"/>
      <c r="CH374"/>
      <c r="CI374"/>
      <c r="CU374" s="21">
        <v>369</v>
      </c>
      <c r="CV374" s="41">
        <v>2</v>
      </c>
      <c r="CW374" s="41">
        <v>1.0047263613915816</v>
      </c>
      <c r="CX374" s="41" t="e">
        <v>#N/A</v>
      </c>
      <c r="CY374" s="41">
        <v>1.0047263613915816</v>
      </c>
      <c r="CZ374" s="47" t="e">
        <v>#N/A</v>
      </c>
      <c r="DA374" t="e">
        <v>#N/A</v>
      </c>
      <c r="DB374" t="str">
        <v/>
      </c>
    </row>
    <row r="375" spans="83:106" x14ac:dyDescent="0.2">
      <c r="CE375"/>
      <c r="CF375"/>
      <c r="CG375"/>
      <c r="CH375"/>
      <c r="CI375"/>
      <c r="CU375" s="21">
        <v>370</v>
      </c>
      <c r="CV375" s="41">
        <v>2</v>
      </c>
      <c r="CW375" s="41">
        <v>1.0047263613915816</v>
      </c>
      <c r="CX375" s="41" t="e">
        <v>#N/A</v>
      </c>
      <c r="CY375" s="41">
        <v>1.0047263613915816</v>
      </c>
      <c r="CZ375" s="47" t="e">
        <v>#N/A</v>
      </c>
      <c r="DA375" t="e">
        <v>#N/A</v>
      </c>
      <c r="DB375" t="str">
        <v/>
      </c>
    </row>
    <row r="376" spans="83:106" x14ac:dyDescent="0.2">
      <c r="CE376"/>
      <c r="CF376"/>
      <c r="CG376"/>
      <c r="CH376"/>
      <c r="CI376"/>
      <c r="CU376" s="21">
        <v>371</v>
      </c>
      <c r="CV376" s="41">
        <v>2</v>
      </c>
      <c r="CW376" s="41">
        <v>1.0047263613915816</v>
      </c>
      <c r="CX376" s="41" t="e">
        <v>#N/A</v>
      </c>
      <c r="CY376" s="41">
        <v>1.0047263613915816</v>
      </c>
      <c r="CZ376" s="47" t="e">
        <v>#N/A</v>
      </c>
      <c r="DA376" t="e">
        <v>#N/A</v>
      </c>
      <c r="DB376" t="str">
        <v/>
      </c>
    </row>
    <row r="377" spans="83:106" x14ac:dyDescent="0.2">
      <c r="CE377"/>
      <c r="CF377"/>
      <c r="CG377"/>
      <c r="CH377"/>
      <c r="CI377"/>
      <c r="CU377" s="21">
        <v>372</v>
      </c>
      <c r="CV377" s="41">
        <v>2</v>
      </c>
      <c r="CW377" s="41">
        <v>1.0047263613915816</v>
      </c>
      <c r="CX377" s="41" t="e">
        <v>#N/A</v>
      </c>
      <c r="CY377" s="41">
        <v>1.0047263613915816</v>
      </c>
      <c r="CZ377" s="47" t="e">
        <v>#N/A</v>
      </c>
      <c r="DA377" t="e">
        <v>#N/A</v>
      </c>
      <c r="DB377" t="str">
        <v/>
      </c>
    </row>
    <row r="378" spans="83:106" x14ac:dyDescent="0.2">
      <c r="CE378"/>
      <c r="CF378"/>
      <c r="CG378"/>
      <c r="CH378"/>
      <c r="CI378"/>
      <c r="CU378" s="21">
        <v>373</v>
      </c>
      <c r="CV378" s="41">
        <v>2</v>
      </c>
      <c r="CW378" s="41">
        <v>1.0047263613915816</v>
      </c>
      <c r="CX378" s="41" t="e">
        <v>#N/A</v>
      </c>
      <c r="CY378" s="41">
        <v>1.0047263613915816</v>
      </c>
      <c r="CZ378" s="47" t="e">
        <v>#N/A</v>
      </c>
      <c r="DA378" t="e">
        <v>#N/A</v>
      </c>
      <c r="DB378" t="str">
        <v/>
      </c>
    </row>
    <row r="379" spans="83:106" x14ac:dyDescent="0.2">
      <c r="CE379"/>
      <c r="CF379"/>
      <c r="CG379"/>
      <c r="CH379"/>
      <c r="CI379"/>
      <c r="CU379" s="21">
        <v>374</v>
      </c>
      <c r="CV379" s="41">
        <v>2</v>
      </c>
      <c r="CW379" s="41">
        <v>1.0047263613915816</v>
      </c>
      <c r="CX379" s="41" t="e">
        <v>#N/A</v>
      </c>
      <c r="CY379" s="41">
        <v>1.0047263613915816</v>
      </c>
      <c r="CZ379" s="47" t="e">
        <v>#N/A</v>
      </c>
      <c r="DA379" t="e">
        <v>#N/A</v>
      </c>
      <c r="DB379" t="str">
        <v/>
      </c>
    </row>
    <row r="380" spans="83:106" x14ac:dyDescent="0.2">
      <c r="CE380"/>
      <c r="CF380"/>
      <c r="CG380"/>
      <c r="CH380"/>
      <c r="CI380"/>
      <c r="CU380" s="21">
        <v>375</v>
      </c>
      <c r="CV380" s="41">
        <v>2</v>
      </c>
      <c r="CW380" s="41">
        <v>1.0047263613915816</v>
      </c>
      <c r="CX380" s="41" t="e">
        <v>#N/A</v>
      </c>
      <c r="CY380" s="41">
        <v>1.0047263613915816</v>
      </c>
      <c r="CZ380" s="47" t="e">
        <v>#N/A</v>
      </c>
      <c r="DA380" t="e">
        <v>#N/A</v>
      </c>
      <c r="DB380" t="str">
        <v/>
      </c>
    </row>
    <row r="381" spans="83:106" x14ac:dyDescent="0.2">
      <c r="CE381"/>
      <c r="CF381"/>
      <c r="CG381"/>
      <c r="CH381"/>
      <c r="CI381"/>
      <c r="CU381" s="21">
        <v>376</v>
      </c>
      <c r="CV381" s="41">
        <v>2</v>
      </c>
      <c r="CW381" s="41">
        <v>1.0047263613915816</v>
      </c>
      <c r="CX381" s="41" t="e">
        <v>#N/A</v>
      </c>
      <c r="CY381" s="41">
        <v>1.0047263613915816</v>
      </c>
      <c r="CZ381" s="47" t="e">
        <v>#N/A</v>
      </c>
      <c r="DA381" t="e">
        <v>#N/A</v>
      </c>
      <c r="DB381" t="str">
        <v/>
      </c>
    </row>
    <row r="382" spans="83:106" x14ac:dyDescent="0.2">
      <c r="CE382"/>
      <c r="CF382"/>
      <c r="CG382"/>
      <c r="CH382"/>
      <c r="CI382"/>
      <c r="CU382" s="21">
        <v>377</v>
      </c>
      <c r="CV382" s="41">
        <v>2</v>
      </c>
      <c r="CW382" s="41">
        <v>1.0047263613915816</v>
      </c>
      <c r="CX382" s="41" t="e">
        <v>#N/A</v>
      </c>
      <c r="CY382" s="41">
        <v>1.0047263613915816</v>
      </c>
      <c r="CZ382" s="47" t="e">
        <v>#N/A</v>
      </c>
      <c r="DA382" t="e">
        <v>#N/A</v>
      </c>
      <c r="DB382" t="str">
        <v/>
      </c>
    </row>
    <row r="383" spans="83:106" x14ac:dyDescent="0.2">
      <c r="CE383"/>
      <c r="CF383"/>
      <c r="CG383"/>
      <c r="CH383"/>
      <c r="CI383"/>
      <c r="CU383" s="21">
        <v>378</v>
      </c>
      <c r="CV383" s="41">
        <v>2</v>
      </c>
      <c r="CW383" s="41">
        <v>1.0047263613915816</v>
      </c>
      <c r="CX383" s="41" t="e">
        <v>#N/A</v>
      </c>
      <c r="CY383" s="41">
        <v>1.0047263613915816</v>
      </c>
      <c r="CZ383" s="47" t="e">
        <v>#N/A</v>
      </c>
      <c r="DA383" t="e">
        <v>#N/A</v>
      </c>
      <c r="DB383" t="str">
        <v/>
      </c>
    </row>
    <row r="384" spans="83:106" x14ac:dyDescent="0.2">
      <c r="CE384"/>
      <c r="CF384"/>
      <c r="CG384"/>
      <c r="CH384"/>
      <c r="CI384"/>
      <c r="CU384" s="21">
        <v>379</v>
      </c>
      <c r="CV384" s="41">
        <v>2</v>
      </c>
      <c r="CW384" s="41">
        <v>1.0047263613915816</v>
      </c>
      <c r="CX384" s="41" t="e">
        <v>#N/A</v>
      </c>
      <c r="CY384" s="41">
        <v>1.0047263613915816</v>
      </c>
      <c r="CZ384" s="47" t="e">
        <v>#N/A</v>
      </c>
      <c r="DA384" t="e">
        <v>#N/A</v>
      </c>
      <c r="DB384" t="str">
        <v/>
      </c>
    </row>
    <row r="385" spans="83:106" x14ac:dyDescent="0.2">
      <c r="CE385"/>
      <c r="CF385"/>
      <c r="CG385"/>
      <c r="CH385"/>
      <c r="CI385"/>
      <c r="CU385" s="21">
        <v>380</v>
      </c>
      <c r="CV385" s="41">
        <v>2</v>
      </c>
      <c r="CW385" s="41">
        <v>1.0047263613915816</v>
      </c>
      <c r="CX385" s="41" t="e">
        <v>#N/A</v>
      </c>
      <c r="CY385" s="41">
        <v>1.0047263613915816</v>
      </c>
      <c r="CZ385" s="47" t="e">
        <v>#N/A</v>
      </c>
      <c r="DA385" t="e">
        <v>#N/A</v>
      </c>
      <c r="DB385" t="str">
        <v/>
      </c>
    </row>
    <row r="386" spans="83:106" x14ac:dyDescent="0.2">
      <c r="CE386"/>
      <c r="CF386"/>
      <c r="CG386"/>
      <c r="CH386"/>
      <c r="CI386"/>
      <c r="CU386" s="21">
        <v>381</v>
      </c>
      <c r="CV386" s="41">
        <v>2</v>
      </c>
      <c r="CW386" s="41">
        <v>1.0047263613915816</v>
      </c>
      <c r="CX386" s="41" t="e">
        <v>#N/A</v>
      </c>
      <c r="CY386" s="41">
        <v>1.0047263613915816</v>
      </c>
      <c r="CZ386" s="47" t="e">
        <v>#N/A</v>
      </c>
      <c r="DA386" t="e">
        <v>#N/A</v>
      </c>
      <c r="DB386" t="str">
        <v/>
      </c>
    </row>
    <row r="387" spans="83:106" x14ac:dyDescent="0.2">
      <c r="CE387"/>
      <c r="CF387"/>
      <c r="CG387"/>
      <c r="CH387"/>
      <c r="CI387"/>
      <c r="CU387" s="21">
        <v>382</v>
      </c>
      <c r="CV387" s="41">
        <v>2</v>
      </c>
      <c r="CW387" s="41">
        <v>1.0047263613915816</v>
      </c>
      <c r="CX387" s="41" t="e">
        <v>#N/A</v>
      </c>
      <c r="CY387" s="41">
        <v>1.0047263613915816</v>
      </c>
      <c r="CZ387" s="47" t="e">
        <v>#N/A</v>
      </c>
      <c r="DA387" t="e">
        <v>#N/A</v>
      </c>
      <c r="DB387" t="str">
        <v/>
      </c>
    </row>
    <row r="388" spans="83:106" x14ac:dyDescent="0.2">
      <c r="CE388"/>
      <c r="CF388"/>
      <c r="CG388"/>
      <c r="CH388"/>
      <c r="CI388"/>
      <c r="CU388" s="21">
        <v>383</v>
      </c>
      <c r="CV388" s="41">
        <v>2</v>
      </c>
      <c r="CW388" s="41">
        <v>1.0047263613915816</v>
      </c>
      <c r="CX388" s="41" t="e">
        <v>#N/A</v>
      </c>
      <c r="CY388" s="41">
        <v>1.0047263613915816</v>
      </c>
      <c r="CZ388" s="47" t="e">
        <v>#N/A</v>
      </c>
      <c r="DA388" t="e">
        <v>#N/A</v>
      </c>
      <c r="DB388" t="str">
        <v/>
      </c>
    </row>
    <row r="389" spans="83:106" x14ac:dyDescent="0.2">
      <c r="CE389"/>
      <c r="CF389"/>
      <c r="CG389"/>
      <c r="CH389"/>
      <c r="CI389"/>
      <c r="CU389" s="21">
        <v>384</v>
      </c>
      <c r="CV389" s="41">
        <v>2</v>
      </c>
      <c r="CW389" s="41">
        <v>1.0047263613915816</v>
      </c>
      <c r="CX389" s="41" t="e">
        <v>#N/A</v>
      </c>
      <c r="CY389" s="41">
        <v>1.0047263613915816</v>
      </c>
      <c r="CZ389" s="47" t="e">
        <v>#N/A</v>
      </c>
      <c r="DA389" t="e">
        <v>#N/A</v>
      </c>
      <c r="DB389" t="str">
        <v/>
      </c>
    </row>
    <row r="390" spans="83:106" x14ac:dyDescent="0.2">
      <c r="CE390"/>
      <c r="CF390"/>
      <c r="CG390"/>
      <c r="CH390"/>
      <c r="CI390"/>
      <c r="CU390" s="21">
        <v>385</v>
      </c>
      <c r="CV390" s="41">
        <v>2</v>
      </c>
      <c r="CW390" s="41">
        <v>1.0047263613915816</v>
      </c>
      <c r="CX390" s="41" t="e">
        <v>#N/A</v>
      </c>
      <c r="CY390" s="41">
        <v>1.0047263613915816</v>
      </c>
      <c r="CZ390" s="47" t="e">
        <v>#N/A</v>
      </c>
      <c r="DA390" t="e">
        <v>#N/A</v>
      </c>
      <c r="DB390" t="str">
        <v/>
      </c>
    </row>
    <row r="391" spans="83:106" x14ac:dyDescent="0.2">
      <c r="CE391"/>
      <c r="CF391"/>
      <c r="CG391"/>
      <c r="CH391"/>
      <c r="CI391"/>
      <c r="CU391" s="21">
        <v>386</v>
      </c>
      <c r="CV391" s="41">
        <v>2</v>
      </c>
      <c r="CW391" s="41">
        <v>1.0047263613915816</v>
      </c>
      <c r="CX391" s="41" t="e">
        <v>#N/A</v>
      </c>
      <c r="CY391" s="41">
        <v>1.0047263613915816</v>
      </c>
      <c r="CZ391" s="47" t="e">
        <v>#N/A</v>
      </c>
      <c r="DA391" t="e">
        <v>#N/A</v>
      </c>
      <c r="DB391" t="str">
        <v/>
      </c>
    </row>
    <row r="392" spans="83:106" x14ac:dyDescent="0.2">
      <c r="CE392"/>
      <c r="CF392"/>
      <c r="CG392"/>
      <c r="CH392"/>
      <c r="CI392"/>
      <c r="CU392" s="21">
        <v>387</v>
      </c>
      <c r="CV392" s="41">
        <v>2</v>
      </c>
      <c r="CW392" s="41">
        <v>1.0047263613915816</v>
      </c>
      <c r="CX392" s="41" t="e">
        <v>#N/A</v>
      </c>
      <c r="CY392" s="41">
        <v>1.0047263613915816</v>
      </c>
      <c r="CZ392" s="47" t="e">
        <v>#N/A</v>
      </c>
      <c r="DA392" t="e">
        <v>#N/A</v>
      </c>
      <c r="DB392" t="str">
        <v/>
      </c>
    </row>
    <row r="393" spans="83:106" x14ac:dyDescent="0.2">
      <c r="CE393"/>
      <c r="CF393"/>
      <c r="CG393"/>
      <c r="CH393"/>
      <c r="CI393"/>
      <c r="CU393" s="21">
        <v>388</v>
      </c>
      <c r="CV393" s="41">
        <v>2</v>
      </c>
      <c r="CW393" s="41">
        <v>1.0047263613915816</v>
      </c>
      <c r="CX393" s="41" t="e">
        <v>#N/A</v>
      </c>
      <c r="CY393" s="41">
        <v>1.0047263613915816</v>
      </c>
      <c r="CZ393" s="47" t="e">
        <v>#N/A</v>
      </c>
      <c r="DA393" t="e">
        <v>#N/A</v>
      </c>
      <c r="DB393" t="str">
        <v/>
      </c>
    </row>
    <row r="394" spans="83:106" x14ac:dyDescent="0.2">
      <c r="CE394"/>
      <c r="CF394"/>
      <c r="CG394"/>
      <c r="CH394"/>
      <c r="CI394"/>
      <c r="CU394" s="21">
        <v>389</v>
      </c>
      <c r="CV394" s="41">
        <v>2</v>
      </c>
      <c r="CW394" s="41">
        <v>1.0047263613915816</v>
      </c>
      <c r="CX394" s="41" t="e">
        <v>#N/A</v>
      </c>
      <c r="CY394" s="41">
        <v>1.0047263613915816</v>
      </c>
      <c r="CZ394" s="47" t="e">
        <v>#N/A</v>
      </c>
      <c r="DA394" t="e">
        <v>#N/A</v>
      </c>
      <c r="DB394" t="str">
        <v/>
      </c>
    </row>
    <row r="395" spans="83:106" x14ac:dyDescent="0.2">
      <c r="CE395"/>
      <c r="CF395"/>
      <c r="CG395"/>
      <c r="CH395"/>
      <c r="CI395"/>
      <c r="CU395" s="21">
        <v>390</v>
      </c>
      <c r="CV395" s="41">
        <v>2</v>
      </c>
      <c r="CW395" s="41">
        <v>1.0047263613915816</v>
      </c>
      <c r="CX395" s="41" t="e">
        <v>#N/A</v>
      </c>
      <c r="CY395" s="41">
        <v>1.0047263613915816</v>
      </c>
      <c r="CZ395" s="47" t="e">
        <v>#N/A</v>
      </c>
      <c r="DA395" t="e">
        <v>#N/A</v>
      </c>
      <c r="DB395" t="str">
        <v/>
      </c>
    </row>
    <row r="396" spans="83:106" x14ac:dyDescent="0.2">
      <c r="CE396"/>
      <c r="CF396"/>
      <c r="CG396"/>
      <c r="CH396"/>
      <c r="CI396"/>
      <c r="CU396" s="21">
        <v>391</v>
      </c>
      <c r="CV396" s="41">
        <v>2</v>
      </c>
      <c r="CW396" s="41">
        <v>1.0047263613915816</v>
      </c>
      <c r="CX396" s="41" t="e">
        <v>#N/A</v>
      </c>
      <c r="CY396" s="41">
        <v>1.0047263613915816</v>
      </c>
      <c r="CZ396" s="47" t="e">
        <v>#N/A</v>
      </c>
      <c r="DA396" t="e">
        <v>#N/A</v>
      </c>
      <c r="DB396" t="str">
        <v/>
      </c>
    </row>
    <row r="397" spans="83:106" x14ac:dyDescent="0.2">
      <c r="CE397"/>
      <c r="CF397"/>
      <c r="CG397"/>
      <c r="CH397"/>
      <c r="CI397"/>
      <c r="CU397" s="21">
        <v>392</v>
      </c>
      <c r="CV397" s="41">
        <v>2</v>
      </c>
      <c r="CW397" s="41">
        <v>1.0047263613915816</v>
      </c>
      <c r="CX397" s="41" t="e">
        <v>#N/A</v>
      </c>
      <c r="CY397" s="41">
        <v>1.0047263613915816</v>
      </c>
      <c r="CZ397" s="47" t="e">
        <v>#N/A</v>
      </c>
      <c r="DA397" t="e">
        <v>#N/A</v>
      </c>
      <c r="DB397" t="str">
        <v/>
      </c>
    </row>
    <row r="398" spans="83:106" x14ac:dyDescent="0.2">
      <c r="CE398"/>
      <c r="CF398"/>
      <c r="CG398"/>
      <c r="CH398"/>
      <c r="CI398"/>
      <c r="CU398" s="21">
        <v>393</v>
      </c>
      <c r="CV398" s="41">
        <v>2</v>
      </c>
      <c r="CW398" s="41">
        <v>1.0047263613915816</v>
      </c>
      <c r="CX398" s="41" t="e">
        <v>#N/A</v>
      </c>
      <c r="CY398" s="41">
        <v>1.0047263613915816</v>
      </c>
      <c r="CZ398" s="47" t="e">
        <v>#N/A</v>
      </c>
      <c r="DA398" t="e">
        <v>#N/A</v>
      </c>
      <c r="DB398" t="str">
        <v/>
      </c>
    </row>
    <row r="399" spans="83:106" x14ac:dyDescent="0.2">
      <c r="CE399"/>
      <c r="CF399"/>
      <c r="CG399"/>
      <c r="CH399"/>
      <c r="CI399"/>
      <c r="CU399" s="21">
        <v>394</v>
      </c>
      <c r="CV399" s="41">
        <v>2</v>
      </c>
      <c r="CW399" s="41">
        <v>1.0047263613915816</v>
      </c>
      <c r="CX399" s="41" t="e">
        <v>#N/A</v>
      </c>
      <c r="CY399" s="41">
        <v>1.0047263613915816</v>
      </c>
      <c r="CZ399" s="47" t="e">
        <v>#N/A</v>
      </c>
      <c r="DA399" t="e">
        <v>#N/A</v>
      </c>
      <c r="DB399" t="str">
        <v/>
      </c>
    </row>
    <row r="400" spans="83:106" x14ac:dyDescent="0.2">
      <c r="CE400"/>
      <c r="CF400"/>
      <c r="CG400"/>
      <c r="CH400"/>
      <c r="CI400"/>
      <c r="CU400" s="21">
        <v>395</v>
      </c>
      <c r="CV400" s="41">
        <v>2</v>
      </c>
      <c r="CW400" s="41">
        <v>1.0047263613915816</v>
      </c>
      <c r="CX400" s="41" t="e">
        <v>#N/A</v>
      </c>
      <c r="CY400" s="41">
        <v>1.0047263613915816</v>
      </c>
      <c r="CZ400" s="47" t="e">
        <v>#N/A</v>
      </c>
      <c r="DA400" t="e">
        <v>#N/A</v>
      </c>
      <c r="DB400" t="str">
        <v/>
      </c>
    </row>
    <row r="401" spans="83:106" x14ac:dyDescent="0.2">
      <c r="CE401"/>
      <c r="CF401"/>
      <c r="CG401"/>
      <c r="CH401"/>
      <c r="CI401"/>
      <c r="CU401" s="21">
        <v>396</v>
      </c>
      <c r="CV401" s="41">
        <v>2</v>
      </c>
      <c r="CW401" s="41">
        <v>1.0047263613915816</v>
      </c>
      <c r="CX401" s="41" t="e">
        <v>#N/A</v>
      </c>
      <c r="CY401" s="41">
        <v>1.0047263613915816</v>
      </c>
      <c r="CZ401" s="47" t="e">
        <v>#N/A</v>
      </c>
      <c r="DA401" t="e">
        <v>#N/A</v>
      </c>
      <c r="DB401" t="str">
        <v/>
      </c>
    </row>
    <row r="402" spans="83:106" x14ac:dyDescent="0.2">
      <c r="CE402"/>
      <c r="CF402"/>
      <c r="CG402"/>
      <c r="CH402"/>
      <c r="CI402"/>
      <c r="CU402" s="21">
        <v>397</v>
      </c>
      <c r="CV402" s="41">
        <v>2</v>
      </c>
      <c r="CW402" s="41">
        <v>1.0047263613915816</v>
      </c>
      <c r="CX402" s="41" t="e">
        <v>#N/A</v>
      </c>
      <c r="CY402" s="41">
        <v>1.0047263613915816</v>
      </c>
      <c r="CZ402" s="47" t="e">
        <v>#N/A</v>
      </c>
      <c r="DA402" t="e">
        <v>#N/A</v>
      </c>
      <c r="DB402" t="str">
        <v/>
      </c>
    </row>
    <row r="403" spans="83:106" x14ac:dyDescent="0.2">
      <c r="CE403"/>
      <c r="CF403"/>
      <c r="CG403"/>
      <c r="CH403"/>
      <c r="CI403"/>
      <c r="CU403" s="21">
        <v>398</v>
      </c>
      <c r="CV403" s="41">
        <v>2</v>
      </c>
      <c r="CW403" s="41">
        <v>1.0047263613915816</v>
      </c>
      <c r="CX403" s="41" t="e">
        <v>#N/A</v>
      </c>
      <c r="CY403" s="41">
        <v>1.0047263613915816</v>
      </c>
      <c r="CZ403" s="47" t="e">
        <v>#N/A</v>
      </c>
      <c r="DA403" t="e">
        <v>#N/A</v>
      </c>
      <c r="DB403" t="str">
        <v/>
      </c>
    </row>
    <row r="404" spans="83:106" x14ac:dyDescent="0.2">
      <c r="CE404"/>
      <c r="CF404"/>
      <c r="CG404"/>
      <c r="CH404"/>
      <c r="CI404"/>
      <c r="CU404" s="21">
        <v>399</v>
      </c>
      <c r="CV404" s="41">
        <v>2</v>
      </c>
      <c r="CW404" s="41">
        <v>1.0047263613915816</v>
      </c>
      <c r="CX404" s="41" t="e">
        <v>#N/A</v>
      </c>
      <c r="CY404" s="41">
        <v>1.0047263613915816</v>
      </c>
      <c r="CZ404" s="47" t="e">
        <v>#N/A</v>
      </c>
      <c r="DA404" t="e">
        <v>#N/A</v>
      </c>
      <c r="DB404" t="str">
        <v/>
      </c>
    </row>
    <row r="405" spans="83:106" x14ac:dyDescent="0.2">
      <c r="CE405"/>
      <c r="CF405"/>
      <c r="CG405"/>
      <c r="CH405"/>
      <c r="CI405"/>
      <c r="CU405" s="21">
        <v>400</v>
      </c>
      <c r="CV405" s="41">
        <v>2</v>
      </c>
      <c r="CW405" s="41">
        <v>1.0047263613915816</v>
      </c>
      <c r="CX405" s="41" t="e">
        <v>#N/A</v>
      </c>
      <c r="CY405" s="41">
        <v>1.0047263613915816</v>
      </c>
      <c r="CZ405" s="47" t="e">
        <v>#N/A</v>
      </c>
      <c r="DA405" t="e">
        <v>#N/A</v>
      </c>
      <c r="DB405" t="str">
        <v/>
      </c>
    </row>
    <row r="406" spans="83:106" x14ac:dyDescent="0.2">
      <c r="CE406"/>
      <c r="CF406"/>
      <c r="CG406"/>
      <c r="CH406"/>
      <c r="CI406"/>
      <c r="CU406" s="21">
        <v>401</v>
      </c>
      <c r="CV406" s="41">
        <v>2</v>
      </c>
      <c r="CW406" s="41">
        <v>1.0047263613915816</v>
      </c>
      <c r="CX406" s="41" t="e">
        <v>#N/A</v>
      </c>
      <c r="CY406" s="41">
        <v>1.0047263613915816</v>
      </c>
      <c r="CZ406" s="47" t="e">
        <v>#N/A</v>
      </c>
      <c r="DA406" t="e">
        <v>#N/A</v>
      </c>
      <c r="DB406" t="str">
        <v/>
      </c>
    </row>
    <row r="407" spans="83:106" x14ac:dyDescent="0.2">
      <c r="CE407"/>
      <c r="CF407"/>
      <c r="CG407"/>
      <c r="CH407"/>
      <c r="CI407"/>
      <c r="CU407" s="21">
        <v>402</v>
      </c>
      <c r="CV407" s="41">
        <v>2</v>
      </c>
      <c r="CW407" s="41">
        <v>1.0047263613915816</v>
      </c>
      <c r="CX407" s="41" t="e">
        <v>#N/A</v>
      </c>
      <c r="CY407" s="41">
        <v>1.0047263613915816</v>
      </c>
      <c r="CZ407" s="47" t="e">
        <v>#N/A</v>
      </c>
      <c r="DA407" t="e">
        <v>#N/A</v>
      </c>
      <c r="DB407" t="str">
        <v/>
      </c>
    </row>
    <row r="408" spans="83:106" x14ac:dyDescent="0.2">
      <c r="CE408"/>
      <c r="CF408"/>
      <c r="CG408"/>
      <c r="CH408"/>
      <c r="CI408"/>
      <c r="CU408" s="21">
        <v>403</v>
      </c>
      <c r="CV408" s="41">
        <v>2</v>
      </c>
      <c r="CW408" s="41">
        <v>1.0047263613915816</v>
      </c>
      <c r="CX408" s="41" t="e">
        <v>#N/A</v>
      </c>
      <c r="CY408" s="41">
        <v>1.0047263613915816</v>
      </c>
      <c r="CZ408" s="47" t="e">
        <v>#N/A</v>
      </c>
      <c r="DA408" t="e">
        <v>#N/A</v>
      </c>
      <c r="DB408" t="str">
        <v/>
      </c>
    </row>
    <row r="409" spans="83:106" x14ac:dyDescent="0.2">
      <c r="CE409"/>
      <c r="CF409"/>
      <c r="CG409"/>
      <c r="CH409"/>
      <c r="CI409"/>
      <c r="CU409" s="21">
        <v>404</v>
      </c>
      <c r="CV409" s="41">
        <v>2</v>
      </c>
      <c r="CW409" s="41">
        <v>1.0047263613915816</v>
      </c>
      <c r="CX409" s="41" t="e">
        <v>#N/A</v>
      </c>
      <c r="CY409" s="41">
        <v>1.0047263613915816</v>
      </c>
      <c r="CZ409" s="47" t="e">
        <v>#N/A</v>
      </c>
      <c r="DA409" t="e">
        <v>#N/A</v>
      </c>
      <c r="DB409" t="str">
        <v/>
      </c>
    </row>
    <row r="410" spans="83:106" x14ac:dyDescent="0.2">
      <c r="CE410"/>
      <c r="CF410"/>
      <c r="CG410"/>
      <c r="CH410"/>
      <c r="CI410"/>
      <c r="CU410" s="21">
        <v>405</v>
      </c>
      <c r="CV410" s="41">
        <v>2</v>
      </c>
      <c r="CW410" s="41">
        <v>1.0047263613915816</v>
      </c>
      <c r="CX410" s="41" t="e">
        <v>#N/A</v>
      </c>
      <c r="CY410" s="41">
        <v>1.0047263613915816</v>
      </c>
      <c r="CZ410" s="47" t="e">
        <v>#N/A</v>
      </c>
      <c r="DA410" t="e">
        <v>#N/A</v>
      </c>
      <c r="DB410" t="str">
        <v/>
      </c>
    </row>
    <row r="411" spans="83:106" x14ac:dyDescent="0.2">
      <c r="CE411"/>
      <c r="CF411"/>
      <c r="CG411"/>
      <c r="CH411"/>
      <c r="CI411"/>
      <c r="CU411" s="21">
        <v>406</v>
      </c>
      <c r="CV411" s="41">
        <v>2</v>
      </c>
      <c r="CW411" s="41">
        <v>1.0047263613915816</v>
      </c>
      <c r="CX411" s="41" t="e">
        <v>#N/A</v>
      </c>
      <c r="CY411" s="41">
        <v>1.0047263613915816</v>
      </c>
      <c r="CZ411" s="47" t="e">
        <v>#N/A</v>
      </c>
      <c r="DA411" t="e">
        <v>#N/A</v>
      </c>
      <c r="DB411" t="str">
        <v/>
      </c>
    </row>
    <row r="412" spans="83:106" x14ac:dyDescent="0.2">
      <c r="CE412"/>
      <c r="CF412"/>
      <c r="CG412"/>
      <c r="CH412"/>
      <c r="CI412"/>
      <c r="CU412" s="21">
        <v>407</v>
      </c>
      <c r="CV412" s="41">
        <v>2</v>
      </c>
      <c r="CW412" s="41">
        <v>1.0047263613915816</v>
      </c>
      <c r="CX412" s="41" t="e">
        <v>#N/A</v>
      </c>
      <c r="CY412" s="41">
        <v>1.0047263613915816</v>
      </c>
      <c r="CZ412" s="47" t="e">
        <v>#N/A</v>
      </c>
      <c r="DA412" t="e">
        <v>#N/A</v>
      </c>
      <c r="DB412" t="str">
        <v/>
      </c>
    </row>
    <row r="413" spans="83:106" x14ac:dyDescent="0.2">
      <c r="CE413"/>
      <c r="CF413"/>
      <c r="CG413"/>
      <c r="CH413"/>
      <c r="CI413"/>
      <c r="CU413" s="21">
        <v>408</v>
      </c>
      <c r="CV413" s="41">
        <v>2</v>
      </c>
      <c r="CW413" s="41">
        <v>1.0047263613915816</v>
      </c>
      <c r="CX413" s="41" t="e">
        <v>#N/A</v>
      </c>
      <c r="CY413" s="41">
        <v>1.0047263613915816</v>
      </c>
      <c r="CZ413" s="47" t="e">
        <v>#N/A</v>
      </c>
      <c r="DA413" t="e">
        <v>#N/A</v>
      </c>
      <c r="DB413" t="str">
        <v/>
      </c>
    </row>
    <row r="414" spans="83:106" x14ac:dyDescent="0.2">
      <c r="CE414"/>
      <c r="CF414"/>
      <c r="CG414"/>
      <c r="CH414"/>
      <c r="CI414"/>
      <c r="CU414" s="21">
        <v>409</v>
      </c>
      <c r="CV414" s="41">
        <v>2</v>
      </c>
      <c r="CW414" s="41">
        <v>1.0047263613915816</v>
      </c>
      <c r="CX414" s="41" t="e">
        <v>#N/A</v>
      </c>
      <c r="CY414" s="41">
        <v>1.0047263613915816</v>
      </c>
      <c r="CZ414" s="47" t="e">
        <v>#N/A</v>
      </c>
      <c r="DA414" t="e">
        <v>#N/A</v>
      </c>
      <c r="DB414" t="str">
        <v/>
      </c>
    </row>
    <row r="415" spans="83:106" x14ac:dyDescent="0.2">
      <c r="CE415"/>
      <c r="CF415"/>
      <c r="CG415"/>
      <c r="CH415"/>
      <c r="CI415"/>
      <c r="CU415" s="21">
        <v>410</v>
      </c>
      <c r="CV415" s="41">
        <v>2</v>
      </c>
      <c r="CW415" s="41">
        <v>1.0047263613915816</v>
      </c>
      <c r="CX415" s="41" t="e">
        <v>#N/A</v>
      </c>
      <c r="CY415" s="41">
        <v>1.0047263613915816</v>
      </c>
      <c r="CZ415" s="47" t="e">
        <v>#N/A</v>
      </c>
      <c r="DA415" t="e">
        <v>#N/A</v>
      </c>
      <c r="DB415" t="str">
        <v/>
      </c>
    </row>
    <row r="416" spans="83:106" x14ac:dyDescent="0.2">
      <c r="CE416"/>
      <c r="CF416"/>
      <c r="CG416"/>
      <c r="CH416"/>
      <c r="CI416"/>
      <c r="CU416" s="21">
        <v>411</v>
      </c>
      <c r="CV416" s="41">
        <v>2</v>
      </c>
      <c r="CW416" s="41">
        <v>1.0047263613915816</v>
      </c>
      <c r="CX416" s="41" t="e">
        <v>#N/A</v>
      </c>
      <c r="CY416" s="41">
        <v>1.0047263613915816</v>
      </c>
      <c r="CZ416" s="47" t="e">
        <v>#N/A</v>
      </c>
      <c r="DA416" t="e">
        <v>#N/A</v>
      </c>
      <c r="DB416" t="str">
        <v/>
      </c>
    </row>
    <row r="417" spans="83:106" x14ac:dyDescent="0.2">
      <c r="CE417"/>
      <c r="CF417"/>
      <c r="CG417"/>
      <c r="CH417"/>
      <c r="CI417"/>
      <c r="CU417" s="21">
        <v>412</v>
      </c>
      <c r="CV417" s="41">
        <v>2</v>
      </c>
      <c r="CW417" s="41">
        <v>1.0047263613915816</v>
      </c>
      <c r="CX417" s="41" t="e">
        <v>#N/A</v>
      </c>
      <c r="CY417" s="41">
        <v>1.0047263613915816</v>
      </c>
      <c r="CZ417" s="47" t="e">
        <v>#N/A</v>
      </c>
      <c r="DA417" t="e">
        <v>#N/A</v>
      </c>
      <c r="DB417" t="str">
        <v/>
      </c>
    </row>
    <row r="418" spans="83:106" x14ac:dyDescent="0.2">
      <c r="CE418"/>
      <c r="CF418"/>
      <c r="CG418"/>
      <c r="CH418"/>
      <c r="CI418"/>
      <c r="CU418" s="21">
        <v>413</v>
      </c>
      <c r="CV418" s="41">
        <v>2</v>
      </c>
      <c r="CW418" s="41">
        <v>1.0047263613915816</v>
      </c>
      <c r="CX418" s="41" t="e">
        <v>#N/A</v>
      </c>
      <c r="CY418" s="41">
        <v>1.0047263613915816</v>
      </c>
      <c r="CZ418" s="47" t="e">
        <v>#N/A</v>
      </c>
      <c r="DA418" t="e">
        <v>#N/A</v>
      </c>
      <c r="DB418" t="str">
        <v/>
      </c>
    </row>
    <row r="419" spans="83:106" x14ac:dyDescent="0.2">
      <c r="CE419"/>
      <c r="CF419"/>
      <c r="CG419"/>
      <c r="CH419"/>
      <c r="CI419"/>
      <c r="CU419" s="21">
        <v>414</v>
      </c>
      <c r="CV419" s="41">
        <v>2</v>
      </c>
      <c r="CW419" s="41">
        <v>1.0047263613915816</v>
      </c>
      <c r="CX419" s="41" t="e">
        <v>#N/A</v>
      </c>
      <c r="CY419" s="41">
        <v>1.0047263613915816</v>
      </c>
      <c r="CZ419" s="47" t="e">
        <v>#N/A</v>
      </c>
      <c r="DA419" t="e">
        <v>#N/A</v>
      </c>
      <c r="DB419" t="str">
        <v/>
      </c>
    </row>
    <row r="420" spans="83:106" x14ac:dyDescent="0.2">
      <c r="CE420"/>
      <c r="CF420"/>
      <c r="CG420"/>
      <c r="CH420"/>
      <c r="CI420"/>
      <c r="CU420" s="21">
        <v>415</v>
      </c>
      <c r="CV420" s="41">
        <v>2</v>
      </c>
      <c r="CW420" s="41">
        <v>1.0047263613915816</v>
      </c>
      <c r="CX420" s="41" t="e">
        <v>#N/A</v>
      </c>
      <c r="CY420" s="41">
        <v>1.0047263613915816</v>
      </c>
      <c r="CZ420" s="47" t="e">
        <v>#N/A</v>
      </c>
      <c r="DA420" t="e">
        <v>#N/A</v>
      </c>
      <c r="DB420" t="str">
        <v/>
      </c>
    </row>
    <row r="421" spans="83:106" x14ac:dyDescent="0.2">
      <c r="CE421"/>
      <c r="CF421"/>
      <c r="CG421"/>
      <c r="CH421"/>
      <c r="CI421"/>
      <c r="CU421" s="21">
        <v>416</v>
      </c>
      <c r="CV421" s="41">
        <v>2</v>
      </c>
      <c r="CW421" s="41">
        <v>1.0047263613915816</v>
      </c>
      <c r="CX421" s="41" t="e">
        <v>#N/A</v>
      </c>
      <c r="CY421" s="41">
        <v>1.0047263613915816</v>
      </c>
      <c r="CZ421" s="47" t="e">
        <v>#N/A</v>
      </c>
      <c r="DA421" t="e">
        <v>#N/A</v>
      </c>
      <c r="DB421" t="str">
        <v/>
      </c>
    </row>
    <row r="422" spans="83:106" x14ac:dyDescent="0.2">
      <c r="CE422"/>
      <c r="CF422"/>
      <c r="CG422"/>
      <c r="CH422"/>
      <c r="CI422"/>
      <c r="CU422" s="21">
        <v>417</v>
      </c>
      <c r="CV422" s="41">
        <v>2</v>
      </c>
      <c r="CW422" s="41">
        <v>1.0047263613915816</v>
      </c>
      <c r="CX422" s="41" t="e">
        <v>#N/A</v>
      </c>
      <c r="CY422" s="41">
        <v>1.0047263613915816</v>
      </c>
      <c r="CZ422" s="47" t="e">
        <v>#N/A</v>
      </c>
      <c r="DA422" t="e">
        <v>#N/A</v>
      </c>
      <c r="DB422" t="str">
        <v/>
      </c>
    </row>
    <row r="423" spans="83:106" x14ac:dyDescent="0.2">
      <c r="CE423"/>
      <c r="CF423"/>
      <c r="CG423"/>
      <c r="CH423"/>
      <c r="CI423"/>
      <c r="CU423" s="21">
        <v>418</v>
      </c>
      <c r="CV423" s="41">
        <v>2</v>
      </c>
      <c r="CW423" s="41">
        <v>1.0047263613915816</v>
      </c>
      <c r="CX423" s="41" t="e">
        <v>#N/A</v>
      </c>
      <c r="CY423" s="41">
        <v>1.0047263613915816</v>
      </c>
      <c r="CZ423" s="47" t="e">
        <v>#N/A</v>
      </c>
      <c r="DA423" t="e">
        <v>#N/A</v>
      </c>
      <c r="DB423" t="str">
        <v/>
      </c>
    </row>
    <row r="424" spans="83:106" x14ac:dyDescent="0.2">
      <c r="CE424"/>
      <c r="CF424"/>
      <c r="CG424"/>
      <c r="CH424"/>
      <c r="CI424"/>
      <c r="CU424" s="21">
        <v>419</v>
      </c>
      <c r="CV424" s="41">
        <v>2</v>
      </c>
      <c r="CW424" s="41">
        <v>1.0047263613915816</v>
      </c>
      <c r="CX424" s="41" t="e">
        <v>#N/A</v>
      </c>
      <c r="CY424" s="41">
        <v>1.0047263613915816</v>
      </c>
      <c r="CZ424" s="47" t="e">
        <v>#N/A</v>
      </c>
      <c r="DA424" t="e">
        <v>#N/A</v>
      </c>
      <c r="DB424" t="str">
        <v/>
      </c>
    </row>
    <row r="425" spans="83:106" x14ac:dyDescent="0.2">
      <c r="CE425"/>
      <c r="CF425"/>
      <c r="CG425"/>
      <c r="CH425"/>
      <c r="CI425"/>
      <c r="CU425" s="21">
        <v>420</v>
      </c>
      <c r="CV425" s="41">
        <v>2</v>
      </c>
      <c r="CW425" s="41">
        <v>1.0047263613915816</v>
      </c>
      <c r="CX425" s="41" t="e">
        <v>#N/A</v>
      </c>
      <c r="CY425" s="41">
        <v>1.0047263613915816</v>
      </c>
      <c r="CZ425" s="47" t="e">
        <v>#N/A</v>
      </c>
      <c r="DA425" t="e">
        <v>#N/A</v>
      </c>
      <c r="DB425" t="str">
        <v/>
      </c>
    </row>
    <row r="426" spans="83:106" x14ac:dyDescent="0.2">
      <c r="CE426"/>
      <c r="CF426"/>
      <c r="CG426"/>
      <c r="CH426"/>
      <c r="CI426"/>
      <c r="CU426" s="21">
        <v>421</v>
      </c>
      <c r="CV426" s="41">
        <v>2</v>
      </c>
      <c r="CW426" s="41">
        <v>1.0047263613915816</v>
      </c>
      <c r="CX426" s="41" t="e">
        <v>#N/A</v>
      </c>
      <c r="CY426" s="41">
        <v>1.0047263613915816</v>
      </c>
      <c r="CZ426" s="47" t="e">
        <v>#N/A</v>
      </c>
      <c r="DA426" t="e">
        <v>#N/A</v>
      </c>
      <c r="DB426" t="str">
        <v/>
      </c>
    </row>
    <row r="427" spans="83:106" x14ac:dyDescent="0.2">
      <c r="CE427"/>
      <c r="CF427"/>
      <c r="CG427"/>
      <c r="CH427"/>
      <c r="CI427"/>
      <c r="CU427" s="21">
        <v>422</v>
      </c>
      <c r="CV427" s="41">
        <v>2</v>
      </c>
      <c r="CW427" s="41">
        <v>1.0047263613915816</v>
      </c>
      <c r="CX427" s="41" t="e">
        <v>#N/A</v>
      </c>
      <c r="CY427" s="41">
        <v>1.0047263613915816</v>
      </c>
      <c r="CZ427" s="47" t="e">
        <v>#N/A</v>
      </c>
      <c r="DA427" t="e">
        <v>#N/A</v>
      </c>
      <c r="DB427" t="str">
        <v/>
      </c>
    </row>
    <row r="428" spans="83:106" x14ac:dyDescent="0.2">
      <c r="CE428"/>
      <c r="CF428"/>
      <c r="CG428"/>
      <c r="CH428"/>
      <c r="CI428"/>
      <c r="CU428" s="21">
        <v>423</v>
      </c>
      <c r="CV428" s="41">
        <v>2</v>
      </c>
      <c r="CW428" s="41">
        <v>1.0047263613915816</v>
      </c>
      <c r="CX428" s="41" t="e">
        <v>#N/A</v>
      </c>
      <c r="CY428" s="41">
        <v>1.0047263613915816</v>
      </c>
      <c r="CZ428" s="47" t="e">
        <v>#N/A</v>
      </c>
      <c r="DA428" t="e">
        <v>#N/A</v>
      </c>
      <c r="DB428" t="str">
        <v/>
      </c>
    </row>
    <row r="429" spans="83:106" x14ac:dyDescent="0.2">
      <c r="CE429"/>
      <c r="CF429"/>
      <c r="CG429"/>
      <c r="CH429"/>
      <c r="CI429"/>
      <c r="CU429" s="21">
        <v>424</v>
      </c>
      <c r="CV429" s="41">
        <v>2</v>
      </c>
      <c r="CW429" s="41">
        <v>1.0047263613915816</v>
      </c>
      <c r="CX429" s="41" t="e">
        <v>#N/A</v>
      </c>
      <c r="CY429" s="41">
        <v>1.0047263613915816</v>
      </c>
      <c r="CZ429" s="47" t="e">
        <v>#N/A</v>
      </c>
      <c r="DA429" t="e">
        <v>#N/A</v>
      </c>
      <c r="DB429" t="str">
        <v/>
      </c>
    </row>
    <row r="430" spans="83:106" x14ac:dyDescent="0.2">
      <c r="CE430"/>
      <c r="CF430"/>
      <c r="CG430"/>
      <c r="CH430"/>
      <c r="CI430"/>
      <c r="CU430" s="21">
        <v>425</v>
      </c>
      <c r="CV430" s="41">
        <v>2</v>
      </c>
      <c r="CW430" s="41">
        <v>1.0047263613915816</v>
      </c>
      <c r="CX430" s="41" t="e">
        <v>#N/A</v>
      </c>
      <c r="CY430" s="41">
        <v>1.0047263613915816</v>
      </c>
      <c r="CZ430" s="47" t="e">
        <v>#N/A</v>
      </c>
      <c r="DA430" t="e">
        <v>#N/A</v>
      </c>
      <c r="DB430" t="str">
        <v/>
      </c>
    </row>
    <row r="431" spans="83:106" x14ac:dyDescent="0.2">
      <c r="CE431"/>
      <c r="CF431"/>
      <c r="CG431"/>
      <c r="CH431"/>
      <c r="CI431"/>
      <c r="CU431" s="21">
        <v>426</v>
      </c>
      <c r="CV431" s="41">
        <v>2</v>
      </c>
      <c r="CW431" s="41">
        <v>1.0047263613915816</v>
      </c>
      <c r="CX431" s="41" t="e">
        <v>#N/A</v>
      </c>
      <c r="CY431" s="41">
        <v>1.0047263613915816</v>
      </c>
      <c r="CZ431" s="47" t="e">
        <v>#N/A</v>
      </c>
      <c r="DA431" t="e">
        <v>#N/A</v>
      </c>
      <c r="DB431" t="str">
        <v/>
      </c>
    </row>
    <row r="432" spans="83:106" x14ac:dyDescent="0.2">
      <c r="CE432"/>
      <c r="CF432"/>
      <c r="CG432"/>
      <c r="CH432"/>
      <c r="CI432"/>
      <c r="CU432" s="21">
        <v>427</v>
      </c>
      <c r="CV432" s="41">
        <v>2</v>
      </c>
      <c r="CW432" s="41">
        <v>1.0047263613915816</v>
      </c>
      <c r="CX432" s="41" t="e">
        <v>#N/A</v>
      </c>
      <c r="CY432" s="41">
        <v>1.0047263613915816</v>
      </c>
      <c r="CZ432" s="47" t="e">
        <v>#N/A</v>
      </c>
      <c r="DA432" t="e">
        <v>#N/A</v>
      </c>
      <c r="DB432" t="str">
        <v/>
      </c>
    </row>
    <row r="433" spans="83:106" x14ac:dyDescent="0.2">
      <c r="CE433"/>
      <c r="CF433"/>
      <c r="CG433"/>
      <c r="CH433"/>
      <c r="CI433"/>
      <c r="CU433" s="21">
        <v>428</v>
      </c>
      <c r="CV433" s="41">
        <v>2</v>
      </c>
      <c r="CW433" s="41">
        <v>1.0047263613915816</v>
      </c>
      <c r="CX433" s="41" t="e">
        <v>#N/A</v>
      </c>
      <c r="CY433" s="41">
        <v>1.0047263613915816</v>
      </c>
      <c r="CZ433" s="47" t="e">
        <v>#N/A</v>
      </c>
      <c r="DA433" t="e">
        <v>#N/A</v>
      </c>
      <c r="DB433" t="str">
        <v/>
      </c>
    </row>
    <row r="434" spans="83:106" x14ac:dyDescent="0.2">
      <c r="CE434"/>
      <c r="CF434"/>
      <c r="CG434"/>
      <c r="CH434"/>
      <c r="CI434"/>
      <c r="CU434" s="21">
        <v>429</v>
      </c>
      <c r="CV434" s="41">
        <v>2</v>
      </c>
      <c r="CW434" s="41">
        <v>1.0047263613915816</v>
      </c>
      <c r="CX434" s="41" t="e">
        <v>#N/A</v>
      </c>
      <c r="CY434" s="41">
        <v>1.0047263613915816</v>
      </c>
      <c r="CZ434" s="47" t="e">
        <v>#N/A</v>
      </c>
      <c r="DA434" t="e">
        <v>#N/A</v>
      </c>
      <c r="DB434" t="str">
        <v/>
      </c>
    </row>
    <row r="435" spans="83:106" x14ac:dyDescent="0.2">
      <c r="CE435"/>
      <c r="CF435"/>
      <c r="CG435"/>
      <c r="CH435"/>
      <c r="CI435"/>
      <c r="CU435" s="21">
        <v>430</v>
      </c>
      <c r="CV435" s="41">
        <v>2</v>
      </c>
      <c r="CW435" s="41">
        <v>1.0047263613915816</v>
      </c>
      <c r="CX435" s="41" t="e">
        <v>#N/A</v>
      </c>
      <c r="CY435" s="41">
        <v>1.0047263613915816</v>
      </c>
      <c r="CZ435" s="47" t="e">
        <v>#N/A</v>
      </c>
      <c r="DA435" t="e">
        <v>#N/A</v>
      </c>
      <c r="DB435" t="str">
        <v/>
      </c>
    </row>
    <row r="436" spans="83:106" x14ac:dyDescent="0.2">
      <c r="CE436"/>
      <c r="CF436"/>
      <c r="CG436"/>
      <c r="CH436"/>
      <c r="CI436"/>
      <c r="CU436" s="21">
        <v>431</v>
      </c>
      <c r="CV436" s="41">
        <v>2</v>
      </c>
      <c r="CW436" s="41">
        <v>1.0047263613915816</v>
      </c>
      <c r="CX436" s="41" t="e">
        <v>#N/A</v>
      </c>
      <c r="CY436" s="41">
        <v>1.0047263613915816</v>
      </c>
      <c r="CZ436" s="47" t="e">
        <v>#N/A</v>
      </c>
      <c r="DA436" t="e">
        <v>#N/A</v>
      </c>
      <c r="DB436" t="str">
        <v/>
      </c>
    </row>
    <row r="437" spans="83:106" x14ac:dyDescent="0.2">
      <c r="CE437"/>
      <c r="CF437"/>
      <c r="CG437"/>
      <c r="CH437"/>
      <c r="CI437"/>
      <c r="CU437" s="21">
        <v>432</v>
      </c>
      <c r="CV437" s="41">
        <v>2</v>
      </c>
      <c r="CW437" s="41">
        <v>1.0047263613915816</v>
      </c>
      <c r="CX437" s="41" t="e">
        <v>#N/A</v>
      </c>
      <c r="CY437" s="41">
        <v>1.0047263613915816</v>
      </c>
      <c r="CZ437" s="47" t="e">
        <v>#N/A</v>
      </c>
      <c r="DA437" t="e">
        <v>#N/A</v>
      </c>
      <c r="DB437" t="str">
        <v/>
      </c>
    </row>
    <row r="438" spans="83:106" x14ac:dyDescent="0.2">
      <c r="CE438"/>
      <c r="CF438"/>
      <c r="CG438"/>
      <c r="CH438"/>
      <c r="CI438"/>
      <c r="CU438" s="21">
        <v>433</v>
      </c>
      <c r="CV438" s="41">
        <v>2</v>
      </c>
      <c r="CW438" s="41">
        <v>1.0047263613915816</v>
      </c>
      <c r="CX438" s="41" t="e">
        <v>#N/A</v>
      </c>
      <c r="CY438" s="41">
        <v>1.0047263613915816</v>
      </c>
      <c r="CZ438" s="47" t="e">
        <v>#N/A</v>
      </c>
      <c r="DA438" t="e">
        <v>#N/A</v>
      </c>
      <c r="DB438" t="str">
        <v/>
      </c>
    </row>
    <row r="439" spans="83:106" x14ac:dyDescent="0.2">
      <c r="CE439"/>
      <c r="CF439"/>
      <c r="CG439"/>
      <c r="CH439"/>
      <c r="CI439"/>
      <c r="CU439" s="21">
        <v>434</v>
      </c>
      <c r="CV439" s="41">
        <v>2</v>
      </c>
      <c r="CW439" s="41">
        <v>1.0047263613915816</v>
      </c>
      <c r="CX439" s="41" t="e">
        <v>#N/A</v>
      </c>
      <c r="CY439" s="41">
        <v>1.0047263613915816</v>
      </c>
      <c r="CZ439" s="47" t="e">
        <v>#N/A</v>
      </c>
      <c r="DA439" t="e">
        <v>#N/A</v>
      </c>
      <c r="DB439" t="str">
        <v/>
      </c>
    </row>
    <row r="440" spans="83:106" x14ac:dyDescent="0.2">
      <c r="CE440"/>
      <c r="CF440"/>
      <c r="CG440"/>
      <c r="CH440"/>
      <c r="CI440"/>
      <c r="CU440" s="21">
        <v>435</v>
      </c>
      <c r="CV440" s="41">
        <v>2</v>
      </c>
      <c r="CW440" s="41">
        <v>1.0047263613915816</v>
      </c>
      <c r="CX440" s="41" t="e">
        <v>#N/A</v>
      </c>
      <c r="CY440" s="41">
        <v>1.0047263613915816</v>
      </c>
      <c r="CZ440" s="47" t="e">
        <v>#N/A</v>
      </c>
      <c r="DA440" t="e">
        <v>#N/A</v>
      </c>
      <c r="DB440" t="str">
        <v/>
      </c>
    </row>
    <row r="441" spans="83:106" x14ac:dyDescent="0.2">
      <c r="CE441"/>
      <c r="CF441"/>
      <c r="CG441"/>
      <c r="CH441"/>
      <c r="CI441"/>
      <c r="CU441" s="21">
        <v>436</v>
      </c>
      <c r="CV441" s="41">
        <v>2</v>
      </c>
      <c r="CW441" s="41">
        <v>1.0047263613915816</v>
      </c>
      <c r="CX441" s="41" t="e">
        <v>#N/A</v>
      </c>
      <c r="CY441" s="41">
        <v>1.0047263613915816</v>
      </c>
      <c r="CZ441" s="47" t="e">
        <v>#N/A</v>
      </c>
      <c r="DA441" t="e">
        <v>#N/A</v>
      </c>
      <c r="DB441" t="str">
        <v/>
      </c>
    </row>
    <row r="442" spans="83:106" x14ac:dyDescent="0.2">
      <c r="CE442"/>
      <c r="CF442"/>
      <c r="CG442"/>
      <c r="CH442"/>
      <c r="CI442"/>
      <c r="CU442" s="21">
        <v>437</v>
      </c>
      <c r="CV442" s="41">
        <v>2</v>
      </c>
      <c r="CW442" s="41">
        <v>1.0047263613915816</v>
      </c>
      <c r="CX442" s="41" t="e">
        <v>#N/A</v>
      </c>
      <c r="CY442" s="41">
        <v>1.0047263613915816</v>
      </c>
      <c r="CZ442" s="47" t="e">
        <v>#N/A</v>
      </c>
      <c r="DA442" t="e">
        <v>#N/A</v>
      </c>
      <c r="DB442" t="str">
        <v/>
      </c>
    </row>
    <row r="443" spans="83:106" x14ac:dyDescent="0.2">
      <c r="CE443"/>
      <c r="CF443"/>
      <c r="CG443"/>
      <c r="CH443"/>
      <c r="CI443"/>
      <c r="CU443" s="21">
        <v>438</v>
      </c>
      <c r="CV443" s="41">
        <v>2</v>
      </c>
      <c r="CW443" s="41">
        <v>1.0047263613915816</v>
      </c>
      <c r="CX443" s="41" t="e">
        <v>#N/A</v>
      </c>
      <c r="CY443" s="41">
        <v>1.0047263613915816</v>
      </c>
      <c r="CZ443" s="47" t="e">
        <v>#N/A</v>
      </c>
      <c r="DA443" t="e">
        <v>#N/A</v>
      </c>
      <c r="DB443" t="str">
        <v/>
      </c>
    </row>
    <row r="444" spans="83:106" x14ac:dyDescent="0.2">
      <c r="CE444"/>
      <c r="CF444"/>
      <c r="CG444"/>
      <c r="CH444"/>
      <c r="CI444"/>
      <c r="CU444" s="21">
        <v>439</v>
      </c>
      <c r="CV444" s="41">
        <v>2</v>
      </c>
      <c r="CW444" s="41">
        <v>1.0047263613915816</v>
      </c>
      <c r="CX444" s="41" t="e">
        <v>#N/A</v>
      </c>
      <c r="CY444" s="41">
        <v>1.0047263613915816</v>
      </c>
      <c r="CZ444" s="47" t="e">
        <v>#N/A</v>
      </c>
      <c r="DA444" t="e">
        <v>#N/A</v>
      </c>
      <c r="DB444" t="str">
        <v/>
      </c>
    </row>
    <row r="445" spans="83:106" x14ac:dyDescent="0.2">
      <c r="CE445"/>
      <c r="CF445"/>
      <c r="CG445"/>
      <c r="CH445"/>
      <c r="CI445"/>
      <c r="CU445" s="21">
        <v>440</v>
      </c>
      <c r="CV445" s="41">
        <v>2</v>
      </c>
      <c r="CW445" s="41">
        <v>1.0047263613915816</v>
      </c>
      <c r="CX445" s="41" t="e">
        <v>#N/A</v>
      </c>
      <c r="CY445" s="41">
        <v>1.0047263613915816</v>
      </c>
      <c r="CZ445" s="47" t="e">
        <v>#N/A</v>
      </c>
      <c r="DA445" t="e">
        <v>#N/A</v>
      </c>
      <c r="DB445" t="str">
        <v/>
      </c>
    </row>
    <row r="446" spans="83:106" x14ac:dyDescent="0.2">
      <c r="CE446"/>
      <c r="CF446"/>
      <c r="CG446"/>
      <c r="CH446"/>
      <c r="CI446"/>
      <c r="CU446" s="21">
        <v>441</v>
      </c>
      <c r="CV446" s="41">
        <v>2</v>
      </c>
      <c r="CW446" s="41">
        <v>1.0047263613915816</v>
      </c>
      <c r="CX446" s="41" t="e">
        <v>#N/A</v>
      </c>
      <c r="CY446" s="41">
        <v>1.0047263613915816</v>
      </c>
      <c r="CZ446" s="47" t="e">
        <v>#N/A</v>
      </c>
      <c r="DA446" t="e">
        <v>#N/A</v>
      </c>
      <c r="DB446" t="str">
        <v/>
      </c>
    </row>
    <row r="447" spans="83:106" x14ac:dyDescent="0.2">
      <c r="CE447"/>
      <c r="CF447"/>
      <c r="CG447"/>
      <c r="CH447"/>
      <c r="CI447"/>
      <c r="CU447" s="21">
        <v>442</v>
      </c>
      <c r="CV447" s="41">
        <v>2</v>
      </c>
      <c r="CW447" s="41">
        <v>1.0047263613915816</v>
      </c>
      <c r="CX447" s="41" t="e">
        <v>#N/A</v>
      </c>
      <c r="CY447" s="41">
        <v>1.0047263613915816</v>
      </c>
      <c r="CZ447" s="47" t="e">
        <v>#N/A</v>
      </c>
      <c r="DA447" t="e">
        <v>#N/A</v>
      </c>
      <c r="DB447" t="str">
        <v/>
      </c>
    </row>
    <row r="448" spans="83:106" x14ac:dyDescent="0.2">
      <c r="CE448"/>
      <c r="CF448"/>
      <c r="CG448"/>
      <c r="CH448"/>
      <c r="CI448"/>
      <c r="CU448" s="21">
        <v>443</v>
      </c>
      <c r="CV448" s="41">
        <v>2</v>
      </c>
      <c r="CW448" s="41">
        <v>1.0047263613915816</v>
      </c>
      <c r="CX448" s="41" t="e">
        <v>#N/A</v>
      </c>
      <c r="CY448" s="41">
        <v>1.0047263613915816</v>
      </c>
      <c r="CZ448" s="47" t="e">
        <v>#N/A</v>
      </c>
      <c r="DA448" t="e">
        <v>#N/A</v>
      </c>
      <c r="DB448" t="str">
        <v/>
      </c>
    </row>
    <row r="449" spans="83:106" x14ac:dyDescent="0.2">
      <c r="CE449"/>
      <c r="CF449"/>
      <c r="CG449"/>
      <c r="CH449"/>
      <c r="CI449"/>
      <c r="CU449" s="21">
        <v>444</v>
      </c>
      <c r="CV449" s="41">
        <v>2</v>
      </c>
      <c r="CW449" s="41">
        <v>1.0047263613915816</v>
      </c>
      <c r="CX449" s="41" t="e">
        <v>#N/A</v>
      </c>
      <c r="CY449" s="41">
        <v>1.0047263613915816</v>
      </c>
      <c r="CZ449" s="47" t="e">
        <v>#N/A</v>
      </c>
      <c r="DA449" t="e">
        <v>#N/A</v>
      </c>
      <c r="DB449" t="str">
        <v/>
      </c>
    </row>
    <row r="450" spans="83:106" x14ac:dyDescent="0.2">
      <c r="CE450"/>
      <c r="CF450"/>
      <c r="CG450"/>
      <c r="CH450"/>
      <c r="CI450"/>
      <c r="CU450" s="21">
        <v>445</v>
      </c>
      <c r="CV450" s="41">
        <v>2</v>
      </c>
      <c r="CW450" s="41">
        <v>1.0047263613915816</v>
      </c>
      <c r="CX450" s="41" t="e">
        <v>#N/A</v>
      </c>
      <c r="CY450" s="41">
        <v>1.0047263613915816</v>
      </c>
      <c r="CZ450" s="47" t="e">
        <v>#N/A</v>
      </c>
      <c r="DA450" t="e">
        <v>#N/A</v>
      </c>
      <c r="DB450" t="str">
        <v/>
      </c>
    </row>
    <row r="451" spans="83:106" x14ac:dyDescent="0.2">
      <c r="CE451"/>
      <c r="CF451"/>
      <c r="CG451"/>
      <c r="CH451"/>
      <c r="CI451"/>
      <c r="CU451" s="21">
        <v>446</v>
      </c>
      <c r="CV451" s="41">
        <v>2</v>
      </c>
      <c r="CW451" s="41">
        <v>1.0047263613915816</v>
      </c>
      <c r="CX451" s="41" t="e">
        <v>#N/A</v>
      </c>
      <c r="CY451" s="41">
        <v>1.0047263613915816</v>
      </c>
      <c r="CZ451" s="47" t="e">
        <v>#N/A</v>
      </c>
      <c r="DA451" t="e">
        <v>#N/A</v>
      </c>
      <c r="DB451" t="str">
        <v/>
      </c>
    </row>
    <row r="452" spans="83:106" x14ac:dyDescent="0.2">
      <c r="CE452"/>
      <c r="CF452"/>
      <c r="CG452"/>
      <c r="CH452"/>
      <c r="CI452"/>
      <c r="CU452" s="21">
        <v>447</v>
      </c>
      <c r="CV452" s="41">
        <v>2</v>
      </c>
      <c r="CW452" s="41">
        <v>1.0047263613915816</v>
      </c>
      <c r="CX452" s="41" t="e">
        <v>#N/A</v>
      </c>
      <c r="CY452" s="41">
        <v>1.0047263613915816</v>
      </c>
      <c r="CZ452" s="47" t="e">
        <v>#N/A</v>
      </c>
      <c r="DA452" t="e">
        <v>#N/A</v>
      </c>
      <c r="DB452" t="str">
        <v/>
      </c>
    </row>
    <row r="453" spans="83:106" x14ac:dyDescent="0.2">
      <c r="CE453"/>
      <c r="CF453"/>
      <c r="CG453"/>
      <c r="CH453"/>
      <c r="CI453"/>
      <c r="CU453" s="21">
        <v>448</v>
      </c>
      <c r="CV453" s="41">
        <v>2</v>
      </c>
      <c r="CW453" s="41">
        <v>1.0047263613915816</v>
      </c>
      <c r="CX453" s="41" t="e">
        <v>#N/A</v>
      </c>
      <c r="CY453" s="41">
        <v>1.0047263613915816</v>
      </c>
      <c r="CZ453" s="47" t="e">
        <v>#N/A</v>
      </c>
      <c r="DA453" t="e">
        <v>#N/A</v>
      </c>
      <c r="DB453" t="str">
        <v/>
      </c>
    </row>
    <row r="454" spans="83:106" x14ac:dyDescent="0.2">
      <c r="CE454"/>
      <c r="CF454"/>
      <c r="CG454"/>
      <c r="CH454"/>
      <c r="CI454"/>
      <c r="CU454" s="21">
        <v>449</v>
      </c>
      <c r="CV454" s="41">
        <v>2</v>
      </c>
      <c r="CW454" s="41">
        <v>1.0047263613915816</v>
      </c>
      <c r="CX454" s="41" t="e">
        <v>#N/A</v>
      </c>
      <c r="CY454" s="41">
        <v>1.0047263613915816</v>
      </c>
      <c r="CZ454" s="47" t="e">
        <v>#N/A</v>
      </c>
      <c r="DA454" t="e">
        <v>#N/A</v>
      </c>
      <c r="DB454" t="str">
        <v/>
      </c>
    </row>
    <row r="455" spans="83:106" x14ac:dyDescent="0.2">
      <c r="CE455"/>
      <c r="CF455"/>
      <c r="CG455"/>
      <c r="CH455"/>
      <c r="CI455"/>
      <c r="CU455" s="21">
        <v>450</v>
      </c>
      <c r="CV455" s="41">
        <v>2</v>
      </c>
      <c r="CW455" s="41">
        <v>1.0047263613915816</v>
      </c>
      <c r="CX455" s="41" t="e">
        <v>#N/A</v>
      </c>
      <c r="CY455" s="41">
        <v>1.0047263613915816</v>
      </c>
      <c r="CZ455" s="47" t="e">
        <v>#N/A</v>
      </c>
      <c r="DA455" t="e">
        <v>#N/A</v>
      </c>
      <c r="DB455" t="str">
        <v/>
      </c>
    </row>
    <row r="456" spans="83:106" x14ac:dyDescent="0.2">
      <c r="CE456"/>
      <c r="CF456"/>
      <c r="CG456"/>
      <c r="CH456"/>
      <c r="CI456"/>
      <c r="CU456" s="21">
        <v>451</v>
      </c>
      <c r="CV456" s="41">
        <v>2</v>
      </c>
      <c r="CW456" s="41">
        <v>1.0047263613915816</v>
      </c>
      <c r="CX456" s="41" t="e">
        <v>#N/A</v>
      </c>
      <c r="CY456" s="41">
        <v>1.0047263613915816</v>
      </c>
      <c r="CZ456" s="47" t="e">
        <v>#N/A</v>
      </c>
      <c r="DA456" t="e">
        <v>#N/A</v>
      </c>
      <c r="DB456" t="str">
        <v/>
      </c>
    </row>
    <row r="457" spans="83:106" x14ac:dyDescent="0.2">
      <c r="CE457"/>
      <c r="CF457"/>
      <c r="CG457"/>
      <c r="CH457"/>
      <c r="CI457"/>
      <c r="CU457" s="21">
        <v>452</v>
      </c>
      <c r="CV457" s="41">
        <v>2</v>
      </c>
      <c r="CW457" s="41">
        <v>1.0047263613915816</v>
      </c>
      <c r="CX457" s="41" t="e">
        <v>#N/A</v>
      </c>
      <c r="CY457" s="41">
        <v>1.0047263613915816</v>
      </c>
      <c r="CZ457" s="47" t="e">
        <v>#N/A</v>
      </c>
      <c r="DA457" t="e">
        <v>#N/A</v>
      </c>
      <c r="DB457" t="str">
        <v/>
      </c>
    </row>
    <row r="458" spans="83:106" x14ac:dyDescent="0.2">
      <c r="CE458"/>
      <c r="CF458"/>
      <c r="CG458"/>
      <c r="CH458"/>
      <c r="CI458"/>
      <c r="CU458" s="21">
        <v>453</v>
      </c>
      <c r="CV458" s="41">
        <v>2</v>
      </c>
      <c r="CW458" s="41">
        <v>1.0047263613915816</v>
      </c>
      <c r="CX458" s="41" t="e">
        <v>#N/A</v>
      </c>
      <c r="CY458" s="41">
        <v>1.0047263613915816</v>
      </c>
      <c r="CZ458" s="47" t="e">
        <v>#N/A</v>
      </c>
      <c r="DA458" t="e">
        <v>#N/A</v>
      </c>
      <c r="DB458" t="str">
        <v/>
      </c>
    </row>
    <row r="459" spans="83:106" x14ac:dyDescent="0.2">
      <c r="CE459"/>
      <c r="CF459"/>
      <c r="CG459"/>
      <c r="CH459"/>
      <c r="CI459"/>
      <c r="CU459" s="21">
        <v>454</v>
      </c>
      <c r="CV459" s="41">
        <v>2</v>
      </c>
      <c r="CW459" s="41">
        <v>1.0047263613915816</v>
      </c>
      <c r="CX459" s="41" t="e">
        <v>#N/A</v>
      </c>
      <c r="CY459" s="41">
        <v>1.0047263613915816</v>
      </c>
      <c r="CZ459" s="47" t="e">
        <v>#N/A</v>
      </c>
      <c r="DA459" t="e">
        <v>#N/A</v>
      </c>
      <c r="DB459" t="str">
        <v/>
      </c>
    </row>
    <row r="460" spans="83:106" x14ac:dyDescent="0.2">
      <c r="CE460"/>
      <c r="CF460"/>
      <c r="CG460"/>
      <c r="CH460"/>
      <c r="CI460"/>
      <c r="CU460" s="21">
        <v>455</v>
      </c>
      <c r="CV460" s="41">
        <v>2</v>
      </c>
      <c r="CW460" s="41">
        <v>1.0047263613915816</v>
      </c>
      <c r="CX460" s="41" t="e">
        <v>#N/A</v>
      </c>
      <c r="CY460" s="41">
        <v>1.0047263613915816</v>
      </c>
      <c r="CZ460" s="47" t="e">
        <v>#N/A</v>
      </c>
      <c r="DA460" t="e">
        <v>#N/A</v>
      </c>
      <c r="DB460" t="str">
        <v/>
      </c>
    </row>
    <row r="461" spans="83:106" x14ac:dyDescent="0.2">
      <c r="CE461"/>
      <c r="CF461"/>
      <c r="CG461"/>
      <c r="CH461"/>
      <c r="CI461"/>
      <c r="CU461" s="21">
        <v>456</v>
      </c>
      <c r="CV461" s="41">
        <v>2</v>
      </c>
      <c r="CW461" s="41">
        <v>1.0047263613915816</v>
      </c>
      <c r="CX461" s="41" t="e">
        <v>#N/A</v>
      </c>
      <c r="CY461" s="41">
        <v>1.0047263613915816</v>
      </c>
      <c r="CZ461" s="47" t="e">
        <v>#N/A</v>
      </c>
      <c r="DA461" t="e">
        <v>#N/A</v>
      </c>
      <c r="DB461" t="str">
        <v/>
      </c>
    </row>
    <row r="462" spans="83:106" x14ac:dyDescent="0.2">
      <c r="CE462"/>
      <c r="CF462"/>
      <c r="CG462"/>
      <c r="CH462"/>
      <c r="CI462"/>
      <c r="CU462" s="21">
        <v>457</v>
      </c>
      <c r="CV462" s="41">
        <v>2</v>
      </c>
      <c r="CW462" s="41">
        <v>1.0047263613915816</v>
      </c>
      <c r="CX462" s="41" t="e">
        <v>#N/A</v>
      </c>
      <c r="CY462" s="41">
        <v>1.0047263613915816</v>
      </c>
      <c r="CZ462" s="47" t="e">
        <v>#N/A</v>
      </c>
      <c r="DA462" t="e">
        <v>#N/A</v>
      </c>
      <c r="DB462" t="str">
        <v/>
      </c>
    </row>
    <row r="463" spans="83:106" x14ac:dyDescent="0.2">
      <c r="CE463"/>
      <c r="CF463"/>
      <c r="CG463"/>
      <c r="CH463"/>
      <c r="CI463"/>
      <c r="CU463" s="21">
        <v>458</v>
      </c>
      <c r="CV463" s="41">
        <v>2</v>
      </c>
      <c r="CW463" s="41">
        <v>1.0047263613915816</v>
      </c>
      <c r="CX463" s="41" t="e">
        <v>#N/A</v>
      </c>
      <c r="CY463" s="41">
        <v>1.0047263613915816</v>
      </c>
      <c r="CZ463" s="47" t="e">
        <v>#N/A</v>
      </c>
      <c r="DA463" t="e">
        <v>#N/A</v>
      </c>
      <c r="DB463" t="str">
        <v/>
      </c>
    </row>
    <row r="464" spans="83:106" x14ac:dyDescent="0.2">
      <c r="CE464"/>
      <c r="CF464"/>
      <c r="CG464"/>
      <c r="CH464"/>
      <c r="CI464"/>
      <c r="CU464" s="21">
        <v>459</v>
      </c>
      <c r="CV464" s="41">
        <v>2</v>
      </c>
      <c r="CW464" s="41">
        <v>1.0047263613915816</v>
      </c>
      <c r="CX464" s="41" t="e">
        <v>#N/A</v>
      </c>
      <c r="CY464" s="41">
        <v>1.0047263613915816</v>
      </c>
      <c r="CZ464" s="47" t="e">
        <v>#N/A</v>
      </c>
      <c r="DA464" t="e">
        <v>#N/A</v>
      </c>
      <c r="DB464" t="str">
        <v/>
      </c>
    </row>
    <row r="465" spans="83:106" x14ac:dyDescent="0.2">
      <c r="CE465"/>
      <c r="CF465"/>
      <c r="CG465"/>
      <c r="CH465"/>
      <c r="CI465"/>
      <c r="CU465" s="21">
        <v>460</v>
      </c>
      <c r="CV465" s="41">
        <v>2</v>
      </c>
      <c r="CW465" s="41">
        <v>1.0047263613915816</v>
      </c>
      <c r="CX465" s="41" t="e">
        <v>#N/A</v>
      </c>
      <c r="CY465" s="41">
        <v>1.0047263613915816</v>
      </c>
      <c r="CZ465" s="47" t="e">
        <v>#N/A</v>
      </c>
      <c r="DA465" t="e">
        <v>#N/A</v>
      </c>
      <c r="DB465" t="str">
        <v/>
      </c>
    </row>
    <row r="466" spans="83:106" x14ac:dyDescent="0.2">
      <c r="CE466"/>
      <c r="CF466"/>
      <c r="CG466"/>
      <c r="CH466"/>
      <c r="CI466"/>
      <c r="CU466" s="21">
        <v>461</v>
      </c>
      <c r="CV466" s="41">
        <v>2</v>
      </c>
      <c r="CW466" s="41">
        <v>1.0047263613915816</v>
      </c>
      <c r="CX466" s="41" t="e">
        <v>#N/A</v>
      </c>
      <c r="CY466" s="41">
        <v>1.0047263613915816</v>
      </c>
      <c r="CZ466" s="47" t="e">
        <v>#N/A</v>
      </c>
      <c r="DA466" t="e">
        <v>#N/A</v>
      </c>
      <c r="DB466" t="str">
        <v/>
      </c>
    </row>
    <row r="467" spans="83:106" x14ac:dyDescent="0.2">
      <c r="CE467"/>
      <c r="CF467"/>
      <c r="CG467"/>
      <c r="CH467"/>
      <c r="CI467"/>
      <c r="CU467" s="21">
        <v>462</v>
      </c>
      <c r="CV467" s="41">
        <v>2</v>
      </c>
      <c r="CW467" s="41">
        <v>1.0047263613915816</v>
      </c>
      <c r="CX467" s="41" t="e">
        <v>#N/A</v>
      </c>
      <c r="CY467" s="41">
        <v>1.0047263613915816</v>
      </c>
      <c r="CZ467" s="47" t="e">
        <v>#N/A</v>
      </c>
      <c r="DA467" t="e">
        <v>#N/A</v>
      </c>
      <c r="DB467" t="str">
        <v/>
      </c>
    </row>
    <row r="468" spans="83:106" x14ac:dyDescent="0.2">
      <c r="CE468"/>
      <c r="CF468"/>
      <c r="CG468"/>
      <c r="CH468"/>
      <c r="CI468"/>
      <c r="CU468" s="21">
        <v>463</v>
      </c>
      <c r="CV468" s="41">
        <v>2</v>
      </c>
      <c r="CW468" s="41">
        <v>1.0047263613915816</v>
      </c>
      <c r="CX468" s="41" t="e">
        <v>#N/A</v>
      </c>
      <c r="CY468" s="41">
        <v>1.0047263613915816</v>
      </c>
      <c r="CZ468" s="47" t="e">
        <v>#N/A</v>
      </c>
      <c r="DA468" t="e">
        <v>#N/A</v>
      </c>
      <c r="DB468" t="str">
        <v/>
      </c>
    </row>
    <row r="469" spans="83:106" x14ac:dyDescent="0.2">
      <c r="CE469"/>
      <c r="CF469"/>
      <c r="CG469"/>
      <c r="CH469"/>
      <c r="CI469"/>
      <c r="CU469" s="21">
        <v>464</v>
      </c>
      <c r="CV469" s="41">
        <v>2</v>
      </c>
      <c r="CW469" s="41">
        <v>1.0047263613915816</v>
      </c>
      <c r="CX469" s="41" t="e">
        <v>#N/A</v>
      </c>
      <c r="CY469" s="41">
        <v>1.0047263613915816</v>
      </c>
      <c r="CZ469" s="47" t="e">
        <v>#N/A</v>
      </c>
      <c r="DA469" t="e">
        <v>#N/A</v>
      </c>
      <c r="DB469" t="str">
        <v/>
      </c>
    </row>
    <row r="470" spans="83:106" x14ac:dyDescent="0.2">
      <c r="CE470"/>
      <c r="CF470"/>
      <c r="CG470"/>
      <c r="CH470"/>
      <c r="CI470"/>
      <c r="CU470" s="21">
        <v>465</v>
      </c>
      <c r="CV470" s="41">
        <v>2</v>
      </c>
      <c r="CW470" s="41">
        <v>1.0047263613915816</v>
      </c>
      <c r="CX470" s="41" t="e">
        <v>#N/A</v>
      </c>
      <c r="CY470" s="41">
        <v>1.0047263613915816</v>
      </c>
      <c r="CZ470" s="47" t="e">
        <v>#N/A</v>
      </c>
      <c r="DA470" t="e">
        <v>#N/A</v>
      </c>
      <c r="DB470" t="str">
        <v/>
      </c>
    </row>
    <row r="471" spans="83:106" x14ac:dyDescent="0.2">
      <c r="CE471"/>
      <c r="CF471"/>
      <c r="CG471"/>
      <c r="CH471"/>
      <c r="CI471"/>
      <c r="CU471" s="21">
        <v>466</v>
      </c>
      <c r="CV471" s="41">
        <v>2</v>
      </c>
      <c r="CW471" s="41">
        <v>1.0047263613915816</v>
      </c>
      <c r="CX471" s="41" t="e">
        <v>#N/A</v>
      </c>
      <c r="CY471" s="41">
        <v>1.0047263613915816</v>
      </c>
      <c r="CZ471" s="47" t="e">
        <v>#N/A</v>
      </c>
      <c r="DA471" t="e">
        <v>#N/A</v>
      </c>
      <c r="DB471" t="str">
        <v/>
      </c>
    </row>
    <row r="472" spans="83:106" x14ac:dyDescent="0.2">
      <c r="CE472"/>
      <c r="CF472"/>
      <c r="CG472"/>
      <c r="CH472"/>
      <c r="CI472"/>
      <c r="CU472" s="21">
        <v>467</v>
      </c>
      <c r="CV472" s="41">
        <v>2</v>
      </c>
      <c r="CW472" s="41">
        <v>1.0047263613915816</v>
      </c>
      <c r="CX472" s="41" t="e">
        <v>#N/A</v>
      </c>
      <c r="CY472" s="41">
        <v>1.0047263613915816</v>
      </c>
      <c r="CZ472" s="47" t="e">
        <v>#N/A</v>
      </c>
      <c r="DA472" t="e">
        <v>#N/A</v>
      </c>
      <c r="DB472" t="str">
        <v/>
      </c>
    </row>
    <row r="473" spans="83:106" x14ac:dyDescent="0.2">
      <c r="CE473"/>
      <c r="CF473"/>
      <c r="CG473"/>
      <c r="CH473"/>
      <c r="CI473"/>
      <c r="CU473" s="21">
        <v>468</v>
      </c>
      <c r="CV473" s="41">
        <v>2</v>
      </c>
      <c r="CW473" s="41">
        <v>1.0047263613915816</v>
      </c>
      <c r="CX473" s="41" t="e">
        <v>#N/A</v>
      </c>
      <c r="CY473" s="41">
        <v>1.0047263613915816</v>
      </c>
      <c r="CZ473" s="47" t="e">
        <v>#N/A</v>
      </c>
      <c r="DA473" t="e">
        <v>#N/A</v>
      </c>
      <c r="DB473" t="str">
        <v/>
      </c>
    </row>
    <row r="474" spans="83:106" x14ac:dyDescent="0.2">
      <c r="CE474"/>
      <c r="CF474"/>
      <c r="CG474"/>
      <c r="CH474"/>
      <c r="CI474"/>
      <c r="CU474" s="21">
        <v>469</v>
      </c>
      <c r="CV474" s="41">
        <v>2</v>
      </c>
      <c r="CW474" s="41">
        <v>1.0047263613915816</v>
      </c>
      <c r="CX474" s="41" t="e">
        <v>#N/A</v>
      </c>
      <c r="CY474" s="41">
        <v>1.0047263613915816</v>
      </c>
      <c r="CZ474" s="47" t="e">
        <v>#N/A</v>
      </c>
      <c r="DA474" t="e">
        <v>#N/A</v>
      </c>
      <c r="DB474" t="str">
        <v/>
      </c>
    </row>
    <row r="475" spans="83:106" x14ac:dyDescent="0.2">
      <c r="CE475"/>
      <c r="CF475"/>
      <c r="CG475"/>
      <c r="CH475"/>
      <c r="CI475"/>
      <c r="CU475" s="21">
        <v>470</v>
      </c>
      <c r="CV475" s="41">
        <v>2</v>
      </c>
      <c r="CW475" s="41">
        <v>1.0047263613915816</v>
      </c>
      <c r="CX475" s="41" t="e">
        <v>#N/A</v>
      </c>
      <c r="CY475" s="41">
        <v>1.0047263613915816</v>
      </c>
      <c r="CZ475" s="47" t="e">
        <v>#N/A</v>
      </c>
      <c r="DA475" t="e">
        <v>#N/A</v>
      </c>
      <c r="DB475" t="str">
        <v/>
      </c>
    </row>
    <row r="476" spans="83:106" x14ac:dyDescent="0.2">
      <c r="CE476"/>
      <c r="CF476"/>
      <c r="CG476"/>
      <c r="CH476"/>
      <c r="CI476"/>
      <c r="CU476" s="21">
        <v>471</v>
      </c>
      <c r="CV476" s="41">
        <v>2</v>
      </c>
      <c r="CW476" s="41">
        <v>1.0047263613915816</v>
      </c>
      <c r="CX476" s="41" t="e">
        <v>#N/A</v>
      </c>
      <c r="CY476" s="41">
        <v>1.0047263613915816</v>
      </c>
      <c r="CZ476" s="47" t="e">
        <v>#N/A</v>
      </c>
      <c r="DA476" t="e">
        <v>#N/A</v>
      </c>
      <c r="DB476" t="str">
        <v/>
      </c>
    </row>
    <row r="477" spans="83:106" x14ac:dyDescent="0.2">
      <c r="CE477"/>
      <c r="CF477"/>
      <c r="CG477"/>
      <c r="CH477"/>
      <c r="CI477"/>
      <c r="CU477" s="21">
        <v>472</v>
      </c>
      <c r="CV477" s="41">
        <v>2</v>
      </c>
      <c r="CW477" s="41">
        <v>1.0047263613915816</v>
      </c>
      <c r="CX477" s="41" t="e">
        <v>#N/A</v>
      </c>
      <c r="CY477" s="41">
        <v>1.0047263613915816</v>
      </c>
      <c r="CZ477" s="47" t="e">
        <v>#N/A</v>
      </c>
      <c r="DA477" t="e">
        <v>#N/A</v>
      </c>
      <c r="DB477" t="str">
        <v/>
      </c>
    </row>
    <row r="478" spans="83:106" x14ac:dyDescent="0.2">
      <c r="CE478"/>
      <c r="CF478"/>
      <c r="CG478"/>
      <c r="CH478"/>
      <c r="CI478"/>
      <c r="CU478" s="21">
        <v>473</v>
      </c>
      <c r="CV478" s="41">
        <v>2</v>
      </c>
      <c r="CW478" s="41">
        <v>1.0047263613915816</v>
      </c>
      <c r="CX478" s="41" t="e">
        <v>#N/A</v>
      </c>
      <c r="CY478" s="41">
        <v>1.0047263613915816</v>
      </c>
      <c r="CZ478" s="47" t="e">
        <v>#N/A</v>
      </c>
      <c r="DA478" t="e">
        <v>#N/A</v>
      </c>
      <c r="DB478" t="str">
        <v/>
      </c>
    </row>
    <row r="479" spans="83:106" x14ac:dyDescent="0.2">
      <c r="CE479"/>
      <c r="CF479"/>
      <c r="CG479"/>
      <c r="CH479"/>
      <c r="CI479"/>
      <c r="CU479" s="21">
        <v>474</v>
      </c>
      <c r="CV479" s="41">
        <v>2</v>
      </c>
      <c r="CW479" s="41">
        <v>1.0047263613915816</v>
      </c>
      <c r="CX479" s="41" t="e">
        <v>#N/A</v>
      </c>
      <c r="CY479" s="41">
        <v>1.0047263613915816</v>
      </c>
      <c r="CZ479" s="47" t="e">
        <v>#N/A</v>
      </c>
      <c r="DA479" t="e">
        <v>#N/A</v>
      </c>
      <c r="DB479" t="str">
        <v/>
      </c>
    </row>
    <row r="480" spans="83:106" x14ac:dyDescent="0.2">
      <c r="CE480"/>
      <c r="CF480"/>
      <c r="CG480"/>
      <c r="CH480"/>
      <c r="CI480"/>
      <c r="CU480" s="21">
        <v>475</v>
      </c>
      <c r="CV480" s="41">
        <v>2</v>
      </c>
      <c r="CW480" s="41">
        <v>1.0047263613915816</v>
      </c>
      <c r="CX480" s="41" t="e">
        <v>#N/A</v>
      </c>
      <c r="CY480" s="41">
        <v>1.0047263613915816</v>
      </c>
      <c r="CZ480" s="47" t="e">
        <v>#N/A</v>
      </c>
      <c r="DA480" t="e">
        <v>#N/A</v>
      </c>
      <c r="DB480" t="str">
        <v/>
      </c>
    </row>
    <row r="481" spans="83:106" x14ac:dyDescent="0.2">
      <c r="CE481"/>
      <c r="CF481"/>
      <c r="CG481"/>
      <c r="CH481"/>
      <c r="CI481"/>
      <c r="CU481" s="21">
        <v>476</v>
      </c>
      <c r="CV481" s="41">
        <v>2</v>
      </c>
      <c r="CW481" s="41">
        <v>1.0047263613915816</v>
      </c>
      <c r="CX481" s="41" t="e">
        <v>#N/A</v>
      </c>
      <c r="CY481" s="41">
        <v>1.0047263613915816</v>
      </c>
      <c r="CZ481" s="47" t="e">
        <v>#N/A</v>
      </c>
      <c r="DA481" t="e">
        <v>#N/A</v>
      </c>
      <c r="DB481" t="str">
        <v/>
      </c>
    </row>
    <row r="482" spans="83:106" x14ac:dyDescent="0.2">
      <c r="CE482"/>
      <c r="CF482"/>
      <c r="CG482"/>
      <c r="CH482"/>
      <c r="CI482"/>
      <c r="CU482" s="21">
        <v>477</v>
      </c>
      <c r="CV482" s="41">
        <v>2</v>
      </c>
      <c r="CW482" s="41">
        <v>1.0047263613915816</v>
      </c>
      <c r="CX482" s="41" t="e">
        <v>#N/A</v>
      </c>
      <c r="CY482" s="41">
        <v>1.0047263613915816</v>
      </c>
      <c r="CZ482" s="47" t="e">
        <v>#N/A</v>
      </c>
      <c r="DA482" t="e">
        <v>#N/A</v>
      </c>
      <c r="DB482" t="str">
        <v/>
      </c>
    </row>
    <row r="483" spans="83:106" x14ac:dyDescent="0.2">
      <c r="CE483"/>
      <c r="CF483"/>
      <c r="CG483"/>
      <c r="CH483"/>
      <c r="CI483"/>
      <c r="CU483" s="21">
        <v>478</v>
      </c>
      <c r="CV483" s="41">
        <v>2</v>
      </c>
      <c r="CW483" s="41">
        <v>1.0047263613915816</v>
      </c>
      <c r="CX483" s="41" t="e">
        <v>#N/A</v>
      </c>
      <c r="CY483" s="41">
        <v>1.0047263613915816</v>
      </c>
      <c r="CZ483" s="47" t="e">
        <v>#N/A</v>
      </c>
      <c r="DA483" t="e">
        <v>#N/A</v>
      </c>
      <c r="DB483" t="str">
        <v/>
      </c>
    </row>
    <row r="484" spans="83:106" x14ac:dyDescent="0.2">
      <c r="CE484"/>
      <c r="CF484"/>
      <c r="CG484"/>
      <c r="CH484"/>
      <c r="CI484"/>
      <c r="CU484" s="21">
        <v>479</v>
      </c>
      <c r="CV484" s="41">
        <v>2</v>
      </c>
      <c r="CW484" s="41">
        <v>1.0047263613915816</v>
      </c>
      <c r="CX484" s="41" t="e">
        <v>#N/A</v>
      </c>
      <c r="CY484" s="41">
        <v>1.0047263613915816</v>
      </c>
      <c r="CZ484" s="47" t="e">
        <v>#N/A</v>
      </c>
      <c r="DA484" t="e">
        <v>#N/A</v>
      </c>
      <c r="DB484" t="str">
        <v/>
      </c>
    </row>
    <row r="485" spans="83:106" x14ac:dyDescent="0.2">
      <c r="CE485"/>
      <c r="CF485"/>
      <c r="CG485"/>
      <c r="CH485"/>
      <c r="CI485"/>
      <c r="CU485" s="21">
        <v>480</v>
      </c>
      <c r="CV485" s="41">
        <v>2</v>
      </c>
      <c r="CW485" s="41">
        <v>1.0047263613915816</v>
      </c>
      <c r="CX485" s="41" t="e">
        <v>#N/A</v>
      </c>
      <c r="CY485" s="41">
        <v>1.0047263613915816</v>
      </c>
      <c r="CZ485" s="47" t="e">
        <v>#N/A</v>
      </c>
      <c r="DA485" t="e">
        <v>#N/A</v>
      </c>
      <c r="DB485" t="str">
        <v/>
      </c>
    </row>
    <row r="486" spans="83:106" x14ac:dyDescent="0.2">
      <c r="CE486"/>
      <c r="CF486"/>
      <c r="CG486"/>
      <c r="CH486"/>
      <c r="CI486"/>
      <c r="CU486" s="21">
        <v>481</v>
      </c>
      <c r="CV486" s="41">
        <v>2</v>
      </c>
      <c r="CW486" s="41">
        <v>1.0047263613915816</v>
      </c>
      <c r="CX486" s="41" t="e">
        <v>#N/A</v>
      </c>
      <c r="CY486" s="41">
        <v>1.0047263613915816</v>
      </c>
      <c r="CZ486" s="47" t="e">
        <v>#N/A</v>
      </c>
      <c r="DA486" t="e">
        <v>#N/A</v>
      </c>
      <c r="DB486" t="str">
        <v/>
      </c>
    </row>
    <row r="487" spans="83:106" x14ac:dyDescent="0.2">
      <c r="CE487"/>
      <c r="CF487"/>
      <c r="CG487"/>
      <c r="CH487"/>
      <c r="CI487"/>
      <c r="CU487" s="21">
        <v>482</v>
      </c>
      <c r="CV487" s="41">
        <v>2</v>
      </c>
      <c r="CW487" s="41">
        <v>1.0047263613915816</v>
      </c>
      <c r="CX487" s="41" t="e">
        <v>#N/A</v>
      </c>
      <c r="CY487" s="41">
        <v>1.0047263613915816</v>
      </c>
      <c r="CZ487" s="47" t="e">
        <v>#N/A</v>
      </c>
      <c r="DA487" t="e">
        <v>#N/A</v>
      </c>
      <c r="DB487" t="str">
        <v/>
      </c>
    </row>
    <row r="488" spans="83:106" x14ac:dyDescent="0.2">
      <c r="CE488"/>
      <c r="CF488"/>
      <c r="CG488"/>
      <c r="CH488"/>
      <c r="CI488"/>
      <c r="CU488" s="21">
        <v>483</v>
      </c>
      <c r="CV488" s="41">
        <v>2</v>
      </c>
      <c r="CW488" s="41">
        <v>1.0047263613915816</v>
      </c>
      <c r="CX488" s="41" t="e">
        <v>#N/A</v>
      </c>
      <c r="CY488" s="41">
        <v>1.0047263613915816</v>
      </c>
      <c r="CZ488" s="47" t="e">
        <v>#N/A</v>
      </c>
      <c r="DA488" t="e">
        <v>#N/A</v>
      </c>
      <c r="DB488" t="str">
        <v/>
      </c>
    </row>
    <row r="489" spans="83:106" x14ac:dyDescent="0.2">
      <c r="CE489"/>
      <c r="CF489"/>
      <c r="CG489"/>
      <c r="CH489"/>
      <c r="CI489"/>
      <c r="CU489" s="21">
        <v>484</v>
      </c>
      <c r="CV489" s="41">
        <v>2</v>
      </c>
      <c r="CW489" s="41">
        <v>1.0047263613915816</v>
      </c>
      <c r="CX489" s="41" t="e">
        <v>#N/A</v>
      </c>
      <c r="CY489" s="41">
        <v>1.0047263613915816</v>
      </c>
      <c r="CZ489" s="47" t="e">
        <v>#N/A</v>
      </c>
      <c r="DA489" t="e">
        <v>#N/A</v>
      </c>
      <c r="DB489" t="str">
        <v/>
      </c>
    </row>
    <row r="490" spans="83:106" x14ac:dyDescent="0.2">
      <c r="CE490"/>
      <c r="CF490"/>
      <c r="CG490"/>
      <c r="CH490"/>
      <c r="CI490"/>
      <c r="CU490" s="21">
        <v>485</v>
      </c>
      <c r="CV490" s="41">
        <v>2</v>
      </c>
      <c r="CW490" s="41">
        <v>1.0047263613915816</v>
      </c>
      <c r="CX490" s="41" t="e">
        <v>#N/A</v>
      </c>
      <c r="CY490" s="41">
        <v>1.0047263613915816</v>
      </c>
      <c r="CZ490" s="47" t="e">
        <v>#N/A</v>
      </c>
      <c r="DA490" t="e">
        <v>#N/A</v>
      </c>
      <c r="DB490" t="str">
        <v/>
      </c>
    </row>
    <row r="491" spans="83:106" x14ac:dyDescent="0.2">
      <c r="CE491"/>
      <c r="CF491"/>
      <c r="CG491"/>
      <c r="CH491"/>
      <c r="CI491"/>
      <c r="CU491" s="21">
        <v>486</v>
      </c>
      <c r="CV491" s="41">
        <v>2</v>
      </c>
      <c r="CW491" s="41">
        <v>1.0047263613915816</v>
      </c>
      <c r="CX491" s="41" t="e">
        <v>#N/A</v>
      </c>
      <c r="CY491" s="41">
        <v>1.0047263613915816</v>
      </c>
      <c r="CZ491" s="47" t="e">
        <v>#N/A</v>
      </c>
      <c r="DA491" t="e">
        <v>#N/A</v>
      </c>
      <c r="DB491" t="str">
        <v/>
      </c>
    </row>
    <row r="492" spans="83:106" x14ac:dyDescent="0.2">
      <c r="CE492"/>
      <c r="CF492"/>
      <c r="CG492"/>
      <c r="CH492"/>
      <c r="CI492"/>
      <c r="CU492" s="21">
        <v>487</v>
      </c>
      <c r="CV492" s="41">
        <v>2</v>
      </c>
      <c r="CW492" s="41">
        <v>1.0047263613915816</v>
      </c>
      <c r="CX492" s="41" t="e">
        <v>#N/A</v>
      </c>
      <c r="CY492" s="41">
        <v>1.0047263613915816</v>
      </c>
      <c r="CZ492" s="47" t="e">
        <v>#N/A</v>
      </c>
      <c r="DA492" t="e">
        <v>#N/A</v>
      </c>
      <c r="DB492" t="str">
        <v/>
      </c>
    </row>
    <row r="493" spans="83:106" x14ac:dyDescent="0.2">
      <c r="CE493"/>
      <c r="CF493"/>
      <c r="CG493"/>
      <c r="CH493"/>
      <c r="CI493"/>
      <c r="CU493" s="21">
        <v>488</v>
      </c>
      <c r="CV493" s="41">
        <v>2</v>
      </c>
      <c r="CW493" s="41">
        <v>1.0047263613915816</v>
      </c>
      <c r="CX493" s="41" t="e">
        <v>#N/A</v>
      </c>
      <c r="CY493" s="41">
        <v>1.0047263613915816</v>
      </c>
      <c r="CZ493" s="47" t="e">
        <v>#N/A</v>
      </c>
      <c r="DA493" t="e">
        <v>#N/A</v>
      </c>
      <c r="DB493" t="str">
        <v/>
      </c>
    </row>
    <row r="494" spans="83:106" x14ac:dyDescent="0.2">
      <c r="CE494"/>
      <c r="CF494"/>
      <c r="CG494"/>
      <c r="CH494"/>
      <c r="CI494"/>
      <c r="CU494" s="21">
        <v>489</v>
      </c>
      <c r="CV494" s="41">
        <v>2</v>
      </c>
      <c r="CW494" s="41">
        <v>1.0047263613915816</v>
      </c>
      <c r="CX494" s="41" t="e">
        <v>#N/A</v>
      </c>
      <c r="CY494" s="41">
        <v>1.0047263613915816</v>
      </c>
      <c r="CZ494" s="47" t="e">
        <v>#N/A</v>
      </c>
      <c r="DA494" t="e">
        <v>#N/A</v>
      </c>
      <c r="DB494" t="str">
        <v/>
      </c>
    </row>
    <row r="495" spans="83:106" x14ac:dyDescent="0.2">
      <c r="CE495"/>
      <c r="CF495"/>
      <c r="CG495"/>
      <c r="CH495"/>
      <c r="CI495"/>
      <c r="CU495" s="21">
        <v>490</v>
      </c>
      <c r="CV495" s="41">
        <v>2</v>
      </c>
      <c r="CW495" s="41">
        <v>1.0047263613915816</v>
      </c>
      <c r="CX495" s="41" t="e">
        <v>#N/A</v>
      </c>
      <c r="CY495" s="41">
        <v>1.0047263613915816</v>
      </c>
      <c r="CZ495" s="47" t="e">
        <v>#N/A</v>
      </c>
      <c r="DA495" t="e">
        <v>#N/A</v>
      </c>
      <c r="DB495" t="str">
        <v/>
      </c>
    </row>
    <row r="496" spans="83:106" x14ac:dyDescent="0.2">
      <c r="CE496"/>
      <c r="CF496"/>
      <c r="CG496"/>
      <c r="CH496"/>
      <c r="CI496"/>
      <c r="CU496" s="21">
        <v>491</v>
      </c>
      <c r="CV496" s="41">
        <v>2</v>
      </c>
      <c r="CW496" s="41">
        <v>1.0047263613915816</v>
      </c>
      <c r="CX496" s="41" t="e">
        <v>#N/A</v>
      </c>
      <c r="CY496" s="41">
        <v>1.0047263613915816</v>
      </c>
      <c r="CZ496" s="47" t="e">
        <v>#N/A</v>
      </c>
      <c r="DA496" t="e">
        <v>#N/A</v>
      </c>
      <c r="DB496" t="str">
        <v/>
      </c>
    </row>
    <row r="497" spans="83:106" x14ac:dyDescent="0.2">
      <c r="CE497"/>
      <c r="CF497"/>
      <c r="CG497"/>
      <c r="CH497"/>
      <c r="CI497"/>
      <c r="CU497" s="21">
        <v>492</v>
      </c>
      <c r="CV497" s="41">
        <v>2</v>
      </c>
      <c r="CW497" s="41">
        <v>1.0047263613915816</v>
      </c>
      <c r="CX497" s="41" t="e">
        <v>#N/A</v>
      </c>
      <c r="CY497" s="41">
        <v>1.0047263613915816</v>
      </c>
      <c r="CZ497" s="47" t="e">
        <v>#N/A</v>
      </c>
      <c r="DA497" t="e">
        <v>#N/A</v>
      </c>
      <c r="DB497" t="str">
        <v/>
      </c>
    </row>
    <row r="498" spans="83:106" x14ac:dyDescent="0.2">
      <c r="CE498"/>
      <c r="CF498"/>
      <c r="CG498"/>
      <c r="CH498"/>
      <c r="CI498"/>
      <c r="CU498" s="21">
        <v>493</v>
      </c>
      <c r="CV498" s="41">
        <v>2</v>
      </c>
      <c r="CW498" s="41">
        <v>1.0047263613915816</v>
      </c>
      <c r="CX498" s="41" t="e">
        <v>#N/A</v>
      </c>
      <c r="CY498" s="41">
        <v>1.0047263613915816</v>
      </c>
      <c r="CZ498" s="47" t="e">
        <v>#N/A</v>
      </c>
      <c r="DA498" t="e">
        <v>#N/A</v>
      </c>
      <c r="DB498" t="str">
        <v/>
      </c>
    </row>
    <row r="499" spans="83:106" x14ac:dyDescent="0.2">
      <c r="CE499"/>
      <c r="CF499"/>
      <c r="CG499"/>
      <c r="CH499"/>
      <c r="CI499"/>
      <c r="CU499" s="21">
        <v>494</v>
      </c>
      <c r="CV499" s="41">
        <v>2</v>
      </c>
      <c r="CW499" s="41">
        <v>1.0047263613915816</v>
      </c>
      <c r="CX499" s="41" t="e">
        <v>#N/A</v>
      </c>
      <c r="CY499" s="41">
        <v>1.0047263613915816</v>
      </c>
      <c r="CZ499" s="47" t="e">
        <v>#N/A</v>
      </c>
      <c r="DA499" t="e">
        <v>#N/A</v>
      </c>
      <c r="DB499" t="str">
        <v/>
      </c>
    </row>
    <row r="500" spans="83:106" x14ac:dyDescent="0.2">
      <c r="CE500"/>
      <c r="CF500"/>
      <c r="CG500"/>
      <c r="CH500"/>
      <c r="CI500"/>
      <c r="CU500" s="21">
        <v>495</v>
      </c>
      <c r="CV500" s="41">
        <v>2</v>
      </c>
      <c r="CW500" s="41">
        <v>1.0047263613915816</v>
      </c>
      <c r="CX500" s="41" t="e">
        <v>#N/A</v>
      </c>
      <c r="CY500" s="41">
        <v>1.0047263613915816</v>
      </c>
      <c r="CZ500" s="47" t="e">
        <v>#N/A</v>
      </c>
      <c r="DA500" t="e">
        <v>#N/A</v>
      </c>
      <c r="DB500" t="str">
        <v/>
      </c>
    </row>
    <row r="501" spans="83:106" x14ac:dyDescent="0.2">
      <c r="CE501"/>
      <c r="CF501"/>
      <c r="CG501"/>
      <c r="CH501"/>
      <c r="CI501"/>
      <c r="CU501" s="21">
        <v>496</v>
      </c>
      <c r="CV501" s="41">
        <v>2</v>
      </c>
      <c r="CW501" s="41">
        <v>1.0047263613915816</v>
      </c>
      <c r="CX501" s="41" t="e">
        <v>#N/A</v>
      </c>
      <c r="CY501" s="41">
        <v>1.0047263613915816</v>
      </c>
      <c r="CZ501" s="47" t="e">
        <v>#N/A</v>
      </c>
      <c r="DA501" t="e">
        <v>#N/A</v>
      </c>
      <c r="DB501" t="str">
        <v/>
      </c>
    </row>
    <row r="502" spans="83:106" x14ac:dyDescent="0.2">
      <c r="CE502"/>
      <c r="CF502"/>
      <c r="CG502"/>
      <c r="CH502"/>
      <c r="CI502"/>
      <c r="CU502" s="21">
        <v>497</v>
      </c>
      <c r="CV502" s="41">
        <v>2</v>
      </c>
      <c r="CW502" s="41">
        <v>1.0047263613915816</v>
      </c>
      <c r="CX502" s="41" t="e">
        <v>#N/A</v>
      </c>
      <c r="CY502" s="41">
        <v>1.0047263613915816</v>
      </c>
      <c r="CZ502" s="47" t="e">
        <v>#N/A</v>
      </c>
      <c r="DA502" t="e">
        <v>#N/A</v>
      </c>
      <c r="DB502" t="str">
        <v/>
      </c>
    </row>
    <row r="503" spans="83:106" x14ac:dyDescent="0.2">
      <c r="CE503"/>
      <c r="CF503"/>
      <c r="CG503"/>
      <c r="CH503"/>
      <c r="CI503"/>
      <c r="CU503" s="21">
        <v>498</v>
      </c>
      <c r="CV503" s="41">
        <v>2</v>
      </c>
      <c r="CW503" s="41">
        <v>1.0047263613915816</v>
      </c>
      <c r="CX503" s="41" t="e">
        <v>#N/A</v>
      </c>
      <c r="CY503" s="41">
        <v>1.0047263613915816</v>
      </c>
      <c r="CZ503" s="47" t="e">
        <v>#N/A</v>
      </c>
      <c r="DA503" t="e">
        <v>#N/A</v>
      </c>
      <c r="DB503" t="str">
        <v/>
      </c>
    </row>
    <row r="504" spans="83:106" x14ac:dyDescent="0.2">
      <c r="CE504"/>
      <c r="CF504"/>
      <c r="CG504"/>
      <c r="CH504"/>
      <c r="CI504"/>
      <c r="CU504" s="21">
        <v>499</v>
      </c>
      <c r="CV504" s="41">
        <v>2</v>
      </c>
      <c r="CW504" s="41">
        <v>1.0047263613915816</v>
      </c>
      <c r="CX504" s="41" t="e">
        <v>#N/A</v>
      </c>
      <c r="CY504" s="41">
        <v>1.0047263613915816</v>
      </c>
      <c r="CZ504" s="47" t="e">
        <v>#N/A</v>
      </c>
      <c r="DA504" t="e">
        <v>#N/A</v>
      </c>
      <c r="DB504" t="str">
        <v/>
      </c>
    </row>
    <row r="505" spans="83:106" x14ac:dyDescent="0.2">
      <c r="CE505"/>
      <c r="CF505"/>
      <c r="CG505"/>
      <c r="CH505"/>
      <c r="CI505"/>
      <c r="CU505" s="21">
        <v>500</v>
      </c>
      <c r="CV505" s="41">
        <v>2</v>
      </c>
      <c r="CW505" s="41">
        <v>1.0047263613915816</v>
      </c>
      <c r="CX505" s="41" t="e">
        <v>#N/A</v>
      </c>
      <c r="CY505" s="41">
        <v>1.0047263613915816</v>
      </c>
      <c r="CZ505" s="47" t="e">
        <v>#N/A</v>
      </c>
      <c r="DA505" t="e">
        <v>#N/A</v>
      </c>
      <c r="DB505" t="str">
        <v/>
      </c>
    </row>
    <row r="506" spans="83:106" x14ac:dyDescent="0.2">
      <c r="CE506"/>
      <c r="CF506"/>
      <c r="CG506"/>
      <c r="CH506"/>
      <c r="CI506"/>
      <c r="CU506" s="21">
        <v>501</v>
      </c>
      <c r="CV506" s="41">
        <v>2</v>
      </c>
      <c r="CW506" s="41">
        <v>1.0047263613915816</v>
      </c>
      <c r="CX506" s="41" t="e">
        <v>#N/A</v>
      </c>
      <c r="CY506" s="41">
        <v>1.0047263613915816</v>
      </c>
      <c r="CZ506" s="47" t="e">
        <v>#N/A</v>
      </c>
      <c r="DA506" t="e">
        <v>#N/A</v>
      </c>
      <c r="DB506" t="str">
        <v/>
      </c>
    </row>
    <row r="507" spans="83:106" x14ac:dyDescent="0.2">
      <c r="CE507"/>
      <c r="CF507"/>
      <c r="CG507"/>
      <c r="CH507"/>
      <c r="CI507"/>
      <c r="CU507" s="21">
        <v>502</v>
      </c>
      <c r="CV507" s="41">
        <v>2</v>
      </c>
      <c r="CW507" s="41">
        <v>1.0047263613915816</v>
      </c>
      <c r="CX507" s="41" t="e">
        <v>#N/A</v>
      </c>
      <c r="CY507" s="41">
        <v>1.0047263613915816</v>
      </c>
      <c r="CZ507" s="47" t="e">
        <v>#N/A</v>
      </c>
      <c r="DA507" t="e">
        <v>#N/A</v>
      </c>
      <c r="DB507" t="str">
        <v/>
      </c>
    </row>
    <row r="508" spans="83:106" x14ac:dyDescent="0.2">
      <c r="CE508"/>
      <c r="CF508"/>
      <c r="CG508"/>
      <c r="CH508"/>
      <c r="CI508"/>
      <c r="CU508" s="21">
        <v>503</v>
      </c>
      <c r="CV508" s="41">
        <v>2</v>
      </c>
      <c r="CW508" s="41">
        <v>1.0047263613915816</v>
      </c>
      <c r="CX508" s="41" t="e">
        <v>#N/A</v>
      </c>
      <c r="CY508" s="41">
        <v>1.0047263613915816</v>
      </c>
      <c r="CZ508" s="47" t="e">
        <v>#N/A</v>
      </c>
      <c r="DA508" t="e">
        <v>#N/A</v>
      </c>
      <c r="DB508" t="str">
        <v/>
      </c>
    </row>
    <row r="509" spans="83:106" x14ac:dyDescent="0.2">
      <c r="CE509"/>
      <c r="CF509"/>
      <c r="CG509"/>
      <c r="CH509"/>
      <c r="CI509"/>
      <c r="CU509" s="21">
        <v>504</v>
      </c>
      <c r="CV509" s="41">
        <v>2</v>
      </c>
      <c r="CW509" s="41">
        <v>1.0047263613915816</v>
      </c>
      <c r="CX509" s="41" t="e">
        <v>#N/A</v>
      </c>
      <c r="CY509" s="41">
        <v>1.0047263613915816</v>
      </c>
      <c r="CZ509" s="47" t="e">
        <v>#N/A</v>
      </c>
      <c r="DA509" t="e">
        <v>#N/A</v>
      </c>
      <c r="DB509" t="str">
        <v/>
      </c>
    </row>
    <row r="510" spans="83:106" x14ac:dyDescent="0.2">
      <c r="CE510"/>
      <c r="CF510"/>
      <c r="CG510"/>
      <c r="CH510"/>
      <c r="CI510"/>
      <c r="CU510" s="21">
        <v>505</v>
      </c>
      <c r="CV510" s="41">
        <v>2</v>
      </c>
      <c r="CW510" s="41">
        <v>1.0047263613915816</v>
      </c>
      <c r="CX510" s="41" t="e">
        <v>#N/A</v>
      </c>
      <c r="CY510" s="41">
        <v>1.0047263613915816</v>
      </c>
      <c r="CZ510" s="47" t="e">
        <v>#N/A</v>
      </c>
      <c r="DA510" t="e">
        <v>#N/A</v>
      </c>
      <c r="DB510" t="str">
        <v/>
      </c>
    </row>
    <row r="511" spans="83:106" x14ac:dyDescent="0.2">
      <c r="CE511"/>
      <c r="CF511"/>
      <c r="CG511"/>
      <c r="CH511"/>
      <c r="CI511"/>
      <c r="CU511" s="21">
        <v>506</v>
      </c>
      <c r="CV511" s="41">
        <v>2</v>
      </c>
      <c r="CW511" s="41">
        <v>1.0047263613915816</v>
      </c>
      <c r="CX511" s="41" t="e">
        <v>#N/A</v>
      </c>
      <c r="CY511" s="41">
        <v>1.0047263613915816</v>
      </c>
      <c r="CZ511" s="47" t="e">
        <v>#N/A</v>
      </c>
      <c r="DA511" t="e">
        <v>#N/A</v>
      </c>
      <c r="DB511" t="str">
        <v/>
      </c>
    </row>
    <row r="512" spans="83:106" x14ac:dyDescent="0.2">
      <c r="CE512"/>
      <c r="CF512"/>
      <c r="CG512"/>
      <c r="CH512"/>
      <c r="CI512"/>
      <c r="CU512" s="21">
        <v>507</v>
      </c>
      <c r="CV512" s="41">
        <v>2</v>
      </c>
      <c r="CW512" s="41">
        <v>1.0047263613915816</v>
      </c>
      <c r="CX512" s="41" t="e">
        <v>#N/A</v>
      </c>
      <c r="CY512" s="41">
        <v>1.0047263613915816</v>
      </c>
      <c r="CZ512" s="47" t="e">
        <v>#N/A</v>
      </c>
      <c r="DA512" t="e">
        <v>#N/A</v>
      </c>
      <c r="DB512" t="str">
        <v/>
      </c>
    </row>
    <row r="513" spans="83:106" x14ac:dyDescent="0.2">
      <c r="CE513"/>
      <c r="CF513"/>
      <c r="CG513"/>
      <c r="CH513"/>
      <c r="CI513"/>
      <c r="CU513" s="21">
        <v>508</v>
      </c>
      <c r="CV513" s="41">
        <v>2</v>
      </c>
      <c r="CW513" s="41">
        <v>1.0047263613915816</v>
      </c>
      <c r="CX513" s="41" t="e">
        <v>#N/A</v>
      </c>
      <c r="CY513" s="41">
        <v>1.0047263613915816</v>
      </c>
      <c r="CZ513" s="47" t="e">
        <v>#N/A</v>
      </c>
      <c r="DA513" t="e">
        <v>#N/A</v>
      </c>
      <c r="DB513" t="str">
        <v/>
      </c>
    </row>
    <row r="514" spans="83:106" x14ac:dyDescent="0.2">
      <c r="CE514"/>
      <c r="CF514"/>
      <c r="CG514"/>
      <c r="CH514"/>
      <c r="CI514"/>
      <c r="CU514" s="21">
        <v>509</v>
      </c>
      <c r="CV514" s="41">
        <v>2</v>
      </c>
      <c r="CW514" s="41">
        <v>1.0047263613915816</v>
      </c>
      <c r="CX514" s="41" t="e">
        <v>#N/A</v>
      </c>
      <c r="CY514" s="41">
        <v>1.0047263613915816</v>
      </c>
      <c r="CZ514" s="47" t="e">
        <v>#N/A</v>
      </c>
      <c r="DA514" t="e">
        <v>#N/A</v>
      </c>
      <c r="DB514" t="str">
        <v/>
      </c>
    </row>
    <row r="515" spans="83:106" x14ac:dyDescent="0.2">
      <c r="CE515"/>
      <c r="CF515"/>
      <c r="CG515"/>
      <c r="CH515"/>
      <c r="CI515"/>
      <c r="CU515" s="21">
        <v>510</v>
      </c>
      <c r="CV515" s="41">
        <v>2</v>
      </c>
      <c r="CW515" s="41">
        <v>1.0047263613915816</v>
      </c>
      <c r="CX515" s="41" t="e">
        <v>#N/A</v>
      </c>
      <c r="CY515" s="41">
        <v>1.0047263613915816</v>
      </c>
      <c r="CZ515" s="47" t="e">
        <v>#N/A</v>
      </c>
      <c r="DA515" t="e">
        <v>#N/A</v>
      </c>
      <c r="DB515" t="str">
        <v/>
      </c>
    </row>
    <row r="516" spans="83:106" x14ac:dyDescent="0.2">
      <c r="CE516"/>
      <c r="CF516"/>
      <c r="CG516"/>
      <c r="CH516"/>
      <c r="CI516"/>
      <c r="CU516" s="21">
        <v>511</v>
      </c>
      <c r="CV516" s="41">
        <v>2</v>
      </c>
      <c r="CW516" s="41">
        <v>1.0047263613915816</v>
      </c>
      <c r="CX516" s="41" t="e">
        <v>#N/A</v>
      </c>
      <c r="CY516" s="41">
        <v>1.0047263613915816</v>
      </c>
      <c r="CZ516" s="47" t="e">
        <v>#N/A</v>
      </c>
      <c r="DA516" t="e">
        <v>#N/A</v>
      </c>
      <c r="DB516" t="str">
        <v/>
      </c>
    </row>
    <row r="517" spans="83:106" x14ac:dyDescent="0.2">
      <c r="CE517"/>
      <c r="CF517"/>
      <c r="CG517"/>
      <c r="CH517"/>
      <c r="CI517"/>
      <c r="CU517" s="21">
        <v>512</v>
      </c>
      <c r="CV517" s="41">
        <v>2</v>
      </c>
      <c r="CW517" s="41">
        <v>1.0047263613915816</v>
      </c>
      <c r="CX517" s="41" t="e">
        <v>#N/A</v>
      </c>
      <c r="CY517" s="41">
        <v>1.0047263613915816</v>
      </c>
      <c r="CZ517" s="47" t="e">
        <v>#N/A</v>
      </c>
      <c r="DA517" t="e">
        <v>#N/A</v>
      </c>
      <c r="DB517" t="str">
        <v/>
      </c>
    </row>
    <row r="518" spans="83:106" x14ac:dyDescent="0.2">
      <c r="CE518"/>
      <c r="CF518"/>
      <c r="CG518"/>
      <c r="CH518"/>
      <c r="CI518"/>
      <c r="CU518" s="21">
        <v>513</v>
      </c>
      <c r="CV518" s="41">
        <v>2</v>
      </c>
      <c r="CW518" s="41">
        <v>1.0047263613915816</v>
      </c>
      <c r="CX518" s="41" t="e">
        <v>#N/A</v>
      </c>
      <c r="CY518" s="41">
        <v>1.0047263613915816</v>
      </c>
      <c r="CZ518" s="47" t="e">
        <v>#N/A</v>
      </c>
      <c r="DA518" t="e">
        <v>#N/A</v>
      </c>
      <c r="DB518" t="str">
        <v/>
      </c>
    </row>
    <row r="519" spans="83:106" x14ac:dyDescent="0.2">
      <c r="CE519"/>
      <c r="CF519"/>
      <c r="CG519"/>
      <c r="CH519"/>
      <c r="CI519"/>
      <c r="CU519" s="21">
        <v>514</v>
      </c>
      <c r="CV519" s="41">
        <v>2</v>
      </c>
      <c r="CW519" s="41">
        <v>1.0047263613915816</v>
      </c>
      <c r="CX519" s="41" t="e">
        <v>#N/A</v>
      </c>
      <c r="CY519" s="41">
        <v>1.0047263613915816</v>
      </c>
      <c r="CZ519" s="47" t="e">
        <v>#N/A</v>
      </c>
      <c r="DA519" t="e">
        <v>#N/A</v>
      </c>
      <c r="DB519" t="str">
        <v/>
      </c>
    </row>
    <row r="520" spans="83:106" x14ac:dyDescent="0.2">
      <c r="CE520"/>
      <c r="CF520"/>
      <c r="CG520"/>
      <c r="CH520"/>
      <c r="CI520"/>
      <c r="CU520" s="21">
        <v>515</v>
      </c>
      <c r="CV520" s="41">
        <v>2</v>
      </c>
      <c r="CW520" s="41">
        <v>1.0047263613915816</v>
      </c>
      <c r="CX520" s="41" t="e">
        <v>#N/A</v>
      </c>
      <c r="CY520" s="41">
        <v>1.0047263613915816</v>
      </c>
      <c r="CZ520" s="47" t="e">
        <v>#N/A</v>
      </c>
      <c r="DA520" t="e">
        <v>#N/A</v>
      </c>
      <c r="DB520" t="str">
        <v/>
      </c>
    </row>
    <row r="521" spans="83:106" x14ac:dyDescent="0.2">
      <c r="CE521"/>
      <c r="CF521"/>
      <c r="CG521"/>
      <c r="CH521"/>
      <c r="CI521"/>
      <c r="CU521" s="21">
        <v>516</v>
      </c>
      <c r="CV521" s="41">
        <v>2</v>
      </c>
      <c r="CW521" s="41">
        <v>1.0047263613915816</v>
      </c>
      <c r="CX521" s="41" t="e">
        <v>#N/A</v>
      </c>
      <c r="CY521" s="41">
        <v>1.0047263613915816</v>
      </c>
      <c r="CZ521" s="47" t="e">
        <v>#N/A</v>
      </c>
      <c r="DA521" t="e">
        <v>#N/A</v>
      </c>
      <c r="DB521" t="str">
        <v/>
      </c>
    </row>
    <row r="522" spans="83:106" x14ac:dyDescent="0.2">
      <c r="CE522"/>
      <c r="CF522"/>
      <c r="CG522"/>
      <c r="CH522"/>
      <c r="CI522"/>
      <c r="CU522" s="21">
        <v>517</v>
      </c>
      <c r="CV522" s="41">
        <v>2</v>
      </c>
      <c r="CW522" s="41">
        <v>1.0047263613915816</v>
      </c>
      <c r="CX522" s="41" t="e">
        <v>#N/A</v>
      </c>
      <c r="CY522" s="41">
        <v>1.0047263613915816</v>
      </c>
      <c r="CZ522" s="47" t="e">
        <v>#N/A</v>
      </c>
      <c r="DA522" t="e">
        <v>#N/A</v>
      </c>
      <c r="DB522" t="str">
        <v/>
      </c>
    </row>
    <row r="523" spans="83:106" x14ac:dyDescent="0.2">
      <c r="CE523"/>
      <c r="CF523"/>
      <c r="CG523"/>
      <c r="CH523"/>
      <c r="CI523"/>
      <c r="CU523" s="21">
        <v>518</v>
      </c>
      <c r="CV523" s="41">
        <v>2</v>
      </c>
      <c r="CW523" s="41">
        <v>1.0047263613915816</v>
      </c>
      <c r="CX523" s="41" t="e">
        <v>#N/A</v>
      </c>
      <c r="CY523" s="41">
        <v>1.0047263613915816</v>
      </c>
      <c r="CZ523" s="47" t="e">
        <v>#N/A</v>
      </c>
      <c r="DA523" t="e">
        <v>#N/A</v>
      </c>
      <c r="DB523" t="str">
        <v/>
      </c>
    </row>
    <row r="524" spans="83:106" x14ac:dyDescent="0.2">
      <c r="CE524"/>
      <c r="CF524"/>
      <c r="CG524"/>
      <c r="CH524"/>
      <c r="CI524"/>
      <c r="CU524" s="21">
        <v>519</v>
      </c>
      <c r="CV524" s="41">
        <v>2</v>
      </c>
      <c r="CW524" s="41">
        <v>1.0047263613915816</v>
      </c>
      <c r="CX524" s="41" t="e">
        <v>#N/A</v>
      </c>
      <c r="CY524" s="41">
        <v>1.0047263613915816</v>
      </c>
      <c r="CZ524" s="47" t="e">
        <v>#N/A</v>
      </c>
      <c r="DA524" t="e">
        <v>#N/A</v>
      </c>
      <c r="DB524" t="str">
        <v/>
      </c>
    </row>
    <row r="525" spans="83:106" x14ac:dyDescent="0.2">
      <c r="CE525"/>
      <c r="CF525"/>
      <c r="CG525"/>
      <c r="CH525"/>
      <c r="CI525"/>
      <c r="CU525" s="21">
        <v>520</v>
      </c>
      <c r="CV525" s="41">
        <v>2</v>
      </c>
      <c r="CW525" s="41">
        <v>1.0047263613915816</v>
      </c>
      <c r="CX525" s="41" t="e">
        <v>#N/A</v>
      </c>
      <c r="CY525" s="41">
        <v>1.0047263613915816</v>
      </c>
      <c r="CZ525" s="47" t="e">
        <v>#N/A</v>
      </c>
      <c r="DA525" t="e">
        <v>#N/A</v>
      </c>
      <c r="DB525" t="str">
        <v/>
      </c>
    </row>
    <row r="526" spans="83:106" x14ac:dyDescent="0.2">
      <c r="CE526"/>
      <c r="CF526"/>
      <c r="CG526"/>
      <c r="CH526"/>
      <c r="CI526"/>
      <c r="CU526" s="21">
        <v>521</v>
      </c>
      <c r="CV526" s="41">
        <v>2</v>
      </c>
      <c r="CW526" s="41">
        <v>1.0047263613915816</v>
      </c>
      <c r="CX526" s="41" t="e">
        <v>#N/A</v>
      </c>
      <c r="CY526" s="41">
        <v>1.0047263613915816</v>
      </c>
      <c r="CZ526" s="47" t="e">
        <v>#N/A</v>
      </c>
      <c r="DA526" t="e">
        <v>#N/A</v>
      </c>
      <c r="DB526" t="str">
        <v/>
      </c>
    </row>
    <row r="527" spans="83:106" x14ac:dyDescent="0.2">
      <c r="CE527"/>
      <c r="CF527"/>
      <c r="CG527"/>
      <c r="CH527"/>
      <c r="CI527"/>
      <c r="CU527" s="21">
        <v>522</v>
      </c>
      <c r="CV527" s="41">
        <v>2</v>
      </c>
      <c r="CW527" s="41">
        <v>1.0047263613915816</v>
      </c>
      <c r="CX527" s="41" t="e">
        <v>#N/A</v>
      </c>
      <c r="CY527" s="41">
        <v>1.0047263613915816</v>
      </c>
      <c r="CZ527" s="47" t="e">
        <v>#N/A</v>
      </c>
      <c r="DA527" t="e">
        <v>#N/A</v>
      </c>
      <c r="DB527" t="str">
        <v/>
      </c>
    </row>
    <row r="528" spans="83:106" x14ac:dyDescent="0.2">
      <c r="CE528"/>
      <c r="CF528"/>
      <c r="CG528"/>
      <c r="CH528"/>
      <c r="CI528"/>
      <c r="CU528" s="21">
        <v>523</v>
      </c>
      <c r="CV528" s="41">
        <v>2</v>
      </c>
      <c r="CW528" s="41">
        <v>1.0047263613915816</v>
      </c>
      <c r="CX528" s="41" t="e">
        <v>#N/A</v>
      </c>
      <c r="CY528" s="41">
        <v>1.0047263613915816</v>
      </c>
      <c r="CZ528" s="47" t="e">
        <v>#N/A</v>
      </c>
      <c r="DA528" t="e">
        <v>#N/A</v>
      </c>
      <c r="DB528" t="str">
        <v/>
      </c>
    </row>
    <row r="529" spans="83:106" x14ac:dyDescent="0.2">
      <c r="CE529"/>
      <c r="CF529"/>
      <c r="CG529"/>
      <c r="CH529"/>
      <c r="CI529"/>
      <c r="CU529" s="21">
        <v>524</v>
      </c>
      <c r="CV529" s="41">
        <v>2</v>
      </c>
      <c r="CW529" s="41">
        <v>1.0047263613915816</v>
      </c>
      <c r="CX529" s="41" t="e">
        <v>#N/A</v>
      </c>
      <c r="CY529" s="41">
        <v>1.0047263613915816</v>
      </c>
      <c r="CZ529" s="47" t="e">
        <v>#N/A</v>
      </c>
      <c r="DA529" t="e">
        <v>#N/A</v>
      </c>
      <c r="DB529" t="str">
        <v/>
      </c>
    </row>
    <row r="530" spans="83:106" x14ac:dyDescent="0.2">
      <c r="CE530"/>
      <c r="CF530"/>
      <c r="CG530"/>
      <c r="CH530"/>
      <c r="CI530"/>
      <c r="CU530" s="21">
        <v>525</v>
      </c>
      <c r="CV530" s="41">
        <v>2</v>
      </c>
      <c r="CW530" s="41">
        <v>1.0047263613915816</v>
      </c>
      <c r="CX530" s="41" t="e">
        <v>#N/A</v>
      </c>
      <c r="CY530" s="41">
        <v>1.0047263613915816</v>
      </c>
      <c r="CZ530" s="47" t="e">
        <v>#N/A</v>
      </c>
      <c r="DA530" t="e">
        <v>#N/A</v>
      </c>
      <c r="DB530" t="str">
        <v/>
      </c>
    </row>
    <row r="531" spans="83:106" x14ac:dyDescent="0.2">
      <c r="CE531"/>
      <c r="CF531"/>
      <c r="CG531"/>
      <c r="CH531"/>
      <c r="CI531"/>
      <c r="CU531" s="21">
        <v>526</v>
      </c>
      <c r="CV531" s="41">
        <v>2</v>
      </c>
      <c r="CW531" s="41">
        <v>1.0047263613915816</v>
      </c>
      <c r="CX531" s="41" t="e">
        <v>#N/A</v>
      </c>
      <c r="CY531" s="41">
        <v>1.0047263613915816</v>
      </c>
      <c r="CZ531" s="47" t="e">
        <v>#N/A</v>
      </c>
      <c r="DA531" t="e">
        <v>#N/A</v>
      </c>
      <c r="DB531" t="str">
        <v/>
      </c>
    </row>
    <row r="532" spans="83:106" x14ac:dyDescent="0.2">
      <c r="CE532"/>
      <c r="CF532"/>
      <c r="CG532"/>
      <c r="CH532"/>
      <c r="CI532"/>
      <c r="CU532" s="21">
        <v>527</v>
      </c>
      <c r="CV532" s="41">
        <v>2</v>
      </c>
      <c r="CW532" s="41">
        <v>1.0047263613915816</v>
      </c>
      <c r="CX532" s="41" t="e">
        <v>#N/A</v>
      </c>
      <c r="CY532" s="41">
        <v>1.0047263613915816</v>
      </c>
      <c r="CZ532" s="47" t="e">
        <v>#N/A</v>
      </c>
      <c r="DA532" t="e">
        <v>#N/A</v>
      </c>
      <c r="DB532" t="str">
        <v/>
      </c>
    </row>
    <row r="533" spans="83:106" x14ac:dyDescent="0.2">
      <c r="CE533"/>
      <c r="CF533"/>
      <c r="CG533"/>
      <c r="CH533"/>
      <c r="CI533"/>
      <c r="CU533" s="21">
        <v>528</v>
      </c>
      <c r="CV533" s="41">
        <v>2</v>
      </c>
      <c r="CW533" s="41">
        <v>1.0047263613915816</v>
      </c>
      <c r="CX533" s="41" t="e">
        <v>#N/A</v>
      </c>
      <c r="CY533" s="41">
        <v>1.0047263613915816</v>
      </c>
      <c r="CZ533" s="47" t="e">
        <v>#N/A</v>
      </c>
      <c r="DA533" t="e">
        <v>#N/A</v>
      </c>
      <c r="DB533" t="str">
        <v/>
      </c>
    </row>
    <row r="534" spans="83:106" x14ac:dyDescent="0.2">
      <c r="CE534"/>
      <c r="CF534"/>
      <c r="CG534"/>
      <c r="CH534"/>
      <c r="CI534"/>
      <c r="CU534" s="21">
        <v>529</v>
      </c>
      <c r="CV534" s="41">
        <v>2</v>
      </c>
      <c r="CW534" s="41">
        <v>1.0047263613915816</v>
      </c>
      <c r="CX534" s="41" t="e">
        <v>#N/A</v>
      </c>
      <c r="CY534" s="41">
        <v>1.0047263613915816</v>
      </c>
      <c r="CZ534" s="47" t="e">
        <v>#N/A</v>
      </c>
      <c r="DA534" t="e">
        <v>#N/A</v>
      </c>
      <c r="DB534" t="str">
        <v/>
      </c>
    </row>
    <row r="535" spans="83:106" x14ac:dyDescent="0.2">
      <c r="CE535"/>
      <c r="CF535"/>
      <c r="CG535"/>
      <c r="CH535"/>
      <c r="CI535"/>
      <c r="CU535" s="21">
        <v>530</v>
      </c>
      <c r="CV535" s="41">
        <v>2</v>
      </c>
      <c r="CW535" s="41">
        <v>1.0047263613915816</v>
      </c>
      <c r="CX535" s="41" t="e">
        <v>#N/A</v>
      </c>
      <c r="CY535" s="41">
        <v>1.0047263613915816</v>
      </c>
      <c r="CZ535" s="47" t="e">
        <v>#N/A</v>
      </c>
      <c r="DA535" t="e">
        <v>#N/A</v>
      </c>
      <c r="DB535" t="str">
        <v/>
      </c>
    </row>
    <row r="536" spans="83:106" x14ac:dyDescent="0.2">
      <c r="CE536"/>
      <c r="CF536"/>
      <c r="CG536"/>
      <c r="CH536"/>
      <c r="CI536"/>
      <c r="CU536" s="21">
        <v>531</v>
      </c>
      <c r="CV536" s="41">
        <v>2</v>
      </c>
      <c r="CW536" s="41">
        <v>1.0047263613915816</v>
      </c>
      <c r="CX536" s="41" t="e">
        <v>#N/A</v>
      </c>
      <c r="CY536" s="41">
        <v>1.0047263613915816</v>
      </c>
      <c r="CZ536" s="47" t="e">
        <v>#N/A</v>
      </c>
      <c r="DA536" t="e">
        <v>#N/A</v>
      </c>
      <c r="DB536" t="str">
        <v/>
      </c>
    </row>
    <row r="537" spans="83:106" x14ac:dyDescent="0.2">
      <c r="CE537"/>
      <c r="CF537"/>
      <c r="CG537"/>
      <c r="CH537"/>
      <c r="CI537"/>
      <c r="CU537" s="21">
        <v>532</v>
      </c>
      <c r="CV537" s="41">
        <v>2</v>
      </c>
      <c r="CW537" s="41">
        <v>1.0047263613915816</v>
      </c>
      <c r="CX537" s="41" t="e">
        <v>#N/A</v>
      </c>
      <c r="CY537" s="41">
        <v>1.0047263613915816</v>
      </c>
      <c r="CZ537" s="47" t="e">
        <v>#N/A</v>
      </c>
      <c r="DA537" t="e">
        <v>#N/A</v>
      </c>
      <c r="DB537" t="str">
        <v/>
      </c>
    </row>
    <row r="538" spans="83:106" x14ac:dyDescent="0.2">
      <c r="CE538"/>
      <c r="CF538"/>
      <c r="CG538"/>
      <c r="CH538"/>
      <c r="CI538"/>
      <c r="CU538" s="21">
        <v>533</v>
      </c>
      <c r="CV538" s="41">
        <v>2</v>
      </c>
      <c r="CW538" s="41">
        <v>1.0047263613915816</v>
      </c>
      <c r="CX538" s="41" t="e">
        <v>#N/A</v>
      </c>
      <c r="CY538" s="41">
        <v>1.0047263613915816</v>
      </c>
      <c r="CZ538" s="47" t="e">
        <v>#N/A</v>
      </c>
      <c r="DA538" t="e">
        <v>#N/A</v>
      </c>
      <c r="DB538" t="str">
        <v/>
      </c>
    </row>
    <row r="539" spans="83:106" x14ac:dyDescent="0.2">
      <c r="CE539"/>
      <c r="CF539"/>
      <c r="CG539"/>
      <c r="CH539"/>
      <c r="CI539"/>
      <c r="CU539" s="21">
        <v>534</v>
      </c>
      <c r="CV539" s="41">
        <v>2</v>
      </c>
      <c r="CW539" s="41">
        <v>1.0047263613915816</v>
      </c>
      <c r="CX539" s="41" t="e">
        <v>#N/A</v>
      </c>
      <c r="CY539" s="41">
        <v>1.0047263613915816</v>
      </c>
      <c r="CZ539" s="47" t="e">
        <v>#N/A</v>
      </c>
      <c r="DA539" t="e">
        <v>#N/A</v>
      </c>
      <c r="DB539" t="str">
        <v/>
      </c>
    </row>
    <row r="540" spans="83:106" x14ac:dyDescent="0.2">
      <c r="CE540"/>
      <c r="CF540"/>
      <c r="CG540"/>
      <c r="CH540"/>
      <c r="CI540"/>
      <c r="CU540" s="21">
        <v>535</v>
      </c>
      <c r="CV540" s="41">
        <v>2</v>
      </c>
      <c r="CW540" s="41">
        <v>1.0047263613915816</v>
      </c>
      <c r="CX540" s="41" t="e">
        <v>#N/A</v>
      </c>
      <c r="CY540" s="41">
        <v>1.0047263613915816</v>
      </c>
      <c r="CZ540" s="47" t="e">
        <v>#N/A</v>
      </c>
      <c r="DA540" t="e">
        <v>#N/A</v>
      </c>
      <c r="DB540" t="str">
        <v/>
      </c>
    </row>
    <row r="541" spans="83:106" x14ac:dyDescent="0.2">
      <c r="CE541"/>
      <c r="CF541"/>
      <c r="CG541"/>
      <c r="CH541"/>
      <c r="CI541"/>
      <c r="CU541" s="21">
        <v>536</v>
      </c>
      <c r="CV541" s="41">
        <v>2</v>
      </c>
      <c r="CW541" s="41">
        <v>1.0047263613915816</v>
      </c>
      <c r="CX541" s="41" t="e">
        <v>#N/A</v>
      </c>
      <c r="CY541" s="41">
        <v>1.0047263613915816</v>
      </c>
      <c r="CZ541" s="47" t="e">
        <v>#N/A</v>
      </c>
      <c r="DA541" t="e">
        <v>#N/A</v>
      </c>
      <c r="DB541" t="str">
        <v/>
      </c>
    </row>
    <row r="542" spans="83:106" x14ac:dyDescent="0.2">
      <c r="CE542"/>
      <c r="CF542"/>
      <c r="CG542"/>
      <c r="CH542"/>
      <c r="CI542"/>
      <c r="CU542" s="21">
        <v>537</v>
      </c>
      <c r="CV542" s="41">
        <v>2</v>
      </c>
      <c r="CW542" s="41">
        <v>1.0047263613915816</v>
      </c>
      <c r="CX542" s="41" t="e">
        <v>#N/A</v>
      </c>
      <c r="CY542" s="41">
        <v>1.0047263613915816</v>
      </c>
      <c r="CZ542" s="47" t="e">
        <v>#N/A</v>
      </c>
      <c r="DA542" t="e">
        <v>#N/A</v>
      </c>
      <c r="DB542" t="str">
        <v/>
      </c>
    </row>
    <row r="543" spans="83:106" x14ac:dyDescent="0.2">
      <c r="CE543"/>
      <c r="CF543"/>
      <c r="CG543"/>
      <c r="CH543"/>
      <c r="CI543"/>
      <c r="CU543" s="21">
        <v>538</v>
      </c>
      <c r="CV543" s="41">
        <v>2</v>
      </c>
      <c r="CW543" s="41">
        <v>1.0047263613915816</v>
      </c>
      <c r="CX543" s="41" t="e">
        <v>#N/A</v>
      </c>
      <c r="CY543" s="41">
        <v>1.0047263613915816</v>
      </c>
      <c r="CZ543" s="47" t="e">
        <v>#N/A</v>
      </c>
      <c r="DA543" t="e">
        <v>#N/A</v>
      </c>
      <c r="DB543" t="str">
        <v/>
      </c>
    </row>
    <row r="544" spans="83:106" x14ac:dyDescent="0.2">
      <c r="CE544"/>
      <c r="CF544"/>
      <c r="CG544"/>
      <c r="CH544"/>
      <c r="CI544"/>
      <c r="CU544" s="21">
        <v>539</v>
      </c>
      <c r="CV544" s="41">
        <v>2</v>
      </c>
      <c r="CW544" s="41">
        <v>1.0047263613915816</v>
      </c>
      <c r="CX544" s="41" t="e">
        <v>#N/A</v>
      </c>
      <c r="CY544" s="41">
        <v>1.0047263613915816</v>
      </c>
      <c r="CZ544" s="47" t="e">
        <v>#N/A</v>
      </c>
      <c r="DA544" t="e">
        <v>#N/A</v>
      </c>
      <c r="DB544" t="str">
        <v/>
      </c>
    </row>
    <row r="545" spans="83:106" x14ac:dyDescent="0.2">
      <c r="CE545"/>
      <c r="CF545"/>
      <c r="CG545"/>
      <c r="CH545"/>
      <c r="CI545"/>
      <c r="CU545" s="21">
        <v>540</v>
      </c>
      <c r="CV545" s="41">
        <v>2</v>
      </c>
      <c r="CW545" s="41">
        <v>1.0047263613915816</v>
      </c>
      <c r="CX545" s="41" t="e">
        <v>#N/A</v>
      </c>
      <c r="CY545" s="41">
        <v>1.0047263613915816</v>
      </c>
      <c r="CZ545" s="47" t="e">
        <v>#N/A</v>
      </c>
      <c r="DA545" t="e">
        <v>#N/A</v>
      </c>
      <c r="DB545" t="str">
        <v/>
      </c>
    </row>
    <row r="546" spans="83:106" x14ac:dyDescent="0.2">
      <c r="CE546"/>
      <c r="CF546"/>
      <c r="CG546"/>
      <c r="CH546"/>
      <c r="CI546"/>
      <c r="CU546" s="21">
        <v>541</v>
      </c>
      <c r="CV546" s="41">
        <v>2</v>
      </c>
      <c r="CW546" s="41">
        <v>1.0047263613915816</v>
      </c>
      <c r="CX546" s="41" t="e">
        <v>#N/A</v>
      </c>
      <c r="CY546" s="41">
        <v>1.0047263613915816</v>
      </c>
      <c r="CZ546" s="47" t="e">
        <v>#N/A</v>
      </c>
      <c r="DA546" t="e">
        <v>#N/A</v>
      </c>
      <c r="DB546" t="str">
        <v/>
      </c>
    </row>
    <row r="547" spans="83:106" x14ac:dyDescent="0.2">
      <c r="CE547"/>
      <c r="CF547"/>
      <c r="CG547"/>
      <c r="CH547"/>
      <c r="CI547"/>
      <c r="CU547" s="21">
        <v>542</v>
      </c>
      <c r="CV547" s="41">
        <v>2</v>
      </c>
      <c r="CW547" s="41">
        <v>1.0047263613915816</v>
      </c>
      <c r="CX547" s="41" t="e">
        <v>#N/A</v>
      </c>
      <c r="CY547" s="41">
        <v>1.0047263613915816</v>
      </c>
      <c r="CZ547" s="47" t="e">
        <v>#N/A</v>
      </c>
      <c r="DA547" t="e">
        <v>#N/A</v>
      </c>
      <c r="DB547" t="str">
        <v/>
      </c>
    </row>
    <row r="548" spans="83:106" x14ac:dyDescent="0.2">
      <c r="CE548"/>
      <c r="CF548"/>
      <c r="CG548"/>
      <c r="CH548"/>
      <c r="CI548"/>
      <c r="CU548" s="21">
        <v>543</v>
      </c>
      <c r="CV548" s="41">
        <v>2</v>
      </c>
      <c r="CW548" s="41">
        <v>1.0047263613915816</v>
      </c>
      <c r="CX548" s="41" t="e">
        <v>#N/A</v>
      </c>
      <c r="CY548" s="41">
        <v>1.0047263613915816</v>
      </c>
      <c r="CZ548" s="47" t="e">
        <v>#N/A</v>
      </c>
      <c r="DA548" t="e">
        <v>#N/A</v>
      </c>
      <c r="DB548" t="str">
        <v/>
      </c>
    </row>
    <row r="549" spans="83:106" x14ac:dyDescent="0.2">
      <c r="CE549"/>
      <c r="CF549"/>
      <c r="CG549"/>
      <c r="CH549"/>
      <c r="CI549"/>
      <c r="CU549" s="21">
        <v>544</v>
      </c>
      <c r="CV549" s="41">
        <v>2</v>
      </c>
      <c r="CW549" s="41">
        <v>1.0047263613915816</v>
      </c>
      <c r="CX549" s="41" t="e">
        <v>#N/A</v>
      </c>
      <c r="CY549" s="41">
        <v>1.0047263613915816</v>
      </c>
      <c r="CZ549" s="47" t="e">
        <v>#N/A</v>
      </c>
      <c r="DA549" t="e">
        <v>#N/A</v>
      </c>
      <c r="DB549" t="str">
        <v/>
      </c>
    </row>
    <row r="550" spans="83:106" x14ac:dyDescent="0.2">
      <c r="CE550"/>
      <c r="CF550"/>
      <c r="CG550"/>
      <c r="CH550"/>
      <c r="CI550"/>
      <c r="CU550" s="21">
        <v>545</v>
      </c>
      <c r="CV550" s="41">
        <v>2</v>
      </c>
      <c r="CW550" s="41">
        <v>1.0047263613915816</v>
      </c>
      <c r="CX550" s="41" t="e">
        <v>#N/A</v>
      </c>
      <c r="CY550" s="41">
        <v>1.0047263613915816</v>
      </c>
      <c r="CZ550" s="47" t="e">
        <v>#N/A</v>
      </c>
      <c r="DA550" t="e">
        <v>#N/A</v>
      </c>
      <c r="DB550" t="str">
        <v/>
      </c>
    </row>
    <row r="551" spans="83:106" x14ac:dyDescent="0.2">
      <c r="CE551"/>
      <c r="CF551"/>
      <c r="CG551"/>
      <c r="CH551"/>
      <c r="CI551"/>
      <c r="CU551" s="21">
        <v>546</v>
      </c>
      <c r="CV551" s="41">
        <v>2</v>
      </c>
      <c r="CW551" s="41">
        <v>1.0047263613915816</v>
      </c>
      <c r="CX551" s="41" t="e">
        <v>#N/A</v>
      </c>
      <c r="CY551" s="41">
        <v>1.0047263613915816</v>
      </c>
      <c r="CZ551" s="47" t="e">
        <v>#N/A</v>
      </c>
      <c r="DA551" t="e">
        <v>#N/A</v>
      </c>
      <c r="DB551" t="str">
        <v/>
      </c>
    </row>
    <row r="552" spans="83:106" x14ac:dyDescent="0.2">
      <c r="CE552"/>
      <c r="CF552"/>
      <c r="CG552"/>
      <c r="CH552"/>
      <c r="CI552"/>
      <c r="CU552" s="21">
        <v>547</v>
      </c>
      <c r="CV552" s="41">
        <v>2</v>
      </c>
      <c r="CW552" s="41">
        <v>1.0047263613915816</v>
      </c>
      <c r="CX552" s="41" t="e">
        <v>#N/A</v>
      </c>
      <c r="CY552" s="41">
        <v>1.0047263613915816</v>
      </c>
      <c r="CZ552" s="47" t="e">
        <v>#N/A</v>
      </c>
      <c r="DA552" t="e">
        <v>#N/A</v>
      </c>
      <c r="DB552" t="str">
        <v/>
      </c>
    </row>
    <row r="553" spans="83:106" x14ac:dyDescent="0.2">
      <c r="CE553"/>
      <c r="CF553"/>
      <c r="CG553"/>
      <c r="CH553"/>
      <c r="CI553"/>
      <c r="CU553" s="21">
        <v>548</v>
      </c>
      <c r="CV553" s="41">
        <v>2</v>
      </c>
      <c r="CW553" s="41">
        <v>1.0047263613915816</v>
      </c>
      <c r="CX553" s="41" t="e">
        <v>#N/A</v>
      </c>
      <c r="CY553" s="41">
        <v>1.0047263613915816</v>
      </c>
      <c r="CZ553" s="47" t="e">
        <v>#N/A</v>
      </c>
      <c r="DA553" t="e">
        <v>#N/A</v>
      </c>
      <c r="DB553" t="str">
        <v/>
      </c>
    </row>
    <row r="554" spans="83:106" x14ac:dyDescent="0.2">
      <c r="CE554"/>
      <c r="CF554"/>
      <c r="CG554"/>
      <c r="CH554"/>
      <c r="CI554"/>
      <c r="CU554" s="21">
        <v>549</v>
      </c>
      <c r="CV554" s="41">
        <v>2</v>
      </c>
      <c r="CW554" s="41">
        <v>1.0047263613915816</v>
      </c>
      <c r="CX554" s="41" t="e">
        <v>#N/A</v>
      </c>
      <c r="CY554" s="41">
        <v>1.0047263613915816</v>
      </c>
      <c r="CZ554" s="47" t="e">
        <v>#N/A</v>
      </c>
      <c r="DA554" t="e">
        <v>#N/A</v>
      </c>
      <c r="DB554" t="str">
        <v/>
      </c>
    </row>
    <row r="555" spans="83:106" x14ac:dyDescent="0.2">
      <c r="CE555"/>
      <c r="CF555"/>
      <c r="CG555"/>
      <c r="CH555"/>
      <c r="CI555"/>
      <c r="CU555" s="21">
        <v>550</v>
      </c>
      <c r="CV555" s="41">
        <v>2</v>
      </c>
      <c r="CW555" s="41">
        <v>1.0047263613915816</v>
      </c>
      <c r="CX555" s="41" t="e">
        <v>#N/A</v>
      </c>
      <c r="CY555" s="41">
        <v>1.0047263613915816</v>
      </c>
      <c r="CZ555" s="47" t="e">
        <v>#N/A</v>
      </c>
      <c r="DA555" t="e">
        <v>#N/A</v>
      </c>
      <c r="DB555" t="str">
        <v/>
      </c>
    </row>
    <row r="556" spans="83:106" x14ac:dyDescent="0.2">
      <c r="CE556"/>
      <c r="CF556"/>
      <c r="CG556"/>
      <c r="CH556"/>
      <c r="CI556"/>
      <c r="CU556" s="21">
        <v>551</v>
      </c>
      <c r="CV556" s="41">
        <v>2</v>
      </c>
      <c r="CW556" s="41">
        <v>1.0047263613915816</v>
      </c>
      <c r="CX556" s="41" t="e">
        <v>#N/A</v>
      </c>
      <c r="CY556" s="41">
        <v>1.0047263613915816</v>
      </c>
      <c r="CZ556" s="47" t="e">
        <v>#N/A</v>
      </c>
      <c r="DA556" t="e">
        <v>#N/A</v>
      </c>
      <c r="DB556" t="str">
        <v/>
      </c>
    </row>
    <row r="557" spans="83:106" x14ac:dyDescent="0.2">
      <c r="CE557"/>
      <c r="CF557"/>
      <c r="CG557"/>
      <c r="CH557"/>
      <c r="CI557"/>
      <c r="CU557" s="21">
        <v>552</v>
      </c>
      <c r="CV557" s="41">
        <v>2</v>
      </c>
      <c r="CW557" s="41">
        <v>1.0047263613915816</v>
      </c>
      <c r="CX557" s="41" t="e">
        <v>#N/A</v>
      </c>
      <c r="CY557" s="41">
        <v>1.0047263613915816</v>
      </c>
      <c r="CZ557" s="47" t="e">
        <v>#N/A</v>
      </c>
      <c r="DA557" t="e">
        <v>#N/A</v>
      </c>
      <c r="DB557" t="str">
        <v/>
      </c>
    </row>
    <row r="558" spans="83:106" x14ac:dyDescent="0.2">
      <c r="CE558"/>
      <c r="CF558"/>
      <c r="CG558"/>
      <c r="CH558"/>
      <c r="CI558"/>
      <c r="CU558" s="21">
        <v>553</v>
      </c>
      <c r="CV558" s="41">
        <v>2</v>
      </c>
      <c r="CW558" s="41">
        <v>1.0047263613915816</v>
      </c>
      <c r="CX558" s="41" t="e">
        <v>#N/A</v>
      </c>
      <c r="CY558" s="41">
        <v>1.0047263613915816</v>
      </c>
      <c r="CZ558" s="47" t="e">
        <v>#N/A</v>
      </c>
      <c r="DA558" t="e">
        <v>#N/A</v>
      </c>
      <c r="DB558" t="str">
        <v/>
      </c>
    </row>
    <row r="559" spans="83:106" x14ac:dyDescent="0.2">
      <c r="CE559"/>
      <c r="CF559"/>
      <c r="CG559"/>
      <c r="CH559"/>
      <c r="CI559"/>
      <c r="CU559" s="21">
        <v>554</v>
      </c>
      <c r="CV559" s="41">
        <v>2</v>
      </c>
      <c r="CW559" s="41">
        <v>1.0047263613915816</v>
      </c>
      <c r="CX559" s="41" t="e">
        <v>#N/A</v>
      </c>
      <c r="CY559" s="41">
        <v>1.0047263613915816</v>
      </c>
      <c r="CZ559" s="47" t="e">
        <v>#N/A</v>
      </c>
      <c r="DA559" t="e">
        <v>#N/A</v>
      </c>
      <c r="DB559" t="str">
        <v/>
      </c>
    </row>
    <row r="560" spans="83:106" x14ac:dyDescent="0.2">
      <c r="CE560"/>
      <c r="CF560"/>
      <c r="CG560"/>
      <c r="CH560"/>
      <c r="CI560"/>
      <c r="CU560" s="21">
        <v>555</v>
      </c>
      <c r="CV560" s="41">
        <v>2</v>
      </c>
      <c r="CW560" s="41">
        <v>1.0047263613915816</v>
      </c>
      <c r="CX560" s="41" t="e">
        <v>#N/A</v>
      </c>
      <c r="CY560" s="41">
        <v>1.0047263613915816</v>
      </c>
      <c r="CZ560" s="47" t="e">
        <v>#N/A</v>
      </c>
      <c r="DA560" t="e">
        <v>#N/A</v>
      </c>
      <c r="DB560" t="str">
        <v/>
      </c>
    </row>
    <row r="561" spans="83:106" x14ac:dyDescent="0.2">
      <c r="CE561"/>
      <c r="CF561"/>
      <c r="CG561"/>
      <c r="CH561"/>
      <c r="CI561"/>
      <c r="CU561" s="21">
        <v>556</v>
      </c>
      <c r="CV561" s="41">
        <v>2</v>
      </c>
      <c r="CW561" s="41">
        <v>1.0047263613915816</v>
      </c>
      <c r="CX561" s="41" t="e">
        <v>#N/A</v>
      </c>
      <c r="CY561" s="41">
        <v>1.0047263613915816</v>
      </c>
      <c r="CZ561" s="47" t="e">
        <v>#N/A</v>
      </c>
      <c r="DA561" t="e">
        <v>#N/A</v>
      </c>
      <c r="DB561" t="str">
        <v/>
      </c>
    </row>
    <row r="562" spans="83:106" x14ac:dyDescent="0.2">
      <c r="CE562"/>
      <c r="CF562"/>
      <c r="CG562"/>
      <c r="CH562"/>
      <c r="CI562"/>
      <c r="CU562" s="21">
        <v>557</v>
      </c>
      <c r="CV562" s="41">
        <v>2</v>
      </c>
      <c r="CW562" s="41">
        <v>1.0047263613915816</v>
      </c>
      <c r="CX562" s="41" t="e">
        <v>#N/A</v>
      </c>
      <c r="CY562" s="41">
        <v>1.0047263613915816</v>
      </c>
      <c r="CZ562" s="47" t="e">
        <v>#N/A</v>
      </c>
      <c r="DA562" t="e">
        <v>#N/A</v>
      </c>
      <c r="DB562" t="str">
        <v/>
      </c>
    </row>
    <row r="563" spans="83:106" x14ac:dyDescent="0.2">
      <c r="CE563"/>
      <c r="CF563"/>
      <c r="CG563"/>
      <c r="CH563"/>
      <c r="CI563"/>
      <c r="CU563" s="21">
        <v>558</v>
      </c>
      <c r="CV563" s="41">
        <v>2</v>
      </c>
      <c r="CW563" s="41">
        <v>1.0047263613915816</v>
      </c>
      <c r="CX563" s="41" t="e">
        <v>#N/A</v>
      </c>
      <c r="CY563" s="41">
        <v>1.0047263613915816</v>
      </c>
      <c r="CZ563" s="47" t="e">
        <v>#N/A</v>
      </c>
      <c r="DA563" t="e">
        <v>#N/A</v>
      </c>
      <c r="DB563" t="str">
        <v/>
      </c>
    </row>
    <row r="564" spans="83:106" x14ac:dyDescent="0.2">
      <c r="CE564"/>
      <c r="CF564"/>
      <c r="CG564"/>
      <c r="CH564"/>
      <c r="CI564"/>
      <c r="CU564" s="21">
        <v>559</v>
      </c>
      <c r="CV564" s="41">
        <v>2</v>
      </c>
      <c r="CW564" s="41">
        <v>1.0047263613915816</v>
      </c>
      <c r="CX564" s="41" t="e">
        <v>#N/A</v>
      </c>
      <c r="CY564" s="41">
        <v>1.0047263613915816</v>
      </c>
      <c r="CZ564" s="47" t="e">
        <v>#N/A</v>
      </c>
      <c r="DA564" t="e">
        <v>#N/A</v>
      </c>
      <c r="DB564" t="str">
        <v/>
      </c>
    </row>
    <row r="565" spans="83:106" x14ac:dyDescent="0.2">
      <c r="CE565"/>
      <c r="CF565"/>
      <c r="CG565"/>
      <c r="CH565"/>
      <c r="CI565"/>
      <c r="CU565" s="21">
        <v>560</v>
      </c>
      <c r="CV565" s="41">
        <v>2</v>
      </c>
      <c r="CW565" s="41">
        <v>1.0047263613915816</v>
      </c>
      <c r="CX565" s="41" t="e">
        <v>#N/A</v>
      </c>
      <c r="CY565" s="41">
        <v>1.0047263613915816</v>
      </c>
      <c r="CZ565" s="47" t="e">
        <v>#N/A</v>
      </c>
      <c r="DA565" t="e">
        <v>#N/A</v>
      </c>
      <c r="DB565" t="str">
        <v/>
      </c>
    </row>
    <row r="566" spans="83:106" x14ac:dyDescent="0.2">
      <c r="CE566"/>
      <c r="CF566"/>
      <c r="CG566"/>
      <c r="CH566"/>
      <c r="CI566"/>
      <c r="CU566" s="21">
        <v>561</v>
      </c>
      <c r="CV566" s="41">
        <v>2</v>
      </c>
      <c r="CW566" s="41">
        <v>1.0047263613915816</v>
      </c>
      <c r="CX566" s="41" t="e">
        <v>#N/A</v>
      </c>
      <c r="CY566" s="41">
        <v>1.0047263613915816</v>
      </c>
      <c r="CZ566" s="47" t="e">
        <v>#N/A</v>
      </c>
      <c r="DA566" t="e">
        <v>#N/A</v>
      </c>
      <c r="DB566" t="str">
        <v/>
      </c>
    </row>
    <row r="567" spans="83:106" x14ac:dyDescent="0.2">
      <c r="CE567"/>
      <c r="CF567"/>
      <c r="CG567"/>
      <c r="CH567"/>
      <c r="CI567"/>
      <c r="CU567" s="21">
        <v>562</v>
      </c>
      <c r="CV567" s="41">
        <v>2</v>
      </c>
      <c r="CW567" s="41">
        <v>1.0047263613915816</v>
      </c>
      <c r="CX567" s="41" t="e">
        <v>#N/A</v>
      </c>
      <c r="CY567" s="41">
        <v>1.0047263613915816</v>
      </c>
      <c r="CZ567" s="47" t="e">
        <v>#N/A</v>
      </c>
      <c r="DA567" t="e">
        <v>#N/A</v>
      </c>
      <c r="DB567" t="str">
        <v/>
      </c>
    </row>
    <row r="568" spans="83:106" x14ac:dyDescent="0.2">
      <c r="CE568"/>
      <c r="CF568"/>
      <c r="CG568"/>
      <c r="CH568"/>
      <c r="CI568"/>
      <c r="CU568" s="21">
        <v>563</v>
      </c>
      <c r="CV568" s="41">
        <v>2</v>
      </c>
      <c r="CW568" s="41">
        <v>1.0047263613915816</v>
      </c>
      <c r="CX568" s="41" t="e">
        <v>#N/A</v>
      </c>
      <c r="CY568" s="41">
        <v>1.0047263613915816</v>
      </c>
      <c r="CZ568" s="47" t="e">
        <v>#N/A</v>
      </c>
      <c r="DA568" t="e">
        <v>#N/A</v>
      </c>
      <c r="DB568" t="str">
        <v/>
      </c>
    </row>
    <row r="569" spans="83:106" x14ac:dyDescent="0.2">
      <c r="CE569"/>
      <c r="CF569"/>
      <c r="CG569"/>
      <c r="CH569"/>
      <c r="CI569"/>
      <c r="CU569" s="21">
        <v>564</v>
      </c>
      <c r="CV569" s="41">
        <v>2</v>
      </c>
      <c r="CW569" s="41">
        <v>1.0047263613915816</v>
      </c>
      <c r="CX569" s="41" t="e">
        <v>#N/A</v>
      </c>
      <c r="CY569" s="41">
        <v>1.0047263613915816</v>
      </c>
      <c r="CZ569" s="47" t="e">
        <v>#N/A</v>
      </c>
      <c r="DA569" t="e">
        <v>#N/A</v>
      </c>
      <c r="DB569" t="str">
        <v/>
      </c>
    </row>
    <row r="570" spans="83:106" x14ac:dyDescent="0.2">
      <c r="CE570"/>
      <c r="CF570"/>
      <c r="CG570"/>
      <c r="CH570"/>
      <c r="CI570"/>
      <c r="CU570" s="21">
        <v>565</v>
      </c>
      <c r="CV570" s="41">
        <v>2</v>
      </c>
      <c r="CW570" s="41">
        <v>1.0047263613915816</v>
      </c>
      <c r="CX570" s="41" t="e">
        <v>#N/A</v>
      </c>
      <c r="CY570" s="41">
        <v>1.0047263613915816</v>
      </c>
      <c r="CZ570" s="47" t="e">
        <v>#N/A</v>
      </c>
      <c r="DA570" t="e">
        <v>#N/A</v>
      </c>
      <c r="DB570" t="str">
        <v/>
      </c>
    </row>
    <row r="571" spans="83:106" x14ac:dyDescent="0.2">
      <c r="CE571"/>
      <c r="CF571"/>
      <c r="CG571"/>
      <c r="CH571"/>
      <c r="CI571"/>
      <c r="CU571" s="21">
        <v>566</v>
      </c>
      <c r="CV571" s="41">
        <v>2</v>
      </c>
      <c r="CW571" s="41">
        <v>1.0047263613915816</v>
      </c>
      <c r="CX571" s="41" t="e">
        <v>#N/A</v>
      </c>
      <c r="CY571" s="41">
        <v>1.0047263613915816</v>
      </c>
      <c r="CZ571" s="47" t="e">
        <v>#N/A</v>
      </c>
      <c r="DA571" t="e">
        <v>#N/A</v>
      </c>
      <c r="DB571" t="str">
        <v/>
      </c>
    </row>
    <row r="572" spans="83:106" x14ac:dyDescent="0.2">
      <c r="CE572"/>
      <c r="CF572"/>
      <c r="CG572"/>
      <c r="CH572"/>
      <c r="CI572"/>
      <c r="CU572" s="21">
        <v>567</v>
      </c>
      <c r="CV572" s="41">
        <v>2</v>
      </c>
      <c r="CW572" s="41">
        <v>1.0047263613915816</v>
      </c>
      <c r="CX572" s="41" t="e">
        <v>#N/A</v>
      </c>
      <c r="CY572" s="41">
        <v>1.0047263613915816</v>
      </c>
      <c r="CZ572" s="47" t="e">
        <v>#N/A</v>
      </c>
      <c r="DA572" t="e">
        <v>#N/A</v>
      </c>
      <c r="DB572" t="str">
        <v/>
      </c>
    </row>
    <row r="573" spans="83:106" x14ac:dyDescent="0.2">
      <c r="CE573"/>
      <c r="CF573"/>
      <c r="CG573"/>
      <c r="CH573"/>
      <c r="CI573"/>
      <c r="CU573" s="21">
        <v>568</v>
      </c>
      <c r="CV573" s="41">
        <v>2</v>
      </c>
      <c r="CW573" s="41">
        <v>1.0047263613915816</v>
      </c>
      <c r="CX573" s="41" t="e">
        <v>#N/A</v>
      </c>
      <c r="CY573" s="41">
        <v>1.0047263613915816</v>
      </c>
      <c r="CZ573" s="47" t="e">
        <v>#N/A</v>
      </c>
      <c r="DA573" t="e">
        <v>#N/A</v>
      </c>
      <c r="DB573" t="str">
        <v/>
      </c>
    </row>
    <row r="574" spans="83:106" x14ac:dyDescent="0.2">
      <c r="CE574"/>
      <c r="CF574"/>
      <c r="CG574"/>
      <c r="CH574"/>
      <c r="CI574"/>
      <c r="CU574" s="21">
        <v>569</v>
      </c>
      <c r="CV574" s="41">
        <v>2</v>
      </c>
      <c r="CW574" s="41">
        <v>1.0047263613915816</v>
      </c>
      <c r="CX574" s="41" t="e">
        <v>#N/A</v>
      </c>
      <c r="CY574" s="41">
        <v>1.0047263613915816</v>
      </c>
      <c r="CZ574" s="47" t="e">
        <v>#N/A</v>
      </c>
      <c r="DA574" t="e">
        <v>#N/A</v>
      </c>
      <c r="DB574" t="str">
        <v/>
      </c>
    </row>
    <row r="575" spans="83:106" x14ac:dyDescent="0.2">
      <c r="CE575"/>
      <c r="CF575"/>
      <c r="CG575"/>
      <c r="CH575"/>
      <c r="CI575"/>
      <c r="CU575" s="21">
        <v>570</v>
      </c>
      <c r="CV575" s="41">
        <v>2</v>
      </c>
      <c r="CW575" s="41">
        <v>1.0047263613915816</v>
      </c>
      <c r="CX575" s="41" t="e">
        <v>#N/A</v>
      </c>
      <c r="CY575" s="41">
        <v>1.0047263613915816</v>
      </c>
      <c r="CZ575" s="47" t="e">
        <v>#N/A</v>
      </c>
      <c r="DA575" t="e">
        <v>#N/A</v>
      </c>
      <c r="DB575" t="str">
        <v/>
      </c>
    </row>
    <row r="576" spans="83:106" x14ac:dyDescent="0.2">
      <c r="CE576"/>
      <c r="CF576"/>
      <c r="CG576"/>
      <c r="CH576"/>
      <c r="CI576"/>
      <c r="CU576" s="21">
        <v>571</v>
      </c>
      <c r="CV576" s="41">
        <v>2</v>
      </c>
      <c r="CW576" s="41">
        <v>1.0047263613915816</v>
      </c>
      <c r="CX576" s="41" t="e">
        <v>#N/A</v>
      </c>
      <c r="CY576" s="41">
        <v>1.0047263613915816</v>
      </c>
      <c r="CZ576" s="47" t="e">
        <v>#N/A</v>
      </c>
      <c r="DA576" t="e">
        <v>#N/A</v>
      </c>
      <c r="DB576" t="str">
        <v/>
      </c>
    </row>
    <row r="577" spans="83:106" x14ac:dyDescent="0.2">
      <c r="CE577"/>
      <c r="CF577"/>
      <c r="CG577"/>
      <c r="CH577"/>
      <c r="CI577"/>
      <c r="CU577" s="21">
        <v>572</v>
      </c>
      <c r="CV577" s="41">
        <v>2</v>
      </c>
      <c r="CW577" s="41">
        <v>1.0047263613915816</v>
      </c>
      <c r="CX577" s="41" t="e">
        <v>#N/A</v>
      </c>
      <c r="CY577" s="41">
        <v>1.0047263613915816</v>
      </c>
      <c r="CZ577" s="47" t="e">
        <v>#N/A</v>
      </c>
      <c r="DA577" t="e">
        <v>#N/A</v>
      </c>
      <c r="DB577" t="str">
        <v/>
      </c>
    </row>
    <row r="578" spans="83:106" x14ac:dyDescent="0.2">
      <c r="CE578"/>
      <c r="CF578"/>
      <c r="CG578"/>
      <c r="CH578"/>
      <c r="CI578"/>
      <c r="CU578" s="21">
        <v>573</v>
      </c>
      <c r="CV578" s="41">
        <v>2</v>
      </c>
      <c r="CW578" s="41">
        <v>1.0047263613915816</v>
      </c>
      <c r="CX578" s="41" t="e">
        <v>#N/A</v>
      </c>
      <c r="CY578" s="41">
        <v>1.0047263613915816</v>
      </c>
      <c r="CZ578" s="47" t="e">
        <v>#N/A</v>
      </c>
      <c r="DA578" t="e">
        <v>#N/A</v>
      </c>
      <c r="DB578" t="str">
        <v/>
      </c>
    </row>
    <row r="579" spans="83:106" x14ac:dyDescent="0.2">
      <c r="CE579"/>
      <c r="CF579"/>
      <c r="CG579"/>
      <c r="CH579"/>
      <c r="CI579"/>
      <c r="CU579" s="21">
        <v>574</v>
      </c>
      <c r="CV579" s="41">
        <v>2</v>
      </c>
      <c r="CW579" s="41">
        <v>1.0047263613915816</v>
      </c>
      <c r="CX579" s="41" t="e">
        <v>#N/A</v>
      </c>
      <c r="CY579" s="41">
        <v>1.0047263613915816</v>
      </c>
      <c r="CZ579" s="47" t="e">
        <v>#N/A</v>
      </c>
      <c r="DA579" t="e">
        <v>#N/A</v>
      </c>
      <c r="DB579" t="str">
        <v/>
      </c>
    </row>
    <row r="580" spans="83:106" x14ac:dyDescent="0.2">
      <c r="CE580"/>
      <c r="CF580"/>
      <c r="CG580"/>
      <c r="CH580"/>
      <c r="CI580"/>
      <c r="CU580" s="21">
        <v>575</v>
      </c>
      <c r="CV580" s="41">
        <v>2</v>
      </c>
      <c r="CW580" s="41">
        <v>1.0047263613915816</v>
      </c>
      <c r="CX580" s="41" t="e">
        <v>#N/A</v>
      </c>
      <c r="CY580" s="41">
        <v>1.0047263613915816</v>
      </c>
      <c r="CZ580" s="47" t="e">
        <v>#N/A</v>
      </c>
      <c r="DA580" t="e">
        <v>#N/A</v>
      </c>
      <c r="DB580" t="str">
        <v/>
      </c>
    </row>
    <row r="581" spans="83:106" x14ac:dyDescent="0.2">
      <c r="CE581"/>
      <c r="CF581"/>
      <c r="CG581"/>
      <c r="CH581"/>
      <c r="CI581"/>
      <c r="CU581" s="21">
        <v>576</v>
      </c>
      <c r="CV581" s="41">
        <v>2</v>
      </c>
      <c r="CW581" s="41">
        <v>1.0047263613915816</v>
      </c>
      <c r="CX581" s="41" t="e">
        <v>#N/A</v>
      </c>
      <c r="CY581" s="41">
        <v>1.0047263613915816</v>
      </c>
      <c r="CZ581" s="47" t="e">
        <v>#N/A</v>
      </c>
      <c r="DA581" t="e">
        <v>#N/A</v>
      </c>
      <c r="DB581" t="str">
        <v/>
      </c>
    </row>
    <row r="582" spans="83:106" x14ac:dyDescent="0.2">
      <c r="CE582"/>
      <c r="CF582"/>
      <c r="CG582"/>
      <c r="CH582"/>
      <c r="CI582"/>
      <c r="CU582" s="21">
        <v>577</v>
      </c>
      <c r="CV582" s="41">
        <v>2</v>
      </c>
      <c r="CW582" s="41">
        <v>1.0047263613915816</v>
      </c>
      <c r="CX582" s="41" t="e">
        <v>#N/A</v>
      </c>
      <c r="CY582" s="41">
        <v>1.0047263613915816</v>
      </c>
      <c r="CZ582" s="47" t="e">
        <v>#N/A</v>
      </c>
      <c r="DA582" t="e">
        <v>#N/A</v>
      </c>
      <c r="DB582" t="str">
        <v/>
      </c>
    </row>
    <row r="583" spans="83:106" x14ac:dyDescent="0.2">
      <c r="CE583"/>
      <c r="CF583"/>
      <c r="CG583"/>
      <c r="CH583"/>
      <c r="CI583"/>
      <c r="CU583" s="21">
        <v>578</v>
      </c>
      <c r="CV583" s="41">
        <v>2</v>
      </c>
      <c r="CW583" s="41">
        <v>1.0047263613915816</v>
      </c>
      <c r="CX583" s="41" t="e">
        <v>#N/A</v>
      </c>
      <c r="CY583" s="41">
        <v>1.0047263613915816</v>
      </c>
      <c r="CZ583" s="47" t="e">
        <v>#N/A</v>
      </c>
      <c r="DA583" t="e">
        <v>#N/A</v>
      </c>
      <c r="DB583" t="str">
        <v/>
      </c>
    </row>
    <row r="584" spans="83:106" x14ac:dyDescent="0.2">
      <c r="CE584"/>
      <c r="CF584"/>
      <c r="CG584"/>
      <c r="CH584"/>
      <c r="CI584"/>
      <c r="CU584" s="21">
        <v>579</v>
      </c>
      <c r="CV584" s="41">
        <v>2</v>
      </c>
      <c r="CW584" s="41">
        <v>1.0047263613915816</v>
      </c>
      <c r="CX584" s="41" t="e">
        <v>#N/A</v>
      </c>
      <c r="CY584" s="41">
        <v>1.0047263613915816</v>
      </c>
      <c r="CZ584" s="47" t="e">
        <v>#N/A</v>
      </c>
      <c r="DA584" t="e">
        <v>#N/A</v>
      </c>
      <c r="DB584" t="str">
        <v/>
      </c>
    </row>
    <row r="585" spans="83:106" x14ac:dyDescent="0.2">
      <c r="CE585"/>
      <c r="CF585"/>
      <c r="CG585"/>
      <c r="CH585"/>
      <c r="CI585"/>
      <c r="CU585" s="21">
        <v>580</v>
      </c>
      <c r="CV585" s="41">
        <v>2</v>
      </c>
      <c r="CW585" s="41">
        <v>1.0047263613915816</v>
      </c>
      <c r="CX585" s="41" t="e">
        <v>#N/A</v>
      </c>
      <c r="CY585" s="41">
        <v>1.0047263613915816</v>
      </c>
      <c r="CZ585" s="47" t="e">
        <v>#N/A</v>
      </c>
      <c r="DA585" t="e">
        <v>#N/A</v>
      </c>
      <c r="DB585" t="str">
        <v/>
      </c>
    </row>
    <row r="586" spans="83:106" x14ac:dyDescent="0.2">
      <c r="CE586"/>
      <c r="CF586"/>
      <c r="CG586"/>
      <c r="CH586"/>
      <c r="CI586"/>
      <c r="CU586" s="21">
        <v>581</v>
      </c>
      <c r="CV586" s="41">
        <v>2</v>
      </c>
      <c r="CW586" s="41">
        <v>1.0047263613915816</v>
      </c>
      <c r="CX586" s="41" t="e">
        <v>#N/A</v>
      </c>
      <c r="CY586" s="41">
        <v>1.0047263613915816</v>
      </c>
      <c r="CZ586" s="47" t="e">
        <v>#N/A</v>
      </c>
      <c r="DA586" t="e">
        <v>#N/A</v>
      </c>
      <c r="DB586" t="str">
        <v/>
      </c>
    </row>
    <row r="587" spans="83:106" x14ac:dyDescent="0.2">
      <c r="CE587"/>
      <c r="CF587"/>
      <c r="CG587"/>
      <c r="CH587"/>
      <c r="CI587"/>
      <c r="CU587" s="21">
        <v>582</v>
      </c>
      <c r="CV587" s="41">
        <v>2</v>
      </c>
      <c r="CW587" s="41">
        <v>1.0047263613915816</v>
      </c>
      <c r="CX587" s="41" t="e">
        <v>#N/A</v>
      </c>
      <c r="CY587" s="41">
        <v>1.0047263613915816</v>
      </c>
      <c r="CZ587" s="47" t="e">
        <v>#N/A</v>
      </c>
      <c r="DA587" t="e">
        <v>#N/A</v>
      </c>
      <c r="DB587" t="str">
        <v/>
      </c>
    </row>
    <row r="588" spans="83:106" x14ac:dyDescent="0.2">
      <c r="CE588"/>
      <c r="CF588"/>
      <c r="CG588"/>
      <c r="CH588"/>
      <c r="CI588"/>
      <c r="CU588" s="21">
        <v>583</v>
      </c>
      <c r="CV588" s="41">
        <v>2</v>
      </c>
      <c r="CW588" s="41">
        <v>1.0047263613915816</v>
      </c>
      <c r="CX588" s="41" t="e">
        <v>#N/A</v>
      </c>
      <c r="CY588" s="41">
        <v>1.0047263613915816</v>
      </c>
      <c r="CZ588" s="47" t="e">
        <v>#N/A</v>
      </c>
      <c r="DA588" t="e">
        <v>#N/A</v>
      </c>
      <c r="DB588" t="str">
        <v/>
      </c>
    </row>
    <row r="589" spans="83:106" x14ac:dyDescent="0.2">
      <c r="CE589"/>
      <c r="CF589"/>
      <c r="CG589"/>
      <c r="CH589"/>
      <c r="CI589"/>
      <c r="CU589" s="21">
        <v>584</v>
      </c>
      <c r="CV589" s="41">
        <v>2</v>
      </c>
      <c r="CW589" s="41">
        <v>1.0047263613915816</v>
      </c>
      <c r="CX589" s="41" t="e">
        <v>#N/A</v>
      </c>
      <c r="CY589" s="41">
        <v>1.0047263613915816</v>
      </c>
      <c r="CZ589" s="47" t="e">
        <v>#N/A</v>
      </c>
      <c r="DA589" t="e">
        <v>#N/A</v>
      </c>
      <c r="DB589" t="str">
        <v/>
      </c>
    </row>
    <row r="590" spans="83:106" x14ac:dyDescent="0.2">
      <c r="CE590"/>
      <c r="CF590"/>
      <c r="CG590"/>
      <c r="CH590"/>
      <c r="CI590"/>
      <c r="CU590" s="21">
        <v>585</v>
      </c>
      <c r="CV590" s="41">
        <v>2</v>
      </c>
      <c r="CW590" s="41">
        <v>1.0047263613915816</v>
      </c>
      <c r="CX590" s="41" t="e">
        <v>#N/A</v>
      </c>
      <c r="CY590" s="41">
        <v>1.0047263613915816</v>
      </c>
      <c r="CZ590" s="47" t="e">
        <v>#N/A</v>
      </c>
      <c r="DA590" t="e">
        <v>#N/A</v>
      </c>
      <c r="DB590" t="str">
        <v/>
      </c>
    </row>
    <row r="591" spans="83:106" x14ac:dyDescent="0.2">
      <c r="CE591"/>
      <c r="CF591"/>
      <c r="CG591"/>
      <c r="CH591"/>
      <c r="CI591"/>
      <c r="CU591" s="21">
        <v>586</v>
      </c>
      <c r="CV591" s="41">
        <v>2</v>
      </c>
      <c r="CW591" s="41">
        <v>1.0047263613915816</v>
      </c>
      <c r="CX591" s="41" t="e">
        <v>#N/A</v>
      </c>
      <c r="CY591" s="41">
        <v>1.0047263613915816</v>
      </c>
      <c r="CZ591" s="47" t="e">
        <v>#N/A</v>
      </c>
      <c r="DA591" t="e">
        <v>#N/A</v>
      </c>
      <c r="DB591" t="str">
        <v/>
      </c>
    </row>
    <row r="592" spans="83:106" x14ac:dyDescent="0.2">
      <c r="CE592"/>
      <c r="CF592"/>
      <c r="CG592"/>
      <c r="CH592"/>
      <c r="CI592"/>
      <c r="CU592" s="21">
        <v>587</v>
      </c>
      <c r="CV592" s="41">
        <v>2</v>
      </c>
      <c r="CW592" s="41">
        <v>1.0047263613915816</v>
      </c>
      <c r="CX592" s="41" t="e">
        <v>#N/A</v>
      </c>
      <c r="CY592" s="41">
        <v>1.0047263613915816</v>
      </c>
      <c r="CZ592" s="47" t="e">
        <v>#N/A</v>
      </c>
      <c r="DA592" t="e">
        <v>#N/A</v>
      </c>
      <c r="DB592" t="str">
        <v/>
      </c>
    </row>
    <row r="593" spans="83:106" x14ac:dyDescent="0.2">
      <c r="CE593"/>
      <c r="CF593"/>
      <c r="CG593"/>
      <c r="CH593"/>
      <c r="CI593"/>
      <c r="CU593" s="21">
        <v>588</v>
      </c>
      <c r="CV593" s="41">
        <v>2</v>
      </c>
      <c r="CW593" s="41">
        <v>1.0047263613915816</v>
      </c>
      <c r="CX593" s="41" t="e">
        <v>#N/A</v>
      </c>
      <c r="CY593" s="41">
        <v>1.0047263613915816</v>
      </c>
      <c r="CZ593" s="47" t="e">
        <v>#N/A</v>
      </c>
      <c r="DA593" t="e">
        <v>#N/A</v>
      </c>
      <c r="DB593" t="str">
        <v/>
      </c>
    </row>
    <row r="594" spans="83:106" x14ac:dyDescent="0.2">
      <c r="CE594"/>
      <c r="CF594"/>
      <c r="CG594"/>
      <c r="CH594"/>
      <c r="CI594"/>
      <c r="CU594" s="21">
        <v>589</v>
      </c>
      <c r="CV594" s="41">
        <v>2</v>
      </c>
      <c r="CW594" s="41">
        <v>1.0047263613915816</v>
      </c>
      <c r="CX594" s="41" t="e">
        <v>#N/A</v>
      </c>
      <c r="CY594" s="41">
        <v>1.0047263613915816</v>
      </c>
      <c r="CZ594" s="47" t="e">
        <v>#N/A</v>
      </c>
      <c r="DA594" t="e">
        <v>#N/A</v>
      </c>
      <c r="DB594" t="str">
        <v/>
      </c>
    </row>
    <row r="595" spans="83:106" x14ac:dyDescent="0.2">
      <c r="CE595"/>
      <c r="CF595"/>
      <c r="CG595"/>
      <c r="CH595"/>
      <c r="CI595"/>
      <c r="CU595" s="21">
        <v>590</v>
      </c>
      <c r="CV595" s="41">
        <v>2</v>
      </c>
      <c r="CW595" s="41">
        <v>1.0047263613915816</v>
      </c>
      <c r="CX595" s="41" t="e">
        <v>#N/A</v>
      </c>
      <c r="CY595" s="41">
        <v>1.0047263613915816</v>
      </c>
      <c r="CZ595" s="47" t="e">
        <v>#N/A</v>
      </c>
      <c r="DA595" t="e">
        <v>#N/A</v>
      </c>
      <c r="DB595" t="str">
        <v/>
      </c>
    </row>
    <row r="596" spans="83:106" x14ac:dyDescent="0.2">
      <c r="CE596"/>
      <c r="CF596"/>
      <c r="CG596"/>
      <c r="CH596"/>
      <c r="CI596"/>
      <c r="CU596" s="21">
        <v>591</v>
      </c>
      <c r="CV596" s="41">
        <v>2</v>
      </c>
      <c r="CW596" s="41">
        <v>1.0047263613915816</v>
      </c>
      <c r="CX596" s="41" t="e">
        <v>#N/A</v>
      </c>
      <c r="CY596" s="41">
        <v>1.0047263613915816</v>
      </c>
      <c r="CZ596" s="47" t="e">
        <v>#N/A</v>
      </c>
      <c r="DA596" t="e">
        <v>#N/A</v>
      </c>
      <c r="DB596" t="str">
        <v/>
      </c>
    </row>
    <row r="597" spans="83:106" x14ac:dyDescent="0.2">
      <c r="CE597"/>
      <c r="CF597"/>
      <c r="CG597"/>
      <c r="CH597"/>
      <c r="CI597"/>
      <c r="CU597" s="21">
        <v>592</v>
      </c>
      <c r="CV597" s="41">
        <v>2</v>
      </c>
      <c r="CW597" s="41">
        <v>1.0047263613915816</v>
      </c>
      <c r="CX597" s="41" t="e">
        <v>#N/A</v>
      </c>
      <c r="CY597" s="41">
        <v>1.0047263613915816</v>
      </c>
      <c r="CZ597" s="47" t="e">
        <v>#N/A</v>
      </c>
      <c r="DA597" t="e">
        <v>#N/A</v>
      </c>
      <c r="DB597" t="str">
        <v/>
      </c>
    </row>
    <row r="598" spans="83:106" x14ac:dyDescent="0.2">
      <c r="CE598"/>
      <c r="CF598"/>
      <c r="CG598"/>
      <c r="CH598"/>
      <c r="CI598"/>
      <c r="CU598" s="21">
        <v>593</v>
      </c>
      <c r="CV598" s="41">
        <v>2</v>
      </c>
      <c r="CW598" s="41">
        <v>1.0047263613915816</v>
      </c>
      <c r="CX598" s="41" t="e">
        <v>#N/A</v>
      </c>
      <c r="CY598" s="41">
        <v>1.0047263613915816</v>
      </c>
      <c r="CZ598" s="47" t="e">
        <v>#N/A</v>
      </c>
      <c r="DA598" t="e">
        <v>#N/A</v>
      </c>
      <c r="DB598" t="str">
        <v/>
      </c>
    </row>
    <row r="599" spans="83:106" x14ac:dyDescent="0.2">
      <c r="CE599"/>
      <c r="CF599"/>
      <c r="CG599"/>
      <c r="CH599"/>
      <c r="CI599"/>
      <c r="CU599" s="21">
        <v>594</v>
      </c>
      <c r="CV599" s="41">
        <v>2</v>
      </c>
      <c r="CW599" s="41">
        <v>1.0047263613915816</v>
      </c>
      <c r="CX599" s="41" t="e">
        <v>#N/A</v>
      </c>
      <c r="CY599" s="41">
        <v>1.0047263613915816</v>
      </c>
      <c r="CZ599" s="47" t="e">
        <v>#N/A</v>
      </c>
      <c r="DA599" t="e">
        <v>#N/A</v>
      </c>
      <c r="DB599" t="str">
        <v/>
      </c>
    </row>
    <row r="600" spans="83:106" x14ac:dyDescent="0.2">
      <c r="CE600"/>
      <c r="CF600"/>
      <c r="CG600"/>
      <c r="CH600"/>
      <c r="CI600"/>
      <c r="CU600" s="21">
        <v>595</v>
      </c>
      <c r="CV600" s="41">
        <v>2</v>
      </c>
      <c r="CW600" s="41">
        <v>1.0047263613915816</v>
      </c>
      <c r="CX600" s="41" t="e">
        <v>#N/A</v>
      </c>
      <c r="CY600" s="41">
        <v>1.0047263613915816</v>
      </c>
      <c r="CZ600" s="47" t="e">
        <v>#N/A</v>
      </c>
      <c r="DA600" t="e">
        <v>#N/A</v>
      </c>
      <c r="DB600" t="str">
        <v/>
      </c>
    </row>
    <row r="601" spans="83:106" x14ac:dyDescent="0.2">
      <c r="CE601"/>
      <c r="CF601"/>
      <c r="CG601"/>
      <c r="CH601"/>
      <c r="CI601"/>
      <c r="CU601" s="21">
        <v>596</v>
      </c>
      <c r="CV601" s="41">
        <v>2</v>
      </c>
      <c r="CW601" s="41">
        <v>1.0047263613915816</v>
      </c>
      <c r="CX601" s="41" t="e">
        <v>#N/A</v>
      </c>
      <c r="CY601" s="41">
        <v>1.0047263613915816</v>
      </c>
      <c r="CZ601" s="47" t="e">
        <v>#N/A</v>
      </c>
      <c r="DA601" t="e">
        <v>#N/A</v>
      </c>
      <c r="DB601" t="str">
        <v/>
      </c>
    </row>
    <row r="602" spans="83:106" x14ac:dyDescent="0.2">
      <c r="CE602"/>
      <c r="CF602"/>
      <c r="CG602"/>
      <c r="CH602"/>
      <c r="CI602"/>
      <c r="CU602" s="21">
        <v>597</v>
      </c>
      <c r="CV602" s="41">
        <v>2</v>
      </c>
      <c r="CW602" s="41">
        <v>1.0047263613915816</v>
      </c>
      <c r="CX602" s="41" t="e">
        <v>#N/A</v>
      </c>
      <c r="CY602" s="41">
        <v>1.0047263613915816</v>
      </c>
      <c r="CZ602" s="47" t="e">
        <v>#N/A</v>
      </c>
      <c r="DA602" t="e">
        <v>#N/A</v>
      </c>
      <c r="DB602" t="str">
        <v/>
      </c>
    </row>
    <row r="603" spans="83:106" x14ac:dyDescent="0.2">
      <c r="CE603"/>
      <c r="CF603"/>
      <c r="CG603"/>
      <c r="CH603"/>
      <c r="CI603"/>
      <c r="CU603" s="21">
        <v>598</v>
      </c>
      <c r="CV603" s="41">
        <v>2</v>
      </c>
      <c r="CW603" s="41">
        <v>1.0047263613915816</v>
      </c>
      <c r="CX603" s="41" t="e">
        <v>#N/A</v>
      </c>
      <c r="CY603" s="41">
        <v>1.0047263613915816</v>
      </c>
      <c r="CZ603" s="47" t="e">
        <v>#N/A</v>
      </c>
      <c r="DA603" t="e">
        <v>#N/A</v>
      </c>
      <c r="DB603" t="str">
        <v/>
      </c>
    </row>
    <row r="604" spans="83:106" x14ac:dyDescent="0.2">
      <c r="CE604"/>
      <c r="CF604"/>
      <c r="CG604"/>
      <c r="CH604"/>
      <c r="CI604"/>
      <c r="CU604" s="21">
        <v>599</v>
      </c>
      <c r="CV604" s="41">
        <v>2</v>
      </c>
      <c r="CW604" s="41">
        <v>1.0047263613915816</v>
      </c>
      <c r="CX604" s="41" t="e">
        <v>#N/A</v>
      </c>
      <c r="CY604" s="41">
        <v>1.0047263613915816</v>
      </c>
      <c r="CZ604" s="47" t="e">
        <v>#N/A</v>
      </c>
      <c r="DA604" t="e">
        <v>#N/A</v>
      </c>
      <c r="DB604" t="str">
        <v/>
      </c>
    </row>
    <row r="605" spans="83:106" x14ac:dyDescent="0.2">
      <c r="CE605"/>
      <c r="CF605"/>
      <c r="CG605"/>
      <c r="CH605"/>
      <c r="CI605"/>
      <c r="CU605" s="21">
        <v>600</v>
      </c>
      <c r="CV605" s="41">
        <v>2</v>
      </c>
      <c r="CW605" s="41">
        <v>1.0047263613915816</v>
      </c>
      <c r="CX605" s="41" t="e">
        <v>#N/A</v>
      </c>
      <c r="CY605" s="41">
        <v>1.0047263613915816</v>
      </c>
      <c r="CZ605" s="47" t="e">
        <v>#N/A</v>
      </c>
      <c r="DA605" t="e">
        <v>#N/A</v>
      </c>
      <c r="DB605" t="str">
        <v/>
      </c>
    </row>
    <row r="606" spans="83:106" x14ac:dyDescent="0.2">
      <c r="CE606"/>
      <c r="CF606"/>
      <c r="CG606"/>
      <c r="CH606"/>
      <c r="CI606"/>
      <c r="CU606" s="21">
        <v>601</v>
      </c>
      <c r="CV606" s="41">
        <v>2</v>
      </c>
      <c r="CW606" s="41">
        <v>1.0047263613915816</v>
      </c>
      <c r="CX606" s="41" t="e">
        <v>#N/A</v>
      </c>
      <c r="CY606" s="41">
        <v>1.0047263613915816</v>
      </c>
      <c r="CZ606" s="47" t="e">
        <v>#N/A</v>
      </c>
      <c r="DA606" t="e">
        <v>#N/A</v>
      </c>
      <c r="DB606" t="str">
        <v/>
      </c>
    </row>
    <row r="607" spans="83:106" x14ac:dyDescent="0.2">
      <c r="CE607"/>
      <c r="CF607"/>
      <c r="CG607"/>
      <c r="CH607"/>
      <c r="CI607"/>
      <c r="CU607" s="21">
        <v>602</v>
      </c>
      <c r="CV607" s="41">
        <v>2</v>
      </c>
      <c r="CW607" s="41">
        <v>1.0047263613915816</v>
      </c>
      <c r="CX607" s="41" t="e">
        <v>#N/A</v>
      </c>
      <c r="CY607" s="41">
        <v>1.0047263613915816</v>
      </c>
      <c r="CZ607" s="47" t="e">
        <v>#N/A</v>
      </c>
      <c r="DA607" t="e">
        <v>#N/A</v>
      </c>
      <c r="DB607" t="str">
        <v/>
      </c>
    </row>
    <row r="608" spans="83:106" x14ac:dyDescent="0.2">
      <c r="CE608"/>
      <c r="CF608"/>
      <c r="CG608"/>
      <c r="CH608"/>
      <c r="CI608"/>
      <c r="CU608" s="21">
        <v>603</v>
      </c>
      <c r="CV608" s="41">
        <v>2</v>
      </c>
      <c r="CW608" s="41">
        <v>1.0047263613915816</v>
      </c>
      <c r="CX608" s="41" t="e">
        <v>#N/A</v>
      </c>
      <c r="CY608" s="41">
        <v>1.0047263613915816</v>
      </c>
      <c r="CZ608" s="47" t="e">
        <v>#N/A</v>
      </c>
      <c r="DA608" t="e">
        <v>#N/A</v>
      </c>
      <c r="DB608" t="str">
        <v/>
      </c>
    </row>
    <row r="609" spans="83:106" x14ac:dyDescent="0.2">
      <c r="CE609"/>
      <c r="CF609"/>
      <c r="CG609"/>
      <c r="CH609"/>
      <c r="CI609"/>
      <c r="CU609" s="21">
        <v>604</v>
      </c>
      <c r="CV609" s="41">
        <v>2</v>
      </c>
      <c r="CW609" s="41">
        <v>1.0047263613915816</v>
      </c>
      <c r="CX609" s="41" t="e">
        <v>#N/A</v>
      </c>
      <c r="CY609" s="41">
        <v>1.0047263613915816</v>
      </c>
      <c r="CZ609" s="47" t="e">
        <v>#N/A</v>
      </c>
      <c r="DA609" t="e">
        <v>#N/A</v>
      </c>
      <c r="DB609" t="str">
        <v/>
      </c>
    </row>
    <row r="610" spans="83:106" x14ac:dyDescent="0.2">
      <c r="CE610"/>
      <c r="CF610"/>
      <c r="CG610"/>
      <c r="CH610"/>
      <c r="CI610"/>
      <c r="CU610" s="21">
        <v>605</v>
      </c>
      <c r="CV610" s="41">
        <v>2</v>
      </c>
      <c r="CW610" s="41">
        <v>1.0047263613915816</v>
      </c>
      <c r="CX610" s="41" t="e">
        <v>#N/A</v>
      </c>
      <c r="CY610" s="41">
        <v>1.0047263613915816</v>
      </c>
      <c r="CZ610" s="47" t="e">
        <v>#N/A</v>
      </c>
      <c r="DA610" t="e">
        <v>#N/A</v>
      </c>
      <c r="DB610" t="str">
        <v/>
      </c>
    </row>
    <row r="611" spans="83:106" x14ac:dyDescent="0.2">
      <c r="CE611"/>
      <c r="CF611"/>
      <c r="CG611"/>
      <c r="CH611"/>
      <c r="CI611"/>
      <c r="CU611" s="21">
        <v>606</v>
      </c>
      <c r="CV611" s="41">
        <v>2</v>
      </c>
      <c r="CW611" s="41">
        <v>1.0047263613915816</v>
      </c>
      <c r="CX611" s="41" t="e">
        <v>#N/A</v>
      </c>
      <c r="CY611" s="41">
        <v>1.0047263613915816</v>
      </c>
      <c r="CZ611" s="47" t="e">
        <v>#N/A</v>
      </c>
      <c r="DA611" t="e">
        <v>#N/A</v>
      </c>
      <c r="DB611" t="str">
        <v/>
      </c>
    </row>
    <row r="612" spans="83:106" x14ac:dyDescent="0.2">
      <c r="CE612"/>
      <c r="CF612"/>
      <c r="CG612"/>
      <c r="CH612"/>
      <c r="CI612"/>
      <c r="CU612" s="21">
        <v>607</v>
      </c>
      <c r="CV612" s="41">
        <v>2</v>
      </c>
      <c r="CW612" s="41">
        <v>1.0047263613915816</v>
      </c>
      <c r="CX612" s="41" t="e">
        <v>#N/A</v>
      </c>
      <c r="CY612" s="41">
        <v>1.0047263613915816</v>
      </c>
      <c r="CZ612" s="47" t="e">
        <v>#N/A</v>
      </c>
      <c r="DA612" t="e">
        <v>#N/A</v>
      </c>
      <c r="DB612" t="str">
        <v/>
      </c>
    </row>
    <row r="613" spans="83:106" x14ac:dyDescent="0.2">
      <c r="CE613"/>
      <c r="CF613"/>
      <c r="CG613"/>
      <c r="CH613"/>
      <c r="CI613"/>
      <c r="CU613" s="21">
        <v>608</v>
      </c>
      <c r="CV613" s="41">
        <v>2</v>
      </c>
      <c r="CW613" s="41">
        <v>1.0047263613915816</v>
      </c>
      <c r="CX613" s="41" t="e">
        <v>#N/A</v>
      </c>
      <c r="CY613" s="41">
        <v>1.0047263613915816</v>
      </c>
      <c r="CZ613" s="47" t="e">
        <v>#N/A</v>
      </c>
      <c r="DA613" t="e">
        <v>#N/A</v>
      </c>
      <c r="DB613" t="str">
        <v/>
      </c>
    </row>
    <row r="614" spans="83:106" x14ac:dyDescent="0.2">
      <c r="CE614"/>
      <c r="CF614"/>
      <c r="CG614"/>
      <c r="CH614"/>
      <c r="CI614"/>
      <c r="CU614" s="21">
        <v>609</v>
      </c>
      <c r="CV614" s="41">
        <v>2</v>
      </c>
      <c r="CW614" s="41">
        <v>1.0047263613915816</v>
      </c>
      <c r="CX614" s="41" t="e">
        <v>#N/A</v>
      </c>
      <c r="CY614" s="41">
        <v>1.0047263613915816</v>
      </c>
      <c r="CZ614" s="47" t="e">
        <v>#N/A</v>
      </c>
      <c r="DA614" t="e">
        <v>#N/A</v>
      </c>
      <c r="DB614" t="str">
        <v/>
      </c>
    </row>
    <row r="615" spans="83:106" x14ac:dyDescent="0.2">
      <c r="CE615"/>
      <c r="CF615"/>
      <c r="CG615"/>
      <c r="CH615"/>
      <c r="CI615"/>
      <c r="CU615" s="21">
        <v>610</v>
      </c>
      <c r="CV615" s="41">
        <v>2</v>
      </c>
      <c r="CW615" s="41">
        <v>1.0047263613915816</v>
      </c>
      <c r="CX615" s="41" t="e">
        <v>#N/A</v>
      </c>
      <c r="CY615" s="41">
        <v>1.0047263613915816</v>
      </c>
      <c r="CZ615" s="47" t="e">
        <v>#N/A</v>
      </c>
      <c r="DA615" t="e">
        <v>#N/A</v>
      </c>
      <c r="DB615" t="str">
        <v/>
      </c>
    </row>
    <row r="616" spans="83:106" x14ac:dyDescent="0.2">
      <c r="CE616"/>
      <c r="CF616"/>
      <c r="CG616"/>
      <c r="CH616"/>
      <c r="CI616"/>
      <c r="CU616" s="21">
        <v>611</v>
      </c>
      <c r="CV616" s="41">
        <v>2</v>
      </c>
      <c r="CW616" s="41">
        <v>1.0047263613915816</v>
      </c>
      <c r="CX616" s="41" t="e">
        <v>#N/A</v>
      </c>
      <c r="CY616" s="41">
        <v>1.0047263613915816</v>
      </c>
      <c r="CZ616" s="47" t="e">
        <v>#N/A</v>
      </c>
      <c r="DA616" t="e">
        <v>#N/A</v>
      </c>
      <c r="DB616" t="str">
        <v/>
      </c>
    </row>
    <row r="617" spans="83:106" x14ac:dyDescent="0.2">
      <c r="CE617"/>
      <c r="CF617"/>
      <c r="CG617"/>
      <c r="CH617"/>
      <c r="CI617"/>
      <c r="CU617" s="21">
        <v>612</v>
      </c>
      <c r="CV617" s="41">
        <v>2</v>
      </c>
      <c r="CW617" s="41">
        <v>1.0047263613915816</v>
      </c>
      <c r="CX617" s="41" t="e">
        <v>#N/A</v>
      </c>
      <c r="CY617" s="41">
        <v>1.0047263613915816</v>
      </c>
      <c r="CZ617" s="47" t="e">
        <v>#N/A</v>
      </c>
      <c r="DA617" t="e">
        <v>#N/A</v>
      </c>
      <c r="DB617" t="str">
        <v/>
      </c>
    </row>
    <row r="618" spans="83:106" x14ac:dyDescent="0.2">
      <c r="CE618"/>
      <c r="CF618"/>
      <c r="CG618"/>
      <c r="CH618"/>
      <c r="CI618"/>
      <c r="CU618" s="21">
        <v>613</v>
      </c>
      <c r="CV618" s="41">
        <v>2</v>
      </c>
      <c r="CW618" s="41">
        <v>1.0047263613915816</v>
      </c>
      <c r="CX618" s="41" t="e">
        <v>#N/A</v>
      </c>
      <c r="CY618" s="41">
        <v>1.0047263613915816</v>
      </c>
      <c r="CZ618" s="47" t="e">
        <v>#N/A</v>
      </c>
      <c r="DA618" t="e">
        <v>#N/A</v>
      </c>
      <c r="DB618" t="str">
        <v/>
      </c>
    </row>
    <row r="619" spans="83:106" x14ac:dyDescent="0.2">
      <c r="CE619"/>
      <c r="CF619"/>
      <c r="CG619"/>
      <c r="CH619"/>
      <c r="CI619"/>
      <c r="CU619" s="21">
        <v>614</v>
      </c>
      <c r="CV619" s="41">
        <v>2</v>
      </c>
      <c r="CW619" s="41">
        <v>1.0047263613915816</v>
      </c>
      <c r="CX619" s="41" t="e">
        <v>#N/A</v>
      </c>
      <c r="CY619" s="41">
        <v>1.0047263613915816</v>
      </c>
      <c r="CZ619" s="47" t="e">
        <v>#N/A</v>
      </c>
      <c r="DA619" t="e">
        <v>#N/A</v>
      </c>
      <c r="DB619" t="str">
        <v/>
      </c>
    </row>
    <row r="620" spans="83:106" x14ac:dyDescent="0.2">
      <c r="CE620"/>
      <c r="CF620"/>
      <c r="CG620"/>
      <c r="CH620"/>
      <c r="CI620"/>
      <c r="CU620" s="21">
        <v>615</v>
      </c>
      <c r="CV620" s="41">
        <v>2</v>
      </c>
      <c r="CW620" s="41">
        <v>1.0047263613915816</v>
      </c>
      <c r="CX620" s="41" t="e">
        <v>#N/A</v>
      </c>
      <c r="CY620" s="41">
        <v>1.0047263613915816</v>
      </c>
      <c r="CZ620" s="47" t="e">
        <v>#N/A</v>
      </c>
      <c r="DA620" t="e">
        <v>#N/A</v>
      </c>
      <c r="DB620" t="str">
        <v/>
      </c>
    </row>
    <row r="621" spans="83:106" x14ac:dyDescent="0.2">
      <c r="CE621"/>
      <c r="CF621"/>
      <c r="CG621"/>
      <c r="CH621"/>
      <c r="CI621"/>
      <c r="CU621" s="21">
        <v>616</v>
      </c>
      <c r="CV621" s="41">
        <v>2</v>
      </c>
      <c r="CW621" s="41">
        <v>1.0047263613915816</v>
      </c>
      <c r="CX621" s="41" t="e">
        <v>#N/A</v>
      </c>
      <c r="CY621" s="41">
        <v>1.0047263613915816</v>
      </c>
      <c r="CZ621" s="47" t="e">
        <v>#N/A</v>
      </c>
      <c r="DA621" t="e">
        <v>#N/A</v>
      </c>
      <c r="DB621" t="str">
        <v/>
      </c>
    </row>
    <row r="622" spans="83:106" x14ac:dyDescent="0.2">
      <c r="CE622"/>
      <c r="CF622"/>
      <c r="CG622"/>
      <c r="CH622"/>
      <c r="CI622"/>
      <c r="CU622" s="21">
        <v>617</v>
      </c>
      <c r="CV622" s="41">
        <v>2</v>
      </c>
      <c r="CW622" s="41">
        <v>1.0047263613915816</v>
      </c>
      <c r="CX622" s="41" t="e">
        <v>#N/A</v>
      </c>
      <c r="CY622" s="41">
        <v>1.0047263613915816</v>
      </c>
      <c r="CZ622" s="47" t="e">
        <v>#N/A</v>
      </c>
      <c r="DA622" t="e">
        <v>#N/A</v>
      </c>
      <c r="DB622" t="str">
        <v/>
      </c>
    </row>
    <row r="623" spans="83:106" x14ac:dyDescent="0.2">
      <c r="CE623"/>
      <c r="CF623"/>
      <c r="CG623"/>
      <c r="CH623"/>
      <c r="CI623"/>
      <c r="CU623" s="21">
        <v>618</v>
      </c>
      <c r="CV623" s="41">
        <v>2</v>
      </c>
      <c r="CW623" s="41">
        <v>1.0047263613915816</v>
      </c>
      <c r="CX623" s="41" t="e">
        <v>#N/A</v>
      </c>
      <c r="CY623" s="41">
        <v>1.0047263613915816</v>
      </c>
      <c r="CZ623" s="47" t="e">
        <v>#N/A</v>
      </c>
      <c r="DA623" t="e">
        <v>#N/A</v>
      </c>
      <c r="DB623" t="str">
        <v/>
      </c>
    </row>
    <row r="624" spans="83:106" x14ac:dyDescent="0.2">
      <c r="CE624"/>
      <c r="CF624"/>
      <c r="CG624"/>
      <c r="CH624"/>
      <c r="CI624"/>
      <c r="CU624" s="21">
        <v>619</v>
      </c>
      <c r="CV624" s="41">
        <v>2</v>
      </c>
      <c r="CW624" s="41">
        <v>1.0047263613915816</v>
      </c>
      <c r="CX624" s="41" t="e">
        <v>#N/A</v>
      </c>
      <c r="CY624" s="41">
        <v>1.0047263613915816</v>
      </c>
      <c r="CZ624" s="47" t="e">
        <v>#N/A</v>
      </c>
      <c r="DA624" t="e">
        <v>#N/A</v>
      </c>
      <c r="DB624" t="str">
        <v/>
      </c>
    </row>
    <row r="625" spans="83:106" x14ac:dyDescent="0.2">
      <c r="CE625"/>
      <c r="CF625"/>
      <c r="CG625"/>
      <c r="CH625"/>
      <c r="CI625"/>
      <c r="CU625" s="21">
        <v>620</v>
      </c>
      <c r="CV625" s="41">
        <v>2</v>
      </c>
      <c r="CW625" s="41">
        <v>1.0047263613915816</v>
      </c>
      <c r="CX625" s="41" t="e">
        <v>#N/A</v>
      </c>
      <c r="CY625" s="41">
        <v>1.0047263613915816</v>
      </c>
      <c r="CZ625" s="47" t="e">
        <v>#N/A</v>
      </c>
      <c r="DA625" t="e">
        <v>#N/A</v>
      </c>
      <c r="DB625" t="str">
        <v/>
      </c>
    </row>
    <row r="626" spans="83:106" x14ac:dyDescent="0.2">
      <c r="CE626"/>
      <c r="CF626"/>
      <c r="CG626"/>
      <c r="CH626"/>
      <c r="CI626"/>
      <c r="CU626" s="21">
        <v>621</v>
      </c>
      <c r="CV626" s="41">
        <v>2</v>
      </c>
      <c r="CW626" s="41">
        <v>1.0047263613915816</v>
      </c>
      <c r="CX626" s="41" t="e">
        <v>#N/A</v>
      </c>
      <c r="CY626" s="41">
        <v>1.0047263613915816</v>
      </c>
      <c r="CZ626" s="47" t="e">
        <v>#N/A</v>
      </c>
      <c r="DA626" t="e">
        <v>#N/A</v>
      </c>
      <c r="DB626" t="str">
        <v/>
      </c>
    </row>
    <row r="627" spans="83:106" x14ac:dyDescent="0.2">
      <c r="CE627"/>
      <c r="CF627"/>
      <c r="CG627"/>
      <c r="CH627"/>
      <c r="CI627"/>
      <c r="CU627" s="21">
        <v>622</v>
      </c>
      <c r="CV627" s="41">
        <v>2</v>
      </c>
      <c r="CW627" s="41">
        <v>1.0047263613915816</v>
      </c>
      <c r="CX627" s="41" t="e">
        <v>#N/A</v>
      </c>
      <c r="CY627" s="41">
        <v>1.0047263613915816</v>
      </c>
      <c r="CZ627" s="47" t="e">
        <v>#N/A</v>
      </c>
      <c r="DA627" t="e">
        <v>#N/A</v>
      </c>
      <c r="DB627" t="str">
        <v/>
      </c>
    </row>
    <row r="628" spans="83:106" x14ac:dyDescent="0.2">
      <c r="CE628"/>
      <c r="CF628"/>
      <c r="CG628"/>
      <c r="CH628"/>
      <c r="CI628"/>
      <c r="CU628" s="21">
        <v>623</v>
      </c>
      <c r="CV628" s="41">
        <v>2</v>
      </c>
      <c r="CW628" s="41">
        <v>1.0047263613915816</v>
      </c>
      <c r="CX628" s="41" t="e">
        <v>#N/A</v>
      </c>
      <c r="CY628" s="41">
        <v>1.0047263613915816</v>
      </c>
      <c r="CZ628" s="47" t="e">
        <v>#N/A</v>
      </c>
      <c r="DA628" t="e">
        <v>#N/A</v>
      </c>
      <c r="DB628" t="str">
        <v/>
      </c>
    </row>
    <row r="629" spans="83:106" x14ac:dyDescent="0.2">
      <c r="CE629"/>
      <c r="CF629"/>
      <c r="CG629"/>
      <c r="CH629"/>
      <c r="CI629"/>
      <c r="CU629" s="21">
        <v>624</v>
      </c>
      <c r="CV629" s="41">
        <v>2</v>
      </c>
      <c r="CW629" s="41">
        <v>1.0047263613915816</v>
      </c>
      <c r="CX629" s="41" t="e">
        <v>#N/A</v>
      </c>
      <c r="CY629" s="41">
        <v>1.0047263613915816</v>
      </c>
      <c r="CZ629" s="47" t="e">
        <v>#N/A</v>
      </c>
      <c r="DA629" t="e">
        <v>#N/A</v>
      </c>
      <c r="DB629" t="str">
        <v/>
      </c>
    </row>
    <row r="630" spans="83:106" x14ac:dyDescent="0.2">
      <c r="CE630"/>
      <c r="CF630"/>
      <c r="CG630"/>
      <c r="CH630"/>
      <c r="CI630"/>
      <c r="CU630" s="21">
        <v>625</v>
      </c>
      <c r="CV630" s="41">
        <v>2</v>
      </c>
      <c r="CW630" s="41">
        <v>1.0047263613915816</v>
      </c>
      <c r="CX630" s="41" t="e">
        <v>#N/A</v>
      </c>
      <c r="CY630" s="41">
        <v>1.0047263613915816</v>
      </c>
      <c r="CZ630" s="47" t="e">
        <v>#N/A</v>
      </c>
      <c r="DA630" t="e">
        <v>#N/A</v>
      </c>
      <c r="DB630" t="str">
        <v/>
      </c>
    </row>
    <row r="631" spans="83:106" x14ac:dyDescent="0.2">
      <c r="CE631"/>
      <c r="CF631"/>
      <c r="CG631"/>
      <c r="CH631"/>
      <c r="CI631"/>
      <c r="CU631" s="21">
        <v>626</v>
      </c>
      <c r="CV631" s="41">
        <v>2</v>
      </c>
      <c r="CW631" s="41">
        <v>1.0047263613915816</v>
      </c>
      <c r="CX631" s="41" t="e">
        <v>#N/A</v>
      </c>
      <c r="CY631" s="41">
        <v>1.0047263613915816</v>
      </c>
      <c r="CZ631" s="47" t="e">
        <v>#N/A</v>
      </c>
      <c r="DA631" t="e">
        <v>#N/A</v>
      </c>
      <c r="DB631" t="str">
        <v/>
      </c>
    </row>
    <row r="632" spans="83:106" x14ac:dyDescent="0.2">
      <c r="CE632"/>
      <c r="CF632"/>
      <c r="CG632"/>
      <c r="CH632"/>
      <c r="CI632"/>
      <c r="CU632" s="21">
        <v>627</v>
      </c>
      <c r="CV632" s="41">
        <v>2</v>
      </c>
      <c r="CW632" s="41">
        <v>1.0047263613915816</v>
      </c>
      <c r="CX632" s="41" t="e">
        <v>#N/A</v>
      </c>
      <c r="CY632" s="41">
        <v>1.0047263613915816</v>
      </c>
      <c r="CZ632" s="47" t="e">
        <v>#N/A</v>
      </c>
      <c r="DA632" t="e">
        <v>#N/A</v>
      </c>
      <c r="DB632" t="str">
        <v/>
      </c>
    </row>
    <row r="633" spans="83:106" x14ac:dyDescent="0.2">
      <c r="CE633"/>
      <c r="CF633"/>
      <c r="CG633"/>
      <c r="CH633"/>
      <c r="CI633"/>
      <c r="CU633" s="21">
        <v>628</v>
      </c>
      <c r="CV633" s="41">
        <v>2</v>
      </c>
      <c r="CW633" s="41">
        <v>1.0047263613915816</v>
      </c>
      <c r="CX633" s="41" t="e">
        <v>#N/A</v>
      </c>
      <c r="CY633" s="41">
        <v>1.0047263613915816</v>
      </c>
      <c r="CZ633" s="47" t="e">
        <v>#N/A</v>
      </c>
      <c r="DA633" t="e">
        <v>#N/A</v>
      </c>
      <c r="DB633" t="str">
        <v/>
      </c>
    </row>
    <row r="634" spans="83:106" x14ac:dyDescent="0.2">
      <c r="CE634"/>
      <c r="CF634"/>
      <c r="CG634"/>
      <c r="CH634"/>
      <c r="CI634"/>
      <c r="CU634" s="21">
        <v>629</v>
      </c>
      <c r="CV634" s="41">
        <v>2</v>
      </c>
      <c r="CW634" s="41">
        <v>1.0047263613915816</v>
      </c>
      <c r="CX634" s="41" t="e">
        <v>#N/A</v>
      </c>
      <c r="CY634" s="41">
        <v>1.0047263613915816</v>
      </c>
      <c r="CZ634" s="47" t="e">
        <v>#N/A</v>
      </c>
      <c r="DA634" t="e">
        <v>#N/A</v>
      </c>
      <c r="DB634" t="str">
        <v/>
      </c>
    </row>
    <row r="635" spans="83:106" x14ac:dyDescent="0.2">
      <c r="CE635"/>
      <c r="CF635"/>
      <c r="CG635"/>
      <c r="CH635"/>
      <c r="CI635"/>
      <c r="CU635" s="21">
        <v>630</v>
      </c>
      <c r="CV635" s="41">
        <v>2</v>
      </c>
      <c r="CW635" s="41">
        <v>1.0047263613915816</v>
      </c>
      <c r="CX635" s="41" t="e">
        <v>#N/A</v>
      </c>
      <c r="CY635" s="41">
        <v>1.0047263613915816</v>
      </c>
      <c r="CZ635" s="47" t="e">
        <v>#N/A</v>
      </c>
      <c r="DA635" t="e">
        <v>#N/A</v>
      </c>
      <c r="DB635" t="str">
        <v/>
      </c>
    </row>
    <row r="636" spans="83:106" x14ac:dyDescent="0.2">
      <c r="CE636"/>
      <c r="CF636"/>
      <c r="CG636"/>
      <c r="CH636"/>
      <c r="CI636"/>
      <c r="CU636" s="21">
        <v>631</v>
      </c>
      <c r="CV636" s="41">
        <v>2</v>
      </c>
      <c r="CW636" s="41">
        <v>1.0047263613915816</v>
      </c>
      <c r="CX636" s="41" t="e">
        <v>#N/A</v>
      </c>
      <c r="CY636" s="41">
        <v>1.0047263613915816</v>
      </c>
      <c r="CZ636" s="47" t="e">
        <v>#N/A</v>
      </c>
      <c r="DA636" t="e">
        <v>#N/A</v>
      </c>
      <c r="DB636" t="str">
        <v/>
      </c>
    </row>
    <row r="637" spans="83:106" x14ac:dyDescent="0.2">
      <c r="CE637"/>
      <c r="CF637"/>
      <c r="CG637"/>
      <c r="CH637"/>
      <c r="CI637"/>
      <c r="CU637" s="21">
        <v>632</v>
      </c>
      <c r="CV637" s="41">
        <v>2</v>
      </c>
      <c r="CW637" s="41">
        <v>1.0047263613915816</v>
      </c>
      <c r="CX637" s="41" t="e">
        <v>#N/A</v>
      </c>
      <c r="CY637" s="41">
        <v>1.0047263613915816</v>
      </c>
      <c r="CZ637" s="47" t="e">
        <v>#N/A</v>
      </c>
      <c r="DA637" t="e">
        <v>#N/A</v>
      </c>
      <c r="DB637" t="str">
        <v/>
      </c>
    </row>
    <row r="638" spans="83:106" x14ac:dyDescent="0.2">
      <c r="CE638"/>
      <c r="CF638"/>
      <c r="CG638"/>
      <c r="CH638"/>
      <c r="CI638"/>
      <c r="CU638" s="21">
        <v>633</v>
      </c>
      <c r="CV638" s="41">
        <v>2</v>
      </c>
      <c r="CW638" s="41">
        <v>1.0047263613915816</v>
      </c>
      <c r="CX638" s="41" t="e">
        <v>#N/A</v>
      </c>
      <c r="CY638" s="41">
        <v>1.0047263613915816</v>
      </c>
      <c r="CZ638" s="47" t="e">
        <v>#N/A</v>
      </c>
      <c r="DA638" t="e">
        <v>#N/A</v>
      </c>
      <c r="DB638" t="str">
        <v/>
      </c>
    </row>
    <row r="639" spans="83:106" x14ac:dyDescent="0.2">
      <c r="CE639"/>
      <c r="CF639"/>
      <c r="CG639"/>
      <c r="CH639"/>
      <c r="CI639"/>
      <c r="CU639" s="21">
        <v>634</v>
      </c>
      <c r="CV639" s="41">
        <v>2</v>
      </c>
      <c r="CW639" s="41">
        <v>1.0047263613915816</v>
      </c>
      <c r="CX639" s="41" t="e">
        <v>#N/A</v>
      </c>
      <c r="CY639" s="41">
        <v>1.0047263613915816</v>
      </c>
      <c r="CZ639" s="47" t="e">
        <v>#N/A</v>
      </c>
      <c r="DA639" t="e">
        <v>#N/A</v>
      </c>
      <c r="DB639" t="str">
        <v/>
      </c>
    </row>
    <row r="640" spans="83:106" x14ac:dyDescent="0.2">
      <c r="CE640"/>
      <c r="CF640"/>
      <c r="CG640"/>
      <c r="CH640"/>
      <c r="CI640"/>
      <c r="CU640" s="21">
        <v>635</v>
      </c>
      <c r="CV640" s="41">
        <v>2</v>
      </c>
      <c r="CW640" s="41">
        <v>1.0047263613915816</v>
      </c>
      <c r="CX640" s="41" t="e">
        <v>#N/A</v>
      </c>
      <c r="CY640" s="41">
        <v>1.0047263613915816</v>
      </c>
      <c r="CZ640" s="47" t="e">
        <v>#N/A</v>
      </c>
      <c r="DA640" t="e">
        <v>#N/A</v>
      </c>
      <c r="DB640" t="str">
        <v/>
      </c>
    </row>
    <row r="641" spans="83:106" x14ac:dyDescent="0.2">
      <c r="CE641"/>
      <c r="CF641"/>
      <c r="CG641"/>
      <c r="CH641"/>
      <c r="CI641"/>
      <c r="CU641" s="21">
        <v>636</v>
      </c>
      <c r="CV641" s="41">
        <v>2</v>
      </c>
      <c r="CW641" s="41">
        <v>1.0047263613915816</v>
      </c>
      <c r="CX641" s="41" t="e">
        <v>#N/A</v>
      </c>
      <c r="CY641" s="41">
        <v>1.0047263613915816</v>
      </c>
      <c r="CZ641" s="47" t="e">
        <v>#N/A</v>
      </c>
      <c r="DA641" t="e">
        <v>#N/A</v>
      </c>
      <c r="DB641" t="str">
        <v/>
      </c>
    </row>
    <row r="642" spans="83:106" x14ac:dyDescent="0.2">
      <c r="CE642"/>
      <c r="CF642"/>
      <c r="CG642"/>
      <c r="CH642"/>
      <c r="CI642"/>
      <c r="CU642" s="21">
        <v>637</v>
      </c>
      <c r="CV642" s="41">
        <v>2</v>
      </c>
      <c r="CW642" s="41">
        <v>1.0047263613915816</v>
      </c>
      <c r="CX642" s="41" t="e">
        <v>#N/A</v>
      </c>
      <c r="CY642" s="41">
        <v>1.0047263613915816</v>
      </c>
      <c r="CZ642" s="47" t="e">
        <v>#N/A</v>
      </c>
      <c r="DA642" t="e">
        <v>#N/A</v>
      </c>
      <c r="DB642" t="str">
        <v/>
      </c>
    </row>
    <row r="643" spans="83:106" x14ac:dyDescent="0.2">
      <c r="CE643"/>
      <c r="CF643"/>
      <c r="CG643"/>
      <c r="CH643"/>
      <c r="CI643"/>
      <c r="CU643" s="21">
        <v>638</v>
      </c>
      <c r="CV643" s="41">
        <v>2</v>
      </c>
      <c r="CW643" s="41">
        <v>1.0047263613915816</v>
      </c>
      <c r="CX643" s="41" t="e">
        <v>#N/A</v>
      </c>
      <c r="CY643" s="41">
        <v>1.0047263613915816</v>
      </c>
      <c r="CZ643" s="47" t="e">
        <v>#N/A</v>
      </c>
      <c r="DA643" t="e">
        <v>#N/A</v>
      </c>
      <c r="DB643" t="str">
        <v/>
      </c>
    </row>
    <row r="644" spans="83:106" x14ac:dyDescent="0.2">
      <c r="CE644"/>
      <c r="CF644"/>
      <c r="CG644"/>
      <c r="CH644"/>
      <c r="CI644"/>
      <c r="CU644" s="21">
        <v>639</v>
      </c>
      <c r="CV644" s="41">
        <v>2</v>
      </c>
      <c r="CW644" s="41">
        <v>1.0047263613915816</v>
      </c>
      <c r="CX644" s="41" t="e">
        <v>#N/A</v>
      </c>
      <c r="CY644" s="41">
        <v>1.0047263613915816</v>
      </c>
      <c r="CZ644" s="47" t="e">
        <v>#N/A</v>
      </c>
      <c r="DA644" t="e">
        <v>#N/A</v>
      </c>
      <c r="DB644" t="str">
        <v/>
      </c>
    </row>
    <row r="645" spans="83:106" x14ac:dyDescent="0.2">
      <c r="CE645"/>
      <c r="CF645"/>
      <c r="CG645"/>
      <c r="CH645"/>
      <c r="CI645"/>
      <c r="CU645" s="21">
        <v>640</v>
      </c>
      <c r="CV645" s="41">
        <v>2</v>
      </c>
      <c r="CW645" s="41">
        <v>1.0047263613915816</v>
      </c>
      <c r="CX645" s="41" t="e">
        <v>#N/A</v>
      </c>
      <c r="CY645" s="41">
        <v>1.0047263613915816</v>
      </c>
      <c r="CZ645" s="47" t="e">
        <v>#N/A</v>
      </c>
      <c r="DA645" t="e">
        <v>#N/A</v>
      </c>
      <c r="DB645" t="str">
        <v/>
      </c>
    </row>
    <row r="646" spans="83:106" x14ac:dyDescent="0.2">
      <c r="CE646"/>
      <c r="CF646"/>
      <c r="CG646"/>
      <c r="CH646"/>
      <c r="CI646"/>
      <c r="CU646" s="21">
        <v>641</v>
      </c>
      <c r="CV646" s="41">
        <v>2</v>
      </c>
      <c r="CW646" s="41">
        <v>1.0047263613915816</v>
      </c>
      <c r="CX646" s="41" t="e">
        <v>#N/A</v>
      </c>
      <c r="CY646" s="41">
        <v>1.0047263613915816</v>
      </c>
      <c r="CZ646" s="47" t="e">
        <v>#N/A</v>
      </c>
      <c r="DA646" t="e">
        <v>#N/A</v>
      </c>
      <c r="DB646" t="str">
        <v/>
      </c>
    </row>
    <row r="647" spans="83:106" x14ac:dyDescent="0.2">
      <c r="CE647"/>
      <c r="CF647"/>
      <c r="CG647"/>
      <c r="CH647"/>
      <c r="CI647"/>
      <c r="CU647" s="21">
        <v>642</v>
      </c>
      <c r="CV647" s="41">
        <v>2</v>
      </c>
      <c r="CW647" s="41">
        <v>1.0047263613915816</v>
      </c>
      <c r="CX647" s="41" t="e">
        <v>#N/A</v>
      </c>
      <c r="CY647" s="41">
        <v>1.0047263613915816</v>
      </c>
      <c r="CZ647" s="47" t="e">
        <v>#N/A</v>
      </c>
      <c r="DA647" t="e">
        <v>#N/A</v>
      </c>
      <c r="DB647" t="str">
        <v/>
      </c>
    </row>
    <row r="648" spans="83:106" x14ac:dyDescent="0.2">
      <c r="CE648"/>
      <c r="CF648"/>
      <c r="CG648"/>
      <c r="CH648"/>
      <c r="CI648"/>
      <c r="CU648" s="21">
        <v>643</v>
      </c>
      <c r="CV648" s="41">
        <v>2</v>
      </c>
      <c r="CW648" s="41">
        <v>1.0047263613915816</v>
      </c>
      <c r="CX648" s="41" t="e">
        <v>#N/A</v>
      </c>
      <c r="CY648" s="41">
        <v>1.0047263613915816</v>
      </c>
      <c r="CZ648" s="47" t="e">
        <v>#N/A</v>
      </c>
      <c r="DA648" t="e">
        <v>#N/A</v>
      </c>
      <c r="DB648" t="str">
        <v/>
      </c>
    </row>
    <row r="649" spans="83:106" x14ac:dyDescent="0.2">
      <c r="CE649"/>
      <c r="CF649"/>
      <c r="CG649"/>
      <c r="CH649"/>
      <c r="CI649"/>
      <c r="CU649" s="21">
        <v>644</v>
      </c>
      <c r="CV649" s="41">
        <v>2</v>
      </c>
      <c r="CW649" s="41">
        <v>1.0047263613915816</v>
      </c>
      <c r="CX649" s="41" t="e">
        <v>#N/A</v>
      </c>
      <c r="CY649" s="41">
        <v>1.0047263613915816</v>
      </c>
      <c r="CZ649" s="47" t="e">
        <v>#N/A</v>
      </c>
      <c r="DA649" t="e">
        <v>#N/A</v>
      </c>
      <c r="DB649" t="str">
        <v/>
      </c>
    </row>
    <row r="650" spans="83:106" x14ac:dyDescent="0.2">
      <c r="CE650"/>
      <c r="CF650"/>
      <c r="CG650"/>
      <c r="CH650"/>
      <c r="CI650"/>
      <c r="CU650" s="21">
        <v>645</v>
      </c>
      <c r="CV650" s="41">
        <v>2</v>
      </c>
      <c r="CW650" s="41">
        <v>1.0047263613915816</v>
      </c>
      <c r="CX650" s="41" t="e">
        <v>#N/A</v>
      </c>
      <c r="CY650" s="41">
        <v>1.0047263613915816</v>
      </c>
      <c r="CZ650" s="47" t="e">
        <v>#N/A</v>
      </c>
      <c r="DA650" t="e">
        <v>#N/A</v>
      </c>
      <c r="DB650" t="str">
        <v/>
      </c>
    </row>
    <row r="651" spans="83:106" x14ac:dyDescent="0.2">
      <c r="CE651"/>
      <c r="CF651"/>
      <c r="CG651"/>
      <c r="CH651"/>
      <c r="CI651"/>
      <c r="CU651" s="21">
        <v>646</v>
      </c>
      <c r="CV651" s="41">
        <v>2</v>
      </c>
      <c r="CW651" s="41">
        <v>1.0047263613915816</v>
      </c>
      <c r="CX651" s="41" t="e">
        <v>#N/A</v>
      </c>
      <c r="CY651" s="41">
        <v>1.0047263613915816</v>
      </c>
      <c r="CZ651" s="47" t="e">
        <v>#N/A</v>
      </c>
      <c r="DA651" t="e">
        <v>#N/A</v>
      </c>
      <c r="DB651" t="str">
        <v/>
      </c>
    </row>
    <row r="652" spans="83:106" x14ac:dyDescent="0.2">
      <c r="CE652"/>
      <c r="CF652"/>
      <c r="CG652"/>
      <c r="CH652"/>
      <c r="CI652"/>
      <c r="CU652" s="21">
        <v>647</v>
      </c>
      <c r="CV652" s="41">
        <v>2</v>
      </c>
      <c r="CW652" s="41">
        <v>1.0047263613915816</v>
      </c>
      <c r="CX652" s="41" t="e">
        <v>#N/A</v>
      </c>
      <c r="CY652" s="41">
        <v>1.0047263613915816</v>
      </c>
      <c r="CZ652" s="47" t="e">
        <v>#N/A</v>
      </c>
      <c r="DA652" t="e">
        <v>#N/A</v>
      </c>
      <c r="DB652" t="str">
        <v/>
      </c>
    </row>
    <row r="653" spans="83:106" x14ac:dyDescent="0.2">
      <c r="CE653"/>
      <c r="CF653"/>
      <c r="CG653"/>
      <c r="CH653"/>
      <c r="CI653"/>
      <c r="CU653" s="21">
        <v>648</v>
      </c>
      <c r="CV653" s="41">
        <v>2</v>
      </c>
      <c r="CW653" s="41">
        <v>1.0047263613915816</v>
      </c>
      <c r="CX653" s="41" t="e">
        <v>#N/A</v>
      </c>
      <c r="CY653" s="41">
        <v>1.0047263613915816</v>
      </c>
      <c r="CZ653" s="47" t="e">
        <v>#N/A</v>
      </c>
      <c r="DA653" t="e">
        <v>#N/A</v>
      </c>
      <c r="DB653" t="str">
        <v/>
      </c>
    </row>
    <row r="654" spans="83:106" x14ac:dyDescent="0.2">
      <c r="CE654"/>
      <c r="CF654"/>
      <c r="CG654"/>
      <c r="CH654"/>
      <c r="CI654"/>
      <c r="CU654" s="21">
        <v>649</v>
      </c>
      <c r="CV654" s="41">
        <v>2</v>
      </c>
      <c r="CW654" s="41">
        <v>1.0047263613915816</v>
      </c>
      <c r="CX654" s="41" t="e">
        <v>#N/A</v>
      </c>
      <c r="CY654" s="41">
        <v>1.0047263613915816</v>
      </c>
      <c r="CZ654" s="47" t="e">
        <v>#N/A</v>
      </c>
      <c r="DA654" t="e">
        <v>#N/A</v>
      </c>
      <c r="DB654" t="str">
        <v/>
      </c>
    </row>
    <row r="655" spans="83:106" x14ac:dyDescent="0.2">
      <c r="CE655"/>
      <c r="CF655"/>
      <c r="CG655"/>
      <c r="CH655"/>
      <c r="CI655"/>
      <c r="CU655" s="21">
        <v>650</v>
      </c>
      <c r="CV655" s="41">
        <v>2</v>
      </c>
      <c r="CW655" s="41">
        <v>1.0047263613915816</v>
      </c>
      <c r="CX655" s="41" t="e">
        <v>#N/A</v>
      </c>
      <c r="CY655" s="41">
        <v>1.0047263613915816</v>
      </c>
      <c r="CZ655" s="47" t="e">
        <v>#N/A</v>
      </c>
      <c r="DA655" t="e">
        <v>#N/A</v>
      </c>
      <c r="DB655" t="str">
        <v/>
      </c>
    </row>
    <row r="656" spans="83:106" x14ac:dyDescent="0.2">
      <c r="CE656"/>
      <c r="CF656"/>
      <c r="CG656"/>
      <c r="CH656"/>
      <c r="CI656"/>
      <c r="CU656" s="21">
        <v>651</v>
      </c>
      <c r="CV656" s="41">
        <v>2</v>
      </c>
      <c r="CW656" s="41">
        <v>1.0047263613915816</v>
      </c>
      <c r="CX656" s="41" t="e">
        <v>#N/A</v>
      </c>
      <c r="CY656" s="41">
        <v>1.0047263613915816</v>
      </c>
      <c r="CZ656" s="47" t="e">
        <v>#N/A</v>
      </c>
      <c r="DA656" t="e">
        <v>#N/A</v>
      </c>
      <c r="DB656" t="str">
        <v/>
      </c>
    </row>
    <row r="657" spans="83:106" x14ac:dyDescent="0.2">
      <c r="CE657"/>
      <c r="CF657"/>
      <c r="CG657"/>
      <c r="CH657"/>
      <c r="CI657"/>
      <c r="CU657" s="21">
        <v>652</v>
      </c>
      <c r="CV657" s="41">
        <v>2</v>
      </c>
      <c r="CW657" s="41">
        <v>1.0047263613915816</v>
      </c>
      <c r="CX657" s="41" t="e">
        <v>#N/A</v>
      </c>
      <c r="CY657" s="41">
        <v>1.0047263613915816</v>
      </c>
      <c r="CZ657" s="47" t="e">
        <v>#N/A</v>
      </c>
      <c r="DA657" t="e">
        <v>#N/A</v>
      </c>
      <c r="DB657" t="str">
        <v/>
      </c>
    </row>
    <row r="658" spans="83:106" x14ac:dyDescent="0.2">
      <c r="CE658"/>
      <c r="CF658"/>
      <c r="CG658"/>
      <c r="CH658"/>
      <c r="CI658"/>
      <c r="CU658" s="21">
        <v>653</v>
      </c>
      <c r="CV658" s="41">
        <v>2</v>
      </c>
      <c r="CW658" s="41">
        <v>1.0047263613915816</v>
      </c>
      <c r="CX658" s="41" t="e">
        <v>#N/A</v>
      </c>
      <c r="CY658" s="41">
        <v>1.0047263613915816</v>
      </c>
      <c r="CZ658" s="47" t="e">
        <v>#N/A</v>
      </c>
      <c r="DA658" t="e">
        <v>#N/A</v>
      </c>
      <c r="DB658" t="str">
        <v/>
      </c>
    </row>
    <row r="659" spans="83:106" x14ac:dyDescent="0.2">
      <c r="CE659"/>
      <c r="CF659"/>
      <c r="CG659"/>
      <c r="CH659"/>
      <c r="CI659"/>
      <c r="CU659" s="21">
        <v>654</v>
      </c>
      <c r="CV659" s="41">
        <v>2</v>
      </c>
      <c r="CW659" s="41">
        <v>1.0047263613915816</v>
      </c>
      <c r="CX659" s="41" t="e">
        <v>#N/A</v>
      </c>
      <c r="CY659" s="41">
        <v>1.0047263613915816</v>
      </c>
      <c r="CZ659" s="47" t="e">
        <v>#N/A</v>
      </c>
      <c r="DA659" t="e">
        <v>#N/A</v>
      </c>
      <c r="DB659" t="str">
        <v/>
      </c>
    </row>
    <row r="660" spans="83:106" x14ac:dyDescent="0.2">
      <c r="CE660"/>
      <c r="CF660"/>
      <c r="CG660"/>
      <c r="CH660"/>
      <c r="CI660"/>
      <c r="CU660" s="21">
        <v>655</v>
      </c>
      <c r="CV660" s="41">
        <v>2</v>
      </c>
      <c r="CW660" s="41">
        <v>1.0047263613915816</v>
      </c>
      <c r="CX660" s="41" t="e">
        <v>#N/A</v>
      </c>
      <c r="CY660" s="41">
        <v>1.0047263613915816</v>
      </c>
      <c r="CZ660" s="47" t="e">
        <v>#N/A</v>
      </c>
      <c r="DA660" t="e">
        <v>#N/A</v>
      </c>
      <c r="DB660" t="str">
        <v/>
      </c>
    </row>
    <row r="661" spans="83:106" x14ac:dyDescent="0.2">
      <c r="CE661"/>
      <c r="CF661"/>
      <c r="CG661"/>
      <c r="CH661"/>
      <c r="CI661"/>
      <c r="CU661" s="21">
        <v>656</v>
      </c>
      <c r="CV661" s="41">
        <v>2</v>
      </c>
      <c r="CW661" s="41">
        <v>1.0047263613915816</v>
      </c>
      <c r="CX661" s="41" t="e">
        <v>#N/A</v>
      </c>
      <c r="CY661" s="41">
        <v>1.0047263613915816</v>
      </c>
      <c r="CZ661" s="47" t="e">
        <v>#N/A</v>
      </c>
      <c r="DA661" t="e">
        <v>#N/A</v>
      </c>
      <c r="DB661" t="str">
        <v/>
      </c>
    </row>
    <row r="662" spans="83:106" x14ac:dyDescent="0.2">
      <c r="CE662"/>
      <c r="CF662"/>
      <c r="CG662"/>
      <c r="CH662"/>
      <c r="CI662"/>
      <c r="CU662" s="21">
        <v>657</v>
      </c>
      <c r="CV662" s="41">
        <v>2</v>
      </c>
      <c r="CW662" s="41">
        <v>1.0047263613915816</v>
      </c>
      <c r="CX662" s="41" t="e">
        <v>#N/A</v>
      </c>
      <c r="CY662" s="41">
        <v>1.0047263613915816</v>
      </c>
      <c r="CZ662" s="47" t="e">
        <v>#N/A</v>
      </c>
      <c r="DA662" t="e">
        <v>#N/A</v>
      </c>
      <c r="DB662" t="str">
        <v/>
      </c>
    </row>
    <row r="663" spans="83:106" x14ac:dyDescent="0.2">
      <c r="CE663"/>
      <c r="CF663"/>
      <c r="CG663"/>
      <c r="CH663"/>
      <c r="CI663"/>
      <c r="CU663" s="21">
        <v>658</v>
      </c>
      <c r="CV663" s="41">
        <v>2</v>
      </c>
      <c r="CW663" s="41">
        <v>1.0047263613915816</v>
      </c>
      <c r="CX663" s="41" t="e">
        <v>#N/A</v>
      </c>
      <c r="CY663" s="41">
        <v>1.0047263613915816</v>
      </c>
      <c r="CZ663" s="47" t="e">
        <v>#N/A</v>
      </c>
      <c r="DA663" t="e">
        <v>#N/A</v>
      </c>
      <c r="DB663" t="str">
        <v/>
      </c>
    </row>
    <row r="664" spans="83:106" x14ac:dyDescent="0.2">
      <c r="CE664"/>
      <c r="CF664"/>
      <c r="CG664"/>
      <c r="CH664"/>
      <c r="CI664"/>
      <c r="CU664" s="21">
        <v>659</v>
      </c>
      <c r="CV664" s="41">
        <v>2</v>
      </c>
      <c r="CW664" s="41">
        <v>1.0047263613915816</v>
      </c>
      <c r="CX664" s="41" t="e">
        <v>#N/A</v>
      </c>
      <c r="CY664" s="41">
        <v>1.0047263613915816</v>
      </c>
      <c r="CZ664" s="47" t="e">
        <v>#N/A</v>
      </c>
      <c r="DA664" t="e">
        <v>#N/A</v>
      </c>
      <c r="DB664" t="str">
        <v/>
      </c>
    </row>
    <row r="665" spans="83:106" x14ac:dyDescent="0.2">
      <c r="CE665"/>
      <c r="CF665"/>
      <c r="CG665"/>
      <c r="CH665"/>
      <c r="CI665"/>
      <c r="CU665" s="21">
        <v>660</v>
      </c>
      <c r="CV665" s="41">
        <v>2</v>
      </c>
      <c r="CW665" s="41">
        <v>1.0047263613915816</v>
      </c>
      <c r="CX665" s="41" t="e">
        <v>#N/A</v>
      </c>
      <c r="CY665" s="41">
        <v>1.0047263613915816</v>
      </c>
      <c r="CZ665" s="47" t="e">
        <v>#N/A</v>
      </c>
      <c r="DA665" t="e">
        <v>#N/A</v>
      </c>
      <c r="DB665" t="str">
        <v/>
      </c>
    </row>
    <row r="666" spans="83:106" x14ac:dyDescent="0.2">
      <c r="CE666"/>
      <c r="CF666"/>
      <c r="CG666"/>
      <c r="CH666"/>
      <c r="CI666"/>
      <c r="CU666" s="21">
        <v>661</v>
      </c>
      <c r="CV666" s="41">
        <v>2</v>
      </c>
      <c r="CW666" s="41">
        <v>1.0047263613915816</v>
      </c>
      <c r="CX666" s="41" t="e">
        <v>#N/A</v>
      </c>
      <c r="CY666" s="41">
        <v>1.0047263613915816</v>
      </c>
      <c r="CZ666" s="47" t="e">
        <v>#N/A</v>
      </c>
      <c r="DA666" t="e">
        <v>#N/A</v>
      </c>
      <c r="DB666" t="str">
        <v/>
      </c>
    </row>
    <row r="667" spans="83:106" x14ac:dyDescent="0.2">
      <c r="CE667"/>
      <c r="CF667"/>
      <c r="CG667"/>
      <c r="CH667"/>
      <c r="CI667"/>
      <c r="CU667" s="21">
        <v>662</v>
      </c>
      <c r="CV667" s="41">
        <v>2</v>
      </c>
      <c r="CW667" s="41">
        <v>1.0047263613915816</v>
      </c>
      <c r="CX667" s="41" t="e">
        <v>#N/A</v>
      </c>
      <c r="CY667" s="41">
        <v>1.0047263613915816</v>
      </c>
      <c r="CZ667" s="47" t="e">
        <v>#N/A</v>
      </c>
      <c r="DA667" t="e">
        <v>#N/A</v>
      </c>
      <c r="DB667" t="str">
        <v/>
      </c>
    </row>
    <row r="668" spans="83:106" x14ac:dyDescent="0.2">
      <c r="CE668"/>
      <c r="CF668"/>
      <c r="CG668"/>
      <c r="CH668"/>
      <c r="CI668"/>
      <c r="CU668" s="21">
        <v>663</v>
      </c>
      <c r="CV668" s="41">
        <v>2</v>
      </c>
      <c r="CW668" s="41">
        <v>1.0047263613915816</v>
      </c>
      <c r="CX668" s="41" t="e">
        <v>#N/A</v>
      </c>
      <c r="CY668" s="41">
        <v>1.0047263613915816</v>
      </c>
      <c r="CZ668" s="47" t="e">
        <v>#N/A</v>
      </c>
      <c r="DA668" t="e">
        <v>#N/A</v>
      </c>
      <c r="DB668" t="str">
        <v/>
      </c>
    </row>
    <row r="669" spans="83:106" x14ac:dyDescent="0.2">
      <c r="CE669"/>
      <c r="CF669"/>
      <c r="CG669"/>
      <c r="CH669"/>
      <c r="CI669"/>
      <c r="CU669" s="21">
        <v>664</v>
      </c>
      <c r="CV669" s="41">
        <v>2</v>
      </c>
      <c r="CW669" s="41">
        <v>1.0047263613915816</v>
      </c>
      <c r="CX669" s="41" t="e">
        <v>#N/A</v>
      </c>
      <c r="CY669" s="41">
        <v>1.0047263613915816</v>
      </c>
      <c r="CZ669" s="47" t="e">
        <v>#N/A</v>
      </c>
      <c r="DA669" t="e">
        <v>#N/A</v>
      </c>
      <c r="DB669" t="str">
        <v/>
      </c>
    </row>
    <row r="670" spans="83:106" x14ac:dyDescent="0.2">
      <c r="CE670"/>
      <c r="CF670"/>
      <c r="CG670"/>
      <c r="CH670"/>
      <c r="CI670"/>
      <c r="CU670" s="21">
        <v>665</v>
      </c>
      <c r="CV670" s="41">
        <v>2</v>
      </c>
      <c r="CW670" s="41">
        <v>1.0047263613915816</v>
      </c>
      <c r="CX670" s="41" t="e">
        <v>#N/A</v>
      </c>
      <c r="CY670" s="41">
        <v>1.0047263613915816</v>
      </c>
      <c r="CZ670" s="47" t="e">
        <v>#N/A</v>
      </c>
      <c r="DA670" t="e">
        <v>#N/A</v>
      </c>
      <c r="DB670" t="str">
        <v/>
      </c>
    </row>
    <row r="671" spans="83:106" x14ac:dyDescent="0.2">
      <c r="CE671"/>
      <c r="CF671"/>
      <c r="CG671"/>
      <c r="CH671"/>
      <c r="CI671"/>
      <c r="CU671" s="21">
        <v>666</v>
      </c>
      <c r="CV671" s="41">
        <v>2</v>
      </c>
      <c r="CW671" s="41">
        <v>1.0047263613915816</v>
      </c>
      <c r="CX671" s="41" t="e">
        <v>#N/A</v>
      </c>
      <c r="CY671" s="41">
        <v>1.0047263613915816</v>
      </c>
      <c r="CZ671" s="47" t="e">
        <v>#N/A</v>
      </c>
      <c r="DA671" t="e">
        <v>#N/A</v>
      </c>
      <c r="DB671" t="str">
        <v/>
      </c>
    </row>
    <row r="672" spans="83:106" x14ac:dyDescent="0.2">
      <c r="CE672"/>
      <c r="CF672"/>
      <c r="CG672"/>
      <c r="CH672"/>
      <c r="CI672"/>
      <c r="CU672" s="21">
        <v>667</v>
      </c>
      <c r="CV672" s="41">
        <v>2</v>
      </c>
      <c r="CW672" s="41">
        <v>1.0047263613915816</v>
      </c>
      <c r="CX672" s="41" t="e">
        <v>#N/A</v>
      </c>
      <c r="CY672" s="41">
        <v>1.0047263613915816</v>
      </c>
      <c r="CZ672" s="47" t="e">
        <v>#N/A</v>
      </c>
      <c r="DA672" t="e">
        <v>#N/A</v>
      </c>
      <c r="DB672" t="str">
        <v/>
      </c>
    </row>
    <row r="673" spans="83:106" x14ac:dyDescent="0.2">
      <c r="CE673"/>
      <c r="CF673"/>
      <c r="CG673"/>
      <c r="CH673"/>
      <c r="CI673"/>
      <c r="CU673" s="21">
        <v>668</v>
      </c>
      <c r="CV673" s="41">
        <v>2</v>
      </c>
      <c r="CW673" s="41">
        <v>1.0047263613915816</v>
      </c>
      <c r="CX673" s="41" t="e">
        <v>#N/A</v>
      </c>
      <c r="CY673" s="41">
        <v>1.0047263613915816</v>
      </c>
      <c r="CZ673" s="47" t="e">
        <v>#N/A</v>
      </c>
      <c r="DA673" t="e">
        <v>#N/A</v>
      </c>
      <c r="DB673" t="str">
        <v/>
      </c>
    </row>
    <row r="674" spans="83:106" x14ac:dyDescent="0.2">
      <c r="CE674"/>
      <c r="CF674"/>
      <c r="CG674"/>
      <c r="CH674"/>
      <c r="CI674"/>
      <c r="CU674" s="21">
        <v>669</v>
      </c>
      <c r="CV674" s="41">
        <v>2</v>
      </c>
      <c r="CW674" s="41">
        <v>1.0047263613915816</v>
      </c>
      <c r="CX674" s="41" t="e">
        <v>#N/A</v>
      </c>
      <c r="CY674" s="41">
        <v>1.0047263613915816</v>
      </c>
      <c r="CZ674" s="47" t="e">
        <v>#N/A</v>
      </c>
      <c r="DA674" t="e">
        <v>#N/A</v>
      </c>
      <c r="DB674" t="str">
        <v/>
      </c>
    </row>
    <row r="675" spans="83:106" x14ac:dyDescent="0.2">
      <c r="CE675"/>
      <c r="CF675"/>
      <c r="CG675"/>
      <c r="CH675"/>
      <c r="CI675"/>
      <c r="CU675" s="21">
        <v>670</v>
      </c>
      <c r="CV675" s="41">
        <v>2</v>
      </c>
      <c r="CW675" s="41">
        <v>1.0047263613915816</v>
      </c>
      <c r="CX675" s="41" t="e">
        <v>#N/A</v>
      </c>
      <c r="CY675" s="41">
        <v>1.0047263613915816</v>
      </c>
      <c r="CZ675" s="47" t="e">
        <v>#N/A</v>
      </c>
      <c r="DA675" t="e">
        <v>#N/A</v>
      </c>
      <c r="DB675" t="str">
        <v/>
      </c>
    </row>
    <row r="676" spans="83:106" x14ac:dyDescent="0.2">
      <c r="CE676"/>
      <c r="CF676"/>
      <c r="CG676"/>
      <c r="CH676"/>
      <c r="CI676"/>
      <c r="CU676" s="21">
        <v>671</v>
      </c>
      <c r="CV676" s="41">
        <v>2</v>
      </c>
      <c r="CW676" s="41">
        <v>1.0047263613915816</v>
      </c>
      <c r="CX676" s="41" t="e">
        <v>#N/A</v>
      </c>
      <c r="CY676" s="41">
        <v>1.0047263613915816</v>
      </c>
      <c r="CZ676" s="47" t="e">
        <v>#N/A</v>
      </c>
      <c r="DA676" t="e">
        <v>#N/A</v>
      </c>
      <c r="DB676" t="str">
        <v/>
      </c>
    </row>
    <row r="677" spans="83:106" x14ac:dyDescent="0.2">
      <c r="CE677"/>
      <c r="CF677"/>
      <c r="CG677"/>
      <c r="CH677"/>
      <c r="CI677"/>
      <c r="CU677" s="21">
        <v>672</v>
      </c>
      <c r="CV677" s="41">
        <v>2</v>
      </c>
      <c r="CW677" s="41">
        <v>1.0047263613915816</v>
      </c>
      <c r="CX677" s="41" t="e">
        <v>#N/A</v>
      </c>
      <c r="CY677" s="41">
        <v>1.0047263613915816</v>
      </c>
      <c r="CZ677" s="47" t="e">
        <v>#N/A</v>
      </c>
      <c r="DA677" t="e">
        <v>#N/A</v>
      </c>
      <c r="DB677" t="str">
        <v/>
      </c>
    </row>
    <row r="678" spans="83:106" x14ac:dyDescent="0.2">
      <c r="CE678"/>
      <c r="CF678"/>
      <c r="CG678"/>
      <c r="CH678"/>
      <c r="CI678"/>
      <c r="CU678" s="21">
        <v>673</v>
      </c>
      <c r="CV678" s="41">
        <v>2</v>
      </c>
      <c r="CW678" s="41">
        <v>1.0047263613915816</v>
      </c>
      <c r="CX678" s="41" t="e">
        <v>#N/A</v>
      </c>
      <c r="CY678" s="41">
        <v>1.0047263613915816</v>
      </c>
      <c r="CZ678" s="47" t="e">
        <v>#N/A</v>
      </c>
      <c r="DA678" t="e">
        <v>#N/A</v>
      </c>
      <c r="DB678" t="str">
        <v/>
      </c>
    </row>
    <row r="679" spans="83:106" x14ac:dyDescent="0.2">
      <c r="CE679"/>
      <c r="CF679"/>
      <c r="CG679"/>
      <c r="CH679"/>
      <c r="CI679"/>
      <c r="CU679" s="21">
        <v>674</v>
      </c>
      <c r="CV679" s="41">
        <v>2</v>
      </c>
      <c r="CW679" s="41">
        <v>1.0047263613915816</v>
      </c>
      <c r="CX679" s="41" t="e">
        <v>#N/A</v>
      </c>
      <c r="CY679" s="41">
        <v>1.0047263613915816</v>
      </c>
      <c r="CZ679" s="47" t="e">
        <v>#N/A</v>
      </c>
      <c r="DA679" t="e">
        <v>#N/A</v>
      </c>
      <c r="DB679" t="str">
        <v/>
      </c>
    </row>
    <row r="680" spans="83:106" x14ac:dyDescent="0.2">
      <c r="CE680"/>
      <c r="CF680"/>
      <c r="CG680"/>
      <c r="CH680"/>
      <c r="CI680"/>
      <c r="CU680" s="21">
        <v>675</v>
      </c>
      <c r="CV680" s="41">
        <v>2</v>
      </c>
      <c r="CW680" s="41">
        <v>1.0047263613915816</v>
      </c>
      <c r="CX680" s="41" t="e">
        <v>#N/A</v>
      </c>
      <c r="CY680" s="41">
        <v>1.0047263613915816</v>
      </c>
      <c r="CZ680" s="47" t="e">
        <v>#N/A</v>
      </c>
      <c r="DA680" t="e">
        <v>#N/A</v>
      </c>
      <c r="DB680" t="str">
        <v/>
      </c>
    </row>
    <row r="681" spans="83:106" x14ac:dyDescent="0.2">
      <c r="CE681"/>
      <c r="CF681"/>
      <c r="CG681"/>
      <c r="CH681"/>
      <c r="CI681"/>
      <c r="CU681" s="21">
        <v>676</v>
      </c>
      <c r="CV681" s="41">
        <v>2</v>
      </c>
      <c r="CW681" s="41">
        <v>1.0047263613915816</v>
      </c>
      <c r="CX681" s="41" t="e">
        <v>#N/A</v>
      </c>
      <c r="CY681" s="41">
        <v>1.0047263613915816</v>
      </c>
      <c r="CZ681" s="47" t="e">
        <v>#N/A</v>
      </c>
      <c r="DA681" t="e">
        <v>#N/A</v>
      </c>
      <c r="DB681" t="str">
        <v/>
      </c>
    </row>
    <row r="682" spans="83:106" x14ac:dyDescent="0.2">
      <c r="CE682"/>
      <c r="CF682"/>
      <c r="CG682"/>
      <c r="CH682"/>
      <c r="CI682"/>
      <c r="CU682" s="21">
        <v>677</v>
      </c>
      <c r="CV682" s="41">
        <v>2</v>
      </c>
      <c r="CW682" s="41">
        <v>1.0047263613915816</v>
      </c>
      <c r="CX682" s="41" t="e">
        <v>#N/A</v>
      </c>
      <c r="CY682" s="41">
        <v>1.0047263613915816</v>
      </c>
      <c r="CZ682" s="47" t="e">
        <v>#N/A</v>
      </c>
      <c r="DA682" t="e">
        <v>#N/A</v>
      </c>
      <c r="DB682" t="str">
        <v/>
      </c>
    </row>
    <row r="683" spans="83:106" x14ac:dyDescent="0.2">
      <c r="CE683"/>
      <c r="CF683"/>
      <c r="CG683"/>
      <c r="CH683"/>
      <c r="CI683"/>
      <c r="CU683" s="21">
        <v>678</v>
      </c>
      <c r="CV683" s="41">
        <v>2</v>
      </c>
      <c r="CW683" s="41">
        <v>1.0047263613915816</v>
      </c>
      <c r="CX683" s="41" t="e">
        <v>#N/A</v>
      </c>
      <c r="CY683" s="41">
        <v>1.0047263613915816</v>
      </c>
      <c r="CZ683" s="47" t="e">
        <v>#N/A</v>
      </c>
      <c r="DA683" t="e">
        <v>#N/A</v>
      </c>
      <c r="DB683" t="str">
        <v/>
      </c>
    </row>
    <row r="684" spans="83:106" x14ac:dyDescent="0.2">
      <c r="CE684"/>
      <c r="CF684"/>
      <c r="CG684"/>
      <c r="CH684"/>
      <c r="CI684"/>
      <c r="CU684" s="21">
        <v>679</v>
      </c>
      <c r="CV684" s="41">
        <v>2</v>
      </c>
      <c r="CW684" s="41">
        <v>1.0047263613915816</v>
      </c>
      <c r="CX684" s="41" t="e">
        <v>#N/A</v>
      </c>
      <c r="CY684" s="41">
        <v>1.0047263613915816</v>
      </c>
      <c r="CZ684" s="47" t="e">
        <v>#N/A</v>
      </c>
      <c r="DA684" t="e">
        <v>#N/A</v>
      </c>
      <c r="DB684" t="str">
        <v/>
      </c>
    </row>
    <row r="685" spans="83:106" x14ac:dyDescent="0.2">
      <c r="CE685"/>
      <c r="CF685"/>
      <c r="CG685"/>
      <c r="CH685"/>
      <c r="CI685"/>
      <c r="CU685" s="21">
        <v>680</v>
      </c>
      <c r="CV685" s="41">
        <v>2</v>
      </c>
      <c r="CW685" s="41">
        <v>1.0047263613915816</v>
      </c>
      <c r="CX685" s="41" t="e">
        <v>#N/A</v>
      </c>
      <c r="CY685" s="41">
        <v>1.0047263613915816</v>
      </c>
      <c r="CZ685" s="47" t="e">
        <v>#N/A</v>
      </c>
      <c r="DA685" t="e">
        <v>#N/A</v>
      </c>
      <c r="DB685" t="str">
        <v/>
      </c>
    </row>
    <row r="686" spans="83:106" x14ac:dyDescent="0.2">
      <c r="CE686"/>
      <c r="CF686"/>
      <c r="CG686"/>
      <c r="CH686"/>
      <c r="CI686"/>
      <c r="CU686" s="21">
        <v>681</v>
      </c>
      <c r="CV686" s="41">
        <v>2</v>
      </c>
      <c r="CW686" s="41">
        <v>1.0047263613915816</v>
      </c>
      <c r="CX686" s="41" t="e">
        <v>#N/A</v>
      </c>
      <c r="CY686" s="41">
        <v>1.0047263613915816</v>
      </c>
      <c r="CZ686" s="47" t="e">
        <v>#N/A</v>
      </c>
      <c r="DA686" t="e">
        <v>#N/A</v>
      </c>
      <c r="DB686" t="str">
        <v/>
      </c>
    </row>
    <row r="687" spans="83:106" x14ac:dyDescent="0.2">
      <c r="CE687"/>
      <c r="CF687"/>
      <c r="CG687"/>
      <c r="CH687"/>
      <c r="CI687"/>
      <c r="CU687" s="21">
        <v>682</v>
      </c>
      <c r="CV687" s="41">
        <v>2</v>
      </c>
      <c r="CW687" s="41">
        <v>1.0047263613915816</v>
      </c>
      <c r="CX687" s="41" t="e">
        <v>#N/A</v>
      </c>
      <c r="CY687" s="41">
        <v>1.0047263613915816</v>
      </c>
      <c r="CZ687" s="47" t="e">
        <v>#N/A</v>
      </c>
      <c r="DA687" t="e">
        <v>#N/A</v>
      </c>
      <c r="DB687" t="str">
        <v/>
      </c>
    </row>
    <row r="688" spans="83:106" x14ac:dyDescent="0.2">
      <c r="CE688"/>
      <c r="CF688"/>
      <c r="CG688"/>
      <c r="CH688"/>
      <c r="CI688"/>
      <c r="CU688" s="21">
        <v>683</v>
      </c>
      <c r="CV688" s="41">
        <v>2</v>
      </c>
      <c r="CW688" s="41">
        <v>1.0047263613915816</v>
      </c>
      <c r="CX688" s="41" t="e">
        <v>#N/A</v>
      </c>
      <c r="CY688" s="41">
        <v>1.0047263613915816</v>
      </c>
      <c r="CZ688" s="47" t="e">
        <v>#N/A</v>
      </c>
      <c r="DA688" t="e">
        <v>#N/A</v>
      </c>
      <c r="DB688" t="str">
        <v/>
      </c>
    </row>
    <row r="689" spans="83:106" x14ac:dyDescent="0.2">
      <c r="CE689"/>
      <c r="CF689"/>
      <c r="CG689"/>
      <c r="CH689"/>
      <c r="CI689"/>
      <c r="CU689" s="21">
        <v>684</v>
      </c>
      <c r="CV689" s="41">
        <v>3</v>
      </c>
      <c r="CW689" s="41">
        <v>1.0626913437795575</v>
      </c>
      <c r="CX689" s="41" t="e">
        <v>#N/A</v>
      </c>
      <c r="CY689" s="41" t="e">
        <v>#N/A</v>
      </c>
      <c r="CZ689" s="47">
        <v>1.0626913437795575</v>
      </c>
      <c r="DA689" t="e">
        <v>#N/A</v>
      </c>
      <c r="DB689">
        <v>0.499</v>
      </c>
    </row>
    <row r="690" spans="83:106" x14ac:dyDescent="0.2">
      <c r="CE690"/>
      <c r="CF690"/>
      <c r="CG690"/>
      <c r="CH690"/>
      <c r="CI690"/>
      <c r="CU690" s="21">
        <v>685</v>
      </c>
      <c r="CV690" s="41">
        <v>3</v>
      </c>
      <c r="CW690" s="41">
        <v>1.0626913437795575</v>
      </c>
      <c r="CX690" s="41" t="e">
        <v>#N/A</v>
      </c>
      <c r="CY690" s="41" t="e">
        <v>#N/A</v>
      </c>
      <c r="CZ690" s="47">
        <v>1.0626913437795575</v>
      </c>
      <c r="DA690" t="e">
        <v>#N/A</v>
      </c>
      <c r="DB690" t="str">
        <v/>
      </c>
    </row>
    <row r="691" spans="83:106" x14ac:dyDescent="0.2">
      <c r="CE691"/>
      <c r="CF691"/>
      <c r="CG691"/>
      <c r="CH691"/>
      <c r="CI691"/>
      <c r="CU691" s="21">
        <v>686</v>
      </c>
      <c r="CV691" s="41">
        <v>3</v>
      </c>
      <c r="CW691" s="41">
        <v>1.0626913437795575</v>
      </c>
      <c r="CX691" s="41" t="e">
        <v>#N/A</v>
      </c>
      <c r="CY691" s="41" t="e">
        <v>#N/A</v>
      </c>
      <c r="CZ691" s="47">
        <v>1.0626913437795575</v>
      </c>
      <c r="DA691" t="e">
        <v>#N/A</v>
      </c>
      <c r="DB691" t="str">
        <v/>
      </c>
    </row>
    <row r="692" spans="83:106" x14ac:dyDescent="0.2">
      <c r="CE692"/>
      <c r="CF692"/>
      <c r="CG692"/>
      <c r="CH692"/>
      <c r="CI692"/>
      <c r="CU692" s="21">
        <v>687</v>
      </c>
      <c r="CV692" s="41">
        <v>3</v>
      </c>
      <c r="CW692" s="41">
        <v>1.0626913437795575</v>
      </c>
      <c r="CX692" s="41" t="e">
        <v>#N/A</v>
      </c>
      <c r="CY692" s="41" t="e">
        <v>#N/A</v>
      </c>
      <c r="CZ692" s="47">
        <v>1.0626913437795575</v>
      </c>
      <c r="DA692" t="e">
        <v>#N/A</v>
      </c>
      <c r="DB692" t="str">
        <v/>
      </c>
    </row>
    <row r="693" spans="83:106" x14ac:dyDescent="0.2">
      <c r="CE693"/>
      <c r="CF693"/>
      <c r="CG693"/>
      <c r="CH693"/>
      <c r="CI693"/>
      <c r="CU693" s="21">
        <v>688</v>
      </c>
      <c r="CV693" s="41">
        <v>3</v>
      </c>
      <c r="CW693" s="41">
        <v>1.0626913437795575</v>
      </c>
      <c r="CX693" s="41" t="e">
        <v>#N/A</v>
      </c>
      <c r="CY693" s="41" t="e">
        <v>#N/A</v>
      </c>
      <c r="CZ693" s="47">
        <v>1.0626913437795575</v>
      </c>
      <c r="DA693" t="e">
        <v>#N/A</v>
      </c>
      <c r="DB693" t="str">
        <v/>
      </c>
    </row>
    <row r="694" spans="83:106" x14ac:dyDescent="0.2">
      <c r="CE694"/>
      <c r="CF694"/>
      <c r="CG694"/>
      <c r="CH694"/>
      <c r="CI694"/>
      <c r="CU694" s="21">
        <v>689</v>
      </c>
      <c r="CV694" s="41">
        <v>3</v>
      </c>
      <c r="CW694" s="41">
        <v>1.0626913437795575</v>
      </c>
      <c r="CX694" s="41" t="e">
        <v>#N/A</v>
      </c>
      <c r="CY694" s="41" t="e">
        <v>#N/A</v>
      </c>
      <c r="CZ694" s="47">
        <v>1.0626913437795575</v>
      </c>
      <c r="DA694" t="e">
        <v>#N/A</v>
      </c>
      <c r="DB694" t="str">
        <v/>
      </c>
    </row>
    <row r="695" spans="83:106" x14ac:dyDescent="0.2">
      <c r="CE695"/>
      <c r="CF695"/>
      <c r="CG695"/>
      <c r="CH695"/>
      <c r="CI695"/>
      <c r="CU695" s="21">
        <v>690</v>
      </c>
      <c r="CV695" s="41">
        <v>3</v>
      </c>
      <c r="CW695" s="41">
        <v>1.0626913437795575</v>
      </c>
      <c r="CX695" s="41" t="e">
        <v>#N/A</v>
      </c>
      <c r="CY695" s="41" t="e">
        <v>#N/A</v>
      </c>
      <c r="CZ695" s="47">
        <v>1.0626913437795575</v>
      </c>
      <c r="DA695" t="e">
        <v>#N/A</v>
      </c>
      <c r="DB695" t="str">
        <v/>
      </c>
    </row>
    <row r="696" spans="83:106" x14ac:dyDescent="0.2">
      <c r="CE696"/>
      <c r="CF696"/>
      <c r="CG696"/>
      <c r="CH696"/>
      <c r="CI696"/>
      <c r="CU696" s="21">
        <v>691</v>
      </c>
      <c r="CV696" s="41">
        <v>3</v>
      </c>
      <c r="CW696" s="41">
        <v>1.0626913437795575</v>
      </c>
      <c r="CX696" s="41" t="e">
        <v>#N/A</v>
      </c>
      <c r="CY696" s="41" t="e">
        <v>#N/A</v>
      </c>
      <c r="CZ696" s="47">
        <v>1.0626913437795575</v>
      </c>
      <c r="DA696" t="e">
        <v>#N/A</v>
      </c>
      <c r="DB696" t="str">
        <v/>
      </c>
    </row>
    <row r="697" spans="83:106" x14ac:dyDescent="0.2">
      <c r="CE697"/>
      <c r="CF697"/>
      <c r="CG697"/>
      <c r="CH697"/>
      <c r="CI697"/>
      <c r="CU697" s="21">
        <v>692</v>
      </c>
      <c r="CV697" s="41">
        <v>3</v>
      </c>
      <c r="CW697" s="41">
        <v>1.0626913437795575</v>
      </c>
      <c r="CX697" s="41" t="e">
        <v>#N/A</v>
      </c>
      <c r="CY697" s="41" t="e">
        <v>#N/A</v>
      </c>
      <c r="CZ697" s="47">
        <v>1.0626913437795575</v>
      </c>
      <c r="DA697" t="e">
        <v>#N/A</v>
      </c>
      <c r="DB697" t="str">
        <v/>
      </c>
    </row>
    <row r="698" spans="83:106" x14ac:dyDescent="0.2">
      <c r="CE698"/>
      <c r="CF698"/>
      <c r="CG698"/>
      <c r="CH698"/>
      <c r="CI698"/>
      <c r="CU698" s="21">
        <v>693</v>
      </c>
      <c r="CV698" s="41">
        <v>3</v>
      </c>
      <c r="CW698" s="41">
        <v>1.0626913437795575</v>
      </c>
      <c r="CX698" s="41" t="e">
        <v>#N/A</v>
      </c>
      <c r="CY698" s="41" t="e">
        <v>#N/A</v>
      </c>
      <c r="CZ698" s="47">
        <v>1.0626913437795575</v>
      </c>
      <c r="DA698" t="e">
        <v>#N/A</v>
      </c>
      <c r="DB698" t="str">
        <v/>
      </c>
    </row>
    <row r="699" spans="83:106" x14ac:dyDescent="0.2">
      <c r="CE699"/>
      <c r="CF699"/>
      <c r="CG699"/>
      <c r="CH699"/>
      <c r="CI699"/>
      <c r="CU699" s="21">
        <v>694</v>
      </c>
      <c r="CV699" s="41">
        <v>3</v>
      </c>
      <c r="CW699" s="41">
        <v>1.0626913437795575</v>
      </c>
      <c r="CX699" s="41" t="e">
        <v>#N/A</v>
      </c>
      <c r="CY699" s="41" t="e">
        <v>#N/A</v>
      </c>
      <c r="CZ699" s="47">
        <v>1.0626913437795575</v>
      </c>
      <c r="DA699" t="e">
        <v>#N/A</v>
      </c>
      <c r="DB699" t="str">
        <v/>
      </c>
    </row>
    <row r="700" spans="83:106" x14ac:dyDescent="0.2">
      <c r="CE700"/>
      <c r="CF700"/>
      <c r="CG700"/>
      <c r="CH700"/>
      <c r="CI700"/>
      <c r="CU700" s="21">
        <v>695</v>
      </c>
      <c r="CV700" s="41">
        <v>3</v>
      </c>
      <c r="CW700" s="41">
        <v>1.0626913437795575</v>
      </c>
      <c r="CX700" s="41" t="e">
        <v>#N/A</v>
      </c>
      <c r="CY700" s="41" t="e">
        <v>#N/A</v>
      </c>
      <c r="CZ700" s="47">
        <v>1.0626913437795575</v>
      </c>
      <c r="DA700" t="e">
        <v>#N/A</v>
      </c>
      <c r="DB700" t="str">
        <v/>
      </c>
    </row>
    <row r="701" spans="83:106" x14ac:dyDescent="0.2">
      <c r="CE701"/>
      <c r="CF701"/>
      <c r="CG701"/>
      <c r="CH701"/>
      <c r="CI701"/>
      <c r="CU701" s="21">
        <v>696</v>
      </c>
      <c r="CV701" s="41">
        <v>3</v>
      </c>
      <c r="CW701" s="41">
        <v>1.0626913437795575</v>
      </c>
      <c r="CX701" s="41" t="e">
        <v>#N/A</v>
      </c>
      <c r="CY701" s="41" t="e">
        <v>#N/A</v>
      </c>
      <c r="CZ701" s="47">
        <v>1.0626913437795575</v>
      </c>
      <c r="DA701" t="e">
        <v>#N/A</v>
      </c>
      <c r="DB701" t="str">
        <v/>
      </c>
    </row>
    <row r="702" spans="83:106" x14ac:dyDescent="0.2">
      <c r="CE702"/>
      <c r="CF702"/>
      <c r="CG702"/>
      <c r="CH702"/>
      <c r="CI702"/>
      <c r="CU702" s="21">
        <v>697</v>
      </c>
      <c r="CV702" s="41">
        <v>3</v>
      </c>
      <c r="CW702" s="41">
        <v>1.0626913437795575</v>
      </c>
      <c r="CX702" s="41" t="e">
        <v>#N/A</v>
      </c>
      <c r="CY702" s="41" t="e">
        <v>#N/A</v>
      </c>
      <c r="CZ702" s="47">
        <v>1.0626913437795575</v>
      </c>
      <c r="DA702" t="e">
        <v>#N/A</v>
      </c>
      <c r="DB702" t="str">
        <v/>
      </c>
    </row>
    <row r="703" spans="83:106" x14ac:dyDescent="0.2">
      <c r="CE703"/>
      <c r="CF703"/>
      <c r="CG703"/>
      <c r="CH703"/>
      <c r="CI703"/>
      <c r="CU703" s="21">
        <v>698</v>
      </c>
      <c r="CV703" s="41">
        <v>3</v>
      </c>
      <c r="CW703" s="41">
        <v>1.0626913437795575</v>
      </c>
      <c r="CX703" s="41" t="e">
        <v>#N/A</v>
      </c>
      <c r="CY703" s="41" t="e">
        <v>#N/A</v>
      </c>
      <c r="CZ703" s="47">
        <v>1.0626913437795575</v>
      </c>
      <c r="DA703" t="e">
        <v>#N/A</v>
      </c>
      <c r="DB703" t="str">
        <v/>
      </c>
    </row>
    <row r="704" spans="83:106" x14ac:dyDescent="0.2">
      <c r="CE704"/>
      <c r="CF704"/>
      <c r="CG704"/>
      <c r="CH704"/>
      <c r="CI704"/>
      <c r="CU704" s="21">
        <v>699</v>
      </c>
      <c r="CV704" s="41">
        <v>3</v>
      </c>
      <c r="CW704" s="41">
        <v>1.0626913437795575</v>
      </c>
      <c r="CX704" s="41" t="e">
        <v>#N/A</v>
      </c>
      <c r="CY704" s="41" t="e">
        <v>#N/A</v>
      </c>
      <c r="CZ704" s="47">
        <v>1.0626913437795575</v>
      </c>
      <c r="DA704" t="e">
        <v>#N/A</v>
      </c>
      <c r="DB704" t="str">
        <v/>
      </c>
    </row>
    <row r="705" spans="83:106" x14ac:dyDescent="0.2">
      <c r="CE705"/>
      <c r="CF705"/>
      <c r="CG705"/>
      <c r="CH705"/>
      <c r="CI705"/>
      <c r="CU705" s="21">
        <v>700</v>
      </c>
      <c r="CV705" s="41">
        <v>3</v>
      </c>
      <c r="CW705" s="41">
        <v>1.0626913437795575</v>
      </c>
      <c r="CX705" s="41" t="e">
        <v>#N/A</v>
      </c>
      <c r="CY705" s="41" t="e">
        <v>#N/A</v>
      </c>
      <c r="CZ705" s="47">
        <v>1.0626913437795575</v>
      </c>
      <c r="DA705" t="e">
        <v>#N/A</v>
      </c>
      <c r="DB705" t="str">
        <v/>
      </c>
    </row>
    <row r="706" spans="83:106" x14ac:dyDescent="0.2">
      <c r="CE706"/>
      <c r="CF706"/>
      <c r="CG706"/>
      <c r="CH706"/>
      <c r="CI706"/>
      <c r="CU706" s="21">
        <v>701</v>
      </c>
      <c r="CV706" s="41">
        <v>3</v>
      </c>
      <c r="CW706" s="41">
        <v>1.0626913437795575</v>
      </c>
      <c r="CX706" s="41" t="e">
        <v>#N/A</v>
      </c>
      <c r="CY706" s="41" t="e">
        <v>#N/A</v>
      </c>
      <c r="CZ706" s="47">
        <v>1.0626913437795575</v>
      </c>
      <c r="DA706" t="e">
        <v>#N/A</v>
      </c>
      <c r="DB706" t="str">
        <v/>
      </c>
    </row>
    <row r="707" spans="83:106" x14ac:dyDescent="0.2">
      <c r="CE707"/>
      <c r="CF707"/>
      <c r="CG707"/>
      <c r="CH707"/>
      <c r="CI707"/>
      <c r="CU707" s="21">
        <v>702</v>
      </c>
      <c r="CV707" s="41">
        <v>3</v>
      </c>
      <c r="CW707" s="41">
        <v>1.0626913437795575</v>
      </c>
      <c r="CX707" s="41" t="e">
        <v>#N/A</v>
      </c>
      <c r="CY707" s="41" t="e">
        <v>#N/A</v>
      </c>
      <c r="CZ707" s="47">
        <v>1.0626913437795575</v>
      </c>
      <c r="DA707" t="e">
        <v>#N/A</v>
      </c>
      <c r="DB707" t="str">
        <v/>
      </c>
    </row>
    <row r="708" spans="83:106" x14ac:dyDescent="0.2">
      <c r="CE708"/>
      <c r="CF708"/>
      <c r="CG708"/>
      <c r="CH708"/>
      <c r="CI708"/>
      <c r="CU708" s="21">
        <v>703</v>
      </c>
      <c r="CV708" s="41">
        <v>3</v>
      </c>
      <c r="CW708" s="41">
        <v>1.0626913437795575</v>
      </c>
      <c r="CX708" s="41" t="e">
        <v>#N/A</v>
      </c>
      <c r="CY708" s="41" t="e">
        <v>#N/A</v>
      </c>
      <c r="CZ708" s="47">
        <v>1.0626913437795575</v>
      </c>
      <c r="DA708" t="e">
        <v>#N/A</v>
      </c>
      <c r="DB708" t="str">
        <v/>
      </c>
    </row>
    <row r="709" spans="83:106" x14ac:dyDescent="0.2">
      <c r="CE709"/>
      <c r="CF709"/>
      <c r="CG709"/>
      <c r="CH709"/>
      <c r="CI709"/>
      <c r="CU709" s="21">
        <v>704</v>
      </c>
      <c r="CV709" s="41">
        <v>3</v>
      </c>
      <c r="CW709" s="41">
        <v>1.0626913437795575</v>
      </c>
      <c r="CX709" s="41" t="e">
        <v>#N/A</v>
      </c>
      <c r="CY709" s="41" t="e">
        <v>#N/A</v>
      </c>
      <c r="CZ709" s="47">
        <v>1.0626913437795575</v>
      </c>
      <c r="DA709" t="e">
        <v>#N/A</v>
      </c>
      <c r="DB709" t="str">
        <v/>
      </c>
    </row>
    <row r="710" spans="83:106" x14ac:dyDescent="0.2">
      <c r="CE710"/>
      <c r="CF710"/>
      <c r="CG710"/>
      <c r="CH710"/>
      <c r="CI710"/>
      <c r="CU710" s="21">
        <v>705</v>
      </c>
      <c r="CV710" s="41">
        <v>3</v>
      </c>
      <c r="CW710" s="41">
        <v>1.0626913437795575</v>
      </c>
      <c r="CX710" s="41" t="e">
        <v>#N/A</v>
      </c>
      <c r="CY710" s="41" t="e">
        <v>#N/A</v>
      </c>
      <c r="CZ710" s="47">
        <v>1.0626913437795575</v>
      </c>
      <c r="DA710" t="e">
        <v>#N/A</v>
      </c>
      <c r="DB710" t="str">
        <v/>
      </c>
    </row>
    <row r="711" spans="83:106" x14ac:dyDescent="0.2">
      <c r="CE711"/>
      <c r="CF711"/>
      <c r="CG711"/>
      <c r="CH711"/>
      <c r="CI711"/>
      <c r="CU711" s="21">
        <v>706</v>
      </c>
      <c r="CV711" s="41">
        <v>3</v>
      </c>
      <c r="CW711" s="41">
        <v>1.0626913437795575</v>
      </c>
      <c r="CX711" s="41" t="e">
        <v>#N/A</v>
      </c>
      <c r="CY711" s="41" t="e">
        <v>#N/A</v>
      </c>
      <c r="CZ711" s="47">
        <v>1.0626913437795575</v>
      </c>
      <c r="DA711" t="e">
        <v>#N/A</v>
      </c>
      <c r="DB711" t="str">
        <v/>
      </c>
    </row>
    <row r="712" spans="83:106" x14ac:dyDescent="0.2">
      <c r="CE712"/>
      <c r="CF712"/>
      <c r="CG712"/>
      <c r="CH712"/>
      <c r="CI712"/>
      <c r="CU712" s="21">
        <v>707</v>
      </c>
      <c r="CV712" s="41">
        <v>3</v>
      </c>
      <c r="CW712" s="41">
        <v>1.0626913437795575</v>
      </c>
      <c r="CX712" s="41" t="e">
        <v>#N/A</v>
      </c>
      <c r="CY712" s="41" t="e">
        <v>#N/A</v>
      </c>
      <c r="CZ712" s="47">
        <v>1.0626913437795575</v>
      </c>
      <c r="DA712" t="e">
        <v>#N/A</v>
      </c>
      <c r="DB712" t="str">
        <v/>
      </c>
    </row>
    <row r="713" spans="83:106" x14ac:dyDescent="0.2">
      <c r="CE713"/>
      <c r="CF713"/>
      <c r="CG713"/>
      <c r="CH713"/>
      <c r="CI713"/>
      <c r="CU713" s="21">
        <v>708</v>
      </c>
      <c r="CV713" s="41">
        <v>3</v>
      </c>
      <c r="CW713" s="41">
        <v>1.0626913437795575</v>
      </c>
      <c r="CX713" s="41" t="e">
        <v>#N/A</v>
      </c>
      <c r="CY713" s="41" t="e">
        <v>#N/A</v>
      </c>
      <c r="CZ713" s="47">
        <v>1.0626913437795575</v>
      </c>
      <c r="DA713" t="e">
        <v>#N/A</v>
      </c>
      <c r="DB713" t="str">
        <v/>
      </c>
    </row>
    <row r="714" spans="83:106" x14ac:dyDescent="0.2">
      <c r="CE714"/>
      <c r="CF714"/>
      <c r="CG714"/>
      <c r="CH714"/>
      <c r="CI714"/>
      <c r="CU714" s="21">
        <v>709</v>
      </c>
      <c r="CV714" s="41">
        <v>3</v>
      </c>
      <c r="CW714" s="41">
        <v>1.0626913437795575</v>
      </c>
      <c r="CX714" s="41" t="e">
        <v>#N/A</v>
      </c>
      <c r="CY714" s="41" t="e">
        <v>#N/A</v>
      </c>
      <c r="CZ714" s="47">
        <v>1.0626913437795575</v>
      </c>
      <c r="DA714" t="e">
        <v>#N/A</v>
      </c>
      <c r="DB714" t="str">
        <v/>
      </c>
    </row>
    <row r="715" spans="83:106" x14ac:dyDescent="0.2">
      <c r="CE715"/>
      <c r="CF715"/>
      <c r="CG715"/>
      <c r="CH715"/>
      <c r="CI715"/>
      <c r="CU715" s="21">
        <v>710</v>
      </c>
      <c r="CV715" s="41">
        <v>3</v>
      </c>
      <c r="CW715" s="41">
        <v>1.0626913437795575</v>
      </c>
      <c r="CX715" s="41" t="e">
        <v>#N/A</v>
      </c>
      <c r="CY715" s="41" t="e">
        <v>#N/A</v>
      </c>
      <c r="CZ715" s="47">
        <v>1.0626913437795575</v>
      </c>
      <c r="DA715" t="e">
        <v>#N/A</v>
      </c>
      <c r="DB715" t="str">
        <v/>
      </c>
    </row>
    <row r="716" spans="83:106" x14ac:dyDescent="0.2">
      <c r="CE716"/>
      <c r="CF716"/>
      <c r="CG716"/>
      <c r="CH716"/>
      <c r="CI716"/>
      <c r="CU716" s="21">
        <v>711</v>
      </c>
      <c r="CV716" s="41">
        <v>3</v>
      </c>
      <c r="CW716" s="41">
        <v>1.0626913437795575</v>
      </c>
      <c r="CX716" s="41" t="e">
        <v>#N/A</v>
      </c>
      <c r="CY716" s="41" t="e">
        <v>#N/A</v>
      </c>
      <c r="CZ716" s="47">
        <v>1.0626913437795575</v>
      </c>
      <c r="DA716" t="e">
        <v>#N/A</v>
      </c>
      <c r="DB716" t="str">
        <v/>
      </c>
    </row>
    <row r="717" spans="83:106" x14ac:dyDescent="0.2">
      <c r="CE717"/>
      <c r="CF717"/>
      <c r="CG717"/>
      <c r="CH717"/>
      <c r="CI717"/>
      <c r="CU717" s="21">
        <v>712</v>
      </c>
      <c r="CV717" s="41">
        <v>3</v>
      </c>
      <c r="CW717" s="41">
        <v>1.0626913437795575</v>
      </c>
      <c r="CX717" s="41" t="e">
        <v>#N/A</v>
      </c>
      <c r="CY717" s="41" t="e">
        <v>#N/A</v>
      </c>
      <c r="CZ717" s="47">
        <v>1.0626913437795575</v>
      </c>
      <c r="DA717" t="e">
        <v>#N/A</v>
      </c>
      <c r="DB717" t="str">
        <v/>
      </c>
    </row>
    <row r="718" spans="83:106" x14ac:dyDescent="0.2">
      <c r="CE718"/>
      <c r="CF718"/>
      <c r="CG718"/>
      <c r="CH718"/>
      <c r="CI718"/>
      <c r="CU718" s="21">
        <v>713</v>
      </c>
      <c r="CV718" s="41">
        <v>3</v>
      </c>
      <c r="CW718" s="41">
        <v>1.0626913437795575</v>
      </c>
      <c r="CX718" s="41" t="e">
        <v>#N/A</v>
      </c>
      <c r="CY718" s="41" t="e">
        <v>#N/A</v>
      </c>
      <c r="CZ718" s="47">
        <v>1.0626913437795575</v>
      </c>
      <c r="DA718" t="e">
        <v>#N/A</v>
      </c>
      <c r="DB718" t="str">
        <v/>
      </c>
    </row>
    <row r="719" spans="83:106" x14ac:dyDescent="0.2">
      <c r="CE719"/>
      <c r="CF719"/>
      <c r="CG719"/>
      <c r="CH719"/>
      <c r="CI719"/>
      <c r="CU719" s="21">
        <v>714</v>
      </c>
      <c r="CV719" s="41">
        <v>3</v>
      </c>
      <c r="CW719" s="41">
        <v>1.0626913437795575</v>
      </c>
      <c r="CX719" s="41" t="e">
        <v>#N/A</v>
      </c>
      <c r="CY719" s="41" t="e">
        <v>#N/A</v>
      </c>
      <c r="CZ719" s="47">
        <v>1.0626913437795575</v>
      </c>
      <c r="DA719" t="e">
        <v>#N/A</v>
      </c>
      <c r="DB719" t="str">
        <v/>
      </c>
    </row>
    <row r="720" spans="83:106" x14ac:dyDescent="0.2">
      <c r="CE720"/>
      <c r="CF720"/>
      <c r="CG720"/>
      <c r="CH720"/>
      <c r="CI720"/>
      <c r="CU720" s="21">
        <v>715</v>
      </c>
      <c r="CV720" s="41">
        <v>3</v>
      </c>
      <c r="CW720" s="41">
        <v>1.0626913437795575</v>
      </c>
      <c r="CX720" s="41" t="e">
        <v>#N/A</v>
      </c>
      <c r="CY720" s="41" t="e">
        <v>#N/A</v>
      </c>
      <c r="CZ720" s="47">
        <v>1.0626913437795575</v>
      </c>
      <c r="DA720" t="e">
        <v>#N/A</v>
      </c>
      <c r="DB720" t="str">
        <v/>
      </c>
    </row>
    <row r="721" spans="83:106" x14ac:dyDescent="0.2">
      <c r="CE721"/>
      <c r="CF721"/>
      <c r="CG721"/>
      <c r="CH721"/>
      <c r="CI721"/>
      <c r="CU721" s="21">
        <v>716</v>
      </c>
      <c r="CV721" s="41">
        <v>3</v>
      </c>
      <c r="CW721" s="41">
        <v>1.0626913437795575</v>
      </c>
      <c r="CX721" s="41" t="e">
        <v>#N/A</v>
      </c>
      <c r="CY721" s="41" t="e">
        <v>#N/A</v>
      </c>
      <c r="CZ721" s="47">
        <v>1.0626913437795575</v>
      </c>
      <c r="DA721" t="e">
        <v>#N/A</v>
      </c>
      <c r="DB721" t="str">
        <v/>
      </c>
    </row>
    <row r="722" spans="83:106" x14ac:dyDescent="0.2">
      <c r="CE722"/>
      <c r="CF722"/>
      <c r="CG722"/>
      <c r="CH722"/>
      <c r="CI722"/>
      <c r="CU722" s="21">
        <v>717</v>
      </c>
      <c r="CV722" s="41">
        <v>3</v>
      </c>
      <c r="CW722" s="41">
        <v>1.0626913437795575</v>
      </c>
      <c r="CX722" s="41" t="e">
        <v>#N/A</v>
      </c>
      <c r="CY722" s="41" t="e">
        <v>#N/A</v>
      </c>
      <c r="CZ722" s="47">
        <v>1.0626913437795575</v>
      </c>
      <c r="DA722" t="e">
        <v>#N/A</v>
      </c>
      <c r="DB722" t="str">
        <v/>
      </c>
    </row>
    <row r="723" spans="83:106" x14ac:dyDescent="0.2">
      <c r="CE723"/>
      <c r="CF723"/>
      <c r="CG723"/>
      <c r="CH723"/>
      <c r="CI723"/>
      <c r="CU723" s="21">
        <v>718</v>
      </c>
      <c r="CV723" s="41">
        <v>3</v>
      </c>
      <c r="CW723" s="41">
        <v>1.0626913437795575</v>
      </c>
      <c r="CX723" s="41" t="e">
        <v>#N/A</v>
      </c>
      <c r="CY723" s="41" t="e">
        <v>#N/A</v>
      </c>
      <c r="CZ723" s="47">
        <v>1.0626913437795575</v>
      </c>
      <c r="DA723" t="e">
        <v>#N/A</v>
      </c>
      <c r="DB723" t="str">
        <v/>
      </c>
    </row>
    <row r="724" spans="83:106" x14ac:dyDescent="0.2">
      <c r="CE724"/>
      <c r="CF724"/>
      <c r="CG724"/>
      <c r="CH724"/>
      <c r="CI724"/>
      <c r="CU724" s="21">
        <v>719</v>
      </c>
      <c r="CV724" s="41">
        <v>3</v>
      </c>
      <c r="CW724" s="41">
        <v>1.0626913437795575</v>
      </c>
      <c r="CX724" s="41" t="e">
        <v>#N/A</v>
      </c>
      <c r="CY724" s="41" t="e">
        <v>#N/A</v>
      </c>
      <c r="CZ724" s="47">
        <v>1.0626913437795575</v>
      </c>
      <c r="DA724" t="e">
        <v>#N/A</v>
      </c>
      <c r="DB724" t="str">
        <v/>
      </c>
    </row>
    <row r="725" spans="83:106" x14ac:dyDescent="0.2">
      <c r="CE725"/>
      <c r="CF725"/>
      <c r="CG725"/>
      <c r="CH725"/>
      <c r="CI725"/>
      <c r="CU725" s="21">
        <v>720</v>
      </c>
      <c r="CV725" s="41">
        <v>3</v>
      </c>
      <c r="CW725" s="41">
        <v>1.0626913437795575</v>
      </c>
      <c r="CX725" s="41" t="e">
        <v>#N/A</v>
      </c>
      <c r="CY725" s="41" t="e">
        <v>#N/A</v>
      </c>
      <c r="CZ725" s="47">
        <v>1.0626913437795575</v>
      </c>
      <c r="DA725" t="e">
        <v>#N/A</v>
      </c>
      <c r="DB725" t="str">
        <v/>
      </c>
    </row>
    <row r="726" spans="83:106" x14ac:dyDescent="0.2">
      <c r="CE726"/>
      <c r="CF726"/>
      <c r="CG726"/>
      <c r="CH726"/>
      <c r="CI726"/>
      <c r="CU726" s="21">
        <v>721</v>
      </c>
      <c r="CV726" s="41">
        <v>3</v>
      </c>
      <c r="CW726" s="41">
        <v>1.0626913437795575</v>
      </c>
      <c r="CX726" s="41" t="e">
        <v>#N/A</v>
      </c>
      <c r="CY726" s="41" t="e">
        <v>#N/A</v>
      </c>
      <c r="CZ726" s="47">
        <v>1.0626913437795575</v>
      </c>
      <c r="DA726" t="e">
        <v>#N/A</v>
      </c>
      <c r="DB726" t="str">
        <v/>
      </c>
    </row>
    <row r="727" spans="83:106" x14ac:dyDescent="0.2">
      <c r="CE727"/>
      <c r="CF727"/>
      <c r="CG727"/>
      <c r="CH727"/>
      <c r="CI727"/>
      <c r="CU727" s="21">
        <v>722</v>
      </c>
      <c r="CV727" s="41">
        <v>3</v>
      </c>
      <c r="CW727" s="41">
        <v>1.0626913437795575</v>
      </c>
      <c r="CX727" s="41" t="e">
        <v>#N/A</v>
      </c>
      <c r="CY727" s="41" t="e">
        <v>#N/A</v>
      </c>
      <c r="CZ727" s="47">
        <v>1.0626913437795575</v>
      </c>
      <c r="DA727" t="e">
        <v>#N/A</v>
      </c>
      <c r="DB727" t="str">
        <v/>
      </c>
    </row>
    <row r="728" spans="83:106" x14ac:dyDescent="0.2">
      <c r="CE728"/>
      <c r="CF728"/>
      <c r="CG728"/>
      <c r="CH728"/>
      <c r="CI728"/>
      <c r="CU728" s="21">
        <v>723</v>
      </c>
      <c r="CV728" s="41">
        <v>3</v>
      </c>
      <c r="CW728" s="41">
        <v>1.0626913437795575</v>
      </c>
      <c r="CX728" s="41" t="e">
        <v>#N/A</v>
      </c>
      <c r="CY728" s="41" t="e">
        <v>#N/A</v>
      </c>
      <c r="CZ728" s="47">
        <v>1.0626913437795575</v>
      </c>
      <c r="DA728" t="e">
        <v>#N/A</v>
      </c>
      <c r="DB728" t="str">
        <v/>
      </c>
    </row>
    <row r="729" spans="83:106" x14ac:dyDescent="0.2">
      <c r="CE729"/>
      <c r="CF729"/>
      <c r="CG729"/>
      <c r="CH729"/>
      <c r="CI729"/>
      <c r="CU729" s="21">
        <v>724</v>
      </c>
      <c r="CV729" s="41">
        <v>3</v>
      </c>
      <c r="CW729" s="41">
        <v>1.0626913437795575</v>
      </c>
      <c r="CX729" s="41" t="e">
        <v>#N/A</v>
      </c>
      <c r="CY729" s="41" t="e">
        <v>#N/A</v>
      </c>
      <c r="CZ729" s="47">
        <v>1.0626913437795575</v>
      </c>
      <c r="DA729" t="e">
        <v>#N/A</v>
      </c>
      <c r="DB729" t="str">
        <v/>
      </c>
    </row>
    <row r="730" spans="83:106" x14ac:dyDescent="0.2">
      <c r="CE730"/>
      <c r="CF730"/>
      <c r="CG730"/>
      <c r="CH730"/>
      <c r="CI730"/>
      <c r="CU730" s="21">
        <v>725</v>
      </c>
      <c r="CV730" s="41">
        <v>3</v>
      </c>
      <c r="CW730" s="41">
        <v>1.0626913437795575</v>
      </c>
      <c r="CX730" s="41" t="e">
        <v>#N/A</v>
      </c>
      <c r="CY730" s="41" t="e">
        <v>#N/A</v>
      </c>
      <c r="CZ730" s="47">
        <v>1.0626913437795575</v>
      </c>
      <c r="DA730" t="e">
        <v>#N/A</v>
      </c>
      <c r="DB730" t="str">
        <v/>
      </c>
    </row>
    <row r="731" spans="83:106" x14ac:dyDescent="0.2">
      <c r="CE731"/>
      <c r="CF731"/>
      <c r="CG731"/>
      <c r="CH731"/>
      <c r="CI731"/>
      <c r="CU731" s="21">
        <v>726</v>
      </c>
      <c r="CV731" s="41">
        <v>3</v>
      </c>
      <c r="CW731" s="41">
        <v>1.0626913437795575</v>
      </c>
      <c r="CX731" s="41" t="e">
        <v>#N/A</v>
      </c>
      <c r="CY731" s="41" t="e">
        <v>#N/A</v>
      </c>
      <c r="CZ731" s="47">
        <v>1.0626913437795575</v>
      </c>
      <c r="DA731" t="e">
        <v>#N/A</v>
      </c>
      <c r="DB731" t="str">
        <v/>
      </c>
    </row>
    <row r="732" spans="83:106" x14ac:dyDescent="0.2">
      <c r="CE732"/>
      <c r="CF732"/>
      <c r="CG732"/>
      <c r="CH732"/>
      <c r="CI732"/>
      <c r="CU732" s="21">
        <v>727</v>
      </c>
      <c r="CV732" s="41">
        <v>3</v>
      </c>
      <c r="CW732" s="41">
        <v>1.0626913437795575</v>
      </c>
      <c r="CX732" s="41" t="e">
        <v>#N/A</v>
      </c>
      <c r="CY732" s="41" t="e">
        <v>#N/A</v>
      </c>
      <c r="CZ732" s="47">
        <v>1.0626913437795575</v>
      </c>
      <c r="DA732" t="e">
        <v>#N/A</v>
      </c>
      <c r="DB732" t="str">
        <v/>
      </c>
    </row>
    <row r="733" spans="83:106" x14ac:dyDescent="0.2">
      <c r="CE733"/>
      <c r="CF733"/>
      <c r="CG733"/>
      <c r="CH733"/>
      <c r="CI733"/>
      <c r="CU733" s="21">
        <v>728</v>
      </c>
      <c r="CV733" s="41">
        <v>3</v>
      </c>
      <c r="CW733" s="41">
        <v>1.0626913437795575</v>
      </c>
      <c r="CX733" s="41" t="e">
        <v>#N/A</v>
      </c>
      <c r="CY733" s="41" t="e">
        <v>#N/A</v>
      </c>
      <c r="CZ733" s="47">
        <v>1.0626913437795575</v>
      </c>
      <c r="DA733" t="e">
        <v>#N/A</v>
      </c>
      <c r="DB733" t="str">
        <v/>
      </c>
    </row>
    <row r="734" spans="83:106" x14ac:dyDescent="0.2">
      <c r="CE734"/>
      <c r="CF734"/>
      <c r="CG734"/>
      <c r="CH734"/>
      <c r="CI734"/>
      <c r="CU734" s="21">
        <v>729</v>
      </c>
      <c r="CV734" s="41">
        <v>3</v>
      </c>
      <c r="CW734" s="41">
        <v>1.0626913437795575</v>
      </c>
      <c r="CX734" s="41" t="e">
        <v>#N/A</v>
      </c>
      <c r="CY734" s="41" t="e">
        <v>#N/A</v>
      </c>
      <c r="CZ734" s="47">
        <v>1.0626913437795575</v>
      </c>
      <c r="DA734" t="e">
        <v>#N/A</v>
      </c>
      <c r="DB734" t="str">
        <v/>
      </c>
    </row>
    <row r="735" spans="83:106" x14ac:dyDescent="0.2">
      <c r="CE735"/>
      <c r="CF735"/>
      <c r="CG735"/>
      <c r="CH735"/>
      <c r="CI735"/>
      <c r="CU735" s="21">
        <v>730</v>
      </c>
      <c r="CV735" s="41">
        <v>3</v>
      </c>
      <c r="CW735" s="41">
        <v>1.0626913437795575</v>
      </c>
      <c r="CX735" s="41" t="e">
        <v>#N/A</v>
      </c>
      <c r="CY735" s="41" t="e">
        <v>#N/A</v>
      </c>
      <c r="CZ735" s="47">
        <v>1.0626913437795575</v>
      </c>
      <c r="DA735" t="e">
        <v>#N/A</v>
      </c>
      <c r="DB735" t="str">
        <v/>
      </c>
    </row>
    <row r="736" spans="83:106" x14ac:dyDescent="0.2">
      <c r="CE736"/>
      <c r="CF736"/>
      <c r="CG736"/>
      <c r="CH736"/>
      <c r="CI736"/>
      <c r="CU736" s="21">
        <v>731</v>
      </c>
      <c r="CV736" s="41">
        <v>3</v>
      </c>
      <c r="CW736" s="41">
        <v>1.0626913437795575</v>
      </c>
      <c r="CX736" s="41" t="e">
        <v>#N/A</v>
      </c>
      <c r="CY736" s="41" t="e">
        <v>#N/A</v>
      </c>
      <c r="CZ736" s="47">
        <v>1.0626913437795575</v>
      </c>
      <c r="DA736" t="e">
        <v>#N/A</v>
      </c>
      <c r="DB736" t="str">
        <v/>
      </c>
    </row>
    <row r="737" spans="83:106" x14ac:dyDescent="0.2">
      <c r="CE737"/>
      <c r="CF737"/>
      <c r="CG737"/>
      <c r="CH737"/>
      <c r="CI737"/>
      <c r="CU737" s="21">
        <v>732</v>
      </c>
      <c r="CV737" s="41">
        <v>3</v>
      </c>
      <c r="CW737" s="41">
        <v>1.0626913437795575</v>
      </c>
      <c r="CX737" s="41" t="e">
        <v>#N/A</v>
      </c>
      <c r="CY737" s="41" t="e">
        <v>#N/A</v>
      </c>
      <c r="CZ737" s="47">
        <v>1.0626913437795575</v>
      </c>
      <c r="DA737" t="e">
        <v>#N/A</v>
      </c>
      <c r="DB737" t="str">
        <v/>
      </c>
    </row>
    <row r="738" spans="83:106" x14ac:dyDescent="0.2">
      <c r="CE738"/>
      <c r="CF738"/>
      <c r="CG738"/>
      <c r="CH738"/>
      <c r="CI738"/>
      <c r="CU738" s="21">
        <v>733</v>
      </c>
      <c r="CV738" s="41">
        <v>3</v>
      </c>
      <c r="CW738" s="41">
        <v>1.0626913437795575</v>
      </c>
      <c r="CX738" s="41" t="e">
        <v>#N/A</v>
      </c>
      <c r="CY738" s="41" t="e">
        <v>#N/A</v>
      </c>
      <c r="CZ738" s="47">
        <v>1.0626913437795575</v>
      </c>
      <c r="DA738" t="e">
        <v>#N/A</v>
      </c>
      <c r="DB738" t="str">
        <v/>
      </c>
    </row>
    <row r="739" spans="83:106" x14ac:dyDescent="0.2">
      <c r="CE739"/>
      <c r="CF739"/>
      <c r="CG739"/>
      <c r="CH739"/>
      <c r="CI739"/>
      <c r="CU739" s="21">
        <v>734</v>
      </c>
      <c r="CV739" s="41">
        <v>3</v>
      </c>
      <c r="CW739" s="41">
        <v>1.0626913437795575</v>
      </c>
      <c r="CX739" s="41" t="e">
        <v>#N/A</v>
      </c>
      <c r="CY739" s="41" t="e">
        <v>#N/A</v>
      </c>
      <c r="CZ739" s="47">
        <v>1.0626913437795575</v>
      </c>
      <c r="DA739" t="e">
        <v>#N/A</v>
      </c>
      <c r="DB739" t="str">
        <v/>
      </c>
    </row>
    <row r="740" spans="83:106" x14ac:dyDescent="0.2">
      <c r="CE740"/>
      <c r="CF740"/>
      <c r="CG740"/>
      <c r="CH740"/>
      <c r="CI740"/>
      <c r="CU740" s="21">
        <v>735</v>
      </c>
      <c r="CV740" s="41">
        <v>3</v>
      </c>
      <c r="CW740" s="41">
        <v>1.0626913437795575</v>
      </c>
      <c r="CX740" s="41" t="e">
        <v>#N/A</v>
      </c>
      <c r="CY740" s="41" t="e">
        <v>#N/A</v>
      </c>
      <c r="CZ740" s="47">
        <v>1.0626913437795575</v>
      </c>
      <c r="DA740" t="e">
        <v>#N/A</v>
      </c>
      <c r="DB740" t="str">
        <v/>
      </c>
    </row>
    <row r="741" spans="83:106" x14ac:dyDescent="0.2">
      <c r="CE741"/>
      <c r="CF741"/>
      <c r="CG741"/>
      <c r="CH741"/>
      <c r="CI741"/>
      <c r="CU741" s="21">
        <v>736</v>
      </c>
      <c r="CV741" s="41">
        <v>3</v>
      </c>
      <c r="CW741" s="41">
        <v>1.0626913437795575</v>
      </c>
      <c r="CX741" s="41" t="e">
        <v>#N/A</v>
      </c>
      <c r="CY741" s="41" t="e">
        <v>#N/A</v>
      </c>
      <c r="CZ741" s="47">
        <v>1.0626913437795575</v>
      </c>
      <c r="DA741" t="e">
        <v>#N/A</v>
      </c>
      <c r="DB741" t="str">
        <v/>
      </c>
    </row>
    <row r="742" spans="83:106" x14ac:dyDescent="0.2">
      <c r="CE742"/>
      <c r="CF742"/>
      <c r="CG742"/>
      <c r="CH742"/>
      <c r="CI742"/>
      <c r="CU742" s="21">
        <v>737</v>
      </c>
      <c r="CV742" s="41">
        <v>3</v>
      </c>
      <c r="CW742" s="41">
        <v>1.0626913437795575</v>
      </c>
      <c r="CX742" s="41" t="e">
        <v>#N/A</v>
      </c>
      <c r="CY742" s="41" t="e">
        <v>#N/A</v>
      </c>
      <c r="CZ742" s="47">
        <v>1.0626913437795575</v>
      </c>
      <c r="DA742" t="e">
        <v>#N/A</v>
      </c>
      <c r="DB742" t="str">
        <v/>
      </c>
    </row>
    <row r="743" spans="83:106" x14ac:dyDescent="0.2">
      <c r="CE743"/>
      <c r="CF743"/>
      <c r="CG743"/>
      <c r="CH743"/>
      <c r="CI743"/>
      <c r="CU743" s="21">
        <v>738</v>
      </c>
      <c r="CV743" s="41">
        <v>3</v>
      </c>
      <c r="CW743" s="41">
        <v>1.0626913437795575</v>
      </c>
      <c r="CX743" s="41" t="e">
        <v>#N/A</v>
      </c>
      <c r="CY743" s="41" t="e">
        <v>#N/A</v>
      </c>
      <c r="CZ743" s="47">
        <v>1.0626913437795575</v>
      </c>
      <c r="DA743" t="e">
        <v>#N/A</v>
      </c>
      <c r="DB743" t="str">
        <v/>
      </c>
    </row>
    <row r="744" spans="83:106" x14ac:dyDescent="0.2">
      <c r="CE744"/>
      <c r="CF744"/>
      <c r="CG744"/>
      <c r="CH744"/>
      <c r="CI744"/>
      <c r="CU744" s="21">
        <v>739</v>
      </c>
      <c r="CV744" s="41">
        <v>3</v>
      </c>
      <c r="CW744" s="41">
        <v>1.0626913437795575</v>
      </c>
      <c r="CX744" s="41" t="e">
        <v>#N/A</v>
      </c>
      <c r="CY744" s="41" t="e">
        <v>#N/A</v>
      </c>
      <c r="CZ744" s="47">
        <v>1.0626913437795575</v>
      </c>
      <c r="DA744" t="e">
        <v>#N/A</v>
      </c>
      <c r="DB744" t="str">
        <v/>
      </c>
    </row>
    <row r="745" spans="83:106" x14ac:dyDescent="0.2">
      <c r="CE745"/>
      <c r="CF745"/>
      <c r="CG745"/>
      <c r="CH745"/>
      <c r="CI745"/>
      <c r="CU745" s="21">
        <v>740</v>
      </c>
      <c r="CV745" s="41">
        <v>3</v>
      </c>
      <c r="CW745" s="41">
        <v>1.0626913437795575</v>
      </c>
      <c r="CX745" s="41" t="e">
        <v>#N/A</v>
      </c>
      <c r="CY745" s="41" t="e">
        <v>#N/A</v>
      </c>
      <c r="CZ745" s="47">
        <v>1.0626913437795575</v>
      </c>
      <c r="DA745" t="e">
        <v>#N/A</v>
      </c>
      <c r="DB745" t="str">
        <v/>
      </c>
    </row>
    <row r="746" spans="83:106" x14ac:dyDescent="0.2">
      <c r="CE746"/>
      <c r="CF746"/>
      <c r="CG746"/>
      <c r="CH746"/>
      <c r="CI746"/>
      <c r="CU746" s="21">
        <v>741</v>
      </c>
      <c r="CV746" s="41">
        <v>3</v>
      </c>
      <c r="CW746" s="41">
        <v>1.0626913437795575</v>
      </c>
      <c r="CX746" s="41" t="e">
        <v>#N/A</v>
      </c>
      <c r="CY746" s="41" t="e">
        <v>#N/A</v>
      </c>
      <c r="CZ746" s="47">
        <v>1.0626913437795575</v>
      </c>
      <c r="DA746" t="e">
        <v>#N/A</v>
      </c>
      <c r="DB746" t="str">
        <v/>
      </c>
    </row>
    <row r="747" spans="83:106" x14ac:dyDescent="0.2">
      <c r="CE747"/>
      <c r="CF747"/>
      <c r="CG747"/>
      <c r="CH747"/>
      <c r="CI747"/>
      <c r="CU747" s="21">
        <v>742</v>
      </c>
      <c r="CV747" s="41">
        <v>3</v>
      </c>
      <c r="CW747" s="41">
        <v>1.0626913437795575</v>
      </c>
      <c r="CX747" s="41" t="e">
        <v>#N/A</v>
      </c>
      <c r="CY747" s="41" t="e">
        <v>#N/A</v>
      </c>
      <c r="CZ747" s="47">
        <v>1.0626913437795575</v>
      </c>
      <c r="DA747" t="e">
        <v>#N/A</v>
      </c>
      <c r="DB747" t="str">
        <v/>
      </c>
    </row>
    <row r="748" spans="83:106" x14ac:dyDescent="0.2">
      <c r="CE748"/>
      <c r="CF748"/>
      <c r="CG748"/>
      <c r="CH748"/>
      <c r="CI748"/>
      <c r="CU748" s="21">
        <v>743</v>
      </c>
      <c r="CV748" s="41">
        <v>3</v>
      </c>
      <c r="CW748" s="41">
        <v>1.0626913437795575</v>
      </c>
      <c r="CX748" s="41" t="e">
        <v>#N/A</v>
      </c>
      <c r="CY748" s="41" t="e">
        <v>#N/A</v>
      </c>
      <c r="CZ748" s="47">
        <v>1.0626913437795575</v>
      </c>
      <c r="DA748" t="e">
        <v>#N/A</v>
      </c>
      <c r="DB748" t="str">
        <v/>
      </c>
    </row>
    <row r="749" spans="83:106" x14ac:dyDescent="0.2">
      <c r="CE749"/>
      <c r="CF749"/>
      <c r="CG749"/>
      <c r="CH749"/>
      <c r="CI749"/>
      <c r="CU749" s="21">
        <v>744</v>
      </c>
      <c r="CV749" s="41">
        <v>3</v>
      </c>
      <c r="CW749" s="41">
        <v>1.0626913437795575</v>
      </c>
      <c r="CX749" s="41" t="e">
        <v>#N/A</v>
      </c>
      <c r="CY749" s="41" t="e">
        <v>#N/A</v>
      </c>
      <c r="CZ749" s="47">
        <v>1.0626913437795575</v>
      </c>
      <c r="DA749" t="e">
        <v>#N/A</v>
      </c>
      <c r="DB749" t="str">
        <v/>
      </c>
    </row>
    <row r="750" spans="83:106" x14ac:dyDescent="0.2">
      <c r="CE750"/>
      <c r="CF750"/>
      <c r="CG750"/>
      <c r="CH750"/>
      <c r="CI750"/>
      <c r="CU750" s="21">
        <v>745</v>
      </c>
      <c r="CV750" s="41">
        <v>3</v>
      </c>
      <c r="CW750" s="41">
        <v>1.0626913437795575</v>
      </c>
      <c r="CX750" s="41" t="e">
        <v>#N/A</v>
      </c>
      <c r="CY750" s="41" t="e">
        <v>#N/A</v>
      </c>
      <c r="CZ750" s="47">
        <v>1.0626913437795575</v>
      </c>
      <c r="DA750" t="e">
        <v>#N/A</v>
      </c>
      <c r="DB750" t="str">
        <v/>
      </c>
    </row>
    <row r="751" spans="83:106" x14ac:dyDescent="0.2">
      <c r="CE751"/>
      <c r="CF751"/>
      <c r="CG751"/>
      <c r="CH751"/>
      <c r="CI751"/>
      <c r="CU751" s="21">
        <v>746</v>
      </c>
      <c r="CV751" s="41">
        <v>3</v>
      </c>
      <c r="CW751" s="41">
        <v>1.0626913437795575</v>
      </c>
      <c r="CX751" s="41" t="e">
        <v>#N/A</v>
      </c>
      <c r="CY751" s="41" t="e">
        <v>#N/A</v>
      </c>
      <c r="CZ751" s="47">
        <v>1.0626913437795575</v>
      </c>
      <c r="DA751" t="e">
        <v>#N/A</v>
      </c>
      <c r="DB751" t="str">
        <v/>
      </c>
    </row>
    <row r="752" spans="83:106" x14ac:dyDescent="0.2">
      <c r="CE752"/>
      <c r="CF752"/>
      <c r="CG752"/>
      <c r="CH752"/>
      <c r="CI752"/>
      <c r="CU752" s="21">
        <v>747</v>
      </c>
      <c r="CV752" s="41">
        <v>3</v>
      </c>
      <c r="CW752" s="41">
        <v>1.0626913437795575</v>
      </c>
      <c r="CX752" s="41" t="e">
        <v>#N/A</v>
      </c>
      <c r="CY752" s="41" t="e">
        <v>#N/A</v>
      </c>
      <c r="CZ752" s="47">
        <v>1.0626913437795575</v>
      </c>
      <c r="DA752" t="e">
        <v>#N/A</v>
      </c>
      <c r="DB752" t="str">
        <v/>
      </c>
    </row>
    <row r="753" spans="83:106" x14ac:dyDescent="0.2">
      <c r="CE753"/>
      <c r="CF753"/>
      <c r="CG753"/>
      <c r="CH753"/>
      <c r="CI753"/>
      <c r="CU753" s="21">
        <v>748</v>
      </c>
      <c r="CV753" s="41">
        <v>3</v>
      </c>
      <c r="CW753" s="41">
        <v>1.0626913437795575</v>
      </c>
      <c r="CX753" s="41" t="e">
        <v>#N/A</v>
      </c>
      <c r="CY753" s="41" t="e">
        <v>#N/A</v>
      </c>
      <c r="CZ753" s="47">
        <v>1.0626913437795575</v>
      </c>
      <c r="DA753" t="e">
        <v>#N/A</v>
      </c>
      <c r="DB753" t="str">
        <v/>
      </c>
    </row>
    <row r="754" spans="83:106" x14ac:dyDescent="0.2">
      <c r="CE754"/>
      <c r="CF754"/>
      <c r="CG754"/>
      <c r="CH754"/>
      <c r="CI754"/>
      <c r="CU754" s="21">
        <v>749</v>
      </c>
      <c r="CV754" s="41">
        <v>3</v>
      </c>
      <c r="CW754" s="41">
        <v>1.0626913437795575</v>
      </c>
      <c r="CX754" s="41" t="e">
        <v>#N/A</v>
      </c>
      <c r="CY754" s="41" t="e">
        <v>#N/A</v>
      </c>
      <c r="CZ754" s="47">
        <v>1.0626913437795575</v>
      </c>
      <c r="DA754" t="e">
        <v>#N/A</v>
      </c>
      <c r="DB754" t="str">
        <v/>
      </c>
    </row>
    <row r="755" spans="83:106" x14ac:dyDescent="0.2">
      <c r="CE755"/>
      <c r="CF755"/>
      <c r="CG755"/>
      <c r="CH755"/>
      <c r="CI755"/>
      <c r="CU755" s="21">
        <v>750</v>
      </c>
      <c r="CV755" s="41">
        <v>3</v>
      </c>
      <c r="CW755" s="41">
        <v>1.0626913437795575</v>
      </c>
      <c r="CX755" s="41" t="e">
        <v>#N/A</v>
      </c>
      <c r="CY755" s="41" t="e">
        <v>#N/A</v>
      </c>
      <c r="CZ755" s="47">
        <v>1.0626913437795575</v>
      </c>
      <c r="DA755" t="e">
        <v>#N/A</v>
      </c>
      <c r="DB755" t="str">
        <v/>
      </c>
    </row>
    <row r="756" spans="83:106" x14ac:dyDescent="0.2">
      <c r="CE756"/>
      <c r="CF756"/>
      <c r="CG756"/>
      <c r="CH756"/>
      <c r="CI756"/>
      <c r="CU756" s="21">
        <v>751</v>
      </c>
      <c r="CV756" s="41">
        <v>3</v>
      </c>
      <c r="CW756" s="41">
        <v>1.0626913437795575</v>
      </c>
      <c r="CX756" s="41" t="e">
        <v>#N/A</v>
      </c>
      <c r="CY756" s="41" t="e">
        <v>#N/A</v>
      </c>
      <c r="CZ756" s="47">
        <v>1.0626913437795575</v>
      </c>
      <c r="DA756" t="e">
        <v>#N/A</v>
      </c>
      <c r="DB756" t="str">
        <v/>
      </c>
    </row>
    <row r="757" spans="83:106" x14ac:dyDescent="0.2">
      <c r="CE757"/>
      <c r="CF757"/>
      <c r="CG757"/>
      <c r="CH757"/>
      <c r="CI757"/>
      <c r="CU757" s="21">
        <v>752</v>
      </c>
      <c r="CV757" s="41">
        <v>3</v>
      </c>
      <c r="CW757" s="41">
        <v>1.0626913437795575</v>
      </c>
      <c r="CX757" s="41" t="e">
        <v>#N/A</v>
      </c>
      <c r="CY757" s="41" t="e">
        <v>#N/A</v>
      </c>
      <c r="CZ757" s="47">
        <v>1.0626913437795575</v>
      </c>
      <c r="DA757" t="e">
        <v>#N/A</v>
      </c>
      <c r="DB757" t="str">
        <v/>
      </c>
    </row>
    <row r="758" spans="83:106" x14ac:dyDescent="0.2">
      <c r="CE758"/>
      <c r="CF758"/>
      <c r="CG758"/>
      <c r="CH758"/>
      <c r="CI758"/>
      <c r="CU758" s="21">
        <v>753</v>
      </c>
      <c r="CV758" s="41">
        <v>3</v>
      </c>
      <c r="CW758" s="41">
        <v>1.0626913437795575</v>
      </c>
      <c r="CX758" s="41" t="e">
        <v>#N/A</v>
      </c>
      <c r="CY758" s="41" t="e">
        <v>#N/A</v>
      </c>
      <c r="CZ758" s="47">
        <v>1.0626913437795575</v>
      </c>
      <c r="DA758" t="e">
        <v>#N/A</v>
      </c>
      <c r="DB758" t="str">
        <v/>
      </c>
    </row>
    <row r="759" spans="83:106" x14ac:dyDescent="0.2">
      <c r="CE759"/>
      <c r="CF759"/>
      <c r="CG759"/>
      <c r="CH759"/>
      <c r="CI759"/>
      <c r="CU759" s="21">
        <v>754</v>
      </c>
      <c r="CV759" s="41">
        <v>3</v>
      </c>
      <c r="CW759" s="41">
        <v>1.0626913437795575</v>
      </c>
      <c r="CX759" s="41" t="e">
        <v>#N/A</v>
      </c>
      <c r="CY759" s="41" t="e">
        <v>#N/A</v>
      </c>
      <c r="CZ759" s="47">
        <v>1.0626913437795575</v>
      </c>
      <c r="DA759" t="e">
        <v>#N/A</v>
      </c>
      <c r="DB759" t="str">
        <v/>
      </c>
    </row>
    <row r="760" spans="83:106" x14ac:dyDescent="0.2">
      <c r="CE760"/>
      <c r="CF760"/>
      <c r="CG760"/>
      <c r="CH760"/>
      <c r="CI760"/>
      <c r="CU760" s="21">
        <v>755</v>
      </c>
      <c r="CV760" s="41">
        <v>3</v>
      </c>
      <c r="CW760" s="41">
        <v>1.0626913437795575</v>
      </c>
      <c r="CX760" s="41" t="e">
        <v>#N/A</v>
      </c>
      <c r="CY760" s="41" t="e">
        <v>#N/A</v>
      </c>
      <c r="CZ760" s="47">
        <v>1.0626913437795575</v>
      </c>
      <c r="DA760" t="e">
        <v>#N/A</v>
      </c>
      <c r="DB760" t="str">
        <v/>
      </c>
    </row>
    <row r="761" spans="83:106" x14ac:dyDescent="0.2">
      <c r="CE761"/>
      <c r="CF761"/>
      <c r="CG761"/>
      <c r="CH761"/>
      <c r="CI761"/>
      <c r="CU761" s="21">
        <v>756</v>
      </c>
      <c r="CV761" s="41">
        <v>3</v>
      </c>
      <c r="CW761" s="41">
        <v>1.0626913437795575</v>
      </c>
      <c r="CX761" s="41" t="e">
        <v>#N/A</v>
      </c>
      <c r="CY761" s="41" t="e">
        <v>#N/A</v>
      </c>
      <c r="CZ761" s="47">
        <v>1.0626913437795575</v>
      </c>
      <c r="DA761" t="e">
        <v>#N/A</v>
      </c>
      <c r="DB761" t="str">
        <v/>
      </c>
    </row>
    <row r="762" spans="83:106" x14ac:dyDescent="0.2">
      <c r="CE762"/>
      <c r="CF762"/>
      <c r="CG762"/>
      <c r="CH762"/>
      <c r="CI762"/>
      <c r="CU762" s="21">
        <v>757</v>
      </c>
      <c r="CV762" s="41">
        <v>3</v>
      </c>
      <c r="CW762" s="41">
        <v>1.0626913437795575</v>
      </c>
      <c r="CX762" s="41" t="e">
        <v>#N/A</v>
      </c>
      <c r="CY762" s="41" t="e">
        <v>#N/A</v>
      </c>
      <c r="CZ762" s="47">
        <v>1.0626913437795575</v>
      </c>
      <c r="DA762" t="e">
        <v>#N/A</v>
      </c>
      <c r="DB762" t="str">
        <v/>
      </c>
    </row>
    <row r="763" spans="83:106" x14ac:dyDescent="0.2">
      <c r="CE763"/>
      <c r="CF763"/>
      <c r="CG763"/>
      <c r="CH763"/>
      <c r="CI763"/>
      <c r="CU763" s="21">
        <v>758</v>
      </c>
      <c r="CV763" s="41">
        <v>3</v>
      </c>
      <c r="CW763" s="41">
        <v>1.0626913437795575</v>
      </c>
      <c r="CX763" s="41" t="e">
        <v>#N/A</v>
      </c>
      <c r="CY763" s="41" t="e">
        <v>#N/A</v>
      </c>
      <c r="CZ763" s="47">
        <v>1.0626913437795575</v>
      </c>
      <c r="DA763" t="e">
        <v>#N/A</v>
      </c>
      <c r="DB763" t="str">
        <v/>
      </c>
    </row>
    <row r="764" spans="83:106" x14ac:dyDescent="0.2">
      <c r="CE764"/>
      <c r="CF764"/>
      <c r="CG764"/>
      <c r="CH764"/>
      <c r="CI764"/>
      <c r="CU764" s="21">
        <v>759</v>
      </c>
      <c r="CV764" s="41">
        <v>3</v>
      </c>
      <c r="CW764" s="41">
        <v>1.0626913437795575</v>
      </c>
      <c r="CX764" s="41" t="e">
        <v>#N/A</v>
      </c>
      <c r="CY764" s="41" t="e">
        <v>#N/A</v>
      </c>
      <c r="CZ764" s="47">
        <v>1.0626913437795575</v>
      </c>
      <c r="DA764" t="e">
        <v>#N/A</v>
      </c>
      <c r="DB764" t="str">
        <v/>
      </c>
    </row>
    <row r="765" spans="83:106" x14ac:dyDescent="0.2">
      <c r="CE765"/>
      <c r="CF765"/>
      <c r="CG765"/>
      <c r="CH765"/>
      <c r="CI765"/>
      <c r="CU765" s="21">
        <v>760</v>
      </c>
      <c r="CV765" s="41">
        <v>3</v>
      </c>
      <c r="CW765" s="41">
        <v>1.0626913437795575</v>
      </c>
      <c r="CX765" s="41" t="e">
        <v>#N/A</v>
      </c>
      <c r="CY765" s="41" t="e">
        <v>#N/A</v>
      </c>
      <c r="CZ765" s="47">
        <v>1.0626913437795575</v>
      </c>
      <c r="DA765" t="e">
        <v>#N/A</v>
      </c>
      <c r="DB765" t="str">
        <v/>
      </c>
    </row>
    <row r="766" spans="83:106" x14ac:dyDescent="0.2">
      <c r="CE766"/>
      <c r="CF766"/>
      <c r="CG766"/>
      <c r="CH766"/>
      <c r="CI766"/>
      <c r="CU766" s="21">
        <v>761</v>
      </c>
      <c r="CV766" s="41">
        <v>3</v>
      </c>
      <c r="CW766" s="41">
        <v>1.0626913437795575</v>
      </c>
      <c r="CX766" s="41" t="e">
        <v>#N/A</v>
      </c>
      <c r="CY766" s="41" t="e">
        <v>#N/A</v>
      </c>
      <c r="CZ766" s="47">
        <v>1.0626913437795575</v>
      </c>
      <c r="DA766" t="e">
        <v>#N/A</v>
      </c>
      <c r="DB766" t="str">
        <v/>
      </c>
    </row>
    <row r="767" spans="83:106" x14ac:dyDescent="0.2">
      <c r="CE767"/>
      <c r="CF767"/>
      <c r="CG767"/>
      <c r="CH767"/>
      <c r="CI767"/>
      <c r="CU767" s="21">
        <v>762</v>
      </c>
      <c r="CV767" s="41">
        <v>3</v>
      </c>
      <c r="CW767" s="41">
        <v>1.0626913437795575</v>
      </c>
      <c r="CX767" s="41" t="e">
        <v>#N/A</v>
      </c>
      <c r="CY767" s="41" t="e">
        <v>#N/A</v>
      </c>
      <c r="CZ767" s="47">
        <v>1.0626913437795575</v>
      </c>
      <c r="DA767" t="e">
        <v>#N/A</v>
      </c>
      <c r="DB767" t="str">
        <v/>
      </c>
    </row>
    <row r="768" spans="83:106" x14ac:dyDescent="0.2">
      <c r="CE768"/>
      <c r="CF768"/>
      <c r="CG768"/>
      <c r="CH768"/>
      <c r="CI768"/>
      <c r="CU768" s="21">
        <v>763</v>
      </c>
      <c r="CV768" s="41">
        <v>3</v>
      </c>
      <c r="CW768" s="41">
        <v>1.0626913437795575</v>
      </c>
      <c r="CX768" s="41" t="e">
        <v>#N/A</v>
      </c>
      <c r="CY768" s="41" t="e">
        <v>#N/A</v>
      </c>
      <c r="CZ768" s="47">
        <v>1.0626913437795575</v>
      </c>
      <c r="DA768" t="e">
        <v>#N/A</v>
      </c>
      <c r="DB768" t="str">
        <v/>
      </c>
    </row>
    <row r="769" spans="83:106" x14ac:dyDescent="0.2">
      <c r="CE769"/>
      <c r="CF769"/>
      <c r="CG769"/>
      <c r="CH769"/>
      <c r="CI769"/>
      <c r="CU769" s="21">
        <v>764</v>
      </c>
      <c r="CV769" s="41">
        <v>3</v>
      </c>
      <c r="CW769" s="41">
        <v>1.0626913437795575</v>
      </c>
      <c r="CX769" s="41" t="e">
        <v>#N/A</v>
      </c>
      <c r="CY769" s="41" t="e">
        <v>#N/A</v>
      </c>
      <c r="CZ769" s="47">
        <v>1.0626913437795575</v>
      </c>
      <c r="DA769" t="e">
        <v>#N/A</v>
      </c>
      <c r="DB769" t="str">
        <v/>
      </c>
    </row>
    <row r="770" spans="83:106" x14ac:dyDescent="0.2">
      <c r="CE770"/>
      <c r="CF770"/>
      <c r="CG770"/>
      <c r="CH770"/>
      <c r="CI770"/>
      <c r="CU770" s="21">
        <v>765</v>
      </c>
      <c r="CV770" s="41">
        <v>3</v>
      </c>
      <c r="CW770" s="41">
        <v>1.0626913437795575</v>
      </c>
      <c r="CX770" s="41" t="e">
        <v>#N/A</v>
      </c>
      <c r="CY770" s="41" t="e">
        <v>#N/A</v>
      </c>
      <c r="CZ770" s="47">
        <v>1.0626913437795575</v>
      </c>
      <c r="DA770" t="e">
        <v>#N/A</v>
      </c>
      <c r="DB770" t="str">
        <v/>
      </c>
    </row>
    <row r="771" spans="83:106" x14ac:dyDescent="0.2">
      <c r="CE771"/>
      <c r="CF771"/>
      <c r="CG771"/>
      <c r="CH771"/>
      <c r="CI771"/>
      <c r="CU771" s="21">
        <v>766</v>
      </c>
      <c r="CV771" s="41">
        <v>3</v>
      </c>
      <c r="CW771" s="41">
        <v>1.0626913437795575</v>
      </c>
      <c r="CX771" s="41" t="e">
        <v>#N/A</v>
      </c>
      <c r="CY771" s="41" t="e">
        <v>#N/A</v>
      </c>
      <c r="CZ771" s="47">
        <v>1.0626913437795575</v>
      </c>
      <c r="DA771" t="e">
        <v>#N/A</v>
      </c>
      <c r="DB771" t="str">
        <v/>
      </c>
    </row>
    <row r="772" spans="83:106" x14ac:dyDescent="0.2">
      <c r="CE772"/>
      <c r="CF772"/>
      <c r="CG772"/>
      <c r="CH772"/>
      <c r="CI772"/>
      <c r="CU772" s="21">
        <v>767</v>
      </c>
      <c r="CV772" s="41">
        <v>3</v>
      </c>
      <c r="CW772" s="41">
        <v>1.0626913437795575</v>
      </c>
      <c r="CX772" s="41" t="e">
        <v>#N/A</v>
      </c>
      <c r="CY772" s="41" t="e">
        <v>#N/A</v>
      </c>
      <c r="CZ772" s="47">
        <v>1.0626913437795575</v>
      </c>
      <c r="DA772" t="e">
        <v>#N/A</v>
      </c>
      <c r="DB772" t="str">
        <v/>
      </c>
    </row>
    <row r="773" spans="83:106" x14ac:dyDescent="0.2">
      <c r="CE773"/>
      <c r="CF773"/>
      <c r="CG773"/>
      <c r="CH773"/>
      <c r="CI773"/>
      <c r="CU773" s="21">
        <v>768</v>
      </c>
      <c r="CV773" s="41">
        <v>3</v>
      </c>
      <c r="CW773" s="41">
        <v>1.0626913437795575</v>
      </c>
      <c r="CX773" s="41" t="e">
        <v>#N/A</v>
      </c>
      <c r="CY773" s="41" t="e">
        <v>#N/A</v>
      </c>
      <c r="CZ773" s="47">
        <v>1.0626913437795575</v>
      </c>
      <c r="DA773" t="e">
        <v>#N/A</v>
      </c>
      <c r="DB773" t="str">
        <v/>
      </c>
    </row>
    <row r="774" spans="83:106" x14ac:dyDescent="0.2">
      <c r="CE774"/>
      <c r="CF774"/>
      <c r="CG774"/>
      <c r="CH774"/>
      <c r="CI774"/>
      <c r="CU774" s="21">
        <v>769</v>
      </c>
      <c r="CV774" s="41">
        <v>3</v>
      </c>
      <c r="CW774" s="41">
        <v>1.0626913437795575</v>
      </c>
      <c r="CX774" s="41" t="e">
        <v>#N/A</v>
      </c>
      <c r="CY774" s="41" t="e">
        <v>#N/A</v>
      </c>
      <c r="CZ774" s="47">
        <v>1.0626913437795575</v>
      </c>
      <c r="DA774" t="e">
        <v>#N/A</v>
      </c>
      <c r="DB774" t="str">
        <v/>
      </c>
    </row>
    <row r="775" spans="83:106" x14ac:dyDescent="0.2">
      <c r="CE775"/>
      <c r="CF775"/>
      <c r="CG775"/>
      <c r="CH775"/>
      <c r="CI775"/>
      <c r="CU775" s="21">
        <v>770</v>
      </c>
      <c r="CV775" s="41">
        <v>3</v>
      </c>
      <c r="CW775" s="41">
        <v>1.0626913437795575</v>
      </c>
      <c r="CX775" s="41" t="e">
        <v>#N/A</v>
      </c>
      <c r="CY775" s="41" t="e">
        <v>#N/A</v>
      </c>
      <c r="CZ775" s="47">
        <v>1.0626913437795575</v>
      </c>
      <c r="DA775" t="e">
        <v>#N/A</v>
      </c>
      <c r="DB775" t="str">
        <v/>
      </c>
    </row>
    <row r="776" spans="83:106" x14ac:dyDescent="0.2">
      <c r="CE776"/>
      <c r="CF776"/>
      <c r="CG776"/>
      <c r="CH776"/>
      <c r="CI776"/>
      <c r="CU776" s="21">
        <v>771</v>
      </c>
      <c r="CV776" s="41">
        <v>3</v>
      </c>
      <c r="CW776" s="41">
        <v>1.0626913437795575</v>
      </c>
      <c r="CX776" s="41" t="e">
        <v>#N/A</v>
      </c>
      <c r="CY776" s="41" t="e">
        <v>#N/A</v>
      </c>
      <c r="CZ776" s="47">
        <v>1.0626913437795575</v>
      </c>
      <c r="DA776" t="e">
        <v>#N/A</v>
      </c>
      <c r="DB776" t="str">
        <v/>
      </c>
    </row>
    <row r="777" spans="83:106" x14ac:dyDescent="0.2">
      <c r="CE777"/>
      <c r="CF777"/>
      <c r="CG777"/>
      <c r="CH777"/>
      <c r="CI777"/>
      <c r="CU777" s="21">
        <v>772</v>
      </c>
      <c r="CV777" s="41">
        <v>3</v>
      </c>
      <c r="CW777" s="41">
        <v>1.0626913437795575</v>
      </c>
      <c r="CX777" s="41" t="e">
        <v>#N/A</v>
      </c>
      <c r="CY777" s="41" t="e">
        <v>#N/A</v>
      </c>
      <c r="CZ777" s="47">
        <v>1.0626913437795575</v>
      </c>
      <c r="DA777" t="e">
        <v>#N/A</v>
      </c>
      <c r="DB777" t="str">
        <v/>
      </c>
    </row>
    <row r="778" spans="83:106" x14ac:dyDescent="0.2">
      <c r="CE778"/>
      <c r="CF778"/>
      <c r="CG778"/>
      <c r="CH778"/>
      <c r="CI778"/>
      <c r="CU778" s="21">
        <v>773</v>
      </c>
      <c r="CV778" s="41">
        <v>3</v>
      </c>
      <c r="CW778" s="41">
        <v>1.0626913437795575</v>
      </c>
      <c r="CX778" s="41" t="e">
        <v>#N/A</v>
      </c>
      <c r="CY778" s="41" t="e">
        <v>#N/A</v>
      </c>
      <c r="CZ778" s="47">
        <v>1.0626913437795575</v>
      </c>
      <c r="DA778" t="e">
        <v>#N/A</v>
      </c>
      <c r="DB778" t="str">
        <v/>
      </c>
    </row>
    <row r="779" spans="83:106" x14ac:dyDescent="0.2">
      <c r="CE779"/>
      <c r="CF779"/>
      <c r="CG779"/>
      <c r="CH779"/>
      <c r="CI779"/>
      <c r="CU779" s="21">
        <v>774</v>
      </c>
      <c r="CV779" s="41">
        <v>3</v>
      </c>
      <c r="CW779" s="41">
        <v>1.0626913437795575</v>
      </c>
      <c r="CX779" s="41" t="e">
        <v>#N/A</v>
      </c>
      <c r="CY779" s="41" t="e">
        <v>#N/A</v>
      </c>
      <c r="CZ779" s="47">
        <v>1.0626913437795575</v>
      </c>
      <c r="DA779" t="e">
        <v>#N/A</v>
      </c>
      <c r="DB779" t="str">
        <v/>
      </c>
    </row>
    <row r="780" spans="83:106" x14ac:dyDescent="0.2">
      <c r="CE780"/>
      <c r="CF780"/>
      <c r="CG780"/>
      <c r="CH780"/>
      <c r="CI780"/>
      <c r="CU780" s="21">
        <v>775</v>
      </c>
      <c r="CV780" s="41">
        <v>3</v>
      </c>
      <c r="CW780" s="41">
        <v>1.0626913437795575</v>
      </c>
      <c r="CX780" s="41" t="e">
        <v>#N/A</v>
      </c>
      <c r="CY780" s="41" t="e">
        <v>#N/A</v>
      </c>
      <c r="CZ780" s="47">
        <v>1.0626913437795575</v>
      </c>
      <c r="DA780" t="e">
        <v>#N/A</v>
      </c>
      <c r="DB780" t="str">
        <v/>
      </c>
    </row>
    <row r="781" spans="83:106" x14ac:dyDescent="0.2">
      <c r="CE781"/>
      <c r="CF781"/>
      <c r="CG781"/>
      <c r="CH781"/>
      <c r="CI781"/>
      <c r="CU781" s="21">
        <v>776</v>
      </c>
      <c r="CV781" s="41">
        <v>3</v>
      </c>
      <c r="CW781" s="41">
        <v>1.0626913437795575</v>
      </c>
      <c r="CX781" s="41" t="e">
        <v>#N/A</v>
      </c>
      <c r="CY781" s="41" t="e">
        <v>#N/A</v>
      </c>
      <c r="CZ781" s="47">
        <v>1.0626913437795575</v>
      </c>
      <c r="DA781" t="e">
        <v>#N/A</v>
      </c>
      <c r="DB781" t="str">
        <v/>
      </c>
    </row>
    <row r="782" spans="83:106" x14ac:dyDescent="0.2">
      <c r="CE782"/>
      <c r="CF782"/>
      <c r="CG782"/>
      <c r="CH782"/>
      <c r="CI782"/>
      <c r="CU782" s="21">
        <v>777</v>
      </c>
      <c r="CV782" s="41">
        <v>3</v>
      </c>
      <c r="CW782" s="41">
        <v>1.0626913437795575</v>
      </c>
      <c r="CX782" s="41" t="e">
        <v>#N/A</v>
      </c>
      <c r="CY782" s="41" t="e">
        <v>#N/A</v>
      </c>
      <c r="CZ782" s="47">
        <v>1.0626913437795575</v>
      </c>
      <c r="DA782" t="e">
        <v>#N/A</v>
      </c>
      <c r="DB782" t="str">
        <v/>
      </c>
    </row>
    <row r="783" spans="83:106" x14ac:dyDescent="0.2">
      <c r="CE783"/>
      <c r="CF783"/>
      <c r="CG783"/>
      <c r="CH783"/>
      <c r="CI783"/>
      <c r="CU783" s="21">
        <v>778</v>
      </c>
      <c r="CV783" s="41">
        <v>3</v>
      </c>
      <c r="CW783" s="41">
        <v>1.0626913437795575</v>
      </c>
      <c r="CX783" s="41" t="e">
        <v>#N/A</v>
      </c>
      <c r="CY783" s="41" t="e">
        <v>#N/A</v>
      </c>
      <c r="CZ783" s="47">
        <v>1.0626913437795575</v>
      </c>
      <c r="DA783" t="e">
        <v>#N/A</v>
      </c>
      <c r="DB783" t="str">
        <v/>
      </c>
    </row>
    <row r="784" spans="83:106" x14ac:dyDescent="0.2">
      <c r="CE784"/>
      <c r="CF784"/>
      <c r="CG784"/>
      <c r="CH784"/>
      <c r="CI784"/>
      <c r="CU784" s="21">
        <v>779</v>
      </c>
      <c r="CV784" s="41">
        <v>3</v>
      </c>
      <c r="CW784" s="41">
        <v>1.0626913437795575</v>
      </c>
      <c r="CX784" s="41" t="e">
        <v>#N/A</v>
      </c>
      <c r="CY784" s="41" t="e">
        <v>#N/A</v>
      </c>
      <c r="CZ784" s="47">
        <v>1.0626913437795575</v>
      </c>
      <c r="DA784" t="e">
        <v>#N/A</v>
      </c>
      <c r="DB784" t="str">
        <v/>
      </c>
    </row>
    <row r="785" spans="83:106" x14ac:dyDescent="0.2">
      <c r="CE785"/>
      <c r="CF785"/>
      <c r="CG785"/>
      <c r="CH785"/>
      <c r="CI785"/>
      <c r="CU785" s="21">
        <v>780</v>
      </c>
      <c r="CV785" s="41">
        <v>3</v>
      </c>
      <c r="CW785" s="41">
        <v>1.0626913437795575</v>
      </c>
      <c r="CX785" s="41" t="e">
        <v>#N/A</v>
      </c>
      <c r="CY785" s="41" t="e">
        <v>#N/A</v>
      </c>
      <c r="CZ785" s="47">
        <v>1.0626913437795575</v>
      </c>
      <c r="DA785" t="e">
        <v>#N/A</v>
      </c>
      <c r="DB785" t="str">
        <v/>
      </c>
    </row>
    <row r="786" spans="83:106" x14ac:dyDescent="0.2">
      <c r="CE786"/>
      <c r="CF786"/>
      <c r="CG786"/>
      <c r="CH786"/>
      <c r="CI786"/>
      <c r="CU786" s="21">
        <v>781</v>
      </c>
      <c r="CV786" s="41">
        <v>3</v>
      </c>
      <c r="CW786" s="41">
        <v>1.0626913437795575</v>
      </c>
      <c r="CX786" s="41" t="e">
        <v>#N/A</v>
      </c>
      <c r="CY786" s="41" t="e">
        <v>#N/A</v>
      </c>
      <c r="CZ786" s="47">
        <v>1.0626913437795575</v>
      </c>
      <c r="DA786" t="e">
        <v>#N/A</v>
      </c>
      <c r="DB786" t="str">
        <v/>
      </c>
    </row>
    <row r="787" spans="83:106" x14ac:dyDescent="0.2">
      <c r="CE787"/>
      <c r="CF787"/>
      <c r="CG787"/>
      <c r="CH787"/>
      <c r="CI787"/>
      <c r="CU787" s="21">
        <v>782</v>
      </c>
      <c r="CV787" s="41">
        <v>3</v>
      </c>
      <c r="CW787" s="41">
        <v>1.0626913437795575</v>
      </c>
      <c r="CX787" s="41" t="e">
        <v>#N/A</v>
      </c>
      <c r="CY787" s="41" t="e">
        <v>#N/A</v>
      </c>
      <c r="CZ787" s="47">
        <v>1.0626913437795575</v>
      </c>
      <c r="DA787" t="e">
        <v>#N/A</v>
      </c>
      <c r="DB787" t="str">
        <v/>
      </c>
    </row>
    <row r="788" spans="83:106" x14ac:dyDescent="0.2">
      <c r="CE788"/>
      <c r="CF788"/>
      <c r="CG788"/>
      <c r="CH788"/>
      <c r="CI788"/>
      <c r="CU788" s="21">
        <v>783</v>
      </c>
      <c r="CV788" s="41">
        <v>3</v>
      </c>
      <c r="CW788" s="41">
        <v>1.0626913437795575</v>
      </c>
      <c r="CX788" s="41" t="e">
        <v>#N/A</v>
      </c>
      <c r="CY788" s="41" t="e">
        <v>#N/A</v>
      </c>
      <c r="CZ788" s="47">
        <v>1.0626913437795575</v>
      </c>
      <c r="DA788" t="e">
        <v>#N/A</v>
      </c>
      <c r="DB788" t="str">
        <v/>
      </c>
    </row>
    <row r="789" spans="83:106" x14ac:dyDescent="0.2">
      <c r="CE789"/>
      <c r="CF789"/>
      <c r="CG789"/>
      <c r="CH789"/>
      <c r="CI789"/>
      <c r="CU789" s="21">
        <v>784</v>
      </c>
      <c r="CV789" s="41">
        <v>3</v>
      </c>
      <c r="CW789" s="41">
        <v>1.0626913437795575</v>
      </c>
      <c r="CX789" s="41" t="e">
        <v>#N/A</v>
      </c>
      <c r="CY789" s="41" t="e">
        <v>#N/A</v>
      </c>
      <c r="CZ789" s="47">
        <v>1.0626913437795575</v>
      </c>
      <c r="DA789" t="e">
        <v>#N/A</v>
      </c>
      <c r="DB789" t="str">
        <v/>
      </c>
    </row>
    <row r="790" spans="83:106" x14ac:dyDescent="0.2">
      <c r="CE790"/>
      <c r="CF790"/>
      <c r="CG790"/>
      <c r="CH790"/>
      <c r="CI790"/>
      <c r="CU790" s="21">
        <v>785</v>
      </c>
      <c r="CV790" s="41">
        <v>3</v>
      </c>
      <c r="CW790" s="41">
        <v>1.0626913437795575</v>
      </c>
      <c r="CX790" s="41" t="e">
        <v>#N/A</v>
      </c>
      <c r="CY790" s="41" t="e">
        <v>#N/A</v>
      </c>
      <c r="CZ790" s="47">
        <v>1.0626913437795575</v>
      </c>
      <c r="DA790" t="e">
        <v>#N/A</v>
      </c>
      <c r="DB790" t="str">
        <v/>
      </c>
    </row>
    <row r="791" spans="83:106" x14ac:dyDescent="0.2">
      <c r="CE791"/>
      <c r="CF791"/>
      <c r="CG791"/>
      <c r="CH791"/>
      <c r="CI791"/>
      <c r="CU791" s="21">
        <v>786</v>
      </c>
      <c r="CV791" s="41">
        <v>3</v>
      </c>
      <c r="CW791" s="41">
        <v>1.0626913437795575</v>
      </c>
      <c r="CX791" s="41" t="e">
        <v>#N/A</v>
      </c>
      <c r="CY791" s="41" t="e">
        <v>#N/A</v>
      </c>
      <c r="CZ791" s="47">
        <v>1.0626913437795575</v>
      </c>
      <c r="DA791" t="e">
        <v>#N/A</v>
      </c>
      <c r="DB791" t="str">
        <v/>
      </c>
    </row>
    <row r="792" spans="83:106" x14ac:dyDescent="0.2">
      <c r="CE792"/>
      <c r="CF792"/>
      <c r="CG792"/>
      <c r="CH792"/>
      <c r="CI792"/>
      <c r="CU792" s="21">
        <v>787</v>
      </c>
      <c r="CV792" s="41">
        <v>3</v>
      </c>
      <c r="CW792" s="41">
        <v>1.0626913437795575</v>
      </c>
      <c r="CX792" s="41" t="e">
        <v>#N/A</v>
      </c>
      <c r="CY792" s="41" t="e">
        <v>#N/A</v>
      </c>
      <c r="CZ792" s="47">
        <v>1.0626913437795575</v>
      </c>
      <c r="DA792" t="e">
        <v>#N/A</v>
      </c>
      <c r="DB792" t="str">
        <v/>
      </c>
    </row>
    <row r="793" spans="83:106" x14ac:dyDescent="0.2">
      <c r="CE793"/>
      <c r="CF793"/>
      <c r="CG793"/>
      <c r="CH793"/>
      <c r="CI793"/>
      <c r="CU793" s="21">
        <v>788</v>
      </c>
      <c r="CV793" s="41">
        <v>3</v>
      </c>
      <c r="CW793" s="41">
        <v>1.0626913437795575</v>
      </c>
      <c r="CX793" s="41" t="e">
        <v>#N/A</v>
      </c>
      <c r="CY793" s="41" t="e">
        <v>#N/A</v>
      </c>
      <c r="CZ793" s="47">
        <v>1.0626913437795575</v>
      </c>
      <c r="DA793" t="e">
        <v>#N/A</v>
      </c>
      <c r="DB793" t="str">
        <v/>
      </c>
    </row>
    <row r="794" spans="83:106" x14ac:dyDescent="0.2">
      <c r="CE794"/>
      <c r="CF794"/>
      <c r="CG794"/>
      <c r="CH794"/>
      <c r="CI794"/>
      <c r="CU794" s="21">
        <v>789</v>
      </c>
      <c r="CV794" s="41">
        <v>3</v>
      </c>
      <c r="CW794" s="41">
        <v>1.0626913437795575</v>
      </c>
      <c r="CX794" s="41" t="e">
        <v>#N/A</v>
      </c>
      <c r="CY794" s="41" t="e">
        <v>#N/A</v>
      </c>
      <c r="CZ794" s="47">
        <v>1.0626913437795575</v>
      </c>
      <c r="DA794" t="e">
        <v>#N/A</v>
      </c>
      <c r="DB794" t="str">
        <v/>
      </c>
    </row>
    <row r="795" spans="83:106" x14ac:dyDescent="0.2">
      <c r="CE795"/>
      <c r="CF795"/>
      <c r="CG795"/>
      <c r="CH795"/>
      <c r="CI795"/>
      <c r="CU795" s="21">
        <v>790</v>
      </c>
      <c r="CV795" s="41">
        <v>3</v>
      </c>
      <c r="CW795" s="41">
        <v>1.0626913437795575</v>
      </c>
      <c r="CX795" s="41" t="e">
        <v>#N/A</v>
      </c>
      <c r="CY795" s="41" t="e">
        <v>#N/A</v>
      </c>
      <c r="CZ795" s="47">
        <v>1.0626913437795575</v>
      </c>
      <c r="DA795" t="e">
        <v>#N/A</v>
      </c>
      <c r="DB795" t="str">
        <v/>
      </c>
    </row>
    <row r="796" spans="83:106" x14ac:dyDescent="0.2">
      <c r="CE796"/>
      <c r="CF796"/>
      <c r="CG796"/>
      <c r="CH796"/>
      <c r="CI796"/>
      <c r="CU796" s="21">
        <v>791</v>
      </c>
      <c r="CV796" s="41">
        <v>3</v>
      </c>
      <c r="CW796" s="41">
        <v>1.0626913437795575</v>
      </c>
      <c r="CX796" s="41" t="e">
        <v>#N/A</v>
      </c>
      <c r="CY796" s="41" t="e">
        <v>#N/A</v>
      </c>
      <c r="CZ796" s="47">
        <v>1.0626913437795575</v>
      </c>
      <c r="DA796" t="e">
        <v>#N/A</v>
      </c>
      <c r="DB796" t="str">
        <v/>
      </c>
    </row>
    <row r="797" spans="83:106" x14ac:dyDescent="0.2">
      <c r="CE797"/>
      <c r="CF797"/>
      <c r="CG797"/>
      <c r="CH797"/>
      <c r="CI797"/>
      <c r="CU797" s="21">
        <v>792</v>
      </c>
      <c r="CV797" s="41">
        <v>3</v>
      </c>
      <c r="CW797" s="41">
        <v>1.0626913437795575</v>
      </c>
      <c r="CX797" s="41" t="e">
        <v>#N/A</v>
      </c>
      <c r="CY797" s="41" t="e">
        <v>#N/A</v>
      </c>
      <c r="CZ797" s="47">
        <v>1.0626913437795575</v>
      </c>
      <c r="DA797" t="e">
        <v>#N/A</v>
      </c>
      <c r="DB797" t="str">
        <v/>
      </c>
    </row>
    <row r="798" spans="83:106" x14ac:dyDescent="0.2">
      <c r="CE798"/>
      <c r="CF798"/>
      <c r="CG798"/>
      <c r="CH798"/>
      <c r="CI798"/>
      <c r="CU798" s="21">
        <v>793</v>
      </c>
      <c r="CV798" s="41">
        <v>3</v>
      </c>
      <c r="CW798" s="41">
        <v>1.0626913437795575</v>
      </c>
      <c r="CX798" s="41" t="e">
        <v>#N/A</v>
      </c>
      <c r="CY798" s="41" t="e">
        <v>#N/A</v>
      </c>
      <c r="CZ798" s="47">
        <v>1.0626913437795575</v>
      </c>
      <c r="DA798" t="e">
        <v>#N/A</v>
      </c>
      <c r="DB798" t="str">
        <v/>
      </c>
    </row>
    <row r="799" spans="83:106" x14ac:dyDescent="0.2">
      <c r="CE799"/>
      <c r="CF799"/>
      <c r="CG799"/>
      <c r="CH799"/>
      <c r="CI799"/>
      <c r="CU799" s="21">
        <v>794</v>
      </c>
      <c r="CV799" s="41">
        <v>3</v>
      </c>
      <c r="CW799" s="41">
        <v>1.0626913437795575</v>
      </c>
      <c r="CX799" s="41" t="e">
        <v>#N/A</v>
      </c>
      <c r="CY799" s="41" t="e">
        <v>#N/A</v>
      </c>
      <c r="CZ799" s="47">
        <v>1.0626913437795575</v>
      </c>
      <c r="DA799" t="e">
        <v>#N/A</v>
      </c>
      <c r="DB799" t="str">
        <v/>
      </c>
    </row>
    <row r="800" spans="83:106" x14ac:dyDescent="0.2">
      <c r="CE800"/>
      <c r="CF800"/>
      <c r="CG800"/>
      <c r="CH800"/>
      <c r="CI800"/>
      <c r="CU800" s="21">
        <v>795</v>
      </c>
      <c r="CV800" s="41">
        <v>3</v>
      </c>
      <c r="CW800" s="41">
        <v>1.0626913437795575</v>
      </c>
      <c r="CX800" s="41" t="e">
        <v>#N/A</v>
      </c>
      <c r="CY800" s="41" t="e">
        <v>#N/A</v>
      </c>
      <c r="CZ800" s="47">
        <v>1.0626913437795575</v>
      </c>
      <c r="DA800" t="e">
        <v>#N/A</v>
      </c>
      <c r="DB800" t="str">
        <v/>
      </c>
    </row>
    <row r="801" spans="83:106" x14ac:dyDescent="0.2">
      <c r="CE801"/>
      <c r="CF801"/>
      <c r="CG801"/>
      <c r="CH801"/>
      <c r="CI801"/>
      <c r="CU801" s="21">
        <v>796</v>
      </c>
      <c r="CV801" s="41">
        <v>3</v>
      </c>
      <c r="CW801" s="41">
        <v>1.0626913437795575</v>
      </c>
      <c r="CX801" s="41" t="e">
        <v>#N/A</v>
      </c>
      <c r="CY801" s="41" t="e">
        <v>#N/A</v>
      </c>
      <c r="CZ801" s="47">
        <v>1.0626913437795575</v>
      </c>
      <c r="DA801" t="e">
        <v>#N/A</v>
      </c>
      <c r="DB801" t="str">
        <v/>
      </c>
    </row>
    <row r="802" spans="83:106" x14ac:dyDescent="0.2">
      <c r="CE802"/>
      <c r="CF802"/>
      <c r="CG802"/>
      <c r="CH802"/>
      <c r="CI802"/>
      <c r="CU802" s="21">
        <v>797</v>
      </c>
      <c r="CV802" s="41">
        <v>3</v>
      </c>
      <c r="CW802" s="41">
        <v>1.0626913437795575</v>
      </c>
      <c r="CX802" s="41" t="e">
        <v>#N/A</v>
      </c>
      <c r="CY802" s="41" t="e">
        <v>#N/A</v>
      </c>
      <c r="CZ802" s="47">
        <v>1.0626913437795575</v>
      </c>
      <c r="DA802" t="e">
        <v>#N/A</v>
      </c>
      <c r="DB802" t="str">
        <v/>
      </c>
    </row>
    <row r="803" spans="83:106" x14ac:dyDescent="0.2">
      <c r="CE803"/>
      <c r="CF803"/>
      <c r="CG803"/>
      <c r="CH803"/>
      <c r="CI803"/>
      <c r="CU803" s="21">
        <v>798</v>
      </c>
      <c r="CV803" s="41">
        <v>3</v>
      </c>
      <c r="CW803" s="41">
        <v>1.0626913437795575</v>
      </c>
      <c r="CX803" s="41" t="e">
        <v>#N/A</v>
      </c>
      <c r="CY803" s="41" t="e">
        <v>#N/A</v>
      </c>
      <c r="CZ803" s="47">
        <v>1.0626913437795575</v>
      </c>
      <c r="DA803" t="e">
        <v>#N/A</v>
      </c>
      <c r="DB803" t="str">
        <v/>
      </c>
    </row>
    <row r="804" spans="83:106" x14ac:dyDescent="0.2">
      <c r="CE804"/>
      <c r="CF804"/>
      <c r="CG804"/>
      <c r="CH804"/>
      <c r="CI804"/>
      <c r="CU804" s="21">
        <v>799</v>
      </c>
      <c r="CV804" s="41">
        <v>3</v>
      </c>
      <c r="CW804" s="41">
        <v>1.0626913437795575</v>
      </c>
      <c r="CX804" s="41" t="e">
        <v>#N/A</v>
      </c>
      <c r="CY804" s="41" t="e">
        <v>#N/A</v>
      </c>
      <c r="CZ804" s="47">
        <v>1.0626913437795575</v>
      </c>
      <c r="DA804" t="e">
        <v>#N/A</v>
      </c>
      <c r="DB804" t="str">
        <v/>
      </c>
    </row>
    <row r="805" spans="83:106" x14ac:dyDescent="0.2">
      <c r="CE805"/>
      <c r="CF805"/>
      <c r="CG805"/>
      <c r="CH805"/>
      <c r="CI805"/>
      <c r="CU805" s="21">
        <v>800</v>
      </c>
      <c r="CV805" s="41">
        <v>3</v>
      </c>
      <c r="CW805" s="41">
        <v>1.0626913437795575</v>
      </c>
      <c r="CX805" s="41" t="e">
        <v>#N/A</v>
      </c>
      <c r="CY805" s="41" t="e">
        <v>#N/A</v>
      </c>
      <c r="CZ805" s="47">
        <v>1.0626913437795575</v>
      </c>
      <c r="DA805" t="e">
        <v>#N/A</v>
      </c>
      <c r="DB805" t="str">
        <v/>
      </c>
    </row>
    <row r="806" spans="83:106" x14ac:dyDescent="0.2">
      <c r="CE806"/>
      <c r="CF806"/>
      <c r="CG806"/>
      <c r="CH806"/>
      <c r="CI806"/>
      <c r="CU806" s="21">
        <v>801</v>
      </c>
      <c r="CV806" s="41">
        <v>3</v>
      </c>
      <c r="CW806" s="41">
        <v>1.0626913437795575</v>
      </c>
      <c r="CX806" s="41" t="e">
        <v>#N/A</v>
      </c>
      <c r="CY806" s="41" t="e">
        <v>#N/A</v>
      </c>
      <c r="CZ806" s="47">
        <v>1.0626913437795575</v>
      </c>
      <c r="DA806" t="e">
        <v>#N/A</v>
      </c>
      <c r="DB806" t="str">
        <v/>
      </c>
    </row>
    <row r="807" spans="83:106" x14ac:dyDescent="0.2">
      <c r="CE807"/>
      <c r="CF807"/>
      <c r="CG807"/>
      <c r="CH807"/>
      <c r="CI807"/>
      <c r="CU807" s="21">
        <v>802</v>
      </c>
      <c r="CV807" s="41">
        <v>3</v>
      </c>
      <c r="CW807" s="41">
        <v>1.0626913437795575</v>
      </c>
      <c r="CX807" s="41" t="e">
        <v>#N/A</v>
      </c>
      <c r="CY807" s="41" t="e">
        <v>#N/A</v>
      </c>
      <c r="CZ807" s="47">
        <v>1.0626913437795575</v>
      </c>
      <c r="DA807" t="e">
        <v>#N/A</v>
      </c>
      <c r="DB807" t="str">
        <v/>
      </c>
    </row>
    <row r="808" spans="83:106" x14ac:dyDescent="0.2">
      <c r="CE808"/>
      <c r="CF808"/>
      <c r="CG808"/>
      <c r="CH808"/>
      <c r="CI808"/>
      <c r="CU808" s="21">
        <v>803</v>
      </c>
      <c r="CV808" s="41">
        <v>3</v>
      </c>
      <c r="CW808" s="41">
        <v>1.0626913437795575</v>
      </c>
      <c r="CX808" s="41" t="e">
        <v>#N/A</v>
      </c>
      <c r="CY808" s="41" t="e">
        <v>#N/A</v>
      </c>
      <c r="CZ808" s="47">
        <v>1.0626913437795575</v>
      </c>
      <c r="DA808" t="e">
        <v>#N/A</v>
      </c>
      <c r="DB808" t="str">
        <v/>
      </c>
    </row>
    <row r="809" spans="83:106" x14ac:dyDescent="0.2">
      <c r="CE809"/>
      <c r="CF809"/>
      <c r="CG809"/>
      <c r="CH809"/>
      <c r="CI809"/>
      <c r="CU809" s="21">
        <v>804</v>
      </c>
      <c r="CV809" s="41">
        <v>3</v>
      </c>
      <c r="CW809" s="41">
        <v>1.0626913437795575</v>
      </c>
      <c r="CX809" s="41" t="e">
        <v>#N/A</v>
      </c>
      <c r="CY809" s="41" t="e">
        <v>#N/A</v>
      </c>
      <c r="CZ809" s="47">
        <v>1.0626913437795575</v>
      </c>
      <c r="DA809" t="e">
        <v>#N/A</v>
      </c>
      <c r="DB809" t="str">
        <v/>
      </c>
    </row>
    <row r="810" spans="83:106" x14ac:dyDescent="0.2">
      <c r="CE810"/>
      <c r="CF810"/>
      <c r="CG810"/>
      <c r="CH810"/>
      <c r="CI810"/>
      <c r="CU810" s="21">
        <v>805</v>
      </c>
      <c r="CV810" s="41">
        <v>3</v>
      </c>
      <c r="CW810" s="41">
        <v>1.0626913437795575</v>
      </c>
      <c r="CX810" s="41" t="e">
        <v>#N/A</v>
      </c>
      <c r="CY810" s="41" t="e">
        <v>#N/A</v>
      </c>
      <c r="CZ810" s="47">
        <v>1.0626913437795575</v>
      </c>
      <c r="DA810" t="e">
        <v>#N/A</v>
      </c>
      <c r="DB810" t="str">
        <v/>
      </c>
    </row>
    <row r="811" spans="83:106" x14ac:dyDescent="0.2">
      <c r="CE811"/>
      <c r="CF811"/>
      <c r="CG811"/>
      <c r="CH811"/>
      <c r="CI811"/>
      <c r="CU811" s="21">
        <v>806</v>
      </c>
      <c r="CV811" s="41">
        <v>3</v>
      </c>
      <c r="CW811" s="41">
        <v>1.0626913437795575</v>
      </c>
      <c r="CX811" s="41" t="e">
        <v>#N/A</v>
      </c>
      <c r="CY811" s="41" t="e">
        <v>#N/A</v>
      </c>
      <c r="CZ811" s="47">
        <v>1.0626913437795575</v>
      </c>
      <c r="DA811" t="e">
        <v>#N/A</v>
      </c>
      <c r="DB811" t="str">
        <v/>
      </c>
    </row>
    <row r="812" spans="83:106" x14ac:dyDescent="0.2">
      <c r="CE812"/>
      <c r="CF812"/>
      <c r="CG812"/>
      <c r="CH812"/>
      <c r="CI812"/>
      <c r="CU812" s="21">
        <v>807</v>
      </c>
      <c r="CV812" s="41">
        <v>3</v>
      </c>
      <c r="CW812" s="41">
        <v>1.0626913437795575</v>
      </c>
      <c r="CX812" s="41" t="e">
        <v>#N/A</v>
      </c>
      <c r="CY812" s="41" t="e">
        <v>#N/A</v>
      </c>
      <c r="CZ812" s="47">
        <v>1.0626913437795575</v>
      </c>
      <c r="DA812" t="e">
        <v>#N/A</v>
      </c>
      <c r="DB812" t="str">
        <v/>
      </c>
    </row>
    <row r="813" spans="83:106" x14ac:dyDescent="0.2">
      <c r="CE813"/>
      <c r="CF813"/>
      <c r="CG813"/>
      <c r="CH813"/>
      <c r="CI813"/>
      <c r="CU813" s="21">
        <v>808</v>
      </c>
      <c r="CV813" s="41">
        <v>3</v>
      </c>
      <c r="CW813" s="41">
        <v>1.0626913437795575</v>
      </c>
      <c r="CX813" s="41" t="e">
        <v>#N/A</v>
      </c>
      <c r="CY813" s="41" t="e">
        <v>#N/A</v>
      </c>
      <c r="CZ813" s="47">
        <v>1.0626913437795575</v>
      </c>
      <c r="DA813" t="e">
        <v>#N/A</v>
      </c>
      <c r="DB813" t="str">
        <v/>
      </c>
    </row>
    <row r="814" spans="83:106" x14ac:dyDescent="0.2">
      <c r="CE814"/>
      <c r="CF814"/>
      <c r="CG814"/>
      <c r="CH814"/>
      <c r="CI814"/>
      <c r="CU814" s="21">
        <v>809</v>
      </c>
      <c r="CV814" s="41">
        <v>3</v>
      </c>
      <c r="CW814" s="41">
        <v>1.0626913437795575</v>
      </c>
      <c r="CX814" s="41" t="e">
        <v>#N/A</v>
      </c>
      <c r="CY814" s="41" t="e">
        <v>#N/A</v>
      </c>
      <c r="CZ814" s="47">
        <v>1.0626913437795575</v>
      </c>
      <c r="DA814" t="e">
        <v>#N/A</v>
      </c>
      <c r="DB814" t="str">
        <v/>
      </c>
    </row>
    <row r="815" spans="83:106" x14ac:dyDescent="0.2">
      <c r="CE815"/>
      <c r="CF815"/>
      <c r="CG815"/>
      <c r="CH815"/>
      <c r="CI815"/>
      <c r="CU815" s="21">
        <v>810</v>
      </c>
      <c r="CV815" s="41">
        <v>3</v>
      </c>
      <c r="CW815" s="41">
        <v>1.0626913437795575</v>
      </c>
      <c r="CX815" s="41" t="e">
        <v>#N/A</v>
      </c>
      <c r="CY815" s="41" t="e">
        <v>#N/A</v>
      </c>
      <c r="CZ815" s="47">
        <v>1.0626913437795575</v>
      </c>
      <c r="DA815" t="e">
        <v>#N/A</v>
      </c>
      <c r="DB815" t="str">
        <v/>
      </c>
    </row>
    <row r="816" spans="83:106" x14ac:dyDescent="0.2">
      <c r="CE816"/>
      <c r="CF816"/>
      <c r="CG816"/>
      <c r="CH816"/>
      <c r="CI816"/>
      <c r="CU816" s="21">
        <v>811</v>
      </c>
      <c r="CV816" s="41">
        <v>3</v>
      </c>
      <c r="CW816" s="41">
        <v>1.0626913437795575</v>
      </c>
      <c r="CX816" s="41" t="e">
        <v>#N/A</v>
      </c>
      <c r="CY816" s="41" t="e">
        <v>#N/A</v>
      </c>
      <c r="CZ816" s="47">
        <v>1.0626913437795575</v>
      </c>
      <c r="DA816" t="e">
        <v>#N/A</v>
      </c>
      <c r="DB816" t="str">
        <v/>
      </c>
    </row>
    <row r="817" spans="83:106" x14ac:dyDescent="0.2">
      <c r="CE817"/>
      <c r="CF817"/>
      <c r="CG817"/>
      <c r="CH817"/>
      <c r="CI817"/>
      <c r="CU817" s="21">
        <v>812</v>
      </c>
      <c r="CV817" s="41">
        <v>3</v>
      </c>
      <c r="CW817" s="41">
        <v>1.0626913437795575</v>
      </c>
      <c r="CX817" s="41" t="e">
        <v>#N/A</v>
      </c>
      <c r="CY817" s="41" t="e">
        <v>#N/A</v>
      </c>
      <c r="CZ817" s="47">
        <v>1.0626913437795575</v>
      </c>
      <c r="DA817" t="e">
        <v>#N/A</v>
      </c>
      <c r="DB817" t="str">
        <v/>
      </c>
    </row>
    <row r="818" spans="83:106" x14ac:dyDescent="0.2">
      <c r="CE818"/>
      <c r="CF818"/>
      <c r="CG818"/>
      <c r="CH818"/>
      <c r="CI818"/>
      <c r="CU818" s="21">
        <v>813</v>
      </c>
      <c r="CV818" s="41">
        <v>3</v>
      </c>
      <c r="CW818" s="41">
        <v>1.0626913437795575</v>
      </c>
      <c r="CX818" s="41" t="e">
        <v>#N/A</v>
      </c>
      <c r="CY818" s="41" t="e">
        <v>#N/A</v>
      </c>
      <c r="CZ818" s="47">
        <v>1.0626913437795575</v>
      </c>
      <c r="DA818" t="e">
        <v>#N/A</v>
      </c>
      <c r="DB818" t="str">
        <v/>
      </c>
    </row>
    <row r="819" spans="83:106" x14ac:dyDescent="0.2">
      <c r="CE819"/>
      <c r="CF819"/>
      <c r="CG819"/>
      <c r="CH819"/>
      <c r="CI819"/>
      <c r="CU819" s="21">
        <v>814</v>
      </c>
      <c r="CV819" s="41">
        <v>3</v>
      </c>
      <c r="CW819" s="41">
        <v>1.0626913437795575</v>
      </c>
      <c r="CX819" s="41" t="e">
        <v>#N/A</v>
      </c>
      <c r="CY819" s="41" t="e">
        <v>#N/A</v>
      </c>
      <c r="CZ819" s="47">
        <v>1.0626913437795575</v>
      </c>
      <c r="DA819" t="e">
        <v>#N/A</v>
      </c>
      <c r="DB819" t="str">
        <v/>
      </c>
    </row>
    <row r="820" spans="83:106" x14ac:dyDescent="0.2">
      <c r="CE820"/>
      <c r="CF820"/>
      <c r="CG820"/>
      <c r="CH820"/>
      <c r="CI820"/>
      <c r="CU820" s="21">
        <v>815</v>
      </c>
      <c r="CV820" s="41">
        <v>3</v>
      </c>
      <c r="CW820" s="41">
        <v>1.0626913437795575</v>
      </c>
      <c r="CX820" s="41" t="e">
        <v>#N/A</v>
      </c>
      <c r="CY820" s="41" t="e">
        <v>#N/A</v>
      </c>
      <c r="CZ820" s="47">
        <v>1.0626913437795575</v>
      </c>
      <c r="DA820" t="e">
        <v>#N/A</v>
      </c>
      <c r="DB820" t="str">
        <v/>
      </c>
    </row>
    <row r="821" spans="83:106" x14ac:dyDescent="0.2">
      <c r="CE821"/>
      <c r="CF821"/>
      <c r="CG821"/>
      <c r="CH821"/>
      <c r="CI821"/>
      <c r="CU821" s="21">
        <v>816</v>
      </c>
      <c r="CV821" s="41">
        <v>3</v>
      </c>
      <c r="CW821" s="41">
        <v>1.0626913437795575</v>
      </c>
      <c r="CX821" s="41" t="e">
        <v>#N/A</v>
      </c>
      <c r="CY821" s="41" t="e">
        <v>#N/A</v>
      </c>
      <c r="CZ821" s="47">
        <v>1.0626913437795575</v>
      </c>
      <c r="DA821" t="e">
        <v>#N/A</v>
      </c>
      <c r="DB821" t="str">
        <v/>
      </c>
    </row>
    <row r="822" spans="83:106" x14ac:dyDescent="0.2">
      <c r="CE822"/>
      <c r="CF822"/>
      <c r="CG822"/>
      <c r="CH822"/>
      <c r="CI822"/>
      <c r="CU822" s="21">
        <v>817</v>
      </c>
      <c r="CV822" s="41">
        <v>3</v>
      </c>
      <c r="CW822" s="41">
        <v>1.0626913437795575</v>
      </c>
      <c r="CX822" s="41" t="e">
        <v>#N/A</v>
      </c>
      <c r="CY822" s="41" t="e">
        <v>#N/A</v>
      </c>
      <c r="CZ822" s="47">
        <v>1.0626913437795575</v>
      </c>
      <c r="DA822" t="e">
        <v>#N/A</v>
      </c>
      <c r="DB822" t="str">
        <v/>
      </c>
    </row>
    <row r="823" spans="83:106" x14ac:dyDescent="0.2">
      <c r="CE823"/>
      <c r="CF823"/>
      <c r="CG823"/>
      <c r="CH823"/>
      <c r="CI823"/>
      <c r="CU823" s="21">
        <v>818</v>
      </c>
      <c r="CV823" s="41">
        <v>3</v>
      </c>
      <c r="CW823" s="41">
        <v>1.0626913437795575</v>
      </c>
      <c r="CX823" s="41" t="e">
        <v>#N/A</v>
      </c>
      <c r="CY823" s="41" t="e">
        <v>#N/A</v>
      </c>
      <c r="CZ823" s="47">
        <v>1.0626913437795575</v>
      </c>
      <c r="DA823" t="e">
        <v>#N/A</v>
      </c>
      <c r="DB823" t="str">
        <v/>
      </c>
    </row>
    <row r="824" spans="83:106" x14ac:dyDescent="0.2">
      <c r="CE824"/>
      <c r="CF824"/>
      <c r="CG824"/>
      <c r="CH824"/>
      <c r="CI824"/>
      <c r="CU824" s="21">
        <v>819</v>
      </c>
      <c r="CV824" s="41">
        <v>3</v>
      </c>
      <c r="CW824" s="41">
        <v>1.0626913437795575</v>
      </c>
      <c r="CX824" s="41" t="e">
        <v>#N/A</v>
      </c>
      <c r="CY824" s="41" t="e">
        <v>#N/A</v>
      </c>
      <c r="CZ824" s="47">
        <v>1.0626913437795575</v>
      </c>
      <c r="DA824" t="e">
        <v>#N/A</v>
      </c>
      <c r="DB824" t="str">
        <v/>
      </c>
    </row>
    <row r="825" spans="83:106" x14ac:dyDescent="0.2">
      <c r="CE825"/>
      <c r="CF825"/>
      <c r="CG825"/>
      <c r="CH825"/>
      <c r="CI825"/>
      <c r="CU825" s="21">
        <v>820</v>
      </c>
      <c r="CV825" s="41">
        <v>3</v>
      </c>
      <c r="CW825" s="41">
        <v>1.0626913437795575</v>
      </c>
      <c r="CX825" s="41" t="e">
        <v>#N/A</v>
      </c>
      <c r="CY825" s="41" t="e">
        <v>#N/A</v>
      </c>
      <c r="CZ825" s="47">
        <v>1.0626913437795575</v>
      </c>
      <c r="DA825" t="e">
        <v>#N/A</v>
      </c>
      <c r="DB825" t="str">
        <v/>
      </c>
    </row>
    <row r="826" spans="83:106" x14ac:dyDescent="0.2">
      <c r="CE826"/>
      <c r="CF826"/>
      <c r="CG826"/>
      <c r="CH826"/>
      <c r="CI826"/>
      <c r="CU826" s="21">
        <v>821</v>
      </c>
      <c r="CV826" s="41">
        <v>3</v>
      </c>
      <c r="CW826" s="41">
        <v>1.0626913437795575</v>
      </c>
      <c r="CX826" s="41" t="e">
        <v>#N/A</v>
      </c>
      <c r="CY826" s="41" t="e">
        <v>#N/A</v>
      </c>
      <c r="CZ826" s="47">
        <v>1.0626913437795575</v>
      </c>
      <c r="DA826" t="e">
        <v>#N/A</v>
      </c>
      <c r="DB826" t="str">
        <v/>
      </c>
    </row>
    <row r="827" spans="83:106" x14ac:dyDescent="0.2">
      <c r="CE827"/>
      <c r="CF827"/>
      <c r="CG827"/>
      <c r="CH827"/>
      <c r="CI827"/>
      <c r="CU827" s="21">
        <v>822</v>
      </c>
      <c r="CV827" s="41">
        <v>3</v>
      </c>
      <c r="CW827" s="41">
        <v>1.0626913437795575</v>
      </c>
      <c r="CX827" s="41" t="e">
        <v>#N/A</v>
      </c>
      <c r="CY827" s="41" t="e">
        <v>#N/A</v>
      </c>
      <c r="CZ827" s="47">
        <v>1.0626913437795575</v>
      </c>
      <c r="DA827" t="e">
        <v>#N/A</v>
      </c>
      <c r="DB827" t="str">
        <v/>
      </c>
    </row>
    <row r="828" spans="83:106" x14ac:dyDescent="0.2">
      <c r="CE828"/>
      <c r="CF828"/>
      <c r="CG828"/>
      <c r="CH828"/>
      <c r="CI828"/>
      <c r="CU828" s="21">
        <v>823</v>
      </c>
      <c r="CV828" s="41">
        <v>3</v>
      </c>
      <c r="CW828" s="41">
        <v>1.0626913437795575</v>
      </c>
      <c r="CX828" s="41" t="e">
        <v>#N/A</v>
      </c>
      <c r="CY828" s="41" t="e">
        <v>#N/A</v>
      </c>
      <c r="CZ828" s="47">
        <v>1.0626913437795575</v>
      </c>
      <c r="DA828" t="e">
        <v>#N/A</v>
      </c>
      <c r="DB828" t="str">
        <v/>
      </c>
    </row>
    <row r="829" spans="83:106" x14ac:dyDescent="0.2">
      <c r="CE829"/>
      <c r="CF829"/>
      <c r="CG829"/>
      <c r="CH829"/>
      <c r="CI829"/>
      <c r="CU829" s="21">
        <v>824</v>
      </c>
      <c r="CV829" s="41">
        <v>3</v>
      </c>
      <c r="CW829" s="41">
        <v>1.0626913437795575</v>
      </c>
      <c r="CX829" s="41" t="e">
        <v>#N/A</v>
      </c>
      <c r="CY829" s="41" t="e">
        <v>#N/A</v>
      </c>
      <c r="CZ829" s="47">
        <v>1.0626913437795575</v>
      </c>
      <c r="DA829" t="e">
        <v>#N/A</v>
      </c>
      <c r="DB829" t="str">
        <v/>
      </c>
    </row>
    <row r="830" spans="83:106" x14ac:dyDescent="0.2">
      <c r="CE830"/>
      <c r="CF830"/>
      <c r="CG830"/>
      <c r="CH830"/>
      <c r="CI830"/>
      <c r="CU830" s="21">
        <v>825</v>
      </c>
      <c r="CV830" s="41">
        <v>3</v>
      </c>
      <c r="CW830" s="41">
        <v>1.0626913437795575</v>
      </c>
      <c r="CX830" s="41" t="e">
        <v>#N/A</v>
      </c>
      <c r="CY830" s="41" t="e">
        <v>#N/A</v>
      </c>
      <c r="CZ830" s="47">
        <v>1.0626913437795575</v>
      </c>
      <c r="DA830" t="e">
        <v>#N/A</v>
      </c>
      <c r="DB830" t="str">
        <v/>
      </c>
    </row>
    <row r="831" spans="83:106" x14ac:dyDescent="0.2">
      <c r="CE831"/>
      <c r="CF831"/>
      <c r="CG831"/>
      <c r="CH831"/>
      <c r="CI831"/>
      <c r="CU831" s="21">
        <v>826</v>
      </c>
      <c r="CV831" s="41">
        <v>3</v>
      </c>
      <c r="CW831" s="41">
        <v>1.0626913437795575</v>
      </c>
      <c r="CX831" s="41" t="e">
        <v>#N/A</v>
      </c>
      <c r="CY831" s="41" t="e">
        <v>#N/A</v>
      </c>
      <c r="CZ831" s="47">
        <v>1.0626913437795575</v>
      </c>
      <c r="DA831" t="e">
        <v>#N/A</v>
      </c>
      <c r="DB831" t="str">
        <v/>
      </c>
    </row>
    <row r="832" spans="83:106" x14ac:dyDescent="0.2">
      <c r="CE832"/>
      <c r="CF832"/>
      <c r="CG832"/>
      <c r="CH832"/>
      <c r="CI832"/>
      <c r="CU832" s="21">
        <v>827</v>
      </c>
      <c r="CV832" s="41">
        <v>3</v>
      </c>
      <c r="CW832" s="41">
        <v>1.0626913437795575</v>
      </c>
      <c r="CX832" s="41" t="e">
        <v>#N/A</v>
      </c>
      <c r="CY832" s="41" t="e">
        <v>#N/A</v>
      </c>
      <c r="CZ832" s="47">
        <v>1.0626913437795575</v>
      </c>
      <c r="DA832" t="e">
        <v>#N/A</v>
      </c>
      <c r="DB832" t="str">
        <v/>
      </c>
    </row>
    <row r="833" spans="83:106" x14ac:dyDescent="0.2">
      <c r="CE833"/>
      <c r="CF833"/>
      <c r="CG833"/>
      <c r="CH833"/>
      <c r="CI833"/>
      <c r="CU833" s="21">
        <v>828</v>
      </c>
      <c r="CV833" s="41">
        <v>3</v>
      </c>
      <c r="CW833" s="41">
        <v>1.0626913437795575</v>
      </c>
      <c r="CX833" s="41" t="e">
        <v>#N/A</v>
      </c>
      <c r="CY833" s="41" t="e">
        <v>#N/A</v>
      </c>
      <c r="CZ833" s="47">
        <v>1.0626913437795575</v>
      </c>
      <c r="DA833" t="e">
        <v>#N/A</v>
      </c>
      <c r="DB833" t="str">
        <v/>
      </c>
    </row>
    <row r="834" spans="83:106" x14ac:dyDescent="0.2">
      <c r="CE834"/>
      <c r="CF834"/>
      <c r="CG834"/>
      <c r="CH834"/>
      <c r="CI834"/>
      <c r="CU834" s="21">
        <v>829</v>
      </c>
      <c r="CV834" s="41">
        <v>3</v>
      </c>
      <c r="CW834" s="41">
        <v>1.0626913437795575</v>
      </c>
      <c r="CX834" s="41" t="e">
        <v>#N/A</v>
      </c>
      <c r="CY834" s="41" t="e">
        <v>#N/A</v>
      </c>
      <c r="CZ834" s="47">
        <v>1.0626913437795575</v>
      </c>
      <c r="DA834" t="e">
        <v>#N/A</v>
      </c>
      <c r="DB834" t="str">
        <v/>
      </c>
    </row>
    <row r="835" spans="83:106" x14ac:dyDescent="0.2">
      <c r="CE835"/>
      <c r="CF835"/>
      <c r="CG835"/>
      <c r="CH835"/>
      <c r="CI835"/>
      <c r="CU835" s="21">
        <v>830</v>
      </c>
      <c r="CV835" s="41">
        <v>3</v>
      </c>
      <c r="CW835" s="41">
        <v>1.0626913437795575</v>
      </c>
      <c r="CX835" s="41" t="e">
        <v>#N/A</v>
      </c>
      <c r="CY835" s="41" t="e">
        <v>#N/A</v>
      </c>
      <c r="CZ835" s="47">
        <v>1.0626913437795575</v>
      </c>
      <c r="DA835" t="e">
        <v>#N/A</v>
      </c>
      <c r="DB835" t="str">
        <v/>
      </c>
    </row>
    <row r="836" spans="83:106" x14ac:dyDescent="0.2">
      <c r="CE836"/>
      <c r="CF836"/>
      <c r="CG836"/>
      <c r="CH836"/>
      <c r="CI836"/>
      <c r="CU836" s="21">
        <v>831</v>
      </c>
      <c r="CV836" s="41">
        <v>3</v>
      </c>
      <c r="CW836" s="41">
        <v>1.0626913437795575</v>
      </c>
      <c r="CX836" s="41" t="e">
        <v>#N/A</v>
      </c>
      <c r="CY836" s="41" t="e">
        <v>#N/A</v>
      </c>
      <c r="CZ836" s="47">
        <v>1.0626913437795575</v>
      </c>
      <c r="DA836" t="e">
        <v>#N/A</v>
      </c>
      <c r="DB836" t="str">
        <v/>
      </c>
    </row>
    <row r="837" spans="83:106" x14ac:dyDescent="0.2">
      <c r="CE837"/>
      <c r="CF837"/>
      <c r="CG837"/>
      <c r="CH837"/>
      <c r="CI837"/>
      <c r="CU837" s="21">
        <v>832</v>
      </c>
      <c r="CV837" s="41">
        <v>3</v>
      </c>
      <c r="CW837" s="41">
        <v>1.0626913437795575</v>
      </c>
      <c r="CX837" s="41" t="e">
        <v>#N/A</v>
      </c>
      <c r="CY837" s="41" t="e">
        <v>#N/A</v>
      </c>
      <c r="CZ837" s="47">
        <v>1.0626913437795575</v>
      </c>
      <c r="DA837" t="e">
        <v>#N/A</v>
      </c>
      <c r="DB837" t="str">
        <v/>
      </c>
    </row>
    <row r="838" spans="83:106" x14ac:dyDescent="0.2">
      <c r="CE838"/>
      <c r="CF838"/>
      <c r="CG838"/>
      <c r="CH838"/>
      <c r="CI838"/>
      <c r="CU838" s="21">
        <v>833</v>
      </c>
      <c r="CV838" s="41">
        <v>3</v>
      </c>
      <c r="CW838" s="41">
        <v>1.0626913437795575</v>
      </c>
      <c r="CX838" s="41" t="e">
        <v>#N/A</v>
      </c>
      <c r="CY838" s="41" t="e">
        <v>#N/A</v>
      </c>
      <c r="CZ838" s="47">
        <v>1.0626913437795575</v>
      </c>
      <c r="DA838" t="e">
        <v>#N/A</v>
      </c>
      <c r="DB838" t="str">
        <v/>
      </c>
    </row>
    <row r="839" spans="83:106" x14ac:dyDescent="0.2">
      <c r="CE839"/>
      <c r="CF839"/>
      <c r="CG839"/>
      <c r="CH839"/>
      <c r="CI839"/>
      <c r="CU839" s="21">
        <v>834</v>
      </c>
      <c r="CV839" s="41">
        <v>3</v>
      </c>
      <c r="CW839" s="41">
        <v>1.0626913437795575</v>
      </c>
      <c r="CX839" s="41" t="e">
        <v>#N/A</v>
      </c>
      <c r="CY839" s="41" t="e">
        <v>#N/A</v>
      </c>
      <c r="CZ839" s="47">
        <v>1.0626913437795575</v>
      </c>
      <c r="DA839" t="e">
        <v>#N/A</v>
      </c>
      <c r="DB839" t="str">
        <v/>
      </c>
    </row>
    <row r="840" spans="83:106" x14ac:dyDescent="0.2">
      <c r="CE840"/>
      <c r="CF840"/>
      <c r="CG840"/>
      <c r="CH840"/>
      <c r="CI840"/>
      <c r="CU840" s="21">
        <v>835</v>
      </c>
      <c r="CV840" s="41">
        <v>3</v>
      </c>
      <c r="CW840" s="41">
        <v>1.0626913437795575</v>
      </c>
      <c r="CX840" s="41" t="e">
        <v>#N/A</v>
      </c>
      <c r="CY840" s="41" t="e">
        <v>#N/A</v>
      </c>
      <c r="CZ840" s="47">
        <v>1.0626913437795575</v>
      </c>
      <c r="DA840" t="e">
        <v>#N/A</v>
      </c>
      <c r="DB840" t="str">
        <v/>
      </c>
    </row>
    <row r="841" spans="83:106" x14ac:dyDescent="0.2">
      <c r="CE841"/>
      <c r="CF841"/>
      <c r="CG841"/>
      <c r="CH841"/>
      <c r="CI841"/>
      <c r="CU841" s="21">
        <v>836</v>
      </c>
      <c r="CV841" s="41">
        <v>3</v>
      </c>
      <c r="CW841" s="41">
        <v>1.0626913437795575</v>
      </c>
      <c r="CX841" s="41" t="e">
        <v>#N/A</v>
      </c>
      <c r="CY841" s="41" t="e">
        <v>#N/A</v>
      </c>
      <c r="CZ841" s="47">
        <v>1.0626913437795575</v>
      </c>
      <c r="DA841" t="e">
        <v>#N/A</v>
      </c>
      <c r="DB841" t="str">
        <v/>
      </c>
    </row>
    <row r="842" spans="83:106" x14ac:dyDescent="0.2">
      <c r="CE842"/>
      <c r="CF842"/>
      <c r="CG842"/>
      <c r="CH842"/>
      <c r="CI842"/>
      <c r="CU842" s="21">
        <v>837</v>
      </c>
      <c r="CV842" s="41">
        <v>3</v>
      </c>
      <c r="CW842" s="41">
        <v>1.0626913437795575</v>
      </c>
      <c r="CX842" s="41" t="e">
        <v>#N/A</v>
      </c>
      <c r="CY842" s="41" t="e">
        <v>#N/A</v>
      </c>
      <c r="CZ842" s="47">
        <v>1.0626913437795575</v>
      </c>
      <c r="DA842" t="e">
        <v>#N/A</v>
      </c>
      <c r="DB842" t="str">
        <v/>
      </c>
    </row>
    <row r="843" spans="83:106" x14ac:dyDescent="0.2">
      <c r="CE843"/>
      <c r="CF843"/>
      <c r="CG843"/>
      <c r="CH843"/>
      <c r="CI843"/>
      <c r="CU843" s="21">
        <v>838</v>
      </c>
      <c r="CV843" s="41">
        <v>3</v>
      </c>
      <c r="CW843" s="41">
        <v>1.0626913437795575</v>
      </c>
      <c r="CX843" s="41" t="e">
        <v>#N/A</v>
      </c>
      <c r="CY843" s="41" t="e">
        <v>#N/A</v>
      </c>
      <c r="CZ843" s="47">
        <v>1.0626913437795575</v>
      </c>
      <c r="DA843" t="e">
        <v>#N/A</v>
      </c>
      <c r="DB843" t="str">
        <v/>
      </c>
    </row>
    <row r="844" spans="83:106" x14ac:dyDescent="0.2">
      <c r="CE844"/>
      <c r="CF844"/>
      <c r="CG844"/>
      <c r="CH844"/>
      <c r="CI844"/>
      <c r="CU844" s="21">
        <v>839</v>
      </c>
      <c r="CV844" s="41">
        <v>3</v>
      </c>
      <c r="CW844" s="41">
        <v>1.0626913437795575</v>
      </c>
      <c r="CX844" s="41" t="e">
        <v>#N/A</v>
      </c>
      <c r="CY844" s="41" t="e">
        <v>#N/A</v>
      </c>
      <c r="CZ844" s="47">
        <v>1.0626913437795575</v>
      </c>
      <c r="DA844" t="e">
        <v>#N/A</v>
      </c>
      <c r="DB844" t="str">
        <v/>
      </c>
    </row>
    <row r="845" spans="83:106" x14ac:dyDescent="0.2">
      <c r="CE845"/>
      <c r="CF845"/>
      <c r="CG845"/>
      <c r="CH845"/>
      <c r="CI845"/>
      <c r="CU845" s="21">
        <v>840</v>
      </c>
      <c r="CV845" s="41">
        <v>3</v>
      </c>
      <c r="CW845" s="41">
        <v>1.0626913437795575</v>
      </c>
      <c r="CX845" s="41" t="e">
        <v>#N/A</v>
      </c>
      <c r="CY845" s="41" t="e">
        <v>#N/A</v>
      </c>
      <c r="CZ845" s="47">
        <v>1.0626913437795575</v>
      </c>
      <c r="DA845" t="e">
        <v>#N/A</v>
      </c>
      <c r="DB845" t="str">
        <v/>
      </c>
    </row>
    <row r="846" spans="83:106" x14ac:dyDescent="0.2">
      <c r="CE846"/>
      <c r="CF846"/>
      <c r="CG846"/>
      <c r="CH846"/>
      <c r="CI846"/>
      <c r="CU846" s="21">
        <v>841</v>
      </c>
      <c r="CV846" s="41">
        <v>3</v>
      </c>
      <c r="CW846" s="41">
        <v>1.0626913437795575</v>
      </c>
      <c r="CX846" s="41" t="e">
        <v>#N/A</v>
      </c>
      <c r="CY846" s="41" t="e">
        <v>#N/A</v>
      </c>
      <c r="CZ846" s="47">
        <v>1.0626913437795575</v>
      </c>
      <c r="DA846" t="e">
        <v>#N/A</v>
      </c>
      <c r="DB846" t="str">
        <v/>
      </c>
    </row>
    <row r="847" spans="83:106" x14ac:dyDescent="0.2">
      <c r="CE847"/>
      <c r="CF847"/>
      <c r="CG847"/>
      <c r="CH847"/>
      <c r="CI847"/>
      <c r="CU847" s="21">
        <v>842</v>
      </c>
      <c r="CV847" s="41">
        <v>3</v>
      </c>
      <c r="CW847" s="41">
        <v>1.0626913437795575</v>
      </c>
      <c r="CX847" s="41" t="e">
        <v>#N/A</v>
      </c>
      <c r="CY847" s="41" t="e">
        <v>#N/A</v>
      </c>
      <c r="CZ847" s="47">
        <v>1.0626913437795575</v>
      </c>
      <c r="DA847" t="e">
        <v>#N/A</v>
      </c>
      <c r="DB847" t="str">
        <v/>
      </c>
    </row>
    <row r="848" spans="83:106" x14ac:dyDescent="0.2">
      <c r="CE848"/>
      <c r="CF848"/>
      <c r="CG848"/>
      <c r="CH848"/>
      <c r="CI848"/>
      <c r="CU848" s="21">
        <v>843</v>
      </c>
      <c r="CV848" s="41">
        <v>3</v>
      </c>
      <c r="CW848" s="41">
        <v>1.0626913437795575</v>
      </c>
      <c r="CX848" s="41" t="e">
        <v>#N/A</v>
      </c>
      <c r="CY848" s="41" t="e">
        <v>#N/A</v>
      </c>
      <c r="CZ848" s="47">
        <v>1.0626913437795575</v>
      </c>
      <c r="DA848" t="e">
        <v>#N/A</v>
      </c>
      <c r="DB848" t="str">
        <v/>
      </c>
    </row>
    <row r="849" spans="83:106" x14ac:dyDescent="0.2">
      <c r="CE849"/>
      <c r="CF849"/>
      <c r="CG849"/>
      <c r="CH849"/>
      <c r="CI849"/>
      <c r="CU849" s="21">
        <v>844</v>
      </c>
      <c r="CV849" s="41">
        <v>3</v>
      </c>
      <c r="CW849" s="41">
        <v>1.0626913437795575</v>
      </c>
      <c r="CX849" s="41" t="e">
        <v>#N/A</v>
      </c>
      <c r="CY849" s="41" t="e">
        <v>#N/A</v>
      </c>
      <c r="CZ849" s="47">
        <v>1.0626913437795575</v>
      </c>
      <c r="DA849" t="e">
        <v>#N/A</v>
      </c>
      <c r="DB849" t="str">
        <v/>
      </c>
    </row>
    <row r="850" spans="83:106" x14ac:dyDescent="0.2">
      <c r="CE850"/>
      <c r="CF850"/>
      <c r="CG850"/>
      <c r="CH850"/>
      <c r="CI850"/>
      <c r="CU850" s="21">
        <v>845</v>
      </c>
      <c r="CV850" s="41">
        <v>3</v>
      </c>
      <c r="CW850" s="41">
        <v>1.0626913437795575</v>
      </c>
      <c r="CX850" s="41" t="e">
        <v>#N/A</v>
      </c>
      <c r="CY850" s="41" t="e">
        <v>#N/A</v>
      </c>
      <c r="CZ850" s="47">
        <v>1.0626913437795575</v>
      </c>
      <c r="DA850" t="e">
        <v>#N/A</v>
      </c>
      <c r="DB850" t="str">
        <v/>
      </c>
    </row>
    <row r="851" spans="83:106" x14ac:dyDescent="0.2">
      <c r="CE851"/>
      <c r="CF851"/>
      <c r="CG851"/>
      <c r="CH851"/>
      <c r="CI851"/>
      <c r="CU851" s="21">
        <v>846</v>
      </c>
      <c r="CV851" s="41">
        <v>3</v>
      </c>
      <c r="CW851" s="41">
        <v>1.0626913437795575</v>
      </c>
      <c r="CX851" s="41" t="e">
        <v>#N/A</v>
      </c>
      <c r="CY851" s="41" t="e">
        <v>#N/A</v>
      </c>
      <c r="CZ851" s="47">
        <v>1.0626913437795575</v>
      </c>
      <c r="DA851" t="e">
        <v>#N/A</v>
      </c>
      <c r="DB851" t="str">
        <v/>
      </c>
    </row>
    <row r="852" spans="83:106" x14ac:dyDescent="0.2">
      <c r="CE852"/>
      <c r="CF852"/>
      <c r="CG852"/>
      <c r="CH852"/>
      <c r="CI852"/>
      <c r="CU852" s="21">
        <v>847</v>
      </c>
      <c r="CV852" s="41">
        <v>3</v>
      </c>
      <c r="CW852" s="41">
        <v>1.0626913437795575</v>
      </c>
      <c r="CX852" s="41" t="e">
        <v>#N/A</v>
      </c>
      <c r="CY852" s="41" t="e">
        <v>#N/A</v>
      </c>
      <c r="CZ852" s="47">
        <v>1.0626913437795575</v>
      </c>
      <c r="DA852" t="e">
        <v>#N/A</v>
      </c>
      <c r="DB852" t="str">
        <v/>
      </c>
    </row>
    <row r="853" spans="83:106" x14ac:dyDescent="0.2">
      <c r="CE853"/>
      <c r="CF853"/>
      <c r="CG853"/>
      <c r="CH853"/>
      <c r="CI853"/>
      <c r="CU853" s="21">
        <v>848</v>
      </c>
      <c r="CV853" s="41">
        <v>3</v>
      </c>
      <c r="CW853" s="41">
        <v>1.0626913437795575</v>
      </c>
      <c r="CX853" s="41" t="e">
        <v>#N/A</v>
      </c>
      <c r="CY853" s="41" t="e">
        <v>#N/A</v>
      </c>
      <c r="CZ853" s="47">
        <v>1.0626913437795575</v>
      </c>
      <c r="DA853" t="e">
        <v>#N/A</v>
      </c>
      <c r="DB853" t="str">
        <v/>
      </c>
    </row>
    <row r="854" spans="83:106" x14ac:dyDescent="0.2">
      <c r="CE854"/>
      <c r="CF854"/>
      <c r="CG854"/>
      <c r="CH854"/>
      <c r="CI854"/>
      <c r="CU854" s="21">
        <v>849</v>
      </c>
      <c r="CV854" s="41">
        <v>3</v>
      </c>
      <c r="CW854" s="41">
        <v>1.0626913437795575</v>
      </c>
      <c r="CX854" s="41" t="e">
        <v>#N/A</v>
      </c>
      <c r="CY854" s="41" t="e">
        <v>#N/A</v>
      </c>
      <c r="CZ854" s="47">
        <v>1.0626913437795575</v>
      </c>
      <c r="DA854" t="e">
        <v>#N/A</v>
      </c>
      <c r="DB854" t="str">
        <v/>
      </c>
    </row>
    <row r="855" spans="83:106" x14ac:dyDescent="0.2">
      <c r="CE855"/>
      <c r="CF855"/>
      <c r="CG855"/>
      <c r="CH855"/>
      <c r="CI855"/>
      <c r="CU855" s="21">
        <v>850</v>
      </c>
      <c r="CV855" s="41">
        <v>3</v>
      </c>
      <c r="CW855" s="41">
        <v>1.0626913437795575</v>
      </c>
      <c r="CX855" s="41" t="e">
        <v>#N/A</v>
      </c>
      <c r="CY855" s="41" t="e">
        <v>#N/A</v>
      </c>
      <c r="CZ855" s="47">
        <v>1.0626913437795575</v>
      </c>
      <c r="DA855" t="e">
        <v>#N/A</v>
      </c>
      <c r="DB855" t="str">
        <v/>
      </c>
    </row>
    <row r="856" spans="83:106" x14ac:dyDescent="0.2">
      <c r="CE856"/>
      <c r="CF856"/>
      <c r="CG856"/>
      <c r="CH856"/>
      <c r="CI856"/>
      <c r="CU856" s="21">
        <v>851</v>
      </c>
      <c r="CV856" s="41">
        <v>3</v>
      </c>
      <c r="CW856" s="41">
        <v>1.0626913437795575</v>
      </c>
      <c r="CX856" s="41" t="e">
        <v>#N/A</v>
      </c>
      <c r="CY856" s="41" t="e">
        <v>#N/A</v>
      </c>
      <c r="CZ856" s="47">
        <v>1.0626913437795575</v>
      </c>
      <c r="DA856" t="e">
        <v>#N/A</v>
      </c>
      <c r="DB856" t="str">
        <v/>
      </c>
    </row>
    <row r="857" spans="83:106" x14ac:dyDescent="0.2">
      <c r="CE857"/>
      <c r="CF857"/>
      <c r="CG857"/>
      <c r="CH857"/>
      <c r="CI857"/>
      <c r="CU857" s="21">
        <v>852</v>
      </c>
      <c r="CV857" s="41">
        <v>3</v>
      </c>
      <c r="CW857" s="41">
        <v>1.0626913437795575</v>
      </c>
      <c r="CX857" s="41" t="e">
        <v>#N/A</v>
      </c>
      <c r="CY857" s="41" t="e">
        <v>#N/A</v>
      </c>
      <c r="CZ857" s="47">
        <v>1.0626913437795575</v>
      </c>
      <c r="DA857" t="e">
        <v>#N/A</v>
      </c>
      <c r="DB857" t="str">
        <v/>
      </c>
    </row>
    <row r="858" spans="83:106" x14ac:dyDescent="0.2">
      <c r="CE858"/>
      <c r="CF858"/>
      <c r="CG858"/>
      <c r="CH858"/>
      <c r="CI858"/>
      <c r="CU858" s="21">
        <v>853</v>
      </c>
      <c r="CV858" s="41">
        <v>3</v>
      </c>
      <c r="CW858" s="41">
        <v>1.0626913437795575</v>
      </c>
      <c r="CX858" s="41" t="e">
        <v>#N/A</v>
      </c>
      <c r="CY858" s="41" t="e">
        <v>#N/A</v>
      </c>
      <c r="CZ858" s="47">
        <v>1.0626913437795575</v>
      </c>
      <c r="DA858" t="e">
        <v>#N/A</v>
      </c>
      <c r="DB858" t="str">
        <v/>
      </c>
    </row>
    <row r="859" spans="83:106" x14ac:dyDescent="0.2">
      <c r="CE859"/>
      <c r="CF859"/>
      <c r="CG859"/>
      <c r="CH859"/>
      <c r="CI859"/>
      <c r="CU859" s="21">
        <v>854</v>
      </c>
      <c r="CV859" s="41">
        <v>3</v>
      </c>
      <c r="CW859" s="41">
        <v>1.0626913437795575</v>
      </c>
      <c r="CX859" s="41" t="e">
        <v>#N/A</v>
      </c>
      <c r="CY859" s="41" t="e">
        <v>#N/A</v>
      </c>
      <c r="CZ859" s="47">
        <v>1.0626913437795575</v>
      </c>
      <c r="DA859" t="e">
        <v>#N/A</v>
      </c>
      <c r="DB859" t="str">
        <v/>
      </c>
    </row>
    <row r="860" spans="83:106" x14ac:dyDescent="0.2">
      <c r="CE860"/>
      <c r="CF860"/>
      <c r="CG860"/>
      <c r="CH860"/>
      <c r="CI860"/>
      <c r="CU860" s="21">
        <v>855</v>
      </c>
      <c r="CV860" s="41">
        <v>3</v>
      </c>
      <c r="CW860" s="41">
        <v>1.0626913437795575</v>
      </c>
      <c r="CX860" s="41" t="e">
        <v>#N/A</v>
      </c>
      <c r="CY860" s="41" t="e">
        <v>#N/A</v>
      </c>
      <c r="CZ860" s="47">
        <v>1.0626913437795575</v>
      </c>
      <c r="DA860" t="e">
        <v>#N/A</v>
      </c>
      <c r="DB860" t="str">
        <v/>
      </c>
    </row>
    <row r="861" spans="83:106" x14ac:dyDescent="0.2">
      <c r="CE861"/>
      <c r="CF861"/>
      <c r="CG861"/>
      <c r="CH861"/>
      <c r="CI861"/>
      <c r="CU861" s="21">
        <v>856</v>
      </c>
      <c r="CV861" s="41">
        <v>3</v>
      </c>
      <c r="CW861" s="41">
        <v>1.0626913437795575</v>
      </c>
      <c r="CX861" s="41" t="e">
        <v>#N/A</v>
      </c>
      <c r="CY861" s="41" t="e">
        <v>#N/A</v>
      </c>
      <c r="CZ861" s="47">
        <v>1.0626913437795575</v>
      </c>
      <c r="DA861" t="e">
        <v>#N/A</v>
      </c>
      <c r="DB861" t="str">
        <v/>
      </c>
    </row>
    <row r="862" spans="83:106" x14ac:dyDescent="0.2">
      <c r="CE862"/>
      <c r="CF862"/>
      <c r="CG862"/>
      <c r="CH862"/>
      <c r="CI862"/>
      <c r="CU862" s="21">
        <v>857</v>
      </c>
      <c r="CV862" s="41">
        <v>3</v>
      </c>
      <c r="CW862" s="41">
        <v>1.0626913437795575</v>
      </c>
      <c r="CX862" s="41" t="e">
        <v>#N/A</v>
      </c>
      <c r="CY862" s="41" t="e">
        <v>#N/A</v>
      </c>
      <c r="CZ862" s="47">
        <v>1.0626913437795575</v>
      </c>
      <c r="DA862" t="e">
        <v>#N/A</v>
      </c>
      <c r="DB862" t="str">
        <v/>
      </c>
    </row>
    <row r="863" spans="83:106" x14ac:dyDescent="0.2">
      <c r="CE863"/>
      <c r="CF863"/>
      <c r="CG863"/>
      <c r="CH863"/>
      <c r="CI863"/>
      <c r="CU863" s="21">
        <v>858</v>
      </c>
      <c r="CV863" s="41">
        <v>3</v>
      </c>
      <c r="CW863" s="41">
        <v>1.0626913437795575</v>
      </c>
      <c r="CX863" s="41" t="e">
        <v>#N/A</v>
      </c>
      <c r="CY863" s="41" t="e">
        <v>#N/A</v>
      </c>
      <c r="CZ863" s="47">
        <v>1.0626913437795575</v>
      </c>
      <c r="DA863" t="e">
        <v>#N/A</v>
      </c>
      <c r="DB863" t="str">
        <v/>
      </c>
    </row>
    <row r="864" spans="83:106" x14ac:dyDescent="0.2">
      <c r="CE864"/>
      <c r="CF864"/>
      <c r="CG864"/>
      <c r="CH864"/>
      <c r="CI864"/>
      <c r="CU864" s="21">
        <v>859</v>
      </c>
      <c r="CV864" s="41">
        <v>3</v>
      </c>
      <c r="CW864" s="41">
        <v>1.0626913437795575</v>
      </c>
      <c r="CX864" s="41" t="e">
        <v>#N/A</v>
      </c>
      <c r="CY864" s="41" t="e">
        <v>#N/A</v>
      </c>
      <c r="CZ864" s="47">
        <v>1.0626913437795575</v>
      </c>
      <c r="DA864" t="e">
        <v>#N/A</v>
      </c>
      <c r="DB864" t="str">
        <v/>
      </c>
    </row>
    <row r="865" spans="83:106" x14ac:dyDescent="0.2">
      <c r="CE865"/>
      <c r="CF865"/>
      <c r="CG865"/>
      <c r="CH865"/>
      <c r="CI865"/>
      <c r="CU865" s="21">
        <v>860</v>
      </c>
      <c r="CV865" s="41">
        <v>3</v>
      </c>
      <c r="CW865" s="41">
        <v>1.0626913437795575</v>
      </c>
      <c r="CX865" s="41" t="e">
        <v>#N/A</v>
      </c>
      <c r="CY865" s="41" t="e">
        <v>#N/A</v>
      </c>
      <c r="CZ865" s="47">
        <v>1.0626913437795575</v>
      </c>
      <c r="DA865" t="e">
        <v>#N/A</v>
      </c>
      <c r="DB865" t="str">
        <v/>
      </c>
    </row>
    <row r="866" spans="83:106" x14ac:dyDescent="0.2">
      <c r="CE866"/>
      <c r="CF866"/>
      <c r="CG866"/>
      <c r="CH866"/>
      <c r="CI866"/>
      <c r="CU866" s="21">
        <v>861</v>
      </c>
      <c r="CV866" s="41">
        <v>3</v>
      </c>
      <c r="CW866" s="41">
        <v>1.0626913437795575</v>
      </c>
      <c r="CX866" s="41" t="e">
        <v>#N/A</v>
      </c>
      <c r="CY866" s="41" t="e">
        <v>#N/A</v>
      </c>
      <c r="CZ866" s="47">
        <v>1.0626913437795575</v>
      </c>
      <c r="DA866" t="e">
        <v>#N/A</v>
      </c>
      <c r="DB866" t="str">
        <v/>
      </c>
    </row>
    <row r="867" spans="83:106" x14ac:dyDescent="0.2">
      <c r="CE867"/>
      <c r="CF867"/>
      <c r="CG867"/>
      <c r="CH867"/>
      <c r="CI867"/>
      <c r="CU867" s="21">
        <v>862</v>
      </c>
      <c r="CV867" s="41">
        <v>3</v>
      </c>
      <c r="CW867" s="41">
        <v>1.0626913437795575</v>
      </c>
      <c r="CX867" s="41" t="e">
        <v>#N/A</v>
      </c>
      <c r="CY867" s="41" t="e">
        <v>#N/A</v>
      </c>
      <c r="CZ867" s="47">
        <v>1.0626913437795575</v>
      </c>
      <c r="DA867" t="e">
        <v>#N/A</v>
      </c>
      <c r="DB867" t="str">
        <v/>
      </c>
    </row>
    <row r="868" spans="83:106" x14ac:dyDescent="0.2">
      <c r="CE868"/>
      <c r="CF868"/>
      <c r="CG868"/>
      <c r="CH868"/>
      <c r="CI868"/>
      <c r="CU868" s="21">
        <v>863</v>
      </c>
      <c r="CV868" s="41">
        <v>3</v>
      </c>
      <c r="CW868" s="41">
        <v>1.0626913437795575</v>
      </c>
      <c r="CX868" s="41" t="e">
        <v>#N/A</v>
      </c>
      <c r="CY868" s="41" t="e">
        <v>#N/A</v>
      </c>
      <c r="CZ868" s="47">
        <v>1.0626913437795575</v>
      </c>
      <c r="DA868" t="e">
        <v>#N/A</v>
      </c>
      <c r="DB868" t="str">
        <v/>
      </c>
    </row>
    <row r="869" spans="83:106" x14ac:dyDescent="0.2">
      <c r="CE869"/>
      <c r="CF869"/>
      <c r="CG869"/>
      <c r="CH869"/>
      <c r="CI869"/>
      <c r="CU869" s="21">
        <v>864</v>
      </c>
      <c r="CV869" s="41">
        <v>3</v>
      </c>
      <c r="CW869" s="41">
        <v>1.0626913437795575</v>
      </c>
      <c r="CX869" s="41" t="e">
        <v>#N/A</v>
      </c>
      <c r="CY869" s="41" t="e">
        <v>#N/A</v>
      </c>
      <c r="CZ869" s="47">
        <v>1.0626913437795575</v>
      </c>
      <c r="DA869" t="e">
        <v>#N/A</v>
      </c>
      <c r="DB869" t="str">
        <v/>
      </c>
    </row>
    <row r="870" spans="83:106" x14ac:dyDescent="0.2">
      <c r="CE870"/>
      <c r="CF870"/>
      <c r="CG870"/>
      <c r="CH870"/>
      <c r="CI870"/>
      <c r="CU870" s="21">
        <v>865</v>
      </c>
      <c r="CV870" s="41">
        <v>3</v>
      </c>
      <c r="CW870" s="41">
        <v>1.0626913437795575</v>
      </c>
      <c r="CX870" s="41" t="e">
        <v>#N/A</v>
      </c>
      <c r="CY870" s="41" t="e">
        <v>#N/A</v>
      </c>
      <c r="CZ870" s="47">
        <v>1.0626913437795575</v>
      </c>
      <c r="DA870" t="e">
        <v>#N/A</v>
      </c>
      <c r="DB870" t="str">
        <v/>
      </c>
    </row>
    <row r="871" spans="83:106" x14ac:dyDescent="0.2">
      <c r="CE871"/>
      <c r="CF871"/>
      <c r="CG871"/>
      <c r="CH871"/>
      <c r="CI871"/>
      <c r="CU871" s="21">
        <v>866</v>
      </c>
      <c r="CV871" s="41">
        <v>3</v>
      </c>
      <c r="CW871" s="41">
        <v>1.0626913437795575</v>
      </c>
      <c r="CX871" s="41" t="e">
        <v>#N/A</v>
      </c>
      <c r="CY871" s="41" t="e">
        <v>#N/A</v>
      </c>
      <c r="CZ871" s="47">
        <v>1.0626913437795575</v>
      </c>
      <c r="DA871" t="e">
        <v>#N/A</v>
      </c>
      <c r="DB871" t="str">
        <v/>
      </c>
    </row>
    <row r="872" spans="83:106" x14ac:dyDescent="0.2">
      <c r="CE872"/>
      <c r="CF872"/>
      <c r="CG872"/>
      <c r="CH872"/>
      <c r="CI872"/>
      <c r="CU872" s="21">
        <v>867</v>
      </c>
      <c r="CV872" s="41">
        <v>3</v>
      </c>
      <c r="CW872" s="41">
        <v>1.0626913437795575</v>
      </c>
      <c r="CX872" s="41" t="e">
        <v>#N/A</v>
      </c>
      <c r="CY872" s="41" t="e">
        <v>#N/A</v>
      </c>
      <c r="CZ872" s="47">
        <v>1.0626913437795575</v>
      </c>
      <c r="DA872" t="e">
        <v>#N/A</v>
      </c>
      <c r="DB872" t="str">
        <v/>
      </c>
    </row>
    <row r="873" spans="83:106" x14ac:dyDescent="0.2">
      <c r="CE873"/>
      <c r="CF873"/>
      <c r="CG873"/>
      <c r="CH873"/>
      <c r="CI873"/>
      <c r="CU873" s="21">
        <v>868</v>
      </c>
      <c r="CV873" s="41">
        <v>3</v>
      </c>
      <c r="CW873" s="41">
        <v>1.0626913437795575</v>
      </c>
      <c r="CX873" s="41" t="e">
        <v>#N/A</v>
      </c>
      <c r="CY873" s="41" t="e">
        <v>#N/A</v>
      </c>
      <c r="CZ873" s="47">
        <v>1.0626913437795575</v>
      </c>
      <c r="DA873" t="e">
        <v>#N/A</v>
      </c>
      <c r="DB873" t="str">
        <v/>
      </c>
    </row>
    <row r="874" spans="83:106" x14ac:dyDescent="0.2">
      <c r="CE874"/>
      <c r="CF874"/>
      <c r="CG874"/>
      <c r="CH874"/>
      <c r="CI874"/>
      <c r="CU874" s="21">
        <v>869</v>
      </c>
      <c r="CV874" s="41">
        <v>3</v>
      </c>
      <c r="CW874" s="41">
        <v>1.0626913437795575</v>
      </c>
      <c r="CX874" s="41" t="e">
        <v>#N/A</v>
      </c>
      <c r="CY874" s="41" t="e">
        <v>#N/A</v>
      </c>
      <c r="CZ874" s="47">
        <v>1.0626913437795575</v>
      </c>
      <c r="DA874" t="e">
        <v>#N/A</v>
      </c>
      <c r="DB874" t="str">
        <v/>
      </c>
    </row>
    <row r="875" spans="83:106" x14ac:dyDescent="0.2">
      <c r="CE875"/>
      <c r="CF875"/>
      <c r="CG875"/>
      <c r="CH875"/>
      <c r="CI875"/>
      <c r="CU875" s="21">
        <v>870</v>
      </c>
      <c r="CV875" s="41">
        <v>3</v>
      </c>
      <c r="CW875" s="41">
        <v>1.0626913437795575</v>
      </c>
      <c r="CX875" s="41" t="e">
        <v>#N/A</v>
      </c>
      <c r="CY875" s="41" t="e">
        <v>#N/A</v>
      </c>
      <c r="CZ875" s="47">
        <v>1.0626913437795575</v>
      </c>
      <c r="DA875" t="e">
        <v>#N/A</v>
      </c>
      <c r="DB875" t="str">
        <v/>
      </c>
    </row>
    <row r="876" spans="83:106" x14ac:dyDescent="0.2">
      <c r="CE876"/>
      <c r="CF876"/>
      <c r="CG876"/>
      <c r="CH876"/>
      <c r="CI876"/>
      <c r="CU876" s="21">
        <v>871</v>
      </c>
      <c r="CV876" s="41">
        <v>3</v>
      </c>
      <c r="CW876" s="41">
        <v>1.0626913437795575</v>
      </c>
      <c r="CX876" s="41" t="e">
        <v>#N/A</v>
      </c>
      <c r="CY876" s="41" t="e">
        <v>#N/A</v>
      </c>
      <c r="CZ876" s="47">
        <v>1.0626913437795575</v>
      </c>
      <c r="DA876" t="e">
        <v>#N/A</v>
      </c>
      <c r="DB876" t="str">
        <v/>
      </c>
    </row>
    <row r="877" spans="83:106" x14ac:dyDescent="0.2">
      <c r="CE877"/>
      <c r="CF877"/>
      <c r="CG877"/>
      <c r="CH877"/>
      <c r="CI877"/>
      <c r="CU877" s="21">
        <v>872</v>
      </c>
      <c r="CV877" s="41">
        <v>3</v>
      </c>
      <c r="CW877" s="41">
        <v>1.0626913437795575</v>
      </c>
      <c r="CX877" s="41" t="e">
        <v>#N/A</v>
      </c>
      <c r="CY877" s="41" t="e">
        <v>#N/A</v>
      </c>
      <c r="CZ877" s="47">
        <v>1.0626913437795575</v>
      </c>
      <c r="DA877" t="e">
        <v>#N/A</v>
      </c>
      <c r="DB877" t="str">
        <v/>
      </c>
    </row>
    <row r="878" spans="83:106" x14ac:dyDescent="0.2">
      <c r="CE878"/>
      <c r="CF878"/>
      <c r="CG878"/>
      <c r="CH878"/>
      <c r="CI878"/>
      <c r="CU878" s="21">
        <v>873</v>
      </c>
      <c r="CV878" s="41">
        <v>3</v>
      </c>
      <c r="CW878" s="41">
        <v>1.0626913437795575</v>
      </c>
      <c r="CX878" s="41" t="e">
        <v>#N/A</v>
      </c>
      <c r="CY878" s="41" t="e">
        <v>#N/A</v>
      </c>
      <c r="CZ878" s="47">
        <v>1.0626913437795575</v>
      </c>
      <c r="DA878" t="e">
        <v>#N/A</v>
      </c>
      <c r="DB878" t="str">
        <v/>
      </c>
    </row>
    <row r="879" spans="83:106" x14ac:dyDescent="0.2">
      <c r="CE879"/>
      <c r="CF879"/>
      <c r="CG879"/>
      <c r="CH879"/>
      <c r="CI879"/>
      <c r="CU879" s="21">
        <v>874</v>
      </c>
      <c r="CV879" s="41">
        <v>3</v>
      </c>
      <c r="CW879" s="41">
        <v>1.0626913437795575</v>
      </c>
      <c r="CX879" s="41" t="e">
        <v>#N/A</v>
      </c>
      <c r="CY879" s="41" t="e">
        <v>#N/A</v>
      </c>
      <c r="CZ879" s="47">
        <v>1.0626913437795575</v>
      </c>
      <c r="DA879" t="e">
        <v>#N/A</v>
      </c>
      <c r="DB879" t="str">
        <v/>
      </c>
    </row>
    <row r="880" spans="83:106" x14ac:dyDescent="0.2">
      <c r="CE880"/>
      <c r="CF880"/>
      <c r="CG880"/>
      <c r="CH880"/>
      <c r="CI880"/>
      <c r="CU880" s="21">
        <v>875</v>
      </c>
      <c r="CV880" s="41">
        <v>3</v>
      </c>
      <c r="CW880" s="41">
        <v>1.0626913437795575</v>
      </c>
      <c r="CX880" s="41" t="e">
        <v>#N/A</v>
      </c>
      <c r="CY880" s="41" t="e">
        <v>#N/A</v>
      </c>
      <c r="CZ880" s="47">
        <v>1.0626913437795575</v>
      </c>
      <c r="DA880" t="e">
        <v>#N/A</v>
      </c>
      <c r="DB880" t="str">
        <v/>
      </c>
    </row>
    <row r="881" spans="83:106" x14ac:dyDescent="0.2">
      <c r="CE881"/>
      <c r="CF881"/>
      <c r="CG881"/>
      <c r="CH881"/>
      <c r="CI881"/>
      <c r="CU881" s="21">
        <v>876</v>
      </c>
      <c r="CV881" s="41">
        <v>3</v>
      </c>
      <c r="CW881" s="41">
        <v>1.0626913437795575</v>
      </c>
      <c r="CX881" s="41" t="e">
        <v>#N/A</v>
      </c>
      <c r="CY881" s="41" t="e">
        <v>#N/A</v>
      </c>
      <c r="CZ881" s="47">
        <v>1.0626913437795575</v>
      </c>
      <c r="DA881" t="e">
        <v>#N/A</v>
      </c>
      <c r="DB881" t="str">
        <v/>
      </c>
    </row>
    <row r="882" spans="83:106" x14ac:dyDescent="0.2">
      <c r="CE882"/>
      <c r="CF882"/>
      <c r="CG882"/>
      <c r="CH882"/>
      <c r="CI882"/>
      <c r="CU882" s="21">
        <v>877</v>
      </c>
      <c r="CV882" s="41">
        <v>3</v>
      </c>
      <c r="CW882" s="41">
        <v>1.0626913437795575</v>
      </c>
      <c r="CX882" s="41" t="e">
        <v>#N/A</v>
      </c>
      <c r="CY882" s="41" t="e">
        <v>#N/A</v>
      </c>
      <c r="CZ882" s="47">
        <v>1.0626913437795575</v>
      </c>
      <c r="DA882" t="e">
        <v>#N/A</v>
      </c>
      <c r="DB882" t="str">
        <v/>
      </c>
    </row>
    <row r="883" spans="83:106" x14ac:dyDescent="0.2">
      <c r="CE883"/>
      <c r="CF883"/>
      <c r="CG883"/>
      <c r="CH883"/>
      <c r="CI883"/>
      <c r="CU883" s="21">
        <v>878</v>
      </c>
      <c r="CV883" s="41">
        <v>3</v>
      </c>
      <c r="CW883" s="41">
        <v>1.0626913437795575</v>
      </c>
      <c r="CX883" s="41" t="e">
        <v>#N/A</v>
      </c>
      <c r="CY883" s="41" t="e">
        <v>#N/A</v>
      </c>
      <c r="CZ883" s="47">
        <v>1.0626913437795575</v>
      </c>
      <c r="DA883" t="e">
        <v>#N/A</v>
      </c>
      <c r="DB883" t="str">
        <v/>
      </c>
    </row>
    <row r="884" spans="83:106" x14ac:dyDescent="0.2">
      <c r="CE884"/>
      <c r="CF884"/>
      <c r="CG884"/>
      <c r="CH884"/>
      <c r="CI884"/>
      <c r="CU884" s="21">
        <v>879</v>
      </c>
      <c r="CV884" s="41">
        <v>3</v>
      </c>
      <c r="CW884" s="41">
        <v>1.0626913437795575</v>
      </c>
      <c r="CX884" s="41" t="e">
        <v>#N/A</v>
      </c>
      <c r="CY884" s="41" t="e">
        <v>#N/A</v>
      </c>
      <c r="CZ884" s="47">
        <v>1.0626913437795575</v>
      </c>
      <c r="DA884" t="e">
        <v>#N/A</v>
      </c>
      <c r="DB884" t="str">
        <v/>
      </c>
    </row>
    <row r="885" spans="83:106" x14ac:dyDescent="0.2">
      <c r="CE885"/>
      <c r="CF885"/>
      <c r="CG885"/>
      <c r="CH885"/>
      <c r="CI885"/>
      <c r="CU885" s="21">
        <v>880</v>
      </c>
      <c r="CV885" s="41">
        <v>3</v>
      </c>
      <c r="CW885" s="41">
        <v>1.0626913437795575</v>
      </c>
      <c r="CX885" s="41" t="e">
        <v>#N/A</v>
      </c>
      <c r="CY885" s="41" t="e">
        <v>#N/A</v>
      </c>
      <c r="CZ885" s="47">
        <v>1.0626913437795575</v>
      </c>
      <c r="DA885" t="e">
        <v>#N/A</v>
      </c>
      <c r="DB885" t="str">
        <v/>
      </c>
    </row>
    <row r="886" spans="83:106" x14ac:dyDescent="0.2">
      <c r="CE886"/>
      <c r="CF886"/>
      <c r="CG886"/>
      <c r="CH886"/>
      <c r="CI886"/>
      <c r="CU886" s="21">
        <v>881</v>
      </c>
      <c r="CV886" s="41">
        <v>3</v>
      </c>
      <c r="CW886" s="41">
        <v>1.0626913437795575</v>
      </c>
      <c r="CX886" s="41" t="e">
        <v>#N/A</v>
      </c>
      <c r="CY886" s="41" t="e">
        <v>#N/A</v>
      </c>
      <c r="CZ886" s="47">
        <v>1.0626913437795575</v>
      </c>
      <c r="DA886" t="e">
        <v>#N/A</v>
      </c>
      <c r="DB886" t="str">
        <v/>
      </c>
    </row>
    <row r="887" spans="83:106" x14ac:dyDescent="0.2">
      <c r="CE887"/>
      <c r="CF887"/>
      <c r="CG887"/>
      <c r="CH887"/>
      <c r="CI887"/>
      <c r="CU887" s="21">
        <v>882</v>
      </c>
      <c r="CV887" s="41">
        <v>3</v>
      </c>
      <c r="CW887" s="41">
        <v>1.0626913437795575</v>
      </c>
      <c r="CX887" s="41" t="e">
        <v>#N/A</v>
      </c>
      <c r="CY887" s="41" t="e">
        <v>#N/A</v>
      </c>
      <c r="CZ887" s="47">
        <v>1.0626913437795575</v>
      </c>
      <c r="DA887" t="e">
        <v>#N/A</v>
      </c>
      <c r="DB887" t="str">
        <v/>
      </c>
    </row>
    <row r="888" spans="83:106" x14ac:dyDescent="0.2">
      <c r="CE888"/>
      <c r="CF888"/>
      <c r="CG888"/>
      <c r="CH888"/>
      <c r="CI888"/>
      <c r="CU888" s="21">
        <v>883</v>
      </c>
      <c r="CV888" s="41">
        <v>3</v>
      </c>
      <c r="CW888" s="41">
        <v>1.0626913437795575</v>
      </c>
      <c r="CX888" s="41" t="e">
        <v>#N/A</v>
      </c>
      <c r="CY888" s="41" t="e">
        <v>#N/A</v>
      </c>
      <c r="CZ888" s="47">
        <v>1.0626913437795575</v>
      </c>
      <c r="DA888" t="e">
        <v>#N/A</v>
      </c>
      <c r="DB888" t="str">
        <v/>
      </c>
    </row>
    <row r="889" spans="83:106" x14ac:dyDescent="0.2">
      <c r="CE889"/>
      <c r="CF889"/>
      <c r="CG889"/>
      <c r="CH889"/>
      <c r="CI889"/>
      <c r="CU889" s="21">
        <v>884</v>
      </c>
      <c r="CV889" s="41">
        <v>3</v>
      </c>
      <c r="CW889" s="41">
        <v>1.0626913437795575</v>
      </c>
      <c r="CX889" s="41" t="e">
        <v>#N/A</v>
      </c>
      <c r="CY889" s="41" t="e">
        <v>#N/A</v>
      </c>
      <c r="CZ889" s="47">
        <v>1.0626913437795575</v>
      </c>
      <c r="DA889" t="e">
        <v>#N/A</v>
      </c>
      <c r="DB889" t="str">
        <v/>
      </c>
    </row>
    <row r="890" spans="83:106" x14ac:dyDescent="0.2">
      <c r="CE890"/>
      <c r="CF890"/>
      <c r="CG890"/>
      <c r="CH890"/>
      <c r="CI890"/>
      <c r="CU890" s="21">
        <v>885</v>
      </c>
      <c r="CV890" s="41">
        <v>3</v>
      </c>
      <c r="CW890" s="41">
        <v>1.0626913437795575</v>
      </c>
      <c r="CX890" s="41" t="e">
        <v>#N/A</v>
      </c>
      <c r="CY890" s="41" t="e">
        <v>#N/A</v>
      </c>
      <c r="CZ890" s="47">
        <v>1.0626913437795575</v>
      </c>
      <c r="DA890" t="e">
        <v>#N/A</v>
      </c>
      <c r="DB890" t="str">
        <v/>
      </c>
    </row>
    <row r="891" spans="83:106" x14ac:dyDescent="0.2">
      <c r="CE891"/>
      <c r="CF891"/>
      <c r="CG891"/>
      <c r="CH891"/>
      <c r="CI891"/>
      <c r="CU891" s="21">
        <v>886</v>
      </c>
      <c r="CV891" s="41">
        <v>3</v>
      </c>
      <c r="CW891" s="41">
        <v>1.0626913437795575</v>
      </c>
      <c r="CX891" s="41" t="e">
        <v>#N/A</v>
      </c>
      <c r="CY891" s="41" t="e">
        <v>#N/A</v>
      </c>
      <c r="CZ891" s="47">
        <v>1.0626913437795575</v>
      </c>
      <c r="DA891" t="e">
        <v>#N/A</v>
      </c>
      <c r="DB891" t="str">
        <v/>
      </c>
    </row>
    <row r="892" spans="83:106" x14ac:dyDescent="0.2">
      <c r="CE892"/>
      <c r="CF892"/>
      <c r="CG892"/>
      <c r="CH892"/>
      <c r="CI892"/>
      <c r="CU892" s="21">
        <v>887</v>
      </c>
      <c r="CV892" s="41">
        <v>3</v>
      </c>
      <c r="CW892" s="41">
        <v>1.0626913437795575</v>
      </c>
      <c r="CX892" s="41" t="e">
        <v>#N/A</v>
      </c>
      <c r="CY892" s="41" t="e">
        <v>#N/A</v>
      </c>
      <c r="CZ892" s="47">
        <v>1.0626913437795575</v>
      </c>
      <c r="DA892" t="e">
        <v>#N/A</v>
      </c>
      <c r="DB892" t="str">
        <v/>
      </c>
    </row>
    <row r="893" spans="83:106" x14ac:dyDescent="0.2">
      <c r="CE893"/>
      <c r="CF893"/>
      <c r="CG893"/>
      <c r="CH893"/>
      <c r="CI893"/>
      <c r="CU893" s="21">
        <v>888</v>
      </c>
      <c r="CV893" s="41">
        <v>3</v>
      </c>
      <c r="CW893" s="41">
        <v>1.0626913437795575</v>
      </c>
      <c r="CX893" s="41" t="e">
        <v>#N/A</v>
      </c>
      <c r="CY893" s="41" t="e">
        <v>#N/A</v>
      </c>
      <c r="CZ893" s="47">
        <v>1.0626913437795575</v>
      </c>
      <c r="DA893" t="e">
        <v>#N/A</v>
      </c>
      <c r="DB893" t="str">
        <v/>
      </c>
    </row>
    <row r="894" spans="83:106" x14ac:dyDescent="0.2">
      <c r="CE894"/>
      <c r="CF894"/>
      <c r="CG894"/>
      <c r="CH894"/>
      <c r="CI894"/>
      <c r="CU894" s="21">
        <v>889</v>
      </c>
      <c r="CV894" s="41">
        <v>3</v>
      </c>
      <c r="CW894" s="41">
        <v>1.0626913437795575</v>
      </c>
      <c r="CX894" s="41" t="e">
        <v>#N/A</v>
      </c>
      <c r="CY894" s="41" t="e">
        <v>#N/A</v>
      </c>
      <c r="CZ894" s="47">
        <v>1.0626913437795575</v>
      </c>
      <c r="DA894" t="e">
        <v>#N/A</v>
      </c>
      <c r="DB894" t="str">
        <v/>
      </c>
    </row>
    <row r="895" spans="83:106" x14ac:dyDescent="0.2">
      <c r="CE895"/>
      <c r="CF895"/>
      <c r="CG895"/>
      <c r="CH895"/>
      <c r="CI895"/>
      <c r="CU895" s="21">
        <v>890</v>
      </c>
      <c r="CV895" s="41">
        <v>3</v>
      </c>
      <c r="CW895" s="41">
        <v>1.0626913437795575</v>
      </c>
      <c r="CX895" s="41" t="e">
        <v>#N/A</v>
      </c>
      <c r="CY895" s="41" t="e">
        <v>#N/A</v>
      </c>
      <c r="CZ895" s="47">
        <v>1.0626913437795575</v>
      </c>
      <c r="DA895" t="e">
        <v>#N/A</v>
      </c>
      <c r="DB895" t="str">
        <v/>
      </c>
    </row>
    <row r="896" spans="83:106" x14ac:dyDescent="0.2">
      <c r="CE896"/>
      <c r="CF896"/>
      <c r="CG896"/>
      <c r="CH896"/>
      <c r="CI896"/>
      <c r="CU896" s="21">
        <v>891</v>
      </c>
      <c r="CV896" s="41">
        <v>3</v>
      </c>
      <c r="CW896" s="41">
        <v>1.0626913437795575</v>
      </c>
      <c r="CX896" s="41" t="e">
        <v>#N/A</v>
      </c>
      <c r="CY896" s="41" t="e">
        <v>#N/A</v>
      </c>
      <c r="CZ896" s="47">
        <v>1.0626913437795575</v>
      </c>
      <c r="DA896" t="e">
        <v>#N/A</v>
      </c>
      <c r="DB896" t="str">
        <v/>
      </c>
    </row>
    <row r="897" spans="83:106" x14ac:dyDescent="0.2">
      <c r="CE897"/>
      <c r="CF897"/>
      <c r="CG897"/>
      <c r="CH897"/>
      <c r="CI897"/>
      <c r="CU897" s="21">
        <v>892</v>
      </c>
      <c r="CV897" s="41">
        <v>3</v>
      </c>
      <c r="CW897" s="41">
        <v>1.0626913437795575</v>
      </c>
      <c r="CX897" s="41" t="e">
        <v>#N/A</v>
      </c>
      <c r="CY897" s="41" t="e">
        <v>#N/A</v>
      </c>
      <c r="CZ897" s="47">
        <v>1.0626913437795575</v>
      </c>
      <c r="DA897" t="e">
        <v>#N/A</v>
      </c>
      <c r="DB897" t="str">
        <v/>
      </c>
    </row>
    <row r="898" spans="83:106" x14ac:dyDescent="0.2">
      <c r="CE898"/>
      <c r="CF898"/>
      <c r="CG898"/>
      <c r="CH898"/>
      <c r="CI898"/>
      <c r="CU898" s="21">
        <v>893</v>
      </c>
      <c r="CV898" s="41">
        <v>3</v>
      </c>
      <c r="CW898" s="41">
        <v>1.0626913437795575</v>
      </c>
      <c r="CX898" s="41" t="e">
        <v>#N/A</v>
      </c>
      <c r="CY898" s="41" t="e">
        <v>#N/A</v>
      </c>
      <c r="CZ898" s="47">
        <v>1.0626913437795575</v>
      </c>
      <c r="DA898" t="e">
        <v>#N/A</v>
      </c>
      <c r="DB898" t="str">
        <v/>
      </c>
    </row>
    <row r="899" spans="83:106" x14ac:dyDescent="0.2">
      <c r="CE899"/>
      <c r="CF899"/>
      <c r="CG899"/>
      <c r="CH899"/>
      <c r="CI899"/>
      <c r="CU899" s="21">
        <v>894</v>
      </c>
      <c r="CV899" s="41">
        <v>3</v>
      </c>
      <c r="CW899" s="41">
        <v>1.0626913437795575</v>
      </c>
      <c r="CX899" s="41" t="e">
        <v>#N/A</v>
      </c>
      <c r="CY899" s="41" t="e">
        <v>#N/A</v>
      </c>
      <c r="CZ899" s="47">
        <v>1.0626913437795575</v>
      </c>
      <c r="DA899" t="e">
        <v>#N/A</v>
      </c>
      <c r="DB899" t="str">
        <v/>
      </c>
    </row>
    <row r="900" spans="83:106" x14ac:dyDescent="0.2">
      <c r="CE900"/>
      <c r="CF900"/>
      <c r="CG900"/>
      <c r="CH900"/>
      <c r="CI900"/>
      <c r="CU900" s="21">
        <v>895</v>
      </c>
      <c r="CV900" s="41">
        <v>3</v>
      </c>
      <c r="CW900" s="41">
        <v>1.0626913437795575</v>
      </c>
      <c r="CX900" s="41" t="e">
        <v>#N/A</v>
      </c>
      <c r="CY900" s="41" t="e">
        <v>#N/A</v>
      </c>
      <c r="CZ900" s="47">
        <v>1.0626913437795575</v>
      </c>
      <c r="DA900" t="e">
        <v>#N/A</v>
      </c>
      <c r="DB900" t="str">
        <v/>
      </c>
    </row>
    <row r="901" spans="83:106" x14ac:dyDescent="0.2">
      <c r="CE901"/>
      <c r="CF901"/>
      <c r="CG901"/>
      <c r="CH901"/>
      <c r="CI901"/>
      <c r="CU901" s="21">
        <v>896</v>
      </c>
      <c r="CV901" s="41">
        <v>3</v>
      </c>
      <c r="CW901" s="41">
        <v>1.0626913437795575</v>
      </c>
      <c r="CX901" s="41" t="e">
        <v>#N/A</v>
      </c>
      <c r="CY901" s="41" t="e">
        <v>#N/A</v>
      </c>
      <c r="CZ901" s="47">
        <v>1.0626913437795575</v>
      </c>
      <c r="DA901" t="e">
        <v>#N/A</v>
      </c>
      <c r="DB901" t="str">
        <v/>
      </c>
    </row>
    <row r="902" spans="83:106" x14ac:dyDescent="0.2">
      <c r="CE902"/>
      <c r="CF902"/>
      <c r="CG902"/>
      <c r="CH902"/>
      <c r="CI902"/>
      <c r="CU902" s="21">
        <v>897</v>
      </c>
      <c r="CV902" s="41">
        <v>3</v>
      </c>
      <c r="CW902" s="41">
        <v>1.0626913437795575</v>
      </c>
      <c r="CX902" s="41" t="e">
        <v>#N/A</v>
      </c>
      <c r="CY902" s="41" t="e">
        <v>#N/A</v>
      </c>
      <c r="CZ902" s="47">
        <v>1.0626913437795575</v>
      </c>
      <c r="DA902" t="e">
        <v>#N/A</v>
      </c>
      <c r="DB902" t="str">
        <v/>
      </c>
    </row>
    <row r="903" spans="83:106" x14ac:dyDescent="0.2">
      <c r="CE903"/>
      <c r="CF903"/>
      <c r="CG903"/>
      <c r="CH903"/>
      <c r="CI903"/>
      <c r="CU903" s="21">
        <v>898</v>
      </c>
      <c r="CV903" s="41">
        <v>3</v>
      </c>
      <c r="CW903" s="41">
        <v>1.0626913437795575</v>
      </c>
      <c r="CX903" s="41" t="e">
        <v>#N/A</v>
      </c>
      <c r="CY903" s="41" t="e">
        <v>#N/A</v>
      </c>
      <c r="CZ903" s="47">
        <v>1.0626913437795575</v>
      </c>
      <c r="DA903" t="e">
        <v>#N/A</v>
      </c>
      <c r="DB903" t="str">
        <v/>
      </c>
    </row>
    <row r="904" spans="83:106" x14ac:dyDescent="0.2">
      <c r="CE904"/>
      <c r="CF904"/>
      <c r="CG904"/>
      <c r="CH904"/>
      <c r="CI904"/>
      <c r="CU904" s="21">
        <v>899</v>
      </c>
      <c r="CV904" s="41">
        <v>3</v>
      </c>
      <c r="CW904" s="41">
        <v>1.0626913437795575</v>
      </c>
      <c r="CX904" s="41" t="e">
        <v>#N/A</v>
      </c>
      <c r="CY904" s="41" t="e">
        <v>#N/A</v>
      </c>
      <c r="CZ904" s="47">
        <v>1.0626913437795575</v>
      </c>
      <c r="DA904" t="e">
        <v>#N/A</v>
      </c>
      <c r="DB904" t="str">
        <v/>
      </c>
    </row>
    <row r="905" spans="83:106" x14ac:dyDescent="0.2">
      <c r="CE905"/>
      <c r="CF905"/>
      <c r="CG905"/>
      <c r="CH905"/>
      <c r="CI905"/>
      <c r="CU905" s="21">
        <v>900</v>
      </c>
      <c r="CV905" s="41">
        <v>3</v>
      </c>
      <c r="CW905" s="41">
        <v>1.0626913437795575</v>
      </c>
      <c r="CX905" s="41" t="e">
        <v>#N/A</v>
      </c>
      <c r="CY905" s="41" t="e">
        <v>#N/A</v>
      </c>
      <c r="CZ905" s="47">
        <v>1.0626913437795575</v>
      </c>
      <c r="DA905" t="e">
        <v>#N/A</v>
      </c>
      <c r="DB905" t="str">
        <v/>
      </c>
    </row>
    <row r="906" spans="83:106" x14ac:dyDescent="0.2">
      <c r="CE906"/>
      <c r="CF906"/>
      <c r="CG906"/>
      <c r="CH906"/>
      <c r="CI906"/>
      <c r="CU906" s="21">
        <v>901</v>
      </c>
      <c r="CV906" s="41">
        <v>3</v>
      </c>
      <c r="CW906" s="41">
        <v>1.0626913437795575</v>
      </c>
      <c r="CX906" s="41" t="e">
        <v>#N/A</v>
      </c>
      <c r="CY906" s="41" t="e">
        <v>#N/A</v>
      </c>
      <c r="CZ906" s="47">
        <v>1.0626913437795575</v>
      </c>
      <c r="DA906" t="e">
        <v>#N/A</v>
      </c>
      <c r="DB906" t="str">
        <v/>
      </c>
    </row>
    <row r="907" spans="83:106" x14ac:dyDescent="0.2">
      <c r="CE907"/>
      <c r="CF907"/>
      <c r="CG907"/>
      <c r="CH907"/>
      <c r="CI907"/>
      <c r="CU907" s="21">
        <v>902</v>
      </c>
      <c r="CV907" s="41">
        <v>3</v>
      </c>
      <c r="CW907" s="41">
        <v>1.0626913437795575</v>
      </c>
      <c r="CX907" s="41" t="e">
        <v>#N/A</v>
      </c>
      <c r="CY907" s="41" t="e">
        <v>#N/A</v>
      </c>
      <c r="CZ907" s="47">
        <v>1.0626913437795575</v>
      </c>
      <c r="DA907" t="e">
        <v>#N/A</v>
      </c>
      <c r="DB907" t="str">
        <v/>
      </c>
    </row>
    <row r="908" spans="83:106" x14ac:dyDescent="0.2">
      <c r="CE908"/>
      <c r="CF908"/>
      <c r="CG908"/>
      <c r="CH908"/>
      <c r="CI908"/>
      <c r="CU908" s="21">
        <v>903</v>
      </c>
      <c r="CV908" s="41">
        <v>3</v>
      </c>
      <c r="CW908" s="41">
        <v>1.0626913437795575</v>
      </c>
      <c r="CX908" s="41" t="e">
        <v>#N/A</v>
      </c>
      <c r="CY908" s="41" t="e">
        <v>#N/A</v>
      </c>
      <c r="CZ908" s="47">
        <v>1.0626913437795575</v>
      </c>
      <c r="DA908" t="e">
        <v>#N/A</v>
      </c>
      <c r="DB908" t="str">
        <v/>
      </c>
    </row>
    <row r="909" spans="83:106" x14ac:dyDescent="0.2">
      <c r="CE909"/>
      <c r="CF909"/>
      <c r="CG909"/>
      <c r="CH909"/>
      <c r="CI909"/>
      <c r="CU909" s="21">
        <v>904</v>
      </c>
      <c r="CV909" s="41">
        <v>3</v>
      </c>
      <c r="CW909" s="41">
        <v>1.0626913437795575</v>
      </c>
      <c r="CX909" s="41" t="e">
        <v>#N/A</v>
      </c>
      <c r="CY909" s="41" t="e">
        <v>#N/A</v>
      </c>
      <c r="CZ909" s="47">
        <v>1.0626913437795575</v>
      </c>
      <c r="DA909" t="e">
        <v>#N/A</v>
      </c>
      <c r="DB909" t="str">
        <v/>
      </c>
    </row>
    <row r="910" spans="83:106" x14ac:dyDescent="0.2">
      <c r="CE910"/>
      <c r="CF910"/>
      <c r="CG910"/>
      <c r="CH910"/>
      <c r="CI910"/>
      <c r="CU910" s="21">
        <v>905</v>
      </c>
      <c r="CV910" s="41">
        <v>3</v>
      </c>
      <c r="CW910" s="41">
        <v>1.0626913437795575</v>
      </c>
      <c r="CX910" s="41" t="e">
        <v>#N/A</v>
      </c>
      <c r="CY910" s="41" t="e">
        <v>#N/A</v>
      </c>
      <c r="CZ910" s="47">
        <v>1.0626913437795575</v>
      </c>
      <c r="DA910" t="e">
        <v>#N/A</v>
      </c>
      <c r="DB910" t="str">
        <v/>
      </c>
    </row>
    <row r="911" spans="83:106" x14ac:dyDescent="0.2">
      <c r="CE911"/>
      <c r="CF911"/>
      <c r="CG911"/>
      <c r="CH911"/>
      <c r="CI911"/>
      <c r="CU911" s="21">
        <v>906</v>
      </c>
      <c r="CV911" s="41">
        <v>3</v>
      </c>
      <c r="CW911" s="41">
        <v>1.0626913437795575</v>
      </c>
      <c r="CX911" s="41" t="e">
        <v>#N/A</v>
      </c>
      <c r="CY911" s="41" t="e">
        <v>#N/A</v>
      </c>
      <c r="CZ911" s="47">
        <v>1.0626913437795575</v>
      </c>
      <c r="DA911" t="e">
        <v>#N/A</v>
      </c>
      <c r="DB911" t="str">
        <v/>
      </c>
    </row>
    <row r="912" spans="83:106" x14ac:dyDescent="0.2">
      <c r="CE912"/>
      <c r="CF912"/>
      <c r="CG912"/>
      <c r="CH912"/>
      <c r="CI912"/>
      <c r="CU912" s="21">
        <v>907</v>
      </c>
      <c r="CV912" s="41">
        <v>3</v>
      </c>
      <c r="CW912" s="41">
        <v>1.0626913437795575</v>
      </c>
      <c r="CX912" s="41" t="e">
        <v>#N/A</v>
      </c>
      <c r="CY912" s="41" t="e">
        <v>#N/A</v>
      </c>
      <c r="CZ912" s="47">
        <v>1.0626913437795575</v>
      </c>
      <c r="DA912" t="e">
        <v>#N/A</v>
      </c>
      <c r="DB912" t="str">
        <v/>
      </c>
    </row>
    <row r="913" spans="83:106" x14ac:dyDescent="0.2">
      <c r="CE913"/>
      <c r="CF913"/>
      <c r="CG913"/>
      <c r="CH913"/>
      <c r="CI913"/>
      <c r="CU913" s="21">
        <v>908</v>
      </c>
      <c r="CV913" s="41">
        <v>3</v>
      </c>
      <c r="CW913" s="41">
        <v>1.0626913437795575</v>
      </c>
      <c r="CX913" s="41" t="e">
        <v>#N/A</v>
      </c>
      <c r="CY913" s="41" t="e">
        <v>#N/A</v>
      </c>
      <c r="CZ913" s="47">
        <v>1.0626913437795575</v>
      </c>
      <c r="DA913" t="e">
        <v>#N/A</v>
      </c>
      <c r="DB913" t="str">
        <v/>
      </c>
    </row>
    <row r="914" spans="83:106" x14ac:dyDescent="0.2">
      <c r="CE914"/>
      <c r="CF914"/>
      <c r="CG914"/>
      <c r="CH914"/>
      <c r="CI914"/>
      <c r="CU914" s="21">
        <v>909</v>
      </c>
      <c r="CV914" s="41">
        <v>3</v>
      </c>
      <c r="CW914" s="41">
        <v>1.0626913437795575</v>
      </c>
      <c r="CX914" s="41" t="e">
        <v>#N/A</v>
      </c>
      <c r="CY914" s="41" t="e">
        <v>#N/A</v>
      </c>
      <c r="CZ914" s="47">
        <v>1.0626913437795575</v>
      </c>
      <c r="DA914" t="e">
        <v>#N/A</v>
      </c>
      <c r="DB914" t="str">
        <v/>
      </c>
    </row>
    <row r="915" spans="83:106" x14ac:dyDescent="0.2">
      <c r="CE915"/>
      <c r="CF915"/>
      <c r="CG915"/>
      <c r="CH915"/>
      <c r="CI915"/>
      <c r="CU915" s="21">
        <v>910</v>
      </c>
      <c r="CV915" s="41">
        <v>3</v>
      </c>
      <c r="CW915" s="41">
        <v>1.0626913437795575</v>
      </c>
      <c r="CX915" s="41" t="e">
        <v>#N/A</v>
      </c>
      <c r="CY915" s="41" t="e">
        <v>#N/A</v>
      </c>
      <c r="CZ915" s="47">
        <v>1.0626913437795575</v>
      </c>
      <c r="DA915" t="e">
        <v>#N/A</v>
      </c>
      <c r="DB915" t="str">
        <v/>
      </c>
    </row>
    <row r="916" spans="83:106" x14ac:dyDescent="0.2">
      <c r="CE916"/>
      <c r="CF916"/>
      <c r="CG916"/>
      <c r="CH916"/>
      <c r="CI916"/>
      <c r="CU916" s="21">
        <v>911</v>
      </c>
      <c r="CV916" s="41">
        <v>3</v>
      </c>
      <c r="CW916" s="41">
        <v>1.0626913437795575</v>
      </c>
      <c r="CX916" s="41" t="e">
        <v>#N/A</v>
      </c>
      <c r="CY916" s="41" t="e">
        <v>#N/A</v>
      </c>
      <c r="CZ916" s="47">
        <v>1.0626913437795575</v>
      </c>
      <c r="DA916" t="e">
        <v>#N/A</v>
      </c>
      <c r="DB916" t="str">
        <v/>
      </c>
    </row>
    <row r="917" spans="83:106" x14ac:dyDescent="0.2">
      <c r="CE917"/>
      <c r="CF917"/>
      <c r="CG917"/>
      <c r="CH917"/>
      <c r="CI917"/>
      <c r="CU917" s="21">
        <v>912</v>
      </c>
      <c r="CV917" s="41">
        <v>3</v>
      </c>
      <c r="CW917" s="41">
        <v>1.0626913437795575</v>
      </c>
      <c r="CX917" s="41" t="e">
        <v>#N/A</v>
      </c>
      <c r="CY917" s="41" t="e">
        <v>#N/A</v>
      </c>
      <c r="CZ917" s="47">
        <v>1.0626913437795575</v>
      </c>
      <c r="DA917" t="e">
        <v>#N/A</v>
      </c>
      <c r="DB917" t="str">
        <v/>
      </c>
    </row>
    <row r="918" spans="83:106" x14ac:dyDescent="0.2">
      <c r="CE918"/>
      <c r="CF918"/>
      <c r="CG918"/>
      <c r="CH918"/>
      <c r="CI918"/>
      <c r="CU918" s="21">
        <v>913</v>
      </c>
      <c r="CV918" s="41">
        <v>3</v>
      </c>
      <c r="CW918" s="41">
        <v>1.0626913437795575</v>
      </c>
      <c r="CX918" s="41" t="e">
        <v>#N/A</v>
      </c>
      <c r="CY918" s="41" t="e">
        <v>#N/A</v>
      </c>
      <c r="CZ918" s="47">
        <v>1.0626913437795575</v>
      </c>
      <c r="DA918" t="e">
        <v>#N/A</v>
      </c>
      <c r="DB918" t="str">
        <v/>
      </c>
    </row>
    <row r="919" spans="83:106" x14ac:dyDescent="0.2">
      <c r="CE919"/>
      <c r="CF919"/>
      <c r="CG919"/>
      <c r="CH919"/>
      <c r="CI919"/>
      <c r="CU919" s="21">
        <v>914</v>
      </c>
      <c r="CV919" s="41">
        <v>3</v>
      </c>
      <c r="CW919" s="41">
        <v>1.0626913437795575</v>
      </c>
      <c r="CX919" s="41" t="e">
        <v>#N/A</v>
      </c>
      <c r="CY919" s="41" t="e">
        <v>#N/A</v>
      </c>
      <c r="CZ919" s="47">
        <v>1.0626913437795575</v>
      </c>
      <c r="DA919" t="e">
        <v>#N/A</v>
      </c>
      <c r="DB919" t="str">
        <v/>
      </c>
    </row>
    <row r="920" spans="83:106" x14ac:dyDescent="0.2">
      <c r="CE920"/>
      <c r="CF920"/>
      <c r="CG920"/>
      <c r="CH920"/>
      <c r="CI920"/>
      <c r="CU920" s="21">
        <v>915</v>
      </c>
      <c r="CV920" s="41">
        <v>3</v>
      </c>
      <c r="CW920" s="41">
        <v>1.0626913437795575</v>
      </c>
      <c r="CX920" s="41" t="e">
        <v>#N/A</v>
      </c>
      <c r="CY920" s="41" t="e">
        <v>#N/A</v>
      </c>
      <c r="CZ920" s="47">
        <v>1.0626913437795575</v>
      </c>
      <c r="DA920" t="e">
        <v>#N/A</v>
      </c>
      <c r="DB920" t="str">
        <v/>
      </c>
    </row>
    <row r="921" spans="83:106" x14ac:dyDescent="0.2">
      <c r="CE921"/>
      <c r="CF921"/>
      <c r="CG921"/>
      <c r="CH921"/>
      <c r="CI921"/>
      <c r="CU921" s="21">
        <v>916</v>
      </c>
      <c r="CV921" s="41">
        <v>3</v>
      </c>
      <c r="CW921" s="41">
        <v>1.0626913437795575</v>
      </c>
      <c r="CX921" s="41" t="e">
        <v>#N/A</v>
      </c>
      <c r="CY921" s="41" t="e">
        <v>#N/A</v>
      </c>
      <c r="CZ921" s="47">
        <v>1.0626913437795575</v>
      </c>
      <c r="DA921" t="e">
        <v>#N/A</v>
      </c>
      <c r="DB921" t="str">
        <v/>
      </c>
    </row>
    <row r="922" spans="83:106" x14ac:dyDescent="0.2">
      <c r="CE922"/>
      <c r="CF922"/>
      <c r="CG922"/>
      <c r="CH922"/>
      <c r="CI922"/>
      <c r="CU922" s="21">
        <v>917</v>
      </c>
      <c r="CV922" s="41">
        <v>3</v>
      </c>
      <c r="CW922" s="41">
        <v>1.0626913437795575</v>
      </c>
      <c r="CX922" s="41" t="e">
        <v>#N/A</v>
      </c>
      <c r="CY922" s="41" t="e">
        <v>#N/A</v>
      </c>
      <c r="CZ922" s="47">
        <v>1.0626913437795575</v>
      </c>
      <c r="DA922" t="e">
        <v>#N/A</v>
      </c>
      <c r="DB922" t="str">
        <v/>
      </c>
    </row>
    <row r="923" spans="83:106" x14ac:dyDescent="0.2">
      <c r="CE923"/>
      <c r="CF923"/>
      <c r="CG923"/>
      <c r="CH923"/>
      <c r="CI923"/>
      <c r="CU923" s="21">
        <v>918</v>
      </c>
      <c r="CV923" s="41">
        <v>3</v>
      </c>
      <c r="CW923" s="41">
        <v>1.0626913437795575</v>
      </c>
      <c r="CX923" s="41" t="e">
        <v>#N/A</v>
      </c>
      <c r="CY923" s="41" t="e">
        <v>#N/A</v>
      </c>
      <c r="CZ923" s="47">
        <v>1.0626913437795575</v>
      </c>
      <c r="DA923" t="e">
        <v>#N/A</v>
      </c>
      <c r="DB923" t="str">
        <v/>
      </c>
    </row>
    <row r="924" spans="83:106" x14ac:dyDescent="0.2">
      <c r="CE924"/>
      <c r="CF924"/>
      <c r="CG924"/>
      <c r="CH924"/>
      <c r="CI924"/>
      <c r="CU924" s="21">
        <v>919</v>
      </c>
      <c r="CV924" s="41">
        <v>3</v>
      </c>
      <c r="CW924" s="41">
        <v>1.0626913437795575</v>
      </c>
      <c r="CX924" s="41" t="e">
        <v>#N/A</v>
      </c>
      <c r="CY924" s="41" t="e">
        <v>#N/A</v>
      </c>
      <c r="CZ924" s="47">
        <v>1.0626913437795575</v>
      </c>
      <c r="DA924" t="e">
        <v>#N/A</v>
      </c>
      <c r="DB924" t="str">
        <v/>
      </c>
    </row>
    <row r="925" spans="83:106" x14ac:dyDescent="0.2">
      <c r="CE925"/>
      <c r="CF925"/>
      <c r="CG925"/>
      <c r="CH925"/>
      <c r="CI925"/>
      <c r="CU925" s="21">
        <v>920</v>
      </c>
      <c r="CV925" s="41">
        <v>3</v>
      </c>
      <c r="CW925" s="41">
        <v>1.0626913437795575</v>
      </c>
      <c r="CX925" s="41" t="e">
        <v>#N/A</v>
      </c>
      <c r="CY925" s="41" t="e">
        <v>#N/A</v>
      </c>
      <c r="CZ925" s="47">
        <v>1.0626913437795575</v>
      </c>
      <c r="DA925" t="e">
        <v>#N/A</v>
      </c>
      <c r="DB925" t="str">
        <v/>
      </c>
    </row>
    <row r="926" spans="83:106" x14ac:dyDescent="0.2">
      <c r="CE926"/>
      <c r="CF926"/>
      <c r="CG926"/>
      <c r="CH926"/>
      <c r="CI926"/>
      <c r="CU926" s="21">
        <v>921</v>
      </c>
      <c r="CV926" s="41">
        <v>3</v>
      </c>
      <c r="CW926" s="41">
        <v>1.0626913437795575</v>
      </c>
      <c r="CX926" s="41" t="e">
        <v>#N/A</v>
      </c>
      <c r="CY926" s="41" t="e">
        <v>#N/A</v>
      </c>
      <c r="CZ926" s="47">
        <v>1.0626913437795575</v>
      </c>
      <c r="DA926" t="e">
        <v>#N/A</v>
      </c>
      <c r="DB926" t="str">
        <v/>
      </c>
    </row>
    <row r="927" spans="83:106" x14ac:dyDescent="0.2">
      <c r="CE927"/>
      <c r="CF927"/>
      <c r="CG927"/>
      <c r="CH927"/>
      <c r="CI927"/>
      <c r="CU927" s="21">
        <v>922</v>
      </c>
      <c r="CV927" s="41">
        <v>3</v>
      </c>
      <c r="CW927" s="41">
        <v>1.0626913437795575</v>
      </c>
      <c r="CX927" s="41" t="e">
        <v>#N/A</v>
      </c>
      <c r="CY927" s="41" t="e">
        <v>#N/A</v>
      </c>
      <c r="CZ927" s="47">
        <v>1.0626913437795575</v>
      </c>
      <c r="DA927" t="e">
        <v>#N/A</v>
      </c>
      <c r="DB927" t="str">
        <v/>
      </c>
    </row>
    <row r="928" spans="83:106" x14ac:dyDescent="0.2">
      <c r="CE928"/>
      <c r="CF928"/>
      <c r="CG928"/>
      <c r="CH928"/>
      <c r="CI928"/>
      <c r="CU928" s="21">
        <v>923</v>
      </c>
      <c r="CV928" s="41">
        <v>3</v>
      </c>
      <c r="CW928" s="41">
        <v>1.0626913437795575</v>
      </c>
      <c r="CX928" s="41" t="e">
        <v>#N/A</v>
      </c>
      <c r="CY928" s="41" t="e">
        <v>#N/A</v>
      </c>
      <c r="CZ928" s="47">
        <v>1.0626913437795575</v>
      </c>
      <c r="DA928" t="e">
        <v>#N/A</v>
      </c>
      <c r="DB928" t="str">
        <v/>
      </c>
    </row>
    <row r="929" spans="83:106" x14ac:dyDescent="0.2">
      <c r="CE929"/>
      <c r="CF929"/>
      <c r="CG929"/>
      <c r="CH929"/>
      <c r="CI929"/>
      <c r="CU929" s="21">
        <v>924</v>
      </c>
      <c r="CV929" s="41">
        <v>3</v>
      </c>
      <c r="CW929" s="41">
        <v>1.0626913437795575</v>
      </c>
      <c r="CX929" s="41" t="e">
        <v>#N/A</v>
      </c>
      <c r="CY929" s="41" t="e">
        <v>#N/A</v>
      </c>
      <c r="CZ929" s="47">
        <v>1.0626913437795575</v>
      </c>
      <c r="DA929" t="e">
        <v>#N/A</v>
      </c>
      <c r="DB929" t="str">
        <v/>
      </c>
    </row>
    <row r="930" spans="83:106" x14ac:dyDescent="0.2">
      <c r="CE930"/>
      <c r="CF930"/>
      <c r="CG930"/>
      <c r="CH930"/>
      <c r="CI930"/>
      <c r="CU930" s="21">
        <v>925</v>
      </c>
      <c r="CV930" s="41">
        <v>3</v>
      </c>
      <c r="CW930" s="41">
        <v>1.0626913437795575</v>
      </c>
      <c r="CX930" s="41" t="e">
        <v>#N/A</v>
      </c>
      <c r="CY930" s="41" t="e">
        <v>#N/A</v>
      </c>
      <c r="CZ930" s="47">
        <v>1.0626913437795575</v>
      </c>
      <c r="DA930" t="e">
        <v>#N/A</v>
      </c>
      <c r="DB930" t="str">
        <v/>
      </c>
    </row>
    <row r="931" spans="83:106" x14ac:dyDescent="0.2">
      <c r="CE931"/>
      <c r="CF931"/>
      <c r="CG931"/>
      <c r="CH931"/>
      <c r="CI931"/>
      <c r="CU931" s="21">
        <v>926</v>
      </c>
      <c r="CV931" s="41">
        <v>3</v>
      </c>
      <c r="CW931" s="41">
        <v>1.0626913437795575</v>
      </c>
      <c r="CX931" s="41" t="e">
        <v>#N/A</v>
      </c>
      <c r="CY931" s="41" t="e">
        <v>#N/A</v>
      </c>
      <c r="CZ931" s="47">
        <v>1.0626913437795575</v>
      </c>
      <c r="DA931" t="e">
        <v>#N/A</v>
      </c>
      <c r="DB931" t="str">
        <v/>
      </c>
    </row>
    <row r="932" spans="83:106" x14ac:dyDescent="0.2">
      <c r="CE932"/>
      <c r="CF932"/>
      <c r="CG932"/>
      <c r="CH932"/>
      <c r="CI932"/>
      <c r="CU932" s="21">
        <v>927</v>
      </c>
      <c r="CV932" s="41">
        <v>3</v>
      </c>
      <c r="CW932" s="41">
        <v>1.0626913437795575</v>
      </c>
      <c r="CX932" s="41" t="e">
        <v>#N/A</v>
      </c>
      <c r="CY932" s="41" t="e">
        <v>#N/A</v>
      </c>
      <c r="CZ932" s="47">
        <v>1.0626913437795575</v>
      </c>
      <c r="DA932" t="e">
        <v>#N/A</v>
      </c>
      <c r="DB932" t="str">
        <v/>
      </c>
    </row>
    <row r="933" spans="83:106" x14ac:dyDescent="0.2">
      <c r="CE933"/>
      <c r="CF933"/>
      <c r="CG933"/>
      <c r="CH933"/>
      <c r="CI933"/>
      <c r="CU933" s="21">
        <v>928</v>
      </c>
      <c r="CV933" s="41">
        <v>3</v>
      </c>
      <c r="CW933" s="41">
        <v>1.0626913437795575</v>
      </c>
      <c r="CX933" s="41" t="e">
        <v>#N/A</v>
      </c>
      <c r="CY933" s="41" t="e">
        <v>#N/A</v>
      </c>
      <c r="CZ933" s="47">
        <v>1.0626913437795575</v>
      </c>
      <c r="DA933" t="e">
        <v>#N/A</v>
      </c>
      <c r="DB933" t="str">
        <v/>
      </c>
    </row>
    <row r="934" spans="83:106" x14ac:dyDescent="0.2">
      <c r="CE934"/>
      <c r="CF934"/>
      <c r="CG934"/>
      <c r="CH934"/>
      <c r="CI934"/>
      <c r="CU934" s="21">
        <v>929</v>
      </c>
      <c r="CV934" s="41">
        <v>3</v>
      </c>
      <c r="CW934" s="41">
        <v>1.0626913437795575</v>
      </c>
      <c r="CX934" s="41" t="e">
        <v>#N/A</v>
      </c>
      <c r="CY934" s="41" t="e">
        <v>#N/A</v>
      </c>
      <c r="CZ934" s="47">
        <v>1.0626913437795575</v>
      </c>
      <c r="DA934" t="e">
        <v>#N/A</v>
      </c>
      <c r="DB934" t="str">
        <v/>
      </c>
    </row>
    <row r="935" spans="83:106" x14ac:dyDescent="0.2">
      <c r="CE935"/>
      <c r="CF935"/>
      <c r="CG935"/>
      <c r="CH935"/>
      <c r="CI935"/>
      <c r="CU935" s="21">
        <v>930</v>
      </c>
      <c r="CV935" s="41">
        <v>3</v>
      </c>
      <c r="CW935" s="41">
        <v>1.0626913437795575</v>
      </c>
      <c r="CX935" s="41" t="e">
        <v>#N/A</v>
      </c>
      <c r="CY935" s="41" t="e">
        <v>#N/A</v>
      </c>
      <c r="CZ935" s="47">
        <v>1.0626913437795575</v>
      </c>
      <c r="DA935" t="e">
        <v>#N/A</v>
      </c>
      <c r="DB935" t="str">
        <v/>
      </c>
    </row>
    <row r="936" spans="83:106" x14ac:dyDescent="0.2">
      <c r="CE936"/>
      <c r="CF936"/>
      <c r="CG936"/>
      <c r="CH936"/>
      <c r="CI936"/>
      <c r="CU936" s="21">
        <v>931</v>
      </c>
      <c r="CV936" s="41">
        <v>3</v>
      </c>
      <c r="CW936" s="41">
        <v>1.0626913437795575</v>
      </c>
      <c r="CX936" s="41" t="e">
        <v>#N/A</v>
      </c>
      <c r="CY936" s="41" t="e">
        <v>#N/A</v>
      </c>
      <c r="CZ936" s="47">
        <v>1.0626913437795575</v>
      </c>
      <c r="DA936" t="e">
        <v>#N/A</v>
      </c>
      <c r="DB936" t="str">
        <v/>
      </c>
    </row>
    <row r="937" spans="83:106" x14ac:dyDescent="0.2">
      <c r="CE937"/>
      <c r="CF937"/>
      <c r="CG937"/>
      <c r="CH937"/>
      <c r="CI937"/>
      <c r="CU937" s="21">
        <v>932</v>
      </c>
      <c r="CV937" s="41">
        <v>3</v>
      </c>
      <c r="CW937" s="41">
        <v>1.0626913437795575</v>
      </c>
      <c r="CX937" s="41" t="e">
        <v>#N/A</v>
      </c>
      <c r="CY937" s="41" t="e">
        <v>#N/A</v>
      </c>
      <c r="CZ937" s="47">
        <v>1.0626913437795575</v>
      </c>
      <c r="DA937" t="e">
        <v>#N/A</v>
      </c>
      <c r="DB937" t="str">
        <v/>
      </c>
    </row>
    <row r="938" spans="83:106" x14ac:dyDescent="0.2">
      <c r="CE938"/>
      <c r="CF938"/>
      <c r="CG938"/>
      <c r="CH938"/>
      <c r="CI938"/>
      <c r="CU938" s="21">
        <v>933</v>
      </c>
      <c r="CV938" s="41">
        <v>3</v>
      </c>
      <c r="CW938" s="41">
        <v>1.0626913437795575</v>
      </c>
      <c r="CX938" s="41" t="e">
        <v>#N/A</v>
      </c>
      <c r="CY938" s="41" t="e">
        <v>#N/A</v>
      </c>
      <c r="CZ938" s="47">
        <v>1.0626913437795575</v>
      </c>
      <c r="DA938" t="e">
        <v>#N/A</v>
      </c>
      <c r="DB938" t="str">
        <v/>
      </c>
    </row>
    <row r="939" spans="83:106" x14ac:dyDescent="0.2">
      <c r="CE939"/>
      <c r="CF939"/>
      <c r="CG939"/>
      <c r="CH939"/>
      <c r="CI939"/>
      <c r="CU939" s="21">
        <v>934</v>
      </c>
      <c r="CV939" s="41">
        <v>3</v>
      </c>
      <c r="CW939" s="41">
        <v>1.0626913437795575</v>
      </c>
      <c r="CX939" s="41" t="e">
        <v>#N/A</v>
      </c>
      <c r="CY939" s="41" t="e">
        <v>#N/A</v>
      </c>
      <c r="CZ939" s="47">
        <v>1.0626913437795575</v>
      </c>
      <c r="DA939" t="e">
        <v>#N/A</v>
      </c>
      <c r="DB939" t="str">
        <v/>
      </c>
    </row>
    <row r="940" spans="83:106" x14ac:dyDescent="0.2">
      <c r="CE940"/>
      <c r="CF940"/>
      <c r="CG940"/>
      <c r="CH940"/>
      <c r="CI940"/>
      <c r="CU940" s="21">
        <v>935</v>
      </c>
      <c r="CV940" s="41">
        <v>3</v>
      </c>
      <c r="CW940" s="41">
        <v>1.0626913437795575</v>
      </c>
      <c r="CX940" s="41" t="e">
        <v>#N/A</v>
      </c>
      <c r="CY940" s="41" t="e">
        <v>#N/A</v>
      </c>
      <c r="CZ940" s="47">
        <v>1.0626913437795575</v>
      </c>
      <c r="DA940" t="e">
        <v>#N/A</v>
      </c>
      <c r="DB940" t="str">
        <v/>
      </c>
    </row>
    <row r="941" spans="83:106" x14ac:dyDescent="0.2">
      <c r="CE941"/>
      <c r="CF941"/>
      <c r="CG941"/>
      <c r="CH941"/>
      <c r="CI941"/>
      <c r="CU941" s="21">
        <v>936</v>
      </c>
      <c r="CV941" s="41">
        <v>3</v>
      </c>
      <c r="CW941" s="41">
        <v>1.0626913437795575</v>
      </c>
      <c r="CX941" s="41" t="e">
        <v>#N/A</v>
      </c>
      <c r="CY941" s="41" t="e">
        <v>#N/A</v>
      </c>
      <c r="CZ941" s="47">
        <v>1.0626913437795575</v>
      </c>
      <c r="DA941" t="e">
        <v>#N/A</v>
      </c>
      <c r="DB941" t="str">
        <v/>
      </c>
    </row>
    <row r="942" spans="83:106" x14ac:dyDescent="0.2">
      <c r="CE942"/>
      <c r="CF942"/>
      <c r="CG942"/>
      <c r="CH942"/>
      <c r="CI942"/>
      <c r="CU942" s="21">
        <v>937</v>
      </c>
      <c r="CV942" s="41">
        <v>3</v>
      </c>
      <c r="CW942" s="41">
        <v>1.0626913437795575</v>
      </c>
      <c r="CX942" s="41" t="e">
        <v>#N/A</v>
      </c>
      <c r="CY942" s="41" t="e">
        <v>#N/A</v>
      </c>
      <c r="CZ942" s="47">
        <v>1.0626913437795575</v>
      </c>
      <c r="DA942" t="e">
        <v>#N/A</v>
      </c>
      <c r="DB942" t="str">
        <v/>
      </c>
    </row>
    <row r="943" spans="83:106" x14ac:dyDescent="0.2">
      <c r="CE943"/>
      <c r="CF943"/>
      <c r="CG943"/>
      <c r="CH943"/>
      <c r="CI943"/>
      <c r="CU943" s="21">
        <v>938</v>
      </c>
      <c r="CV943" s="41">
        <v>3</v>
      </c>
      <c r="CW943" s="41">
        <v>1.0626913437795575</v>
      </c>
      <c r="CX943" s="41" t="e">
        <v>#N/A</v>
      </c>
      <c r="CY943" s="41" t="e">
        <v>#N/A</v>
      </c>
      <c r="CZ943" s="47">
        <v>1.0626913437795575</v>
      </c>
      <c r="DA943" t="e">
        <v>#N/A</v>
      </c>
      <c r="DB943" t="str">
        <v/>
      </c>
    </row>
    <row r="944" spans="83:106" x14ac:dyDescent="0.2">
      <c r="CE944"/>
      <c r="CF944"/>
      <c r="CG944"/>
      <c r="CH944"/>
      <c r="CI944"/>
      <c r="CU944" s="21">
        <v>939</v>
      </c>
      <c r="CV944" s="41">
        <v>3</v>
      </c>
      <c r="CW944" s="41">
        <v>1.0626913437795575</v>
      </c>
      <c r="CX944" s="41" t="e">
        <v>#N/A</v>
      </c>
      <c r="CY944" s="41" t="e">
        <v>#N/A</v>
      </c>
      <c r="CZ944" s="47">
        <v>1.0626913437795575</v>
      </c>
      <c r="DA944" t="e">
        <v>#N/A</v>
      </c>
      <c r="DB944" t="str">
        <v/>
      </c>
    </row>
    <row r="945" spans="83:106" x14ac:dyDescent="0.2">
      <c r="CE945"/>
      <c r="CF945"/>
      <c r="CG945"/>
      <c r="CH945"/>
      <c r="CI945"/>
      <c r="CU945" s="21">
        <v>940</v>
      </c>
      <c r="CV945" s="41">
        <v>3</v>
      </c>
      <c r="CW945" s="41">
        <v>1.0626913437795575</v>
      </c>
      <c r="CX945" s="41" t="e">
        <v>#N/A</v>
      </c>
      <c r="CY945" s="41" t="e">
        <v>#N/A</v>
      </c>
      <c r="CZ945" s="47">
        <v>1.0626913437795575</v>
      </c>
      <c r="DA945" t="e">
        <v>#N/A</v>
      </c>
      <c r="DB945" t="str">
        <v/>
      </c>
    </row>
    <row r="946" spans="83:106" x14ac:dyDescent="0.2">
      <c r="CE946"/>
      <c r="CF946"/>
      <c r="CG946"/>
      <c r="CH946"/>
      <c r="CI946"/>
      <c r="CU946" s="21">
        <v>941</v>
      </c>
      <c r="CV946" s="41">
        <v>3</v>
      </c>
      <c r="CW946" s="41">
        <v>1.0626913437795575</v>
      </c>
      <c r="CX946" s="41" t="e">
        <v>#N/A</v>
      </c>
      <c r="CY946" s="41" t="e">
        <v>#N/A</v>
      </c>
      <c r="CZ946" s="47">
        <v>1.0626913437795575</v>
      </c>
      <c r="DA946" t="e">
        <v>#N/A</v>
      </c>
      <c r="DB946" t="str">
        <v/>
      </c>
    </row>
    <row r="947" spans="83:106" x14ac:dyDescent="0.2">
      <c r="CE947"/>
      <c r="CF947"/>
      <c r="CG947"/>
      <c r="CH947"/>
      <c r="CI947"/>
      <c r="CU947" s="21">
        <v>942</v>
      </c>
      <c r="CV947" s="41">
        <v>3</v>
      </c>
      <c r="CW947" s="41">
        <v>1.0626913437795575</v>
      </c>
      <c r="CX947" s="41" t="e">
        <v>#N/A</v>
      </c>
      <c r="CY947" s="41" t="e">
        <v>#N/A</v>
      </c>
      <c r="CZ947" s="47">
        <v>1.0626913437795575</v>
      </c>
      <c r="DA947" t="e">
        <v>#N/A</v>
      </c>
      <c r="DB947" t="str">
        <v/>
      </c>
    </row>
    <row r="948" spans="83:106" x14ac:dyDescent="0.2">
      <c r="CE948"/>
      <c r="CF948"/>
      <c r="CG948"/>
      <c r="CH948"/>
      <c r="CI948"/>
      <c r="CU948" s="21">
        <v>943</v>
      </c>
      <c r="CV948" s="41">
        <v>3</v>
      </c>
      <c r="CW948" s="41">
        <v>1.0626913437795575</v>
      </c>
      <c r="CX948" s="41" t="e">
        <v>#N/A</v>
      </c>
      <c r="CY948" s="41" t="e">
        <v>#N/A</v>
      </c>
      <c r="CZ948" s="47">
        <v>1.0626913437795575</v>
      </c>
      <c r="DA948" t="e">
        <v>#N/A</v>
      </c>
      <c r="DB948" t="str">
        <v/>
      </c>
    </row>
    <row r="949" spans="83:106" x14ac:dyDescent="0.2">
      <c r="CE949"/>
      <c r="CF949"/>
      <c r="CG949"/>
      <c r="CH949"/>
      <c r="CI949"/>
      <c r="CU949" s="21">
        <v>944</v>
      </c>
      <c r="CV949" s="41">
        <v>3</v>
      </c>
      <c r="CW949" s="41">
        <v>1.0626913437795575</v>
      </c>
      <c r="CX949" s="41" t="e">
        <v>#N/A</v>
      </c>
      <c r="CY949" s="41" t="e">
        <v>#N/A</v>
      </c>
      <c r="CZ949" s="47">
        <v>1.0626913437795575</v>
      </c>
      <c r="DA949" t="e">
        <v>#N/A</v>
      </c>
      <c r="DB949" t="str">
        <v/>
      </c>
    </row>
    <row r="950" spans="83:106" x14ac:dyDescent="0.2">
      <c r="CE950"/>
      <c r="CF950"/>
      <c r="CG950"/>
      <c r="CH950"/>
      <c r="CI950"/>
      <c r="CU950" s="21">
        <v>945</v>
      </c>
      <c r="CV950" s="41">
        <v>3</v>
      </c>
      <c r="CW950" s="41">
        <v>1.0626913437795575</v>
      </c>
      <c r="CX950" s="41" t="e">
        <v>#N/A</v>
      </c>
      <c r="CY950" s="41" t="e">
        <v>#N/A</v>
      </c>
      <c r="CZ950" s="47">
        <v>1.0626913437795575</v>
      </c>
      <c r="DA950" t="e">
        <v>#N/A</v>
      </c>
      <c r="DB950" t="str">
        <v/>
      </c>
    </row>
    <row r="951" spans="83:106" x14ac:dyDescent="0.2">
      <c r="CE951"/>
      <c r="CF951"/>
      <c r="CG951"/>
      <c r="CH951"/>
      <c r="CI951"/>
      <c r="CU951" s="21">
        <v>946</v>
      </c>
      <c r="CV951" s="41">
        <v>3</v>
      </c>
      <c r="CW951" s="41">
        <v>1.0626913437795575</v>
      </c>
      <c r="CX951" s="41" t="e">
        <v>#N/A</v>
      </c>
      <c r="CY951" s="41" t="e">
        <v>#N/A</v>
      </c>
      <c r="CZ951" s="47">
        <v>1.0626913437795575</v>
      </c>
      <c r="DA951" t="e">
        <v>#N/A</v>
      </c>
      <c r="DB951" t="str">
        <v/>
      </c>
    </row>
    <row r="952" spans="83:106" x14ac:dyDescent="0.2">
      <c r="CE952"/>
      <c r="CF952"/>
      <c r="CG952"/>
      <c r="CH952"/>
      <c r="CI952"/>
      <c r="CU952" s="21">
        <v>947</v>
      </c>
      <c r="CV952" s="41">
        <v>3</v>
      </c>
      <c r="CW952" s="41">
        <v>1.0626913437795575</v>
      </c>
      <c r="CX952" s="41" t="e">
        <v>#N/A</v>
      </c>
      <c r="CY952" s="41" t="e">
        <v>#N/A</v>
      </c>
      <c r="CZ952" s="47">
        <v>1.0626913437795575</v>
      </c>
      <c r="DA952" t="e">
        <v>#N/A</v>
      </c>
      <c r="DB952" t="str">
        <v/>
      </c>
    </row>
    <row r="953" spans="83:106" x14ac:dyDescent="0.2">
      <c r="CE953"/>
      <c r="CF953"/>
      <c r="CG953"/>
      <c r="CH953"/>
      <c r="CI953"/>
      <c r="CU953" s="21">
        <v>948</v>
      </c>
      <c r="CV953" s="41">
        <v>3</v>
      </c>
      <c r="CW953" s="41">
        <v>1.0626913437795575</v>
      </c>
      <c r="CX953" s="41" t="e">
        <v>#N/A</v>
      </c>
      <c r="CY953" s="41" t="e">
        <v>#N/A</v>
      </c>
      <c r="CZ953" s="47">
        <v>1.0626913437795575</v>
      </c>
      <c r="DA953" t="e">
        <v>#N/A</v>
      </c>
      <c r="DB953" t="str">
        <v/>
      </c>
    </row>
    <row r="954" spans="83:106" x14ac:dyDescent="0.2">
      <c r="CE954"/>
      <c r="CF954"/>
      <c r="CG954"/>
      <c r="CH954"/>
      <c r="CI954"/>
      <c r="CU954" s="21">
        <v>949</v>
      </c>
      <c r="CV954" s="41">
        <v>3</v>
      </c>
      <c r="CW954" s="41">
        <v>1.0626913437795575</v>
      </c>
      <c r="CX954" s="41" t="e">
        <v>#N/A</v>
      </c>
      <c r="CY954" s="41" t="e">
        <v>#N/A</v>
      </c>
      <c r="CZ954" s="47">
        <v>1.0626913437795575</v>
      </c>
      <c r="DA954" t="e">
        <v>#N/A</v>
      </c>
      <c r="DB954" t="str">
        <v/>
      </c>
    </row>
    <row r="955" spans="83:106" x14ac:dyDescent="0.2">
      <c r="CE955"/>
      <c r="CF955"/>
      <c r="CG955"/>
      <c r="CH955"/>
      <c r="CI955"/>
      <c r="CU955" s="21">
        <v>950</v>
      </c>
      <c r="CV955" s="41">
        <v>3</v>
      </c>
      <c r="CW955" s="41">
        <v>1.0626913437795575</v>
      </c>
      <c r="CX955" s="41" t="e">
        <v>#N/A</v>
      </c>
      <c r="CY955" s="41" t="e">
        <v>#N/A</v>
      </c>
      <c r="CZ955" s="47">
        <v>1.0626913437795575</v>
      </c>
      <c r="DA955" t="e">
        <v>#N/A</v>
      </c>
      <c r="DB955" t="str">
        <v/>
      </c>
    </row>
    <row r="956" spans="83:106" x14ac:dyDescent="0.2">
      <c r="CE956"/>
      <c r="CF956"/>
      <c r="CG956"/>
      <c r="CH956"/>
      <c r="CI956"/>
      <c r="CU956" s="21">
        <v>951</v>
      </c>
      <c r="CV956" s="41">
        <v>3</v>
      </c>
      <c r="CW956" s="41">
        <v>1.0626913437795575</v>
      </c>
      <c r="CX956" s="41" t="e">
        <v>#N/A</v>
      </c>
      <c r="CY956" s="41" t="e">
        <v>#N/A</v>
      </c>
      <c r="CZ956" s="47">
        <v>1.0626913437795575</v>
      </c>
      <c r="DA956" t="e">
        <v>#N/A</v>
      </c>
      <c r="DB956" t="str">
        <v/>
      </c>
    </row>
    <row r="957" spans="83:106" x14ac:dyDescent="0.2">
      <c r="CE957"/>
      <c r="CF957"/>
      <c r="CG957"/>
      <c r="CH957"/>
      <c r="CI957"/>
      <c r="CU957" s="21">
        <v>952</v>
      </c>
      <c r="CV957" s="41">
        <v>3</v>
      </c>
      <c r="CW957" s="41">
        <v>1.0626913437795575</v>
      </c>
      <c r="CX957" s="41" t="e">
        <v>#N/A</v>
      </c>
      <c r="CY957" s="41" t="e">
        <v>#N/A</v>
      </c>
      <c r="CZ957" s="47">
        <v>1.0626913437795575</v>
      </c>
      <c r="DA957" t="e">
        <v>#N/A</v>
      </c>
      <c r="DB957" t="str">
        <v/>
      </c>
    </row>
    <row r="958" spans="83:106" x14ac:dyDescent="0.2">
      <c r="CE958"/>
      <c r="CF958"/>
      <c r="CG958"/>
      <c r="CH958"/>
      <c r="CI958"/>
      <c r="CU958" s="21">
        <v>953</v>
      </c>
      <c r="CV958" s="41">
        <v>3</v>
      </c>
      <c r="CW958" s="41">
        <v>1.0626913437795575</v>
      </c>
      <c r="CX958" s="41" t="e">
        <v>#N/A</v>
      </c>
      <c r="CY958" s="41" t="e">
        <v>#N/A</v>
      </c>
      <c r="CZ958" s="47">
        <v>1.0626913437795575</v>
      </c>
      <c r="DA958" t="e">
        <v>#N/A</v>
      </c>
      <c r="DB958" t="str">
        <v/>
      </c>
    </row>
    <row r="959" spans="83:106" x14ac:dyDescent="0.2">
      <c r="CE959"/>
      <c r="CF959"/>
      <c r="CG959"/>
      <c r="CH959"/>
      <c r="CI959"/>
      <c r="CU959" s="21">
        <v>954</v>
      </c>
      <c r="CV959" s="41">
        <v>3</v>
      </c>
      <c r="CW959" s="41">
        <v>1.0626913437795575</v>
      </c>
      <c r="CX959" s="41" t="e">
        <v>#N/A</v>
      </c>
      <c r="CY959" s="41" t="e">
        <v>#N/A</v>
      </c>
      <c r="CZ959" s="47">
        <v>1.0626913437795575</v>
      </c>
      <c r="DA959" t="e">
        <v>#N/A</v>
      </c>
      <c r="DB959" t="str">
        <v/>
      </c>
    </row>
    <row r="960" spans="83:106" x14ac:dyDescent="0.2">
      <c r="CE960"/>
      <c r="CF960"/>
      <c r="CG960"/>
      <c r="CH960"/>
      <c r="CI960"/>
      <c r="CU960" s="21">
        <v>955</v>
      </c>
      <c r="CV960" s="41">
        <v>3</v>
      </c>
      <c r="CW960" s="41">
        <v>1.0626913437795575</v>
      </c>
      <c r="CX960" s="41" t="e">
        <v>#N/A</v>
      </c>
      <c r="CY960" s="41" t="e">
        <v>#N/A</v>
      </c>
      <c r="CZ960" s="47">
        <v>1.0626913437795575</v>
      </c>
      <c r="DA960" t="e">
        <v>#N/A</v>
      </c>
      <c r="DB960" t="str">
        <v/>
      </c>
    </row>
    <row r="961" spans="83:106" x14ac:dyDescent="0.2">
      <c r="CE961"/>
      <c r="CF961"/>
      <c r="CG961"/>
      <c r="CH961"/>
      <c r="CI961"/>
      <c r="CU961" s="21">
        <v>956</v>
      </c>
      <c r="CV961" s="41">
        <v>3</v>
      </c>
      <c r="CW961" s="41">
        <v>1.0626913437795575</v>
      </c>
      <c r="CX961" s="41" t="e">
        <v>#N/A</v>
      </c>
      <c r="CY961" s="41" t="e">
        <v>#N/A</v>
      </c>
      <c r="CZ961" s="47">
        <v>1.0626913437795575</v>
      </c>
      <c r="DA961" t="e">
        <v>#N/A</v>
      </c>
      <c r="DB961" t="str">
        <v/>
      </c>
    </row>
    <row r="962" spans="83:106" x14ac:dyDescent="0.2">
      <c r="CE962"/>
      <c r="CF962"/>
      <c r="CG962"/>
      <c r="CH962"/>
      <c r="CI962"/>
      <c r="CU962" s="21">
        <v>957</v>
      </c>
      <c r="CV962" s="41">
        <v>3</v>
      </c>
      <c r="CW962" s="41">
        <v>1.0626913437795575</v>
      </c>
      <c r="CX962" s="41" t="e">
        <v>#N/A</v>
      </c>
      <c r="CY962" s="41" t="e">
        <v>#N/A</v>
      </c>
      <c r="CZ962" s="47">
        <v>1.0626913437795575</v>
      </c>
      <c r="DA962" t="e">
        <v>#N/A</v>
      </c>
      <c r="DB962" t="str">
        <v/>
      </c>
    </row>
    <row r="963" spans="83:106" x14ac:dyDescent="0.2">
      <c r="CE963"/>
      <c r="CF963"/>
      <c r="CG963"/>
      <c r="CH963"/>
      <c r="CI963"/>
      <c r="CU963" s="21">
        <v>958</v>
      </c>
      <c r="CV963" s="41">
        <v>3</v>
      </c>
      <c r="CW963" s="41">
        <v>1.0626913437795575</v>
      </c>
      <c r="CX963" s="41" t="e">
        <v>#N/A</v>
      </c>
      <c r="CY963" s="41" t="e">
        <v>#N/A</v>
      </c>
      <c r="CZ963" s="47">
        <v>1.0626913437795575</v>
      </c>
      <c r="DA963" t="e">
        <v>#N/A</v>
      </c>
      <c r="DB963" t="str">
        <v/>
      </c>
    </row>
    <row r="964" spans="83:106" x14ac:dyDescent="0.2">
      <c r="CE964"/>
      <c r="CF964"/>
      <c r="CG964"/>
      <c r="CH964"/>
      <c r="CI964"/>
      <c r="CU964" s="21">
        <v>959</v>
      </c>
      <c r="CV964" s="41">
        <v>3</v>
      </c>
      <c r="CW964" s="41">
        <v>1.0626913437795575</v>
      </c>
      <c r="CX964" s="41" t="e">
        <v>#N/A</v>
      </c>
      <c r="CY964" s="41" t="e">
        <v>#N/A</v>
      </c>
      <c r="CZ964" s="47">
        <v>1.0626913437795575</v>
      </c>
      <c r="DA964" t="e">
        <v>#N/A</v>
      </c>
      <c r="DB964" t="str">
        <v/>
      </c>
    </row>
    <row r="965" spans="83:106" x14ac:dyDescent="0.2">
      <c r="CE965"/>
      <c r="CF965"/>
      <c r="CG965"/>
      <c r="CH965"/>
      <c r="CI965"/>
      <c r="CU965" s="21">
        <v>960</v>
      </c>
      <c r="CV965" s="41">
        <v>3</v>
      </c>
      <c r="CW965" s="41">
        <v>1.0626913437795575</v>
      </c>
      <c r="CX965" s="41" t="e">
        <v>#N/A</v>
      </c>
      <c r="CY965" s="41" t="e">
        <v>#N/A</v>
      </c>
      <c r="CZ965" s="47">
        <v>1.0626913437795575</v>
      </c>
      <c r="DA965" t="e">
        <v>#N/A</v>
      </c>
      <c r="DB965" t="str">
        <v/>
      </c>
    </row>
    <row r="966" spans="83:106" x14ac:dyDescent="0.2">
      <c r="CE966"/>
      <c r="CF966"/>
      <c r="CG966"/>
      <c r="CH966"/>
      <c r="CI966"/>
      <c r="CU966" s="21">
        <v>961</v>
      </c>
      <c r="CV966" s="41">
        <v>3</v>
      </c>
      <c r="CW966" s="41">
        <v>1.0626913437795575</v>
      </c>
      <c r="CX966" s="41" t="e">
        <v>#N/A</v>
      </c>
      <c r="CY966" s="41" t="e">
        <v>#N/A</v>
      </c>
      <c r="CZ966" s="47">
        <v>1.0626913437795575</v>
      </c>
      <c r="DA966" t="e">
        <v>#N/A</v>
      </c>
      <c r="DB966" t="str">
        <v/>
      </c>
    </row>
    <row r="967" spans="83:106" x14ac:dyDescent="0.2">
      <c r="CE967"/>
      <c r="CF967"/>
      <c r="CG967"/>
      <c r="CH967"/>
      <c r="CI967"/>
      <c r="CU967" s="21">
        <v>962</v>
      </c>
      <c r="CV967" s="41">
        <v>3</v>
      </c>
      <c r="CW967" s="41">
        <v>1.0626913437795575</v>
      </c>
      <c r="CX967" s="41" t="e">
        <v>#N/A</v>
      </c>
      <c r="CY967" s="41" t="e">
        <v>#N/A</v>
      </c>
      <c r="CZ967" s="47">
        <v>1.0626913437795575</v>
      </c>
      <c r="DA967" t="e">
        <v>#N/A</v>
      </c>
      <c r="DB967" t="str">
        <v/>
      </c>
    </row>
    <row r="968" spans="83:106" x14ac:dyDescent="0.2">
      <c r="CE968"/>
      <c r="CF968"/>
      <c r="CG968"/>
      <c r="CH968"/>
      <c r="CI968"/>
      <c r="CU968" s="21">
        <v>963</v>
      </c>
      <c r="CV968" s="41">
        <v>3</v>
      </c>
      <c r="CW968" s="41">
        <v>1.0626913437795575</v>
      </c>
      <c r="CX968" s="41" t="e">
        <v>#N/A</v>
      </c>
      <c r="CY968" s="41" t="e">
        <v>#N/A</v>
      </c>
      <c r="CZ968" s="47">
        <v>1.0626913437795575</v>
      </c>
      <c r="DA968" t="e">
        <v>#N/A</v>
      </c>
      <c r="DB968" t="str">
        <v/>
      </c>
    </row>
    <row r="969" spans="83:106" x14ac:dyDescent="0.2">
      <c r="CE969"/>
      <c r="CF969"/>
      <c r="CG969"/>
      <c r="CH969"/>
      <c r="CI969"/>
      <c r="CU969" s="21">
        <v>964</v>
      </c>
      <c r="CV969" s="41">
        <v>3</v>
      </c>
      <c r="CW969" s="41">
        <v>1.0626913437795575</v>
      </c>
      <c r="CX969" s="41" t="e">
        <v>#N/A</v>
      </c>
      <c r="CY969" s="41" t="e">
        <v>#N/A</v>
      </c>
      <c r="CZ969" s="47">
        <v>1.0626913437795575</v>
      </c>
      <c r="DA969" t="e">
        <v>#N/A</v>
      </c>
      <c r="DB969" t="str">
        <v/>
      </c>
    </row>
    <row r="970" spans="83:106" x14ac:dyDescent="0.2">
      <c r="CE970"/>
      <c r="CF970"/>
      <c r="CG970"/>
      <c r="CH970"/>
      <c r="CI970"/>
      <c r="CU970" s="21">
        <v>965</v>
      </c>
      <c r="CV970" s="41">
        <v>3</v>
      </c>
      <c r="CW970" s="41">
        <v>1.0626913437795575</v>
      </c>
      <c r="CX970" s="41" t="e">
        <v>#N/A</v>
      </c>
      <c r="CY970" s="41" t="e">
        <v>#N/A</v>
      </c>
      <c r="CZ970" s="47">
        <v>1.0626913437795575</v>
      </c>
      <c r="DA970" t="e">
        <v>#N/A</v>
      </c>
      <c r="DB970" t="str">
        <v/>
      </c>
    </row>
    <row r="971" spans="83:106" x14ac:dyDescent="0.2">
      <c r="CE971"/>
      <c r="CF971"/>
      <c r="CG971"/>
      <c r="CH971"/>
      <c r="CI971"/>
      <c r="CU971" s="21">
        <v>966</v>
      </c>
      <c r="CV971" s="41">
        <v>3</v>
      </c>
      <c r="CW971" s="41">
        <v>1.0626913437795575</v>
      </c>
      <c r="CX971" s="41" t="e">
        <v>#N/A</v>
      </c>
      <c r="CY971" s="41" t="e">
        <v>#N/A</v>
      </c>
      <c r="CZ971" s="47">
        <v>1.0626913437795575</v>
      </c>
      <c r="DA971" t="e">
        <v>#N/A</v>
      </c>
      <c r="DB971" t="str">
        <v/>
      </c>
    </row>
    <row r="972" spans="83:106" x14ac:dyDescent="0.2">
      <c r="CE972"/>
      <c r="CF972"/>
      <c r="CG972"/>
      <c r="CH972"/>
      <c r="CI972"/>
      <c r="CU972" s="21">
        <v>967</v>
      </c>
      <c r="CV972" s="41">
        <v>3</v>
      </c>
      <c r="CW972" s="41">
        <v>1.0626913437795575</v>
      </c>
      <c r="CX972" s="41" t="e">
        <v>#N/A</v>
      </c>
      <c r="CY972" s="41" t="e">
        <v>#N/A</v>
      </c>
      <c r="CZ972" s="47">
        <v>1.0626913437795575</v>
      </c>
      <c r="DA972" t="e">
        <v>#N/A</v>
      </c>
      <c r="DB972" t="str">
        <v/>
      </c>
    </row>
    <row r="973" spans="83:106" x14ac:dyDescent="0.2">
      <c r="CE973"/>
      <c r="CF973"/>
      <c r="CG973"/>
      <c r="CH973"/>
      <c r="CI973"/>
      <c r="CU973" s="21">
        <v>968</v>
      </c>
      <c r="CV973" s="41">
        <v>3</v>
      </c>
      <c r="CW973" s="41">
        <v>1.0626913437795575</v>
      </c>
      <c r="CX973" s="41" t="e">
        <v>#N/A</v>
      </c>
      <c r="CY973" s="41" t="e">
        <v>#N/A</v>
      </c>
      <c r="CZ973" s="47">
        <v>1.0626913437795575</v>
      </c>
      <c r="DA973" t="e">
        <v>#N/A</v>
      </c>
      <c r="DB973" t="str">
        <v/>
      </c>
    </row>
    <row r="974" spans="83:106" x14ac:dyDescent="0.2">
      <c r="CE974"/>
      <c r="CF974"/>
      <c r="CG974"/>
      <c r="CH974"/>
      <c r="CI974"/>
      <c r="CU974" s="21">
        <v>969</v>
      </c>
      <c r="CV974" s="41">
        <v>3</v>
      </c>
      <c r="CW974" s="41">
        <v>1.0626913437795575</v>
      </c>
      <c r="CX974" s="41" t="e">
        <v>#N/A</v>
      </c>
      <c r="CY974" s="41" t="e">
        <v>#N/A</v>
      </c>
      <c r="CZ974" s="47">
        <v>1.0626913437795575</v>
      </c>
      <c r="DA974" t="e">
        <v>#N/A</v>
      </c>
      <c r="DB974" t="str">
        <v/>
      </c>
    </row>
    <row r="975" spans="83:106" x14ac:dyDescent="0.2">
      <c r="CE975"/>
      <c r="CF975"/>
      <c r="CG975"/>
      <c r="CH975"/>
      <c r="CI975"/>
      <c r="CU975" s="21">
        <v>970</v>
      </c>
      <c r="CV975" s="41">
        <v>3</v>
      </c>
      <c r="CW975" s="41">
        <v>1.0626913437795575</v>
      </c>
      <c r="CX975" s="41" t="e">
        <v>#N/A</v>
      </c>
      <c r="CY975" s="41" t="e">
        <v>#N/A</v>
      </c>
      <c r="CZ975" s="47">
        <v>1.0626913437795575</v>
      </c>
      <c r="DA975" t="e">
        <v>#N/A</v>
      </c>
      <c r="DB975" t="str">
        <v/>
      </c>
    </row>
    <row r="976" spans="83:106" x14ac:dyDescent="0.2">
      <c r="CE976"/>
      <c r="CF976"/>
      <c r="CG976"/>
      <c r="CH976"/>
      <c r="CI976"/>
      <c r="CU976" s="21">
        <v>971</v>
      </c>
      <c r="CV976" s="41">
        <v>3</v>
      </c>
      <c r="CW976" s="41">
        <v>1.0626913437795575</v>
      </c>
      <c r="CX976" s="41" t="e">
        <v>#N/A</v>
      </c>
      <c r="CY976" s="41" t="e">
        <v>#N/A</v>
      </c>
      <c r="CZ976" s="47">
        <v>1.0626913437795575</v>
      </c>
      <c r="DA976" t="e">
        <v>#N/A</v>
      </c>
      <c r="DB976" t="str">
        <v/>
      </c>
    </row>
    <row r="977" spans="83:106" x14ac:dyDescent="0.2">
      <c r="CE977"/>
      <c r="CF977"/>
      <c r="CG977"/>
      <c r="CH977"/>
      <c r="CI977"/>
      <c r="CU977" s="21">
        <v>972</v>
      </c>
      <c r="CV977" s="41">
        <v>3</v>
      </c>
      <c r="CW977" s="41">
        <v>1.0626913437795575</v>
      </c>
      <c r="CX977" s="41" t="e">
        <v>#N/A</v>
      </c>
      <c r="CY977" s="41" t="e">
        <v>#N/A</v>
      </c>
      <c r="CZ977" s="47">
        <v>1.0626913437795575</v>
      </c>
      <c r="DA977" t="e">
        <v>#N/A</v>
      </c>
      <c r="DB977" t="str">
        <v/>
      </c>
    </row>
    <row r="978" spans="83:106" x14ac:dyDescent="0.2">
      <c r="CE978"/>
      <c r="CF978"/>
      <c r="CG978"/>
      <c r="CH978"/>
      <c r="CI978"/>
      <c r="CU978" s="21">
        <v>973</v>
      </c>
      <c r="CV978" s="41">
        <v>3</v>
      </c>
      <c r="CW978" s="41">
        <v>1.0626913437795575</v>
      </c>
      <c r="CX978" s="41" t="e">
        <v>#N/A</v>
      </c>
      <c r="CY978" s="41" t="e">
        <v>#N/A</v>
      </c>
      <c r="CZ978" s="47">
        <v>1.0626913437795575</v>
      </c>
      <c r="DA978" t="e">
        <v>#N/A</v>
      </c>
      <c r="DB978" t="str">
        <v/>
      </c>
    </row>
    <row r="979" spans="83:106" x14ac:dyDescent="0.2">
      <c r="CE979"/>
      <c r="CF979"/>
      <c r="CG979"/>
      <c r="CH979"/>
      <c r="CI979"/>
      <c r="CU979" s="21">
        <v>974</v>
      </c>
      <c r="CV979" s="41">
        <v>3</v>
      </c>
      <c r="CW979" s="41">
        <v>1.0626913437795575</v>
      </c>
      <c r="CX979" s="41" t="e">
        <v>#N/A</v>
      </c>
      <c r="CY979" s="41" t="e">
        <v>#N/A</v>
      </c>
      <c r="CZ979" s="47">
        <v>1.0626913437795575</v>
      </c>
      <c r="DA979" t="e">
        <v>#N/A</v>
      </c>
      <c r="DB979" t="str">
        <v/>
      </c>
    </row>
    <row r="980" spans="83:106" x14ac:dyDescent="0.2">
      <c r="CE980"/>
      <c r="CF980"/>
      <c r="CG980"/>
      <c r="CH980"/>
      <c r="CI980"/>
      <c r="CU980" s="21">
        <v>975</v>
      </c>
      <c r="CV980" s="41">
        <v>3</v>
      </c>
      <c r="CW980" s="41">
        <v>1.0626913437795575</v>
      </c>
      <c r="CX980" s="41" t="e">
        <v>#N/A</v>
      </c>
      <c r="CY980" s="41" t="e">
        <v>#N/A</v>
      </c>
      <c r="CZ980" s="47">
        <v>1.0626913437795575</v>
      </c>
      <c r="DA980" t="e">
        <v>#N/A</v>
      </c>
      <c r="DB980" t="str">
        <v/>
      </c>
    </row>
    <row r="981" spans="83:106" x14ac:dyDescent="0.2">
      <c r="CE981"/>
      <c r="CF981"/>
      <c r="CG981"/>
      <c r="CH981"/>
      <c r="CI981"/>
      <c r="CU981" s="21">
        <v>976</v>
      </c>
      <c r="CV981" s="41">
        <v>3</v>
      </c>
      <c r="CW981" s="41">
        <v>1.0626913437795575</v>
      </c>
      <c r="CX981" s="41" t="e">
        <v>#N/A</v>
      </c>
      <c r="CY981" s="41" t="e">
        <v>#N/A</v>
      </c>
      <c r="CZ981" s="47">
        <v>1.0626913437795575</v>
      </c>
      <c r="DA981" t="e">
        <v>#N/A</v>
      </c>
      <c r="DB981" t="str">
        <v/>
      </c>
    </row>
    <row r="982" spans="83:106" x14ac:dyDescent="0.2">
      <c r="CE982"/>
      <c r="CF982"/>
      <c r="CG982"/>
      <c r="CH982"/>
      <c r="CI982"/>
      <c r="CU982" s="21">
        <v>977</v>
      </c>
      <c r="CV982" s="41">
        <v>3</v>
      </c>
      <c r="CW982" s="41">
        <v>1.0626913437795575</v>
      </c>
      <c r="CX982" s="41" t="e">
        <v>#N/A</v>
      </c>
      <c r="CY982" s="41" t="e">
        <v>#N/A</v>
      </c>
      <c r="CZ982" s="47">
        <v>1.0626913437795575</v>
      </c>
      <c r="DA982" t="e">
        <v>#N/A</v>
      </c>
      <c r="DB982" t="str">
        <v/>
      </c>
    </row>
    <row r="983" spans="83:106" x14ac:dyDescent="0.2">
      <c r="CE983"/>
      <c r="CF983"/>
      <c r="CG983"/>
      <c r="CH983"/>
      <c r="CI983"/>
      <c r="CU983" s="21">
        <v>978</v>
      </c>
      <c r="CV983" s="41">
        <v>3</v>
      </c>
      <c r="CW983" s="41">
        <v>1.0626913437795575</v>
      </c>
      <c r="CX983" s="41" t="e">
        <v>#N/A</v>
      </c>
      <c r="CY983" s="41" t="e">
        <v>#N/A</v>
      </c>
      <c r="CZ983" s="47">
        <v>1.0626913437795575</v>
      </c>
      <c r="DA983" t="e">
        <v>#N/A</v>
      </c>
      <c r="DB983" t="str">
        <v/>
      </c>
    </row>
    <row r="984" spans="83:106" x14ac:dyDescent="0.2">
      <c r="CE984"/>
      <c r="CF984"/>
      <c r="CG984"/>
      <c r="CH984"/>
      <c r="CI984"/>
      <c r="CU984" s="21">
        <v>979</v>
      </c>
      <c r="CV984" s="41">
        <v>3</v>
      </c>
      <c r="CW984" s="41">
        <v>1.0626913437795575</v>
      </c>
      <c r="CX984" s="41" t="e">
        <v>#N/A</v>
      </c>
      <c r="CY984" s="41" t="e">
        <v>#N/A</v>
      </c>
      <c r="CZ984" s="47">
        <v>1.0626913437795575</v>
      </c>
      <c r="DA984" t="e">
        <v>#N/A</v>
      </c>
      <c r="DB984" t="str">
        <v/>
      </c>
    </row>
    <row r="985" spans="83:106" x14ac:dyDescent="0.2">
      <c r="CE985"/>
      <c r="CF985"/>
      <c r="CG985"/>
      <c r="CH985"/>
      <c r="CI985"/>
      <c r="CU985" s="21">
        <v>980</v>
      </c>
      <c r="CV985" s="41">
        <v>3</v>
      </c>
      <c r="CW985" s="41">
        <v>1.0626913437795575</v>
      </c>
      <c r="CX985" s="41" t="e">
        <v>#N/A</v>
      </c>
      <c r="CY985" s="41" t="e">
        <v>#N/A</v>
      </c>
      <c r="CZ985" s="47">
        <v>1.0626913437795575</v>
      </c>
      <c r="DA985" t="e">
        <v>#N/A</v>
      </c>
      <c r="DB985" t="str">
        <v/>
      </c>
    </row>
    <row r="986" spans="83:106" x14ac:dyDescent="0.2">
      <c r="CE986"/>
      <c r="CF986"/>
      <c r="CG986"/>
      <c r="CH986"/>
      <c r="CI986"/>
      <c r="CU986" s="21">
        <v>981</v>
      </c>
      <c r="CV986" s="41">
        <v>3</v>
      </c>
      <c r="CW986" s="41">
        <v>1.0626913437795575</v>
      </c>
      <c r="CX986" s="41" t="e">
        <v>#N/A</v>
      </c>
      <c r="CY986" s="41" t="e">
        <v>#N/A</v>
      </c>
      <c r="CZ986" s="47">
        <v>1.0626913437795575</v>
      </c>
      <c r="DA986" t="e">
        <v>#N/A</v>
      </c>
      <c r="DB986" t="str">
        <v/>
      </c>
    </row>
    <row r="987" spans="83:106" x14ac:dyDescent="0.2">
      <c r="CE987"/>
      <c r="CF987"/>
      <c r="CG987"/>
      <c r="CH987"/>
      <c r="CI987"/>
      <c r="CU987" s="21">
        <v>982</v>
      </c>
      <c r="CV987" s="41">
        <v>3</v>
      </c>
      <c r="CW987" s="41">
        <v>1.0626913437795575</v>
      </c>
      <c r="CX987" s="41" t="e">
        <v>#N/A</v>
      </c>
      <c r="CY987" s="41" t="e">
        <v>#N/A</v>
      </c>
      <c r="CZ987" s="47">
        <v>1.0626913437795575</v>
      </c>
      <c r="DA987" t="e">
        <v>#N/A</v>
      </c>
      <c r="DB987" t="str">
        <v/>
      </c>
    </row>
    <row r="988" spans="83:106" x14ac:dyDescent="0.2">
      <c r="CE988"/>
      <c r="CF988"/>
      <c r="CG988"/>
      <c r="CH988"/>
      <c r="CI988"/>
      <c r="CU988" s="21">
        <v>983</v>
      </c>
      <c r="CV988" s="41">
        <v>3</v>
      </c>
      <c r="CW988" s="41">
        <v>1.0626913437795575</v>
      </c>
      <c r="CX988" s="41" t="e">
        <v>#N/A</v>
      </c>
      <c r="CY988" s="41" t="e">
        <v>#N/A</v>
      </c>
      <c r="CZ988" s="47">
        <v>1.0626913437795575</v>
      </c>
      <c r="DA988" t="e">
        <v>#N/A</v>
      </c>
      <c r="DB988" t="str">
        <v/>
      </c>
    </row>
    <row r="989" spans="83:106" x14ac:dyDescent="0.2">
      <c r="CE989"/>
      <c r="CF989"/>
      <c r="CG989"/>
      <c r="CH989"/>
      <c r="CI989"/>
      <c r="CU989" s="21">
        <v>984</v>
      </c>
      <c r="CV989" s="41">
        <v>3</v>
      </c>
      <c r="CW989" s="41">
        <v>1.0626913437795575</v>
      </c>
      <c r="CX989" s="41" t="e">
        <v>#N/A</v>
      </c>
      <c r="CY989" s="41" t="e">
        <v>#N/A</v>
      </c>
      <c r="CZ989" s="47">
        <v>1.0626913437795575</v>
      </c>
      <c r="DA989" t="e">
        <v>#N/A</v>
      </c>
      <c r="DB989" t="str">
        <v/>
      </c>
    </row>
    <row r="990" spans="83:106" x14ac:dyDescent="0.2">
      <c r="CE990"/>
      <c r="CF990"/>
      <c r="CG990"/>
      <c r="CH990"/>
      <c r="CI990"/>
      <c r="CU990" s="21">
        <v>985</v>
      </c>
      <c r="CV990" s="41">
        <v>3</v>
      </c>
      <c r="CW990" s="41">
        <v>1.0626913437795575</v>
      </c>
      <c r="CX990" s="41" t="e">
        <v>#N/A</v>
      </c>
      <c r="CY990" s="41" t="e">
        <v>#N/A</v>
      </c>
      <c r="CZ990" s="47">
        <v>1.0626913437795575</v>
      </c>
      <c r="DA990" t="e">
        <v>#N/A</v>
      </c>
      <c r="DB990" t="str">
        <v/>
      </c>
    </row>
    <row r="991" spans="83:106" x14ac:dyDescent="0.2">
      <c r="CE991"/>
      <c r="CF991"/>
      <c r="CG991"/>
      <c r="CH991"/>
      <c r="CI991"/>
      <c r="CU991" s="21">
        <v>986</v>
      </c>
      <c r="CV991" s="41">
        <v>3</v>
      </c>
      <c r="CW991" s="41">
        <v>1.0626913437795575</v>
      </c>
      <c r="CX991" s="41" t="e">
        <v>#N/A</v>
      </c>
      <c r="CY991" s="41" t="e">
        <v>#N/A</v>
      </c>
      <c r="CZ991" s="47">
        <v>1.0626913437795575</v>
      </c>
      <c r="DA991" t="e">
        <v>#N/A</v>
      </c>
      <c r="DB991" t="str">
        <v/>
      </c>
    </row>
    <row r="992" spans="83:106" x14ac:dyDescent="0.2">
      <c r="CE992"/>
      <c r="CF992"/>
      <c r="CG992"/>
      <c r="CH992"/>
      <c r="CI992"/>
      <c r="CU992" s="21">
        <v>987</v>
      </c>
      <c r="CV992" s="41">
        <v>3</v>
      </c>
      <c r="CW992" s="41">
        <v>1.0626913437795575</v>
      </c>
      <c r="CX992" s="41" t="e">
        <v>#N/A</v>
      </c>
      <c r="CY992" s="41" t="e">
        <v>#N/A</v>
      </c>
      <c r="CZ992" s="47">
        <v>1.0626913437795575</v>
      </c>
      <c r="DA992" t="e">
        <v>#N/A</v>
      </c>
      <c r="DB992" t="str">
        <v/>
      </c>
    </row>
    <row r="993" spans="83:106" x14ac:dyDescent="0.2">
      <c r="CE993"/>
      <c r="CF993"/>
      <c r="CG993"/>
      <c r="CH993"/>
      <c r="CI993"/>
      <c r="CU993" s="21">
        <v>988</v>
      </c>
      <c r="CV993" s="41">
        <v>3</v>
      </c>
      <c r="CW993" s="41">
        <v>1.0626913437795575</v>
      </c>
      <c r="CX993" s="41" t="e">
        <v>#N/A</v>
      </c>
      <c r="CY993" s="41" t="e">
        <v>#N/A</v>
      </c>
      <c r="CZ993" s="47">
        <v>1.0626913437795575</v>
      </c>
      <c r="DA993" t="e">
        <v>#N/A</v>
      </c>
      <c r="DB993" t="str">
        <v/>
      </c>
    </row>
    <row r="994" spans="83:106" x14ac:dyDescent="0.2">
      <c r="CE994"/>
      <c r="CF994"/>
      <c r="CG994"/>
      <c r="CH994"/>
      <c r="CI994"/>
      <c r="CU994" s="21">
        <v>989</v>
      </c>
      <c r="CV994" s="41">
        <v>3</v>
      </c>
      <c r="CW994" s="41">
        <v>1.0626913437795575</v>
      </c>
      <c r="CX994" s="41" t="e">
        <v>#N/A</v>
      </c>
      <c r="CY994" s="41" t="e">
        <v>#N/A</v>
      </c>
      <c r="CZ994" s="47">
        <v>1.0626913437795575</v>
      </c>
      <c r="DA994" t="e">
        <v>#N/A</v>
      </c>
      <c r="DB994" t="str">
        <v/>
      </c>
    </row>
    <row r="995" spans="83:106" x14ac:dyDescent="0.2">
      <c r="CE995"/>
      <c r="CF995"/>
      <c r="CG995"/>
      <c r="CH995"/>
      <c r="CI995"/>
      <c r="CU995" s="21">
        <v>990</v>
      </c>
      <c r="CV995" s="41">
        <v>3</v>
      </c>
      <c r="CW995" s="41">
        <v>1.0626913437795575</v>
      </c>
      <c r="CX995" s="41" t="e">
        <v>#N/A</v>
      </c>
      <c r="CY995" s="41" t="e">
        <v>#N/A</v>
      </c>
      <c r="CZ995" s="47">
        <v>1.0626913437795575</v>
      </c>
      <c r="DA995" t="e">
        <v>#N/A</v>
      </c>
      <c r="DB995" t="str">
        <v/>
      </c>
    </row>
    <row r="996" spans="83:106" x14ac:dyDescent="0.2">
      <c r="CE996"/>
      <c r="CF996"/>
      <c r="CG996"/>
      <c r="CH996"/>
      <c r="CI996"/>
      <c r="CU996" s="21">
        <v>991</v>
      </c>
      <c r="CV996" s="41">
        <v>3</v>
      </c>
      <c r="CW996" s="41">
        <v>1.0626913437795575</v>
      </c>
      <c r="CX996" s="41" t="e">
        <v>#N/A</v>
      </c>
      <c r="CY996" s="41" t="e">
        <v>#N/A</v>
      </c>
      <c r="CZ996" s="47">
        <v>1.0626913437795575</v>
      </c>
      <c r="DA996" t="e">
        <v>#N/A</v>
      </c>
      <c r="DB996" t="str">
        <v/>
      </c>
    </row>
    <row r="997" spans="83:106" x14ac:dyDescent="0.2">
      <c r="CE997"/>
      <c r="CF997"/>
      <c r="CG997"/>
      <c r="CH997"/>
      <c r="CI997"/>
      <c r="CU997" s="21">
        <v>992</v>
      </c>
      <c r="CV997" s="41">
        <v>3</v>
      </c>
      <c r="CW997" s="41">
        <v>1.0626913437795575</v>
      </c>
      <c r="CX997" s="41" t="e">
        <v>#N/A</v>
      </c>
      <c r="CY997" s="41" t="e">
        <v>#N/A</v>
      </c>
      <c r="CZ997" s="47">
        <v>1.0626913437795575</v>
      </c>
      <c r="DA997" t="e">
        <v>#N/A</v>
      </c>
      <c r="DB997" t="str">
        <v/>
      </c>
    </row>
    <row r="998" spans="83:106" x14ac:dyDescent="0.2">
      <c r="CE998"/>
      <c r="CF998"/>
      <c r="CG998"/>
      <c r="CH998"/>
      <c r="CI998"/>
      <c r="CU998" s="21">
        <v>993</v>
      </c>
      <c r="CV998" s="41">
        <v>3</v>
      </c>
      <c r="CW998" s="41">
        <v>1.0626913437795575</v>
      </c>
      <c r="CX998" s="41" t="e">
        <v>#N/A</v>
      </c>
      <c r="CY998" s="41" t="e">
        <v>#N/A</v>
      </c>
      <c r="CZ998" s="47">
        <v>1.0626913437795575</v>
      </c>
      <c r="DA998" t="e">
        <v>#N/A</v>
      </c>
      <c r="DB998" t="str">
        <v/>
      </c>
    </row>
    <row r="999" spans="83:106" x14ac:dyDescent="0.2">
      <c r="CE999"/>
      <c r="CF999"/>
      <c r="CG999"/>
      <c r="CH999"/>
      <c r="CI999"/>
      <c r="CU999" s="21">
        <v>994</v>
      </c>
      <c r="CV999" s="41">
        <v>3</v>
      </c>
      <c r="CW999" s="41">
        <v>1.0626913437795575</v>
      </c>
      <c r="CX999" s="41" t="e">
        <v>#N/A</v>
      </c>
      <c r="CY999" s="41" t="e">
        <v>#N/A</v>
      </c>
      <c r="CZ999" s="47">
        <v>1.0626913437795575</v>
      </c>
      <c r="DA999" t="e">
        <v>#N/A</v>
      </c>
      <c r="DB999" t="str">
        <v/>
      </c>
    </row>
    <row r="1000" spans="83:106" x14ac:dyDescent="0.2">
      <c r="CE1000"/>
      <c r="CF1000"/>
      <c r="CG1000"/>
      <c r="CH1000"/>
      <c r="CI1000"/>
      <c r="CU1000" s="21">
        <v>995</v>
      </c>
      <c r="CV1000" s="41">
        <v>3</v>
      </c>
      <c r="CW1000" s="41">
        <v>1.0626913437795575</v>
      </c>
      <c r="CX1000" s="41" t="e">
        <v>#N/A</v>
      </c>
      <c r="CY1000" s="41" t="e">
        <v>#N/A</v>
      </c>
      <c r="CZ1000" s="47">
        <v>1.0626913437795575</v>
      </c>
      <c r="DA1000" t="e">
        <v>#N/A</v>
      </c>
      <c r="DB1000" t="str">
        <v/>
      </c>
    </row>
    <row r="1001" spans="83:106" x14ac:dyDescent="0.2">
      <c r="CE1001"/>
      <c r="CF1001"/>
      <c r="CG1001"/>
      <c r="CH1001"/>
      <c r="CI1001"/>
      <c r="CU1001" s="21">
        <v>996</v>
      </c>
      <c r="CV1001" s="41">
        <v>3</v>
      </c>
      <c r="CW1001" s="41">
        <v>1.0626913437795575</v>
      </c>
      <c r="CX1001" s="41" t="e">
        <v>#N/A</v>
      </c>
      <c r="CY1001" s="41" t="e">
        <v>#N/A</v>
      </c>
      <c r="CZ1001" s="47">
        <v>1.0626913437795575</v>
      </c>
      <c r="DA1001" t="e">
        <v>#N/A</v>
      </c>
      <c r="DB1001" t="str">
        <v/>
      </c>
    </row>
    <row r="1002" spans="83:106" x14ac:dyDescent="0.2">
      <c r="CE1002"/>
      <c r="CF1002"/>
      <c r="CG1002"/>
      <c r="CH1002"/>
      <c r="CI1002"/>
      <c r="CU1002" s="21">
        <v>997</v>
      </c>
      <c r="CV1002" s="41">
        <v>3</v>
      </c>
      <c r="CW1002" s="41">
        <v>1.0626913437795575</v>
      </c>
      <c r="CX1002" s="41" t="e">
        <v>#N/A</v>
      </c>
      <c r="CY1002" s="41" t="e">
        <v>#N/A</v>
      </c>
      <c r="CZ1002" s="47">
        <v>1.0626913437795575</v>
      </c>
      <c r="DA1002" t="e">
        <v>#N/A</v>
      </c>
      <c r="DB1002" t="str">
        <v/>
      </c>
    </row>
    <row r="1003" spans="83:106" x14ac:dyDescent="0.2">
      <c r="CE1003"/>
      <c r="CF1003"/>
      <c r="CG1003"/>
      <c r="CH1003"/>
      <c r="CI1003"/>
      <c r="CU1003" s="21">
        <v>998</v>
      </c>
      <c r="CV1003" s="41">
        <v>3</v>
      </c>
      <c r="CW1003" s="41">
        <v>1.0626913437795575</v>
      </c>
      <c r="CX1003" s="41" t="e">
        <v>#N/A</v>
      </c>
      <c r="CY1003" s="41" t="e">
        <v>#N/A</v>
      </c>
      <c r="CZ1003" s="47">
        <v>1.0626913437795575</v>
      </c>
      <c r="DA1003" t="e">
        <v>#N/A</v>
      </c>
      <c r="DB1003" t="str">
        <v/>
      </c>
    </row>
    <row r="1004" spans="83:106" x14ac:dyDescent="0.2">
      <c r="CE1004"/>
      <c r="CF1004"/>
      <c r="CG1004"/>
      <c r="CH1004"/>
      <c r="CI1004"/>
      <c r="CU1004" s="21">
        <v>999</v>
      </c>
      <c r="CV1004" s="41">
        <v>3</v>
      </c>
      <c r="CW1004" s="41">
        <v>1.0626913437795575</v>
      </c>
      <c r="CX1004" s="41" t="e">
        <v>#N/A</v>
      </c>
      <c r="CY1004" s="41" t="e">
        <v>#N/A</v>
      </c>
      <c r="CZ1004" s="47">
        <v>1.0626913437795575</v>
      </c>
      <c r="DA1004" t="e">
        <v>#N/A</v>
      </c>
      <c r="DB1004" t="str">
        <v/>
      </c>
    </row>
    <row r="1005" spans="83:106" x14ac:dyDescent="0.2">
      <c r="CE1005"/>
      <c r="CF1005"/>
      <c r="CG1005"/>
      <c r="CH1005"/>
      <c r="CI1005"/>
      <c r="CU1005" s="21">
        <v>1000</v>
      </c>
      <c r="CV1005" s="41">
        <v>3</v>
      </c>
      <c r="CW1005" s="41">
        <v>1.0626913437795575</v>
      </c>
      <c r="CX1005" s="41" t="e">
        <v>#N/A</v>
      </c>
      <c r="CY1005" s="41" t="e">
        <v>#N/A</v>
      </c>
      <c r="CZ1005" s="47">
        <v>1.0626913437795575</v>
      </c>
      <c r="DA1005" t="e">
        <v>#N/A</v>
      </c>
      <c r="DB1005" t="str">
        <v/>
      </c>
    </row>
    <row r="1006" spans="83:106" x14ac:dyDescent="0.2">
      <c r="CE1006"/>
      <c r="CF1006"/>
      <c r="CG1006"/>
      <c r="CH1006"/>
      <c r="CI1006"/>
      <c r="CU1006" s="21">
        <v>1001</v>
      </c>
      <c r="CV1006" s="41">
        <v>3</v>
      </c>
      <c r="CW1006" s="41">
        <v>1.0626913437795575</v>
      </c>
      <c r="CX1006" s="41" t="e">
        <v>#N/A</v>
      </c>
      <c r="CY1006" s="41" t="e">
        <v>#N/A</v>
      </c>
      <c r="CZ1006" s="47">
        <v>1.0626913437795575</v>
      </c>
      <c r="DA1006" t="e">
        <v>#N/A</v>
      </c>
      <c r="DB1006" t="str">
        <v/>
      </c>
    </row>
    <row r="1007" spans="83:106" x14ac:dyDescent="0.2">
      <c r="CE1007"/>
      <c r="CF1007"/>
      <c r="CG1007"/>
      <c r="CH1007"/>
      <c r="CI1007"/>
      <c r="CU1007" s="21">
        <v>1002</v>
      </c>
      <c r="CV1007" s="41">
        <v>3</v>
      </c>
      <c r="CW1007" s="41">
        <v>1.0626913437795575</v>
      </c>
      <c r="CX1007" s="41" t="e">
        <v>#N/A</v>
      </c>
      <c r="CY1007" s="41" t="e">
        <v>#N/A</v>
      </c>
      <c r="CZ1007" s="47">
        <v>1.0626913437795575</v>
      </c>
      <c r="DA1007" t="e">
        <v>#N/A</v>
      </c>
      <c r="DB1007" t="str">
        <v/>
      </c>
    </row>
    <row r="1008" spans="83:106" x14ac:dyDescent="0.2">
      <c r="CE1008"/>
      <c r="CF1008"/>
      <c r="CG1008"/>
      <c r="CH1008"/>
      <c r="CI1008"/>
      <c r="CU1008" s="21">
        <v>1003</v>
      </c>
      <c r="CV1008" s="41">
        <v>3</v>
      </c>
      <c r="CW1008" s="41">
        <v>1.0626913437795575</v>
      </c>
      <c r="CX1008" s="41" t="e">
        <v>#N/A</v>
      </c>
      <c r="CY1008" s="41" t="e">
        <v>#N/A</v>
      </c>
      <c r="CZ1008" s="47">
        <v>1.0626913437795575</v>
      </c>
      <c r="DA1008" t="e">
        <v>#N/A</v>
      </c>
      <c r="DB1008" t="str">
        <v/>
      </c>
    </row>
    <row r="1009" spans="83:106" x14ac:dyDescent="0.2">
      <c r="CE1009"/>
      <c r="CF1009"/>
      <c r="CG1009"/>
      <c r="CH1009"/>
      <c r="CI1009"/>
      <c r="CU1009" s="21">
        <v>1004</v>
      </c>
      <c r="CV1009" s="41">
        <v>3</v>
      </c>
      <c r="CW1009" s="41">
        <v>1.0626913437795575</v>
      </c>
      <c r="CX1009" s="41" t="e">
        <v>#N/A</v>
      </c>
      <c r="CY1009" s="41" t="e">
        <v>#N/A</v>
      </c>
      <c r="CZ1009" s="47">
        <v>1.0626913437795575</v>
      </c>
      <c r="DA1009" t="e">
        <v>#N/A</v>
      </c>
      <c r="DB1009" t="str">
        <v/>
      </c>
    </row>
    <row r="1010" spans="83:106" x14ac:dyDescent="0.2">
      <c r="CE1010"/>
      <c r="CF1010"/>
      <c r="CG1010"/>
      <c r="CH1010"/>
      <c r="CI1010"/>
      <c r="CU1010" s="21">
        <v>1005</v>
      </c>
      <c r="CV1010" s="41">
        <v>3</v>
      </c>
      <c r="CW1010" s="41">
        <v>1.0626913437795575</v>
      </c>
      <c r="CX1010" s="41" t="e">
        <v>#N/A</v>
      </c>
      <c r="CY1010" s="41" t="e">
        <v>#N/A</v>
      </c>
      <c r="CZ1010" s="47">
        <v>1.0626913437795575</v>
      </c>
      <c r="DA1010" t="e">
        <v>#N/A</v>
      </c>
      <c r="DB1010" t="str">
        <v/>
      </c>
    </row>
    <row r="1011" spans="83:106" x14ac:dyDescent="0.2">
      <c r="CE1011"/>
      <c r="CF1011"/>
      <c r="CG1011"/>
      <c r="CH1011"/>
      <c r="CI1011"/>
      <c r="CU1011" s="21">
        <v>1006</v>
      </c>
      <c r="CV1011" s="41">
        <v>3</v>
      </c>
      <c r="CW1011" s="41">
        <v>1.0626913437795575</v>
      </c>
      <c r="CX1011" s="41" t="e">
        <v>#N/A</v>
      </c>
      <c r="CY1011" s="41" t="e">
        <v>#N/A</v>
      </c>
      <c r="CZ1011" s="47">
        <v>1.0626913437795575</v>
      </c>
      <c r="DA1011" t="e">
        <v>#N/A</v>
      </c>
      <c r="DB1011" t="str">
        <v/>
      </c>
    </row>
    <row r="1012" spans="83:106" x14ac:dyDescent="0.2">
      <c r="CE1012"/>
      <c r="CF1012"/>
      <c r="CG1012"/>
      <c r="CH1012"/>
      <c r="CI1012"/>
      <c r="CU1012" s="21">
        <v>1007</v>
      </c>
      <c r="CV1012" s="41">
        <v>3</v>
      </c>
      <c r="CW1012" s="41">
        <v>1.0626913437795575</v>
      </c>
      <c r="CX1012" s="41" t="e">
        <v>#N/A</v>
      </c>
      <c r="CY1012" s="41" t="e">
        <v>#N/A</v>
      </c>
      <c r="CZ1012" s="47">
        <v>1.0626913437795575</v>
      </c>
      <c r="DA1012" t="e">
        <v>#N/A</v>
      </c>
      <c r="DB1012" t="str">
        <v/>
      </c>
    </row>
    <row r="1013" spans="83:106" x14ac:dyDescent="0.2">
      <c r="CE1013"/>
      <c r="CF1013"/>
      <c r="CG1013"/>
      <c r="CH1013"/>
      <c r="CI1013"/>
      <c r="CU1013" s="21">
        <v>1008</v>
      </c>
      <c r="CV1013" s="41">
        <v>3</v>
      </c>
      <c r="CW1013" s="41">
        <v>1.0626913437795575</v>
      </c>
      <c r="CX1013" s="41" t="e">
        <v>#N/A</v>
      </c>
      <c r="CY1013" s="41" t="e">
        <v>#N/A</v>
      </c>
      <c r="CZ1013" s="47">
        <v>1.0626913437795575</v>
      </c>
      <c r="DA1013" t="e">
        <v>#N/A</v>
      </c>
      <c r="DB1013" t="str">
        <v/>
      </c>
    </row>
    <row r="1014" spans="83:106" x14ac:dyDescent="0.2">
      <c r="CE1014"/>
      <c r="CF1014"/>
      <c r="CG1014"/>
      <c r="CH1014"/>
      <c r="CI1014"/>
      <c r="CU1014" s="21">
        <v>1009</v>
      </c>
      <c r="CV1014" s="41">
        <v>3</v>
      </c>
      <c r="CW1014" s="41">
        <v>1.0626913437795575</v>
      </c>
      <c r="CX1014" s="41" t="e">
        <v>#N/A</v>
      </c>
      <c r="CY1014" s="41" t="e">
        <v>#N/A</v>
      </c>
      <c r="CZ1014" s="47">
        <v>1.0626913437795575</v>
      </c>
      <c r="DA1014" t="e">
        <v>#N/A</v>
      </c>
      <c r="DB1014" t="str">
        <v/>
      </c>
    </row>
    <row r="1015" spans="83:106" x14ac:dyDescent="0.2">
      <c r="CE1015"/>
      <c r="CF1015"/>
      <c r="CG1015"/>
      <c r="CH1015"/>
      <c r="CI1015"/>
      <c r="CU1015" s="21">
        <v>1010</v>
      </c>
      <c r="CV1015" s="41">
        <v>3</v>
      </c>
      <c r="CW1015" s="41">
        <v>1.0626913437795575</v>
      </c>
      <c r="CX1015" s="41" t="e">
        <v>#N/A</v>
      </c>
      <c r="CY1015" s="41" t="e">
        <v>#N/A</v>
      </c>
      <c r="CZ1015" s="47">
        <v>1.0626913437795575</v>
      </c>
      <c r="DA1015" t="e">
        <v>#N/A</v>
      </c>
      <c r="DB1015" t="str">
        <v/>
      </c>
    </row>
    <row r="1016" spans="83:106" x14ac:dyDescent="0.2">
      <c r="CE1016"/>
      <c r="CF1016"/>
      <c r="CG1016"/>
      <c r="CH1016"/>
      <c r="CI1016"/>
      <c r="CU1016" s="21">
        <v>1011</v>
      </c>
      <c r="CV1016" s="41">
        <v>3</v>
      </c>
      <c r="CW1016" s="41">
        <v>1.0626913437795575</v>
      </c>
      <c r="CX1016" s="41" t="e">
        <v>#N/A</v>
      </c>
      <c r="CY1016" s="41" t="e">
        <v>#N/A</v>
      </c>
      <c r="CZ1016" s="47">
        <v>1.0626913437795575</v>
      </c>
      <c r="DA1016" t="e">
        <v>#N/A</v>
      </c>
      <c r="DB1016" t="str">
        <v/>
      </c>
    </row>
    <row r="1017" spans="83:106" x14ac:dyDescent="0.2">
      <c r="CE1017"/>
      <c r="CF1017"/>
      <c r="CG1017"/>
      <c r="CH1017"/>
      <c r="CI1017"/>
      <c r="CU1017" s="21">
        <v>1012</v>
      </c>
      <c r="CV1017" s="41">
        <v>3</v>
      </c>
      <c r="CW1017" s="41">
        <v>1.0626913437795575</v>
      </c>
      <c r="CX1017" s="41" t="e">
        <v>#N/A</v>
      </c>
      <c r="CY1017" s="41" t="e">
        <v>#N/A</v>
      </c>
      <c r="CZ1017" s="47">
        <v>1.0626913437795575</v>
      </c>
      <c r="DA1017" t="e">
        <v>#N/A</v>
      </c>
      <c r="DB1017" t="str">
        <v/>
      </c>
    </row>
    <row r="1018" spans="83:106" x14ac:dyDescent="0.2">
      <c r="CE1018"/>
      <c r="CF1018"/>
      <c r="CG1018"/>
      <c r="CH1018"/>
      <c r="CI1018"/>
      <c r="CU1018" s="21">
        <v>1013</v>
      </c>
      <c r="CV1018" s="41">
        <v>3</v>
      </c>
      <c r="CW1018" s="41">
        <v>1.0626913437795575</v>
      </c>
      <c r="CX1018" s="41" t="e">
        <v>#N/A</v>
      </c>
      <c r="CY1018" s="41" t="e">
        <v>#N/A</v>
      </c>
      <c r="CZ1018" s="47">
        <v>1.0626913437795575</v>
      </c>
      <c r="DA1018" t="e">
        <v>#N/A</v>
      </c>
      <c r="DB1018" t="str">
        <v/>
      </c>
    </row>
    <row r="1019" spans="83:106" x14ac:dyDescent="0.2">
      <c r="CE1019"/>
      <c r="CF1019"/>
      <c r="CG1019"/>
      <c r="CH1019"/>
      <c r="CI1019"/>
      <c r="CU1019" s="21">
        <v>1014</v>
      </c>
      <c r="CV1019" s="41">
        <v>3</v>
      </c>
      <c r="CW1019" s="41">
        <v>1.0626913437795575</v>
      </c>
      <c r="CX1019" s="41" t="e">
        <v>#N/A</v>
      </c>
      <c r="CY1019" s="41" t="e">
        <v>#N/A</v>
      </c>
      <c r="CZ1019" s="47">
        <v>1.0626913437795575</v>
      </c>
      <c r="DA1019" t="e">
        <v>#N/A</v>
      </c>
      <c r="DB1019" t="str">
        <v/>
      </c>
    </row>
    <row r="1020" spans="83:106" x14ac:dyDescent="0.2">
      <c r="CE1020"/>
      <c r="CF1020"/>
      <c r="CG1020"/>
      <c r="CH1020"/>
      <c r="CI1020"/>
      <c r="CU1020" s="21">
        <v>1015</v>
      </c>
      <c r="CV1020" s="41">
        <v>3</v>
      </c>
      <c r="CW1020" s="41">
        <v>1.0626913437795575</v>
      </c>
      <c r="CX1020" s="41" t="e">
        <v>#N/A</v>
      </c>
      <c r="CY1020" s="41" t="e">
        <v>#N/A</v>
      </c>
      <c r="CZ1020" s="47">
        <v>1.0626913437795575</v>
      </c>
      <c r="DA1020" t="e">
        <v>#N/A</v>
      </c>
      <c r="DB1020" t="str">
        <v/>
      </c>
    </row>
    <row r="1021" spans="83:106" x14ac:dyDescent="0.2">
      <c r="CE1021"/>
      <c r="CF1021"/>
      <c r="CG1021"/>
      <c r="CH1021"/>
      <c r="CI1021"/>
      <c r="CU1021" s="21">
        <v>1016</v>
      </c>
      <c r="CV1021" s="41">
        <v>3</v>
      </c>
      <c r="CW1021" s="41">
        <v>1.0626913437795575</v>
      </c>
      <c r="CX1021" s="41" t="e">
        <v>#N/A</v>
      </c>
      <c r="CY1021" s="41" t="e">
        <v>#N/A</v>
      </c>
      <c r="CZ1021" s="47">
        <v>1.0626913437795575</v>
      </c>
      <c r="DA1021" t="e">
        <v>#N/A</v>
      </c>
      <c r="DB1021" t="str">
        <v/>
      </c>
    </row>
    <row r="1022" spans="83:106" x14ac:dyDescent="0.2">
      <c r="CE1022"/>
      <c r="CF1022"/>
      <c r="CG1022"/>
      <c r="CH1022"/>
      <c r="CI1022"/>
      <c r="CU1022" s="21">
        <v>1017</v>
      </c>
      <c r="CV1022" s="41">
        <v>3</v>
      </c>
      <c r="CW1022" s="41">
        <v>1.0626913437795575</v>
      </c>
      <c r="CX1022" s="41" t="e">
        <v>#N/A</v>
      </c>
      <c r="CY1022" s="41" t="e">
        <v>#N/A</v>
      </c>
      <c r="CZ1022" s="47">
        <v>1.0626913437795575</v>
      </c>
      <c r="DA1022" t="e">
        <v>#N/A</v>
      </c>
      <c r="DB1022" t="str">
        <v/>
      </c>
    </row>
    <row r="1023" spans="83:106" x14ac:dyDescent="0.2">
      <c r="CE1023"/>
      <c r="CF1023"/>
      <c r="CG1023"/>
      <c r="CH1023"/>
      <c r="CI1023"/>
      <c r="CU1023" s="21">
        <v>1018</v>
      </c>
      <c r="CV1023" s="41">
        <v>3</v>
      </c>
      <c r="CW1023" s="41">
        <v>1.0626913437795575</v>
      </c>
      <c r="CX1023" s="41" t="e">
        <v>#N/A</v>
      </c>
      <c r="CY1023" s="41" t="e">
        <v>#N/A</v>
      </c>
      <c r="CZ1023" s="47">
        <v>1.0626913437795575</v>
      </c>
      <c r="DA1023" t="e">
        <v>#N/A</v>
      </c>
      <c r="DB1023" t="str">
        <v/>
      </c>
    </row>
    <row r="1024" spans="83:106" x14ac:dyDescent="0.2">
      <c r="CE1024"/>
      <c r="CF1024"/>
      <c r="CG1024"/>
      <c r="CH1024"/>
      <c r="CI1024"/>
      <c r="CU1024" s="21">
        <v>1019</v>
      </c>
      <c r="CV1024" s="41">
        <v>3</v>
      </c>
      <c r="CW1024" s="41">
        <v>1.0626913437795575</v>
      </c>
      <c r="CX1024" s="41" t="e">
        <v>#N/A</v>
      </c>
      <c r="CY1024" s="41" t="e">
        <v>#N/A</v>
      </c>
      <c r="CZ1024" s="47">
        <v>1.0626913437795575</v>
      </c>
      <c r="DA1024" t="e">
        <v>#N/A</v>
      </c>
      <c r="DB1024" t="str">
        <v/>
      </c>
    </row>
    <row r="1025" spans="83:106" x14ac:dyDescent="0.2">
      <c r="CE1025"/>
      <c r="CF1025"/>
      <c r="CG1025"/>
      <c r="CH1025"/>
      <c r="CI1025"/>
      <c r="CU1025" s="21">
        <v>1020</v>
      </c>
      <c r="CV1025" s="41">
        <v>3</v>
      </c>
      <c r="CW1025" s="41">
        <v>1.0626913437795575</v>
      </c>
      <c r="CX1025" s="41" t="e">
        <v>#N/A</v>
      </c>
      <c r="CY1025" s="41" t="e">
        <v>#N/A</v>
      </c>
      <c r="CZ1025" s="47">
        <v>1.0626913437795575</v>
      </c>
      <c r="DA1025" t="e">
        <v>#N/A</v>
      </c>
      <c r="DB1025" t="str">
        <v/>
      </c>
    </row>
    <row r="1026" spans="83:106" x14ac:dyDescent="0.2">
      <c r="CE1026"/>
      <c r="CF1026"/>
      <c r="CG1026"/>
      <c r="CH1026"/>
      <c r="CI1026"/>
      <c r="CU1026" s="21">
        <v>1021</v>
      </c>
      <c r="CV1026" s="41">
        <v>3</v>
      </c>
      <c r="CW1026" s="41">
        <v>1.0626913437795575</v>
      </c>
      <c r="CX1026" s="41" t="e">
        <v>#N/A</v>
      </c>
      <c r="CY1026" s="41" t="e">
        <v>#N/A</v>
      </c>
      <c r="CZ1026" s="47">
        <v>1.0626913437795575</v>
      </c>
      <c r="DA1026" t="e">
        <v>#N/A</v>
      </c>
      <c r="DB1026" t="str">
        <v/>
      </c>
    </row>
    <row r="1027" spans="83:106" x14ac:dyDescent="0.2">
      <c r="CE1027"/>
      <c r="CF1027"/>
      <c r="CG1027"/>
      <c r="CH1027"/>
      <c r="CI1027"/>
      <c r="CU1027" s="21">
        <v>1022</v>
      </c>
      <c r="CV1027" s="41">
        <v>3</v>
      </c>
      <c r="CW1027" s="41">
        <v>1.0626913437795575</v>
      </c>
      <c r="CX1027" s="41" t="e">
        <v>#N/A</v>
      </c>
      <c r="CY1027" s="41" t="e">
        <v>#N/A</v>
      </c>
      <c r="CZ1027" s="47">
        <v>1.0626913437795575</v>
      </c>
      <c r="DA1027" t="e">
        <v>#N/A</v>
      </c>
      <c r="DB1027" t="str">
        <v/>
      </c>
    </row>
    <row r="1028" spans="83:106" x14ac:dyDescent="0.2">
      <c r="CE1028"/>
      <c r="CF1028"/>
      <c r="CG1028"/>
      <c r="CH1028"/>
      <c r="CI1028"/>
      <c r="CU1028" s="21">
        <v>1023</v>
      </c>
      <c r="CV1028" s="41">
        <v>3</v>
      </c>
      <c r="CW1028" s="41">
        <v>1.0626913437795575</v>
      </c>
      <c r="CX1028" s="41" t="e">
        <v>#N/A</v>
      </c>
      <c r="CY1028" s="41" t="e">
        <v>#N/A</v>
      </c>
      <c r="CZ1028" s="47">
        <v>1.0626913437795575</v>
      </c>
      <c r="DA1028" t="e">
        <v>#N/A</v>
      </c>
      <c r="DB1028" t="str">
        <v/>
      </c>
    </row>
    <row r="1029" spans="83:106" x14ac:dyDescent="0.2">
      <c r="CE1029"/>
      <c r="CF1029"/>
      <c r="CG1029"/>
      <c r="CH1029"/>
      <c r="CI1029"/>
      <c r="CU1029" s="21">
        <v>1024</v>
      </c>
      <c r="CV1029" s="41">
        <v>3</v>
      </c>
      <c r="CW1029" s="41">
        <v>1.0626913437795575</v>
      </c>
      <c r="CX1029" s="41" t="e">
        <v>#N/A</v>
      </c>
      <c r="CY1029" s="41" t="e">
        <v>#N/A</v>
      </c>
      <c r="CZ1029" s="47">
        <v>1.0626913437795575</v>
      </c>
      <c r="DA1029" t="e">
        <v>#N/A</v>
      </c>
      <c r="DB1029" t="str">
        <v/>
      </c>
    </row>
    <row r="1030" spans="83:106" x14ac:dyDescent="0.2">
      <c r="CE1030"/>
      <c r="CF1030"/>
      <c r="CG1030"/>
      <c r="CH1030"/>
      <c r="CI1030"/>
      <c r="CU1030" s="21">
        <v>1025</v>
      </c>
      <c r="CV1030" s="41">
        <v>3</v>
      </c>
      <c r="CW1030" s="41">
        <v>1.0626913437795575</v>
      </c>
      <c r="CX1030" s="41" t="e">
        <v>#N/A</v>
      </c>
      <c r="CY1030" s="41" t="e">
        <v>#N/A</v>
      </c>
      <c r="CZ1030" s="47">
        <v>1.0626913437795575</v>
      </c>
      <c r="DA1030" t="e">
        <v>#N/A</v>
      </c>
      <c r="DB1030" t="str">
        <v/>
      </c>
    </row>
    <row r="1031" spans="83:106" x14ac:dyDescent="0.2">
      <c r="CE1031"/>
      <c r="CF1031"/>
      <c r="CG1031"/>
      <c r="CH1031"/>
      <c r="CI1031"/>
      <c r="CU1031" s="21">
        <v>1026</v>
      </c>
      <c r="CV1031" s="41">
        <v>3</v>
      </c>
      <c r="CW1031" s="41">
        <v>1.0626913437795575</v>
      </c>
      <c r="CX1031" s="41" t="e">
        <v>#N/A</v>
      </c>
      <c r="CY1031" s="41" t="e">
        <v>#N/A</v>
      </c>
      <c r="CZ1031" s="47">
        <v>1.0626913437795575</v>
      </c>
      <c r="DA1031" t="e">
        <v>#N/A</v>
      </c>
      <c r="DB1031" t="str">
        <v/>
      </c>
    </row>
    <row r="1032" spans="83:106" x14ac:dyDescent="0.2">
      <c r="CE1032"/>
      <c r="CF1032"/>
      <c r="CG1032"/>
      <c r="CH1032"/>
      <c r="CI1032"/>
      <c r="CU1032" s="21">
        <v>1027</v>
      </c>
      <c r="CV1032" s="41">
        <v>3</v>
      </c>
      <c r="CW1032" s="41">
        <v>1.0626913437795575</v>
      </c>
      <c r="CX1032" s="41" t="e">
        <v>#N/A</v>
      </c>
      <c r="CY1032" s="41" t="e">
        <v>#N/A</v>
      </c>
      <c r="CZ1032" s="47">
        <v>1.0626913437795575</v>
      </c>
      <c r="DA1032" t="e">
        <v>#N/A</v>
      </c>
      <c r="DB1032" t="str">
        <v/>
      </c>
    </row>
    <row r="1033" spans="83:106" x14ac:dyDescent="0.2">
      <c r="CE1033"/>
      <c r="CF1033"/>
      <c r="CG1033"/>
      <c r="CH1033"/>
      <c r="CI1033"/>
      <c r="CU1033" s="21">
        <v>1028</v>
      </c>
      <c r="CV1033" s="41">
        <v>3</v>
      </c>
      <c r="CW1033" s="41">
        <v>1.0626913437795575</v>
      </c>
      <c r="CX1033" s="41" t="e">
        <v>#N/A</v>
      </c>
      <c r="CY1033" s="41" t="e">
        <v>#N/A</v>
      </c>
      <c r="CZ1033" s="47">
        <v>1.0626913437795575</v>
      </c>
      <c r="DA1033" t="e">
        <v>#N/A</v>
      </c>
      <c r="DB1033" t="str">
        <v/>
      </c>
    </row>
    <row r="1034" spans="83:106" x14ac:dyDescent="0.2">
      <c r="CE1034"/>
      <c r="CF1034"/>
      <c r="CG1034"/>
      <c r="CH1034"/>
      <c r="CI1034"/>
      <c r="CU1034" s="21">
        <v>1029</v>
      </c>
      <c r="CV1034" s="41">
        <v>3</v>
      </c>
      <c r="CW1034" s="41">
        <v>1.0626913437795575</v>
      </c>
      <c r="CX1034" s="41" t="e">
        <v>#N/A</v>
      </c>
      <c r="CY1034" s="41" t="e">
        <v>#N/A</v>
      </c>
      <c r="CZ1034" s="47">
        <v>1.0626913437795575</v>
      </c>
      <c r="DA1034" t="e">
        <v>#N/A</v>
      </c>
      <c r="DB1034" t="str">
        <v/>
      </c>
    </row>
    <row r="1035" spans="83:106" x14ac:dyDescent="0.2">
      <c r="CE1035"/>
      <c r="CF1035"/>
      <c r="CG1035"/>
      <c r="CH1035"/>
      <c r="CI1035"/>
      <c r="CU1035" s="21">
        <v>1030</v>
      </c>
      <c r="CV1035" s="41">
        <v>3</v>
      </c>
      <c r="CW1035" s="41">
        <v>1.0626913437795575</v>
      </c>
      <c r="CX1035" s="41" t="e">
        <v>#N/A</v>
      </c>
      <c r="CY1035" s="41" t="e">
        <v>#N/A</v>
      </c>
      <c r="CZ1035" s="47">
        <v>1.0626913437795575</v>
      </c>
      <c r="DA1035" t="e">
        <v>#N/A</v>
      </c>
      <c r="DB1035" t="str">
        <v/>
      </c>
    </row>
    <row r="1036" spans="83:106" x14ac:dyDescent="0.2">
      <c r="CE1036"/>
      <c r="CF1036"/>
      <c r="CG1036"/>
      <c r="CH1036"/>
      <c r="CI1036"/>
      <c r="CU1036" s="21">
        <v>1031</v>
      </c>
      <c r="CV1036" s="41">
        <v>3</v>
      </c>
      <c r="CW1036" s="41">
        <v>1.0626913437795575</v>
      </c>
      <c r="CX1036" s="41" t="e">
        <v>#N/A</v>
      </c>
      <c r="CY1036" s="41" t="e">
        <v>#N/A</v>
      </c>
      <c r="CZ1036" s="47">
        <v>1.0626913437795575</v>
      </c>
      <c r="DA1036" t="e">
        <v>#N/A</v>
      </c>
      <c r="DB1036" t="str">
        <v/>
      </c>
    </row>
    <row r="1037" spans="83:106" x14ac:dyDescent="0.2">
      <c r="CE1037"/>
      <c r="CF1037"/>
      <c r="CG1037"/>
      <c r="CH1037"/>
      <c r="CI1037"/>
      <c r="CU1037" s="21">
        <v>1032</v>
      </c>
      <c r="CV1037" s="41">
        <v>3</v>
      </c>
      <c r="CW1037" s="41">
        <v>1.0626913437795575</v>
      </c>
      <c r="CX1037" s="41" t="e">
        <v>#N/A</v>
      </c>
      <c r="CY1037" s="41" t="e">
        <v>#N/A</v>
      </c>
      <c r="CZ1037" s="47">
        <v>1.0626913437795575</v>
      </c>
      <c r="DA1037" t="e">
        <v>#N/A</v>
      </c>
      <c r="DB1037" t="str">
        <v/>
      </c>
    </row>
    <row r="1038" spans="83:106" x14ac:dyDescent="0.2">
      <c r="CE1038"/>
      <c r="CF1038"/>
      <c r="CG1038"/>
      <c r="CH1038"/>
      <c r="CI1038"/>
      <c r="CU1038" s="21">
        <v>1033</v>
      </c>
      <c r="CV1038" s="41">
        <v>3</v>
      </c>
      <c r="CW1038" s="41">
        <v>1.0626913437795575</v>
      </c>
      <c r="CX1038" s="41" t="e">
        <v>#N/A</v>
      </c>
      <c r="CY1038" s="41" t="e">
        <v>#N/A</v>
      </c>
      <c r="CZ1038" s="47">
        <v>1.0626913437795575</v>
      </c>
      <c r="DA1038" t="e">
        <v>#N/A</v>
      </c>
      <c r="DB1038" t="str">
        <v/>
      </c>
    </row>
    <row r="1039" spans="83:106" x14ac:dyDescent="0.2">
      <c r="CE1039"/>
      <c r="CF1039"/>
      <c r="CG1039"/>
      <c r="CH1039"/>
      <c r="CI1039"/>
      <c r="CU1039" s="21">
        <v>1034</v>
      </c>
      <c r="CV1039" s="41">
        <v>3</v>
      </c>
      <c r="CW1039" s="41">
        <v>1.0626913437795575</v>
      </c>
      <c r="CX1039" s="41" t="e">
        <v>#N/A</v>
      </c>
      <c r="CY1039" s="41" t="e">
        <v>#N/A</v>
      </c>
      <c r="CZ1039" s="47">
        <v>1.0626913437795575</v>
      </c>
      <c r="DA1039" t="e">
        <v>#N/A</v>
      </c>
      <c r="DB1039" t="str">
        <v/>
      </c>
    </row>
    <row r="1040" spans="83:106" x14ac:dyDescent="0.2">
      <c r="CE1040"/>
      <c r="CF1040"/>
      <c r="CG1040"/>
      <c r="CH1040"/>
      <c r="CI1040"/>
      <c r="CU1040" s="21">
        <v>1035</v>
      </c>
      <c r="CV1040" s="41">
        <v>3</v>
      </c>
      <c r="CW1040" s="41">
        <v>1.0626913437795575</v>
      </c>
      <c r="CX1040" s="41" t="e">
        <v>#N/A</v>
      </c>
      <c r="CY1040" s="41" t="e">
        <v>#N/A</v>
      </c>
      <c r="CZ1040" s="47">
        <v>1.0626913437795575</v>
      </c>
      <c r="DA1040" t="e">
        <v>#N/A</v>
      </c>
      <c r="DB1040" t="str">
        <v/>
      </c>
    </row>
    <row r="1041" spans="83:106" x14ac:dyDescent="0.2">
      <c r="CE1041"/>
      <c r="CF1041"/>
      <c r="CG1041"/>
      <c r="CH1041"/>
      <c r="CI1041"/>
      <c r="CU1041" s="21">
        <v>1036</v>
      </c>
      <c r="CV1041" s="41">
        <v>3</v>
      </c>
      <c r="CW1041" s="41">
        <v>1.0626913437795575</v>
      </c>
      <c r="CX1041" s="41" t="e">
        <v>#N/A</v>
      </c>
      <c r="CY1041" s="41" t="e">
        <v>#N/A</v>
      </c>
      <c r="CZ1041" s="47">
        <v>1.0626913437795575</v>
      </c>
      <c r="DA1041" t="e">
        <v>#N/A</v>
      </c>
      <c r="DB1041" t="str">
        <v/>
      </c>
    </row>
    <row r="1042" spans="83:106" x14ac:dyDescent="0.2">
      <c r="CE1042"/>
      <c r="CF1042"/>
      <c r="CG1042"/>
      <c r="CH1042"/>
      <c r="CI1042"/>
      <c r="CU1042" s="21">
        <v>1037</v>
      </c>
      <c r="CV1042" s="41">
        <v>3</v>
      </c>
      <c r="CW1042" s="41">
        <v>1.0626913437795575</v>
      </c>
      <c r="CX1042" s="41" t="e">
        <v>#N/A</v>
      </c>
      <c r="CY1042" s="41" t="e">
        <v>#N/A</v>
      </c>
      <c r="CZ1042" s="47">
        <v>1.0626913437795575</v>
      </c>
      <c r="DA1042" t="e">
        <v>#N/A</v>
      </c>
      <c r="DB1042" t="str">
        <v/>
      </c>
    </row>
    <row r="1043" spans="83:106" x14ac:dyDescent="0.2">
      <c r="CE1043"/>
      <c r="CF1043"/>
      <c r="CG1043"/>
      <c r="CH1043"/>
      <c r="CI1043"/>
      <c r="CU1043" s="21">
        <v>1038</v>
      </c>
      <c r="CV1043" s="41">
        <v>3</v>
      </c>
      <c r="CW1043" s="41">
        <v>1.0626913437795575</v>
      </c>
      <c r="CX1043" s="41" t="e">
        <v>#N/A</v>
      </c>
      <c r="CY1043" s="41" t="e">
        <v>#N/A</v>
      </c>
      <c r="CZ1043" s="47">
        <v>1.0626913437795575</v>
      </c>
      <c r="DA1043" t="e">
        <v>#N/A</v>
      </c>
      <c r="DB1043" t="str">
        <v/>
      </c>
    </row>
    <row r="1044" spans="83:106" x14ac:dyDescent="0.2">
      <c r="CE1044"/>
      <c r="CF1044"/>
      <c r="CG1044"/>
      <c r="CH1044"/>
      <c r="CI1044"/>
      <c r="CU1044" s="21">
        <v>1039</v>
      </c>
      <c r="CV1044" s="41">
        <v>3</v>
      </c>
      <c r="CW1044" s="41">
        <v>1.0626913437795575</v>
      </c>
      <c r="CX1044" s="41" t="e">
        <v>#N/A</v>
      </c>
      <c r="CY1044" s="41" t="e">
        <v>#N/A</v>
      </c>
      <c r="CZ1044" s="47">
        <v>1.0626913437795575</v>
      </c>
      <c r="DA1044" t="e">
        <v>#N/A</v>
      </c>
      <c r="DB1044" t="str">
        <v/>
      </c>
    </row>
    <row r="1045" spans="83:106" x14ac:dyDescent="0.2">
      <c r="CE1045"/>
      <c r="CF1045"/>
      <c r="CG1045"/>
      <c r="CH1045"/>
      <c r="CI1045"/>
      <c r="CU1045" s="21">
        <v>1040</v>
      </c>
      <c r="CV1045" s="41">
        <v>3</v>
      </c>
      <c r="CW1045" s="41">
        <v>1.0626913437795575</v>
      </c>
      <c r="CX1045" s="41" t="e">
        <v>#N/A</v>
      </c>
      <c r="CY1045" s="41" t="e">
        <v>#N/A</v>
      </c>
      <c r="CZ1045" s="47">
        <v>1.0626913437795575</v>
      </c>
      <c r="DA1045" t="e">
        <v>#N/A</v>
      </c>
      <c r="DB1045" t="str">
        <v/>
      </c>
    </row>
    <row r="1046" spans="83:106" x14ac:dyDescent="0.2">
      <c r="CE1046"/>
      <c r="CF1046"/>
      <c r="CG1046"/>
      <c r="CH1046"/>
      <c r="CI1046"/>
      <c r="CU1046" s="21">
        <v>1041</v>
      </c>
      <c r="CV1046" s="41">
        <v>3</v>
      </c>
      <c r="CW1046" s="41">
        <v>1.0626913437795575</v>
      </c>
      <c r="CX1046" s="41" t="e">
        <v>#N/A</v>
      </c>
      <c r="CY1046" s="41" t="e">
        <v>#N/A</v>
      </c>
      <c r="CZ1046" s="47">
        <v>1.0626913437795575</v>
      </c>
      <c r="DA1046" t="e">
        <v>#N/A</v>
      </c>
      <c r="DB1046" t="str">
        <v/>
      </c>
    </row>
    <row r="1047" spans="83:106" x14ac:dyDescent="0.2">
      <c r="CE1047"/>
      <c r="CF1047"/>
      <c r="CG1047"/>
      <c r="CH1047"/>
      <c r="CI1047"/>
      <c r="CU1047" s="21">
        <v>1042</v>
      </c>
      <c r="CV1047" s="41">
        <v>3</v>
      </c>
      <c r="CW1047" s="41">
        <v>1.0626913437795575</v>
      </c>
      <c r="CX1047" s="41" t="e">
        <v>#N/A</v>
      </c>
      <c r="CY1047" s="41" t="e">
        <v>#N/A</v>
      </c>
      <c r="CZ1047" s="47">
        <v>1.0626913437795575</v>
      </c>
      <c r="DA1047" t="e">
        <v>#N/A</v>
      </c>
      <c r="DB1047" t="str">
        <v/>
      </c>
    </row>
    <row r="1048" spans="83:106" x14ac:dyDescent="0.2">
      <c r="CE1048"/>
      <c r="CF1048"/>
      <c r="CG1048"/>
      <c r="CH1048"/>
      <c r="CI1048"/>
      <c r="CU1048" s="21">
        <v>1043</v>
      </c>
      <c r="CV1048" s="41">
        <v>3</v>
      </c>
      <c r="CW1048" s="41">
        <v>1.0626913437795575</v>
      </c>
      <c r="CX1048" s="41" t="e">
        <v>#N/A</v>
      </c>
      <c r="CY1048" s="41" t="e">
        <v>#N/A</v>
      </c>
      <c r="CZ1048" s="47">
        <v>1.0626913437795575</v>
      </c>
      <c r="DA1048" t="e">
        <v>#N/A</v>
      </c>
      <c r="DB1048" t="str">
        <v/>
      </c>
    </row>
    <row r="1049" spans="83:106" x14ac:dyDescent="0.2">
      <c r="CE1049"/>
      <c r="CF1049"/>
      <c r="CG1049"/>
      <c r="CH1049"/>
      <c r="CI1049"/>
      <c r="CU1049" s="21">
        <v>1044</v>
      </c>
      <c r="CV1049" s="41">
        <v>3</v>
      </c>
      <c r="CW1049" s="41">
        <v>1.0626913437795575</v>
      </c>
      <c r="CX1049" s="41" t="e">
        <v>#N/A</v>
      </c>
      <c r="CY1049" s="41" t="e">
        <v>#N/A</v>
      </c>
      <c r="CZ1049" s="47">
        <v>1.0626913437795575</v>
      </c>
      <c r="DA1049" t="e">
        <v>#N/A</v>
      </c>
      <c r="DB1049" t="str">
        <v/>
      </c>
    </row>
    <row r="1050" spans="83:106" x14ac:dyDescent="0.2">
      <c r="CE1050"/>
      <c r="CF1050"/>
      <c r="CG1050"/>
      <c r="CH1050"/>
      <c r="CI1050"/>
      <c r="CU1050" s="21">
        <v>1045</v>
      </c>
      <c r="CV1050" s="41">
        <v>3</v>
      </c>
      <c r="CW1050" s="41">
        <v>1.0626913437795575</v>
      </c>
      <c r="CX1050" s="41" t="e">
        <v>#N/A</v>
      </c>
      <c r="CY1050" s="41" t="e">
        <v>#N/A</v>
      </c>
      <c r="CZ1050" s="47">
        <v>1.0626913437795575</v>
      </c>
      <c r="DA1050" t="e">
        <v>#N/A</v>
      </c>
      <c r="DB1050" t="str">
        <v/>
      </c>
    </row>
    <row r="1051" spans="83:106" x14ac:dyDescent="0.2">
      <c r="CE1051"/>
      <c r="CF1051"/>
      <c r="CG1051"/>
      <c r="CH1051"/>
      <c r="CI1051"/>
      <c r="CU1051" s="21">
        <v>1046</v>
      </c>
      <c r="CV1051" s="41">
        <v>3</v>
      </c>
      <c r="CW1051" s="41">
        <v>1.0626913437795575</v>
      </c>
      <c r="CX1051" s="41" t="e">
        <v>#N/A</v>
      </c>
      <c r="CY1051" s="41" t="e">
        <v>#N/A</v>
      </c>
      <c r="CZ1051" s="47">
        <v>1.0626913437795575</v>
      </c>
      <c r="DA1051" t="e">
        <v>#N/A</v>
      </c>
      <c r="DB1051" t="str">
        <v/>
      </c>
    </row>
    <row r="1052" spans="83:106" x14ac:dyDescent="0.2">
      <c r="CE1052"/>
      <c r="CF1052"/>
      <c r="CG1052"/>
      <c r="CH1052"/>
      <c r="CI1052"/>
      <c r="CU1052" s="21">
        <v>1047</v>
      </c>
      <c r="CV1052" s="41">
        <v>3</v>
      </c>
      <c r="CW1052" s="41">
        <v>1.0626913437795575</v>
      </c>
      <c r="CX1052" s="41" t="e">
        <v>#N/A</v>
      </c>
      <c r="CY1052" s="41" t="e">
        <v>#N/A</v>
      </c>
      <c r="CZ1052" s="47">
        <v>1.0626913437795575</v>
      </c>
      <c r="DA1052" t="e">
        <v>#N/A</v>
      </c>
      <c r="DB1052" t="str">
        <v/>
      </c>
    </row>
    <row r="1053" spans="83:106" x14ac:dyDescent="0.2">
      <c r="CE1053"/>
      <c r="CF1053"/>
      <c r="CG1053"/>
      <c r="CH1053"/>
      <c r="CI1053"/>
      <c r="CU1053" s="21">
        <v>1048</v>
      </c>
      <c r="CV1053" s="41">
        <v>3</v>
      </c>
      <c r="CW1053" s="41">
        <v>1.0626913437795575</v>
      </c>
      <c r="CX1053" s="41" t="e">
        <v>#N/A</v>
      </c>
      <c r="CY1053" s="41" t="e">
        <v>#N/A</v>
      </c>
      <c r="CZ1053" s="47">
        <v>1.0626913437795575</v>
      </c>
      <c r="DA1053" t="e">
        <v>#N/A</v>
      </c>
      <c r="DB1053" t="str">
        <v/>
      </c>
    </row>
    <row r="1054" spans="83:106" x14ac:dyDescent="0.2">
      <c r="CE1054"/>
      <c r="CF1054"/>
      <c r="CG1054"/>
      <c r="CH1054"/>
      <c r="CI1054"/>
      <c r="CU1054" s="21">
        <v>1049</v>
      </c>
      <c r="CV1054" s="41">
        <v>3</v>
      </c>
      <c r="CW1054" s="41">
        <v>1.0626913437795575</v>
      </c>
      <c r="CX1054" s="41" t="e">
        <v>#N/A</v>
      </c>
      <c r="CY1054" s="41" t="e">
        <v>#N/A</v>
      </c>
      <c r="CZ1054" s="47">
        <v>1.0626913437795575</v>
      </c>
      <c r="DA1054" t="e">
        <v>#N/A</v>
      </c>
      <c r="DB1054" t="str">
        <v/>
      </c>
    </row>
    <row r="1055" spans="83:106" x14ac:dyDescent="0.2">
      <c r="CE1055"/>
      <c r="CF1055"/>
      <c r="CG1055"/>
      <c r="CH1055"/>
      <c r="CI1055"/>
      <c r="CU1055" s="21">
        <v>1050</v>
      </c>
      <c r="CV1055" s="41">
        <v>3</v>
      </c>
      <c r="CW1055" s="41">
        <v>1.0626913437795575</v>
      </c>
      <c r="CX1055" s="41" t="e">
        <v>#N/A</v>
      </c>
      <c r="CY1055" s="41" t="e">
        <v>#N/A</v>
      </c>
      <c r="CZ1055" s="47">
        <v>1.0626913437795575</v>
      </c>
      <c r="DA1055" t="e">
        <v>#N/A</v>
      </c>
      <c r="DB1055" t="str">
        <v/>
      </c>
    </row>
    <row r="1056" spans="83:106" x14ac:dyDescent="0.2">
      <c r="CE1056"/>
      <c r="CF1056"/>
      <c r="CG1056"/>
      <c r="CH1056"/>
      <c r="CI1056"/>
      <c r="CU1056" s="21">
        <v>1051</v>
      </c>
      <c r="CV1056" s="41">
        <v>3</v>
      </c>
      <c r="CW1056" s="41">
        <v>1.0626913437795575</v>
      </c>
      <c r="CX1056" s="41" t="e">
        <v>#N/A</v>
      </c>
      <c r="CY1056" s="41" t="e">
        <v>#N/A</v>
      </c>
      <c r="CZ1056" s="47">
        <v>1.0626913437795575</v>
      </c>
      <c r="DA1056" t="e">
        <v>#N/A</v>
      </c>
      <c r="DB1056" t="str">
        <v/>
      </c>
    </row>
    <row r="1057" spans="83:106" x14ac:dyDescent="0.2">
      <c r="CE1057"/>
      <c r="CF1057"/>
      <c r="CG1057"/>
      <c r="CH1057"/>
      <c r="CI1057"/>
      <c r="CU1057" s="21">
        <v>1052</v>
      </c>
      <c r="CV1057" s="41">
        <v>3</v>
      </c>
      <c r="CW1057" s="41">
        <v>1.0626913437795575</v>
      </c>
      <c r="CX1057" s="41" t="e">
        <v>#N/A</v>
      </c>
      <c r="CY1057" s="41" t="e">
        <v>#N/A</v>
      </c>
      <c r="CZ1057" s="47">
        <v>1.0626913437795575</v>
      </c>
      <c r="DA1057" t="e">
        <v>#N/A</v>
      </c>
      <c r="DB1057" t="str">
        <v/>
      </c>
    </row>
    <row r="1058" spans="83:106" x14ac:dyDescent="0.2">
      <c r="CE1058"/>
      <c r="CF1058"/>
      <c r="CG1058"/>
      <c r="CH1058"/>
      <c r="CI1058"/>
      <c r="CU1058" s="21">
        <v>1053</v>
      </c>
      <c r="CV1058" s="41">
        <v>3</v>
      </c>
      <c r="CW1058" s="41">
        <v>1.0626913437795575</v>
      </c>
      <c r="CX1058" s="41" t="e">
        <v>#N/A</v>
      </c>
      <c r="CY1058" s="41" t="e">
        <v>#N/A</v>
      </c>
      <c r="CZ1058" s="47">
        <v>1.0626913437795575</v>
      </c>
      <c r="DA1058" t="e">
        <v>#N/A</v>
      </c>
      <c r="DB1058" t="str">
        <v/>
      </c>
    </row>
    <row r="1059" spans="83:106" x14ac:dyDescent="0.2">
      <c r="CE1059"/>
      <c r="CF1059"/>
      <c r="CG1059"/>
      <c r="CH1059"/>
      <c r="CI1059"/>
      <c r="CU1059" s="21">
        <v>1054</v>
      </c>
      <c r="CV1059" s="41">
        <v>3</v>
      </c>
      <c r="CW1059" s="41">
        <v>1.0626913437795575</v>
      </c>
      <c r="CX1059" s="41" t="e">
        <v>#N/A</v>
      </c>
      <c r="CY1059" s="41" t="e">
        <v>#N/A</v>
      </c>
      <c r="CZ1059" s="47">
        <v>1.0626913437795575</v>
      </c>
      <c r="DA1059" t="e">
        <v>#N/A</v>
      </c>
      <c r="DB1059" t="str">
        <v/>
      </c>
    </row>
    <row r="1060" spans="83:106" x14ac:dyDescent="0.2">
      <c r="CE1060"/>
      <c r="CF1060"/>
      <c r="CG1060"/>
      <c r="CH1060"/>
      <c r="CI1060"/>
      <c r="CU1060" s="21">
        <v>1055</v>
      </c>
      <c r="CV1060" s="41">
        <v>3</v>
      </c>
      <c r="CW1060" s="41">
        <v>1.0626913437795575</v>
      </c>
      <c r="CX1060" s="41" t="e">
        <v>#N/A</v>
      </c>
      <c r="CY1060" s="41" t="e">
        <v>#N/A</v>
      </c>
      <c r="CZ1060" s="47">
        <v>1.0626913437795575</v>
      </c>
      <c r="DA1060" t="e">
        <v>#N/A</v>
      </c>
      <c r="DB1060" t="str">
        <v/>
      </c>
    </row>
    <row r="1061" spans="83:106" x14ac:dyDescent="0.2">
      <c r="CE1061"/>
      <c r="CF1061"/>
      <c r="CG1061"/>
      <c r="CH1061"/>
      <c r="CI1061"/>
      <c r="CU1061" s="21">
        <v>1056</v>
      </c>
      <c r="CV1061" s="41">
        <v>3</v>
      </c>
      <c r="CW1061" s="41">
        <v>1.0626913437795575</v>
      </c>
      <c r="CX1061" s="41" t="e">
        <v>#N/A</v>
      </c>
      <c r="CY1061" s="41" t="e">
        <v>#N/A</v>
      </c>
      <c r="CZ1061" s="47">
        <v>1.0626913437795575</v>
      </c>
      <c r="DA1061" t="e">
        <v>#N/A</v>
      </c>
      <c r="DB1061" t="str">
        <v/>
      </c>
    </row>
    <row r="1062" spans="83:106" x14ac:dyDescent="0.2">
      <c r="CE1062"/>
      <c r="CF1062"/>
      <c r="CG1062"/>
      <c r="CH1062"/>
      <c r="CI1062"/>
      <c r="CU1062" s="21">
        <v>1057</v>
      </c>
      <c r="CV1062" s="41">
        <v>3</v>
      </c>
      <c r="CW1062" s="41">
        <v>1.0626913437795575</v>
      </c>
      <c r="CX1062" s="41" t="e">
        <v>#N/A</v>
      </c>
      <c r="CY1062" s="41" t="e">
        <v>#N/A</v>
      </c>
      <c r="CZ1062" s="47">
        <v>1.0626913437795575</v>
      </c>
      <c r="DA1062" t="e">
        <v>#N/A</v>
      </c>
      <c r="DB1062" t="str">
        <v/>
      </c>
    </row>
    <row r="1063" spans="83:106" x14ac:dyDescent="0.2">
      <c r="CE1063"/>
      <c r="CF1063"/>
      <c r="CG1063"/>
      <c r="CH1063"/>
      <c r="CI1063"/>
      <c r="CU1063" s="21">
        <v>1058</v>
      </c>
      <c r="CV1063" s="41">
        <v>3</v>
      </c>
      <c r="CW1063" s="41">
        <v>1.0626913437795575</v>
      </c>
      <c r="CX1063" s="41" t="e">
        <v>#N/A</v>
      </c>
      <c r="CY1063" s="41" t="e">
        <v>#N/A</v>
      </c>
      <c r="CZ1063" s="47">
        <v>1.0626913437795575</v>
      </c>
      <c r="DA1063" t="e">
        <v>#N/A</v>
      </c>
      <c r="DB1063" t="str">
        <v/>
      </c>
    </row>
    <row r="1064" spans="83:106" x14ac:dyDescent="0.2">
      <c r="CE1064"/>
      <c r="CF1064"/>
      <c r="CG1064"/>
      <c r="CH1064"/>
      <c r="CI1064"/>
      <c r="CU1064" s="21">
        <v>1059</v>
      </c>
      <c r="CV1064" s="41">
        <v>3</v>
      </c>
      <c r="CW1064" s="41">
        <v>1.0626913437795575</v>
      </c>
      <c r="CX1064" s="41" t="e">
        <v>#N/A</v>
      </c>
      <c r="CY1064" s="41" t="e">
        <v>#N/A</v>
      </c>
      <c r="CZ1064" s="47">
        <v>1.0626913437795575</v>
      </c>
      <c r="DA1064" t="e">
        <v>#N/A</v>
      </c>
      <c r="DB1064" t="str">
        <v/>
      </c>
    </row>
    <row r="1065" spans="83:106" x14ac:dyDescent="0.2">
      <c r="CE1065"/>
      <c r="CF1065"/>
      <c r="CG1065"/>
      <c r="CH1065"/>
      <c r="CI1065"/>
      <c r="CU1065" s="21">
        <v>1060</v>
      </c>
      <c r="CV1065" s="41">
        <v>3</v>
      </c>
      <c r="CW1065" s="41">
        <v>1.0626913437795575</v>
      </c>
      <c r="CX1065" s="41" t="e">
        <v>#N/A</v>
      </c>
      <c r="CY1065" s="41" t="e">
        <v>#N/A</v>
      </c>
      <c r="CZ1065" s="47">
        <v>1.0626913437795575</v>
      </c>
      <c r="DA1065" t="e">
        <v>#N/A</v>
      </c>
      <c r="DB1065" t="str">
        <v/>
      </c>
    </row>
    <row r="1066" spans="83:106" x14ac:dyDescent="0.2">
      <c r="CE1066"/>
      <c r="CF1066"/>
      <c r="CG1066"/>
      <c r="CH1066"/>
      <c r="CI1066"/>
      <c r="CU1066" s="21">
        <v>1061</v>
      </c>
      <c r="CV1066" s="41">
        <v>3</v>
      </c>
      <c r="CW1066" s="41">
        <v>1.0626913437795575</v>
      </c>
      <c r="CX1066" s="41" t="e">
        <v>#N/A</v>
      </c>
      <c r="CY1066" s="41" t="e">
        <v>#N/A</v>
      </c>
      <c r="CZ1066" s="47">
        <v>1.0626913437795575</v>
      </c>
      <c r="DA1066" t="e">
        <v>#N/A</v>
      </c>
      <c r="DB1066" t="str">
        <v/>
      </c>
    </row>
    <row r="1067" spans="83:106" x14ac:dyDescent="0.2">
      <c r="CE1067"/>
      <c r="CF1067"/>
      <c r="CG1067"/>
      <c r="CH1067"/>
      <c r="CI1067"/>
      <c r="CU1067" s="21">
        <v>1062</v>
      </c>
      <c r="CV1067" s="41">
        <v>3</v>
      </c>
      <c r="CW1067" s="41">
        <v>1.0626913437795575</v>
      </c>
      <c r="CX1067" s="41" t="e">
        <v>#N/A</v>
      </c>
      <c r="CY1067" s="41" t="e">
        <v>#N/A</v>
      </c>
      <c r="CZ1067" s="47">
        <v>1.0626913437795575</v>
      </c>
      <c r="DA1067" t="e">
        <v>#N/A</v>
      </c>
      <c r="DB1067" t="str">
        <v/>
      </c>
    </row>
    <row r="1068" spans="83:106" x14ac:dyDescent="0.2">
      <c r="CE1068"/>
      <c r="CF1068"/>
      <c r="CG1068"/>
      <c r="CH1068"/>
      <c r="CI1068"/>
      <c r="CU1068" s="21">
        <v>1063</v>
      </c>
      <c r="CV1068" s="41">
        <v>3</v>
      </c>
      <c r="CW1068" s="41">
        <v>1.0626913437795575</v>
      </c>
      <c r="CX1068" s="41" t="e">
        <v>#N/A</v>
      </c>
      <c r="CY1068" s="41" t="e">
        <v>#N/A</v>
      </c>
      <c r="CZ1068" s="47">
        <v>1.0626913437795575</v>
      </c>
      <c r="DA1068" t="e">
        <v>#N/A</v>
      </c>
      <c r="DB1068" t="str">
        <v/>
      </c>
    </row>
    <row r="1069" spans="83:106" x14ac:dyDescent="0.2">
      <c r="CE1069"/>
      <c r="CF1069"/>
      <c r="CG1069"/>
      <c r="CH1069"/>
      <c r="CI1069"/>
      <c r="CU1069" s="21">
        <v>1064</v>
      </c>
      <c r="CV1069" s="41">
        <v>3</v>
      </c>
      <c r="CW1069" s="41">
        <v>1.0626913437795575</v>
      </c>
      <c r="CX1069" s="41" t="e">
        <v>#N/A</v>
      </c>
      <c r="CY1069" s="41" t="e">
        <v>#N/A</v>
      </c>
      <c r="CZ1069" s="47">
        <v>1.0626913437795575</v>
      </c>
      <c r="DA1069" t="e">
        <v>#N/A</v>
      </c>
      <c r="DB1069" t="str">
        <v/>
      </c>
    </row>
    <row r="1070" spans="83:106" x14ac:dyDescent="0.2">
      <c r="CE1070"/>
      <c r="CF1070"/>
      <c r="CG1070"/>
      <c r="CH1070"/>
      <c r="CI1070"/>
      <c r="CU1070" s="21">
        <v>1065</v>
      </c>
      <c r="CV1070" s="41">
        <v>3</v>
      </c>
      <c r="CW1070" s="41">
        <v>1.0626913437795575</v>
      </c>
      <c r="CX1070" s="41" t="e">
        <v>#N/A</v>
      </c>
      <c r="CY1070" s="41" t="e">
        <v>#N/A</v>
      </c>
      <c r="CZ1070" s="47">
        <v>1.0626913437795575</v>
      </c>
      <c r="DA1070" t="e">
        <v>#N/A</v>
      </c>
      <c r="DB1070" t="str">
        <v/>
      </c>
    </row>
    <row r="1071" spans="83:106" x14ac:dyDescent="0.2">
      <c r="CE1071"/>
      <c r="CF1071"/>
      <c r="CG1071"/>
      <c r="CH1071"/>
      <c r="CI1071"/>
      <c r="CU1071" s="21">
        <v>1066</v>
      </c>
      <c r="CV1071" s="41">
        <v>3</v>
      </c>
      <c r="CW1071" s="41">
        <v>1.0626913437795575</v>
      </c>
      <c r="CX1071" s="41" t="e">
        <v>#N/A</v>
      </c>
      <c r="CY1071" s="41" t="e">
        <v>#N/A</v>
      </c>
      <c r="CZ1071" s="47">
        <v>1.0626913437795575</v>
      </c>
      <c r="DA1071" t="e">
        <v>#N/A</v>
      </c>
      <c r="DB1071" t="str">
        <v/>
      </c>
    </row>
    <row r="1072" spans="83:106" x14ac:dyDescent="0.2">
      <c r="CE1072"/>
      <c r="CF1072"/>
      <c r="CG1072"/>
      <c r="CH1072"/>
      <c r="CI1072"/>
      <c r="CU1072" s="21">
        <v>1067</v>
      </c>
      <c r="CV1072" s="41">
        <v>3</v>
      </c>
      <c r="CW1072" s="41">
        <v>1.0626913437795575</v>
      </c>
      <c r="CX1072" s="41" t="e">
        <v>#N/A</v>
      </c>
      <c r="CY1072" s="41" t="e">
        <v>#N/A</v>
      </c>
      <c r="CZ1072" s="47">
        <v>1.0626913437795575</v>
      </c>
      <c r="DA1072" t="e">
        <v>#N/A</v>
      </c>
      <c r="DB1072" t="str">
        <v/>
      </c>
    </row>
    <row r="1073" spans="83:106" x14ac:dyDescent="0.2">
      <c r="CE1073"/>
      <c r="CF1073"/>
      <c r="CG1073"/>
      <c r="CH1073"/>
      <c r="CI1073"/>
      <c r="CU1073" s="21">
        <v>1068</v>
      </c>
      <c r="CV1073" s="41">
        <v>3</v>
      </c>
      <c r="CW1073" s="41">
        <v>1.0626913437795575</v>
      </c>
      <c r="CX1073" s="41" t="e">
        <v>#N/A</v>
      </c>
      <c r="CY1073" s="41" t="e">
        <v>#N/A</v>
      </c>
      <c r="CZ1073" s="47">
        <v>1.0626913437795575</v>
      </c>
      <c r="DA1073" t="e">
        <v>#N/A</v>
      </c>
      <c r="DB1073" t="str">
        <v/>
      </c>
    </row>
    <row r="1074" spans="83:106" x14ac:dyDescent="0.2">
      <c r="CE1074"/>
      <c r="CF1074"/>
      <c r="CG1074"/>
      <c r="CH1074"/>
      <c r="CI1074"/>
      <c r="CU1074" s="21">
        <v>1069</v>
      </c>
      <c r="CV1074" s="41">
        <v>3</v>
      </c>
      <c r="CW1074" s="41">
        <v>1.0626913437795575</v>
      </c>
      <c r="CX1074" s="41" t="e">
        <v>#N/A</v>
      </c>
      <c r="CY1074" s="41" t="e">
        <v>#N/A</v>
      </c>
      <c r="CZ1074" s="47">
        <v>1.0626913437795575</v>
      </c>
      <c r="DA1074" t="e">
        <v>#N/A</v>
      </c>
      <c r="DB1074" t="str">
        <v/>
      </c>
    </row>
    <row r="1075" spans="83:106" x14ac:dyDescent="0.2">
      <c r="CE1075"/>
      <c r="CF1075"/>
      <c r="CG1075"/>
      <c r="CH1075"/>
      <c r="CI1075"/>
      <c r="CU1075" s="21">
        <v>1070</v>
      </c>
      <c r="CV1075" s="41">
        <v>3</v>
      </c>
      <c r="CW1075" s="41">
        <v>1.0626913437795575</v>
      </c>
      <c r="CX1075" s="41" t="e">
        <v>#N/A</v>
      </c>
      <c r="CY1075" s="41" t="e">
        <v>#N/A</v>
      </c>
      <c r="CZ1075" s="47">
        <v>1.0626913437795575</v>
      </c>
      <c r="DA1075" t="e">
        <v>#N/A</v>
      </c>
      <c r="DB1075" t="str">
        <v/>
      </c>
    </row>
    <row r="1076" spans="83:106" x14ac:dyDescent="0.2">
      <c r="CE1076"/>
      <c r="CF1076"/>
      <c r="CG1076"/>
      <c r="CH1076"/>
      <c r="CI1076"/>
      <c r="CU1076" s="21">
        <v>1071</v>
      </c>
      <c r="CV1076" s="41">
        <v>3</v>
      </c>
      <c r="CW1076" s="41">
        <v>1.0626913437795575</v>
      </c>
      <c r="CX1076" s="41" t="e">
        <v>#N/A</v>
      </c>
      <c r="CY1076" s="41" t="e">
        <v>#N/A</v>
      </c>
      <c r="CZ1076" s="47">
        <v>1.0626913437795575</v>
      </c>
      <c r="DA1076" t="e">
        <v>#N/A</v>
      </c>
      <c r="DB1076" t="str">
        <v/>
      </c>
    </row>
    <row r="1077" spans="83:106" x14ac:dyDescent="0.2">
      <c r="CE1077"/>
      <c r="CF1077"/>
      <c r="CG1077"/>
      <c r="CH1077"/>
      <c r="CI1077"/>
      <c r="CU1077" s="21">
        <v>1072</v>
      </c>
      <c r="CV1077" s="41">
        <v>3</v>
      </c>
      <c r="CW1077" s="41">
        <v>1.0626913437795575</v>
      </c>
      <c r="CX1077" s="41" t="e">
        <v>#N/A</v>
      </c>
      <c r="CY1077" s="41" t="e">
        <v>#N/A</v>
      </c>
      <c r="CZ1077" s="47">
        <v>1.0626913437795575</v>
      </c>
      <c r="DA1077" t="e">
        <v>#N/A</v>
      </c>
      <c r="DB1077" t="str">
        <v/>
      </c>
    </row>
    <row r="1078" spans="83:106" x14ac:dyDescent="0.2">
      <c r="CE1078"/>
      <c r="CF1078"/>
      <c r="CG1078"/>
      <c r="CH1078"/>
      <c r="CI1078"/>
      <c r="CU1078" s="21">
        <v>1073</v>
      </c>
      <c r="CV1078" s="41">
        <v>3</v>
      </c>
      <c r="CW1078" s="41">
        <v>1.0626913437795575</v>
      </c>
      <c r="CX1078" s="41" t="e">
        <v>#N/A</v>
      </c>
      <c r="CY1078" s="41" t="e">
        <v>#N/A</v>
      </c>
      <c r="CZ1078" s="47">
        <v>1.0626913437795575</v>
      </c>
      <c r="DA1078" t="e">
        <v>#N/A</v>
      </c>
      <c r="DB1078" t="str">
        <v/>
      </c>
    </row>
    <row r="1079" spans="83:106" x14ac:dyDescent="0.2">
      <c r="CE1079"/>
      <c r="CF1079"/>
      <c r="CG1079"/>
      <c r="CH1079"/>
      <c r="CI1079"/>
      <c r="CU1079" s="21">
        <v>1074</v>
      </c>
      <c r="CV1079" s="41">
        <v>3</v>
      </c>
      <c r="CW1079" s="41">
        <v>1.0626913437795575</v>
      </c>
      <c r="CX1079" s="41" t="e">
        <v>#N/A</v>
      </c>
      <c r="CY1079" s="41" t="e">
        <v>#N/A</v>
      </c>
      <c r="CZ1079" s="47">
        <v>1.0626913437795575</v>
      </c>
      <c r="DA1079" t="e">
        <v>#N/A</v>
      </c>
      <c r="DB1079" t="str">
        <v/>
      </c>
    </row>
    <row r="1080" spans="83:106" x14ac:dyDescent="0.2">
      <c r="CE1080"/>
      <c r="CF1080"/>
      <c r="CG1080"/>
      <c r="CH1080"/>
      <c r="CI1080"/>
      <c r="CU1080" s="21">
        <v>1075</v>
      </c>
      <c r="CV1080" s="41">
        <v>3</v>
      </c>
      <c r="CW1080" s="41">
        <v>1.0626913437795575</v>
      </c>
      <c r="CX1080" s="41" t="e">
        <v>#N/A</v>
      </c>
      <c r="CY1080" s="41" t="e">
        <v>#N/A</v>
      </c>
      <c r="CZ1080" s="47">
        <v>1.0626913437795575</v>
      </c>
      <c r="DA1080" t="e">
        <v>#N/A</v>
      </c>
      <c r="DB1080" t="str">
        <v/>
      </c>
    </row>
    <row r="1081" spans="83:106" x14ac:dyDescent="0.2">
      <c r="CE1081"/>
      <c r="CF1081"/>
      <c r="CG1081"/>
      <c r="CH1081"/>
      <c r="CI1081"/>
      <c r="CU1081" s="21">
        <v>1076</v>
      </c>
      <c r="CV1081" s="41">
        <v>3</v>
      </c>
      <c r="CW1081" s="41">
        <v>1.0626913437795575</v>
      </c>
      <c r="CX1081" s="41" t="e">
        <v>#N/A</v>
      </c>
      <c r="CY1081" s="41" t="e">
        <v>#N/A</v>
      </c>
      <c r="CZ1081" s="47">
        <v>1.0626913437795575</v>
      </c>
      <c r="DA1081" t="e">
        <v>#N/A</v>
      </c>
      <c r="DB1081" t="str">
        <v/>
      </c>
    </row>
    <row r="1082" spans="83:106" x14ac:dyDescent="0.2">
      <c r="CE1082"/>
      <c r="CF1082"/>
      <c r="CG1082"/>
      <c r="CH1082"/>
      <c r="CI1082"/>
      <c r="CU1082" s="21">
        <v>1077</v>
      </c>
      <c r="CV1082" s="41">
        <v>3</v>
      </c>
      <c r="CW1082" s="41">
        <v>1.0626913437795575</v>
      </c>
      <c r="CX1082" s="41" t="e">
        <v>#N/A</v>
      </c>
      <c r="CY1082" s="41" t="e">
        <v>#N/A</v>
      </c>
      <c r="CZ1082" s="47">
        <v>1.0626913437795575</v>
      </c>
      <c r="DA1082" t="e">
        <v>#N/A</v>
      </c>
      <c r="DB1082" t="str">
        <v/>
      </c>
    </row>
    <row r="1083" spans="83:106" x14ac:dyDescent="0.2">
      <c r="CE1083"/>
      <c r="CF1083"/>
      <c r="CG1083"/>
      <c r="CH1083"/>
      <c r="CI1083"/>
      <c r="CU1083" s="21">
        <v>1078</v>
      </c>
      <c r="CV1083" s="41">
        <v>3</v>
      </c>
      <c r="CW1083" s="41">
        <v>1.0626913437795575</v>
      </c>
      <c r="CX1083" s="41" t="e">
        <v>#N/A</v>
      </c>
      <c r="CY1083" s="41" t="e">
        <v>#N/A</v>
      </c>
      <c r="CZ1083" s="47">
        <v>1.0626913437795575</v>
      </c>
      <c r="DA1083" t="e">
        <v>#N/A</v>
      </c>
      <c r="DB1083" t="str">
        <v/>
      </c>
    </row>
    <row r="1084" spans="83:106" x14ac:dyDescent="0.2">
      <c r="CE1084"/>
      <c r="CF1084"/>
      <c r="CG1084"/>
      <c r="CH1084"/>
      <c r="CI1084"/>
      <c r="CU1084" s="21">
        <v>1079</v>
      </c>
      <c r="CV1084" s="41">
        <v>3</v>
      </c>
      <c r="CW1084" s="41">
        <v>1.0626913437795575</v>
      </c>
      <c r="CX1084" s="41" t="e">
        <v>#N/A</v>
      </c>
      <c r="CY1084" s="41" t="e">
        <v>#N/A</v>
      </c>
      <c r="CZ1084" s="47">
        <v>1.0626913437795575</v>
      </c>
      <c r="DA1084" t="e">
        <v>#N/A</v>
      </c>
      <c r="DB1084" t="str">
        <v/>
      </c>
    </row>
    <row r="1085" spans="83:106" x14ac:dyDescent="0.2">
      <c r="CE1085"/>
      <c r="CF1085"/>
      <c r="CG1085"/>
      <c r="CH1085"/>
      <c r="CI1085"/>
      <c r="CU1085" s="21">
        <v>1080</v>
      </c>
      <c r="CV1085" s="41">
        <v>3</v>
      </c>
      <c r="CW1085" s="41">
        <v>1.0626913437795575</v>
      </c>
      <c r="CX1085" s="41" t="e">
        <v>#N/A</v>
      </c>
      <c r="CY1085" s="41" t="e">
        <v>#N/A</v>
      </c>
      <c r="CZ1085" s="47">
        <v>1.0626913437795575</v>
      </c>
      <c r="DA1085" t="e">
        <v>#N/A</v>
      </c>
      <c r="DB1085" t="str">
        <v/>
      </c>
    </row>
    <row r="1086" spans="83:106" x14ac:dyDescent="0.2">
      <c r="CE1086"/>
      <c r="CF1086"/>
      <c r="CG1086"/>
      <c r="CH1086"/>
      <c r="CI1086"/>
      <c r="CU1086" s="21">
        <v>1081</v>
      </c>
      <c r="CV1086" s="41">
        <v>3</v>
      </c>
      <c r="CW1086" s="41">
        <v>1.0626913437795575</v>
      </c>
      <c r="CX1086" s="41" t="e">
        <v>#N/A</v>
      </c>
      <c r="CY1086" s="41" t="e">
        <v>#N/A</v>
      </c>
      <c r="CZ1086" s="47">
        <v>1.0626913437795575</v>
      </c>
      <c r="DA1086" t="e">
        <v>#N/A</v>
      </c>
      <c r="DB1086" t="str">
        <v/>
      </c>
    </row>
    <row r="1087" spans="83:106" x14ac:dyDescent="0.2">
      <c r="CE1087"/>
      <c r="CF1087"/>
      <c r="CG1087"/>
      <c r="CH1087"/>
      <c r="CI1087"/>
      <c r="CU1087" s="21">
        <v>1082</v>
      </c>
      <c r="CV1087" s="41">
        <v>3</v>
      </c>
      <c r="CW1087" s="41">
        <v>1.0626913437795575</v>
      </c>
      <c r="CX1087" s="41" t="e">
        <v>#N/A</v>
      </c>
      <c r="CY1087" s="41" t="e">
        <v>#N/A</v>
      </c>
      <c r="CZ1087" s="47">
        <v>1.0626913437795575</v>
      </c>
      <c r="DA1087" t="e">
        <v>#N/A</v>
      </c>
      <c r="DB1087" t="str">
        <v/>
      </c>
    </row>
    <row r="1088" spans="83:106" x14ac:dyDescent="0.2">
      <c r="CE1088"/>
      <c r="CF1088"/>
      <c r="CG1088"/>
      <c r="CH1088"/>
      <c r="CI1088"/>
      <c r="CU1088" s="21">
        <v>1083</v>
      </c>
      <c r="CV1088" s="41">
        <v>3</v>
      </c>
      <c r="CW1088" s="41">
        <v>1.0626913437795575</v>
      </c>
      <c r="CX1088" s="41" t="e">
        <v>#N/A</v>
      </c>
      <c r="CY1088" s="41" t="e">
        <v>#N/A</v>
      </c>
      <c r="CZ1088" s="47">
        <v>1.0626913437795575</v>
      </c>
      <c r="DA1088" t="e">
        <v>#N/A</v>
      </c>
      <c r="DB1088" t="str">
        <v/>
      </c>
    </row>
    <row r="1089" spans="83:106" x14ac:dyDescent="0.2">
      <c r="CE1089"/>
      <c r="CF1089"/>
      <c r="CG1089"/>
      <c r="CH1089"/>
      <c r="CI1089"/>
      <c r="CU1089" s="21">
        <v>1084</v>
      </c>
      <c r="CV1089" s="41">
        <v>3</v>
      </c>
      <c r="CW1089" s="41">
        <v>1.0626913437795575</v>
      </c>
      <c r="CX1089" s="41" t="e">
        <v>#N/A</v>
      </c>
      <c r="CY1089" s="41" t="e">
        <v>#N/A</v>
      </c>
      <c r="CZ1089" s="47">
        <v>1.0626913437795575</v>
      </c>
      <c r="DA1089" t="e">
        <v>#N/A</v>
      </c>
      <c r="DB1089" t="str">
        <v/>
      </c>
    </row>
    <row r="1090" spans="83:106" x14ac:dyDescent="0.2">
      <c r="CE1090"/>
      <c r="CF1090"/>
      <c r="CG1090"/>
      <c r="CH1090"/>
      <c r="CI1090"/>
      <c r="CU1090" s="21">
        <v>1085</v>
      </c>
      <c r="CV1090" s="41">
        <v>3</v>
      </c>
      <c r="CW1090" s="41">
        <v>1.0626913437795575</v>
      </c>
      <c r="CX1090" s="41" t="e">
        <v>#N/A</v>
      </c>
      <c r="CY1090" s="41" t="e">
        <v>#N/A</v>
      </c>
      <c r="CZ1090" s="47">
        <v>1.0626913437795575</v>
      </c>
      <c r="DA1090" t="e">
        <v>#N/A</v>
      </c>
      <c r="DB1090" t="str">
        <v/>
      </c>
    </row>
    <row r="1091" spans="83:106" x14ac:dyDescent="0.2">
      <c r="CE1091"/>
      <c r="CF1091"/>
      <c r="CG1091"/>
      <c r="CH1091"/>
      <c r="CI1091"/>
      <c r="CU1091" s="21">
        <v>1086</v>
      </c>
      <c r="CV1091" s="41">
        <v>3</v>
      </c>
      <c r="CW1091" s="41">
        <v>1.0626913437795575</v>
      </c>
      <c r="CX1091" s="41" t="e">
        <v>#N/A</v>
      </c>
      <c r="CY1091" s="41" t="e">
        <v>#N/A</v>
      </c>
      <c r="CZ1091" s="47">
        <v>1.0626913437795575</v>
      </c>
      <c r="DA1091" t="e">
        <v>#N/A</v>
      </c>
      <c r="DB1091" t="str">
        <v/>
      </c>
    </row>
    <row r="1092" spans="83:106" x14ac:dyDescent="0.2">
      <c r="CE1092"/>
      <c r="CF1092"/>
      <c r="CG1092"/>
      <c r="CH1092"/>
      <c r="CI1092"/>
      <c r="CU1092" s="21">
        <v>1087</v>
      </c>
      <c r="CV1092" s="41">
        <v>3</v>
      </c>
      <c r="CW1092" s="41">
        <v>1.0626913437795575</v>
      </c>
      <c r="CX1092" s="41" t="e">
        <v>#N/A</v>
      </c>
      <c r="CY1092" s="41" t="e">
        <v>#N/A</v>
      </c>
      <c r="CZ1092" s="47">
        <v>1.0626913437795575</v>
      </c>
      <c r="DA1092" t="e">
        <v>#N/A</v>
      </c>
      <c r="DB1092" t="str">
        <v/>
      </c>
    </row>
    <row r="1093" spans="83:106" x14ac:dyDescent="0.2">
      <c r="CE1093"/>
      <c r="CF1093"/>
      <c r="CG1093"/>
      <c r="CH1093"/>
      <c r="CI1093"/>
      <c r="CU1093" s="21">
        <v>1088</v>
      </c>
      <c r="CV1093" s="41">
        <v>3</v>
      </c>
      <c r="CW1093" s="41">
        <v>1.0626913437795575</v>
      </c>
      <c r="CX1093" s="41" t="e">
        <v>#N/A</v>
      </c>
      <c r="CY1093" s="41" t="e">
        <v>#N/A</v>
      </c>
      <c r="CZ1093" s="47">
        <v>1.0626913437795575</v>
      </c>
      <c r="DA1093" t="e">
        <v>#N/A</v>
      </c>
      <c r="DB1093" t="str">
        <v/>
      </c>
    </row>
    <row r="1094" spans="83:106" x14ac:dyDescent="0.2">
      <c r="CE1094"/>
      <c r="CF1094"/>
      <c r="CG1094"/>
      <c r="CH1094"/>
      <c r="CI1094"/>
      <c r="CU1094" s="21">
        <v>1089</v>
      </c>
      <c r="CV1094" s="41">
        <v>3</v>
      </c>
      <c r="CW1094" s="41">
        <v>1.0626913437795575</v>
      </c>
      <c r="CX1094" s="41" t="e">
        <v>#N/A</v>
      </c>
      <c r="CY1094" s="41" t="e">
        <v>#N/A</v>
      </c>
      <c r="CZ1094" s="47">
        <v>1.0626913437795575</v>
      </c>
      <c r="DA1094" t="e">
        <v>#N/A</v>
      </c>
      <c r="DB1094" t="str">
        <v/>
      </c>
    </row>
    <row r="1095" spans="83:106" x14ac:dyDescent="0.2">
      <c r="CE1095"/>
      <c r="CF1095"/>
      <c r="CG1095"/>
      <c r="CH1095"/>
      <c r="CI1095"/>
      <c r="CU1095" s="21">
        <v>1090</v>
      </c>
      <c r="CV1095" s="41">
        <v>3</v>
      </c>
      <c r="CW1095" s="41">
        <v>1.0626913437795575</v>
      </c>
      <c r="CX1095" s="41" t="e">
        <v>#N/A</v>
      </c>
      <c r="CY1095" s="41" t="e">
        <v>#N/A</v>
      </c>
      <c r="CZ1095" s="47">
        <v>1.0626913437795575</v>
      </c>
      <c r="DA1095" t="e">
        <v>#N/A</v>
      </c>
      <c r="DB1095" t="str">
        <v/>
      </c>
    </row>
    <row r="1096" spans="83:106" x14ac:dyDescent="0.2">
      <c r="CE1096"/>
      <c r="CF1096"/>
      <c r="CG1096"/>
      <c r="CH1096"/>
      <c r="CI1096"/>
      <c r="CU1096" s="21">
        <v>1091</v>
      </c>
      <c r="CV1096" s="41">
        <v>3</v>
      </c>
      <c r="CW1096" s="41">
        <v>1.0626913437795575</v>
      </c>
      <c r="CX1096" s="41" t="e">
        <v>#N/A</v>
      </c>
      <c r="CY1096" s="41" t="e">
        <v>#N/A</v>
      </c>
      <c r="CZ1096" s="47">
        <v>1.0626913437795575</v>
      </c>
      <c r="DA1096" t="e">
        <v>#N/A</v>
      </c>
      <c r="DB1096" t="str">
        <v/>
      </c>
    </row>
    <row r="1097" spans="83:106" x14ac:dyDescent="0.2">
      <c r="CE1097"/>
      <c r="CF1097"/>
      <c r="CG1097"/>
      <c r="CH1097"/>
      <c r="CI1097"/>
      <c r="CU1097" s="21">
        <v>1092</v>
      </c>
      <c r="CV1097" s="41">
        <v>3</v>
      </c>
      <c r="CW1097" s="41">
        <v>1.0626913437795575</v>
      </c>
      <c r="CX1097" s="41" t="e">
        <v>#N/A</v>
      </c>
      <c r="CY1097" s="41" t="e">
        <v>#N/A</v>
      </c>
      <c r="CZ1097" s="47">
        <v>1.0626913437795575</v>
      </c>
      <c r="DA1097" t="e">
        <v>#N/A</v>
      </c>
      <c r="DB1097" t="str">
        <v/>
      </c>
    </row>
    <row r="1098" spans="83:106" x14ac:dyDescent="0.2">
      <c r="CE1098"/>
      <c r="CF1098"/>
      <c r="CG1098"/>
      <c r="CH1098"/>
      <c r="CI1098"/>
      <c r="CU1098" s="21">
        <v>1093</v>
      </c>
      <c r="CV1098" s="41">
        <v>3</v>
      </c>
      <c r="CW1098" s="41">
        <v>1.0626913437795575</v>
      </c>
      <c r="CX1098" s="41" t="e">
        <v>#N/A</v>
      </c>
      <c r="CY1098" s="41" t="e">
        <v>#N/A</v>
      </c>
      <c r="CZ1098" s="47">
        <v>1.0626913437795575</v>
      </c>
      <c r="DA1098" t="e">
        <v>#N/A</v>
      </c>
      <c r="DB1098" t="str">
        <v/>
      </c>
    </row>
    <row r="1099" spans="83:106" x14ac:dyDescent="0.2">
      <c r="CE1099"/>
      <c r="CF1099"/>
      <c r="CG1099"/>
      <c r="CH1099"/>
      <c r="CI1099"/>
      <c r="CU1099" s="21">
        <v>1094</v>
      </c>
      <c r="CV1099" s="41">
        <v>3</v>
      </c>
      <c r="CW1099" s="41">
        <v>1.0626913437795575</v>
      </c>
      <c r="CX1099" s="41" t="e">
        <v>#N/A</v>
      </c>
      <c r="CY1099" s="41" t="e">
        <v>#N/A</v>
      </c>
      <c r="CZ1099" s="47">
        <v>1.0626913437795575</v>
      </c>
      <c r="DA1099" t="e">
        <v>#N/A</v>
      </c>
      <c r="DB1099" t="str">
        <v/>
      </c>
    </row>
    <row r="1100" spans="83:106" x14ac:dyDescent="0.2">
      <c r="CE1100"/>
      <c r="CF1100"/>
      <c r="CG1100"/>
      <c r="CH1100"/>
      <c r="CI1100"/>
      <c r="CU1100" s="21">
        <v>1095</v>
      </c>
      <c r="CV1100" s="41">
        <v>3</v>
      </c>
      <c r="CW1100" s="41">
        <v>1.0626913437795575</v>
      </c>
      <c r="CX1100" s="41" t="e">
        <v>#N/A</v>
      </c>
      <c r="CY1100" s="41" t="e">
        <v>#N/A</v>
      </c>
      <c r="CZ1100" s="47">
        <v>1.0626913437795575</v>
      </c>
      <c r="DA1100" t="e">
        <v>#N/A</v>
      </c>
      <c r="DB1100" t="str">
        <v/>
      </c>
    </row>
    <row r="1101" spans="83:106" x14ac:dyDescent="0.2">
      <c r="CE1101"/>
      <c r="CF1101"/>
      <c r="CG1101"/>
      <c r="CH1101"/>
      <c r="CI1101"/>
      <c r="CU1101" s="21">
        <v>1096</v>
      </c>
      <c r="CV1101" s="41">
        <v>3</v>
      </c>
      <c r="CW1101" s="41">
        <v>1.0626913437795575</v>
      </c>
      <c r="CX1101" s="41" t="e">
        <v>#N/A</v>
      </c>
      <c r="CY1101" s="41" t="e">
        <v>#N/A</v>
      </c>
      <c r="CZ1101" s="47">
        <v>1.0626913437795575</v>
      </c>
      <c r="DA1101" t="e">
        <v>#N/A</v>
      </c>
      <c r="DB1101" t="str">
        <v/>
      </c>
    </row>
    <row r="1102" spans="83:106" x14ac:dyDescent="0.2">
      <c r="CE1102"/>
      <c r="CF1102"/>
      <c r="CG1102"/>
      <c r="CH1102"/>
      <c r="CI1102"/>
      <c r="CU1102" s="21">
        <v>1097</v>
      </c>
      <c r="CV1102" s="41">
        <v>3</v>
      </c>
      <c r="CW1102" s="41">
        <v>1.0626913437795575</v>
      </c>
      <c r="CX1102" s="41" t="e">
        <v>#N/A</v>
      </c>
      <c r="CY1102" s="41" t="e">
        <v>#N/A</v>
      </c>
      <c r="CZ1102" s="47">
        <v>1.0626913437795575</v>
      </c>
      <c r="DA1102" t="e">
        <v>#N/A</v>
      </c>
      <c r="DB1102" t="str">
        <v/>
      </c>
    </row>
    <row r="1103" spans="83:106" x14ac:dyDescent="0.2">
      <c r="CE1103"/>
      <c r="CF1103"/>
      <c r="CG1103"/>
      <c r="CH1103"/>
      <c r="CI1103"/>
      <c r="CU1103" s="21">
        <v>1098</v>
      </c>
      <c r="CV1103" s="41">
        <v>3</v>
      </c>
      <c r="CW1103" s="41">
        <v>1.0626913437795575</v>
      </c>
      <c r="CX1103" s="41" t="e">
        <v>#N/A</v>
      </c>
      <c r="CY1103" s="41" t="e">
        <v>#N/A</v>
      </c>
      <c r="CZ1103" s="47">
        <v>1.0626913437795575</v>
      </c>
      <c r="DA1103" t="e">
        <v>#N/A</v>
      </c>
      <c r="DB1103" t="str">
        <v/>
      </c>
    </row>
    <row r="1104" spans="83:106" x14ac:dyDescent="0.2">
      <c r="CE1104"/>
      <c r="CF1104"/>
      <c r="CG1104"/>
      <c r="CH1104"/>
      <c r="CI1104"/>
      <c r="CU1104" s="21">
        <v>1099</v>
      </c>
      <c r="CV1104" s="41">
        <v>3</v>
      </c>
      <c r="CW1104" s="41">
        <v>1.0626913437795575</v>
      </c>
      <c r="CX1104" s="41" t="e">
        <v>#N/A</v>
      </c>
      <c r="CY1104" s="41" t="e">
        <v>#N/A</v>
      </c>
      <c r="CZ1104" s="47">
        <v>1.0626913437795575</v>
      </c>
      <c r="DA1104" t="e">
        <v>#N/A</v>
      </c>
      <c r="DB1104" t="str">
        <v/>
      </c>
    </row>
    <row r="1105" spans="83:106" x14ac:dyDescent="0.2">
      <c r="CE1105"/>
      <c r="CF1105"/>
      <c r="CG1105"/>
      <c r="CH1105"/>
      <c r="CI1105"/>
      <c r="CU1105" s="21">
        <v>1100</v>
      </c>
      <c r="CV1105" s="41">
        <v>4</v>
      </c>
      <c r="CW1105" s="41">
        <v>0.11332468572476186</v>
      </c>
      <c r="CX1105" s="41" t="e">
        <v>#N/A</v>
      </c>
      <c r="CY1105" s="41" t="e">
        <v>#N/A</v>
      </c>
      <c r="CZ1105" s="47" t="e">
        <v>#N/A</v>
      </c>
      <c r="DA1105">
        <v>0.11332468572476186</v>
      </c>
      <c r="DB1105">
        <v>1.7030000000000001</v>
      </c>
    </row>
    <row r="1106" spans="83:106" x14ac:dyDescent="0.2">
      <c r="CE1106"/>
      <c r="CF1106"/>
      <c r="CG1106"/>
      <c r="CH1106"/>
      <c r="CI1106"/>
      <c r="CU1106" s="21">
        <v>1101</v>
      </c>
      <c r="CV1106" s="41">
        <v>4</v>
      </c>
      <c r="CW1106" s="41">
        <v>0.11332468572476186</v>
      </c>
      <c r="CX1106" s="41" t="e">
        <v>#N/A</v>
      </c>
      <c r="CY1106" s="41" t="e">
        <v>#N/A</v>
      </c>
      <c r="CZ1106" s="47" t="e">
        <v>#N/A</v>
      </c>
      <c r="DA1106">
        <v>0.11332468572476186</v>
      </c>
      <c r="DB1106" t="str">
        <v/>
      </c>
    </row>
    <row r="1107" spans="83:106" x14ac:dyDescent="0.2">
      <c r="CE1107"/>
      <c r="CF1107"/>
      <c r="CG1107"/>
      <c r="CH1107"/>
      <c r="CI1107"/>
      <c r="CU1107" s="21">
        <v>1102</v>
      </c>
      <c r="CV1107" s="41">
        <v>4</v>
      </c>
      <c r="CW1107" s="41">
        <v>0.11332468572476186</v>
      </c>
      <c r="CX1107" s="41" t="e">
        <v>#N/A</v>
      </c>
      <c r="CY1107" s="41" t="e">
        <v>#N/A</v>
      </c>
      <c r="CZ1107" s="47" t="e">
        <v>#N/A</v>
      </c>
      <c r="DA1107">
        <v>0.11332468572476186</v>
      </c>
      <c r="DB1107" t="str">
        <v/>
      </c>
    </row>
    <row r="1108" spans="83:106" x14ac:dyDescent="0.2">
      <c r="CE1108"/>
      <c r="CF1108"/>
      <c r="CG1108"/>
      <c r="CH1108"/>
      <c r="CI1108"/>
      <c r="CU1108" s="21">
        <v>1103</v>
      </c>
      <c r="CV1108" s="41">
        <v>4</v>
      </c>
      <c r="CW1108" s="41">
        <v>0.11332468572476186</v>
      </c>
      <c r="CX1108" s="41" t="e">
        <v>#N/A</v>
      </c>
      <c r="CY1108" s="41" t="e">
        <v>#N/A</v>
      </c>
      <c r="CZ1108" s="47" t="e">
        <v>#N/A</v>
      </c>
      <c r="DA1108">
        <v>0.11332468572476186</v>
      </c>
      <c r="DB1108" t="str">
        <v/>
      </c>
    </row>
    <row r="1109" spans="83:106" x14ac:dyDescent="0.2">
      <c r="CE1109"/>
      <c r="CF1109"/>
      <c r="CG1109"/>
      <c r="CH1109"/>
      <c r="CI1109"/>
      <c r="CU1109" s="21">
        <v>1104</v>
      </c>
      <c r="CV1109" s="41">
        <v>4</v>
      </c>
      <c r="CW1109" s="41">
        <v>0.11332468572476186</v>
      </c>
      <c r="CX1109" s="41" t="e">
        <v>#N/A</v>
      </c>
      <c r="CY1109" s="41" t="e">
        <v>#N/A</v>
      </c>
      <c r="CZ1109" s="47" t="e">
        <v>#N/A</v>
      </c>
      <c r="DA1109">
        <v>0.11332468572476186</v>
      </c>
      <c r="DB1109" t="str">
        <v/>
      </c>
    </row>
    <row r="1110" spans="83:106" x14ac:dyDescent="0.2">
      <c r="CE1110"/>
      <c r="CF1110"/>
      <c r="CG1110"/>
      <c r="CH1110"/>
      <c r="CI1110"/>
      <c r="CU1110" s="21">
        <v>1105</v>
      </c>
      <c r="CV1110" s="41">
        <v>4</v>
      </c>
      <c r="CW1110" s="41">
        <v>0.11332468572476186</v>
      </c>
      <c r="CX1110" s="41" t="e">
        <v>#N/A</v>
      </c>
      <c r="CY1110" s="41" t="e">
        <v>#N/A</v>
      </c>
      <c r="CZ1110" s="47" t="e">
        <v>#N/A</v>
      </c>
      <c r="DA1110">
        <v>0.11332468572476186</v>
      </c>
      <c r="DB1110" t="str">
        <v/>
      </c>
    </row>
    <row r="1111" spans="83:106" x14ac:dyDescent="0.2">
      <c r="CE1111"/>
      <c r="CF1111"/>
      <c r="CG1111"/>
      <c r="CH1111"/>
      <c r="CI1111"/>
      <c r="CU1111" s="21">
        <v>1106</v>
      </c>
      <c r="CV1111" s="41">
        <v>4</v>
      </c>
      <c r="CW1111" s="41">
        <v>0.11332468572476186</v>
      </c>
      <c r="CX1111" s="41" t="e">
        <v>#N/A</v>
      </c>
      <c r="CY1111" s="41" t="e">
        <v>#N/A</v>
      </c>
      <c r="CZ1111" s="47" t="e">
        <v>#N/A</v>
      </c>
      <c r="DA1111">
        <v>0.11332468572476186</v>
      </c>
      <c r="DB1111" t="str">
        <v/>
      </c>
    </row>
    <row r="1112" spans="83:106" x14ac:dyDescent="0.2">
      <c r="CE1112"/>
      <c r="CF1112"/>
      <c r="CG1112"/>
      <c r="CH1112"/>
      <c r="CI1112"/>
      <c r="CU1112" s="21">
        <v>1107</v>
      </c>
      <c r="CV1112" s="41">
        <v>4</v>
      </c>
      <c r="CW1112" s="41">
        <v>0.11332468572476186</v>
      </c>
      <c r="CX1112" s="41" t="e">
        <v>#N/A</v>
      </c>
      <c r="CY1112" s="41" t="e">
        <v>#N/A</v>
      </c>
      <c r="CZ1112" s="47" t="e">
        <v>#N/A</v>
      </c>
      <c r="DA1112">
        <v>0.11332468572476186</v>
      </c>
      <c r="DB1112" t="str">
        <v/>
      </c>
    </row>
    <row r="1113" spans="83:106" x14ac:dyDescent="0.2">
      <c r="CE1113"/>
      <c r="CF1113"/>
      <c r="CG1113"/>
      <c r="CH1113"/>
      <c r="CI1113"/>
      <c r="CU1113" s="21">
        <v>1108</v>
      </c>
      <c r="CV1113" s="41">
        <v>4</v>
      </c>
      <c r="CW1113" s="41">
        <v>0.11332468572476186</v>
      </c>
      <c r="CX1113" s="41" t="e">
        <v>#N/A</v>
      </c>
      <c r="CY1113" s="41" t="e">
        <v>#N/A</v>
      </c>
      <c r="CZ1113" s="47" t="e">
        <v>#N/A</v>
      </c>
      <c r="DA1113">
        <v>0.11332468572476186</v>
      </c>
      <c r="DB1113" t="str">
        <v/>
      </c>
    </row>
    <row r="1114" spans="83:106" x14ac:dyDescent="0.2">
      <c r="CE1114"/>
      <c r="CF1114"/>
      <c r="CG1114"/>
      <c r="CH1114"/>
      <c r="CI1114"/>
      <c r="CU1114" s="21">
        <v>1109</v>
      </c>
      <c r="CV1114" s="41">
        <v>4</v>
      </c>
      <c r="CW1114" s="41">
        <v>0.11332468572476186</v>
      </c>
      <c r="CX1114" s="41" t="e">
        <v>#N/A</v>
      </c>
      <c r="CY1114" s="41" t="e">
        <v>#N/A</v>
      </c>
      <c r="CZ1114" s="47" t="e">
        <v>#N/A</v>
      </c>
      <c r="DA1114">
        <v>0.11332468572476186</v>
      </c>
      <c r="DB1114" t="str">
        <v/>
      </c>
    </row>
    <row r="1115" spans="83:106" x14ac:dyDescent="0.2">
      <c r="CE1115"/>
      <c r="CF1115"/>
      <c r="CG1115"/>
      <c r="CH1115"/>
      <c r="CI1115"/>
      <c r="CU1115" s="21">
        <v>1110</v>
      </c>
      <c r="CV1115" s="41">
        <v>4</v>
      </c>
      <c r="CW1115" s="41">
        <v>0.11332468572476186</v>
      </c>
      <c r="CX1115" s="41" t="e">
        <v>#N/A</v>
      </c>
      <c r="CY1115" s="41" t="e">
        <v>#N/A</v>
      </c>
      <c r="CZ1115" s="47" t="e">
        <v>#N/A</v>
      </c>
      <c r="DA1115">
        <v>0.11332468572476186</v>
      </c>
      <c r="DB1115" t="str">
        <v/>
      </c>
    </row>
    <row r="1116" spans="83:106" x14ac:dyDescent="0.2">
      <c r="CE1116"/>
      <c r="CF1116"/>
      <c r="CG1116"/>
      <c r="CH1116"/>
      <c r="CI1116"/>
      <c r="CU1116" s="21">
        <v>1111</v>
      </c>
      <c r="CV1116" s="41">
        <v>4</v>
      </c>
      <c r="CW1116" s="41">
        <v>0.11332468572476186</v>
      </c>
      <c r="CX1116" s="41" t="e">
        <v>#N/A</v>
      </c>
      <c r="CY1116" s="41" t="e">
        <v>#N/A</v>
      </c>
      <c r="CZ1116" s="47" t="e">
        <v>#N/A</v>
      </c>
      <c r="DA1116">
        <v>0.11332468572476186</v>
      </c>
      <c r="DB1116" t="str">
        <v/>
      </c>
    </row>
    <row r="1117" spans="83:106" x14ac:dyDescent="0.2">
      <c r="CE1117"/>
      <c r="CF1117"/>
      <c r="CG1117"/>
      <c r="CH1117"/>
      <c r="CI1117"/>
      <c r="CU1117" s="21">
        <v>1112</v>
      </c>
      <c r="CV1117" s="41">
        <v>4</v>
      </c>
      <c r="CW1117" s="41">
        <v>0.11332468572476186</v>
      </c>
      <c r="CX1117" s="41" t="e">
        <v>#N/A</v>
      </c>
      <c r="CY1117" s="41" t="e">
        <v>#N/A</v>
      </c>
      <c r="CZ1117" s="47" t="e">
        <v>#N/A</v>
      </c>
      <c r="DA1117">
        <v>0.11332468572476186</v>
      </c>
      <c r="DB1117" t="str">
        <v/>
      </c>
    </row>
    <row r="1118" spans="83:106" x14ac:dyDescent="0.2">
      <c r="CE1118"/>
      <c r="CF1118"/>
      <c r="CG1118"/>
      <c r="CH1118"/>
      <c r="CI1118"/>
      <c r="CU1118" s="21">
        <v>1113</v>
      </c>
      <c r="CV1118" s="41">
        <v>4</v>
      </c>
      <c r="CW1118" s="41">
        <v>0.11332468572476186</v>
      </c>
      <c r="CX1118" s="41" t="e">
        <v>#N/A</v>
      </c>
      <c r="CY1118" s="41" t="e">
        <v>#N/A</v>
      </c>
      <c r="CZ1118" s="47" t="e">
        <v>#N/A</v>
      </c>
      <c r="DA1118">
        <v>0.11332468572476186</v>
      </c>
      <c r="DB1118" t="str">
        <v/>
      </c>
    </row>
    <row r="1119" spans="83:106" x14ac:dyDescent="0.2">
      <c r="CE1119"/>
      <c r="CF1119"/>
      <c r="CG1119"/>
      <c r="CH1119"/>
      <c r="CI1119"/>
      <c r="CU1119" s="21">
        <v>1114</v>
      </c>
      <c r="CV1119" s="41">
        <v>4</v>
      </c>
      <c r="CW1119" s="41">
        <v>0.11332468572476186</v>
      </c>
      <c r="CX1119" s="41" t="e">
        <v>#N/A</v>
      </c>
      <c r="CY1119" s="41" t="e">
        <v>#N/A</v>
      </c>
      <c r="CZ1119" s="47" t="e">
        <v>#N/A</v>
      </c>
      <c r="DA1119">
        <v>0.11332468572476186</v>
      </c>
      <c r="DB1119" t="str">
        <v/>
      </c>
    </row>
    <row r="1120" spans="83:106" x14ac:dyDescent="0.2">
      <c r="CE1120"/>
      <c r="CF1120"/>
      <c r="CG1120"/>
      <c r="CH1120"/>
      <c r="CI1120"/>
      <c r="CU1120" s="21">
        <v>1115</v>
      </c>
      <c r="CV1120" s="41">
        <v>4</v>
      </c>
      <c r="CW1120" s="41">
        <v>0.11332468572476186</v>
      </c>
      <c r="CX1120" s="41" t="e">
        <v>#N/A</v>
      </c>
      <c r="CY1120" s="41" t="e">
        <v>#N/A</v>
      </c>
      <c r="CZ1120" s="47" t="e">
        <v>#N/A</v>
      </c>
      <c r="DA1120">
        <v>0.11332468572476186</v>
      </c>
      <c r="DB1120" t="str">
        <v/>
      </c>
    </row>
    <row r="1121" spans="83:106" x14ac:dyDescent="0.2">
      <c r="CE1121"/>
      <c r="CF1121"/>
      <c r="CG1121"/>
      <c r="CH1121"/>
      <c r="CI1121"/>
      <c r="CU1121" s="21">
        <v>1116</v>
      </c>
      <c r="CV1121" s="41">
        <v>4</v>
      </c>
      <c r="CW1121" s="41">
        <v>0.11332468572476186</v>
      </c>
      <c r="CX1121" s="41" t="e">
        <v>#N/A</v>
      </c>
      <c r="CY1121" s="41" t="e">
        <v>#N/A</v>
      </c>
      <c r="CZ1121" s="47" t="e">
        <v>#N/A</v>
      </c>
      <c r="DA1121">
        <v>0.11332468572476186</v>
      </c>
      <c r="DB1121" t="str">
        <v/>
      </c>
    </row>
    <row r="1122" spans="83:106" x14ac:dyDescent="0.2">
      <c r="CE1122"/>
      <c r="CF1122"/>
      <c r="CG1122"/>
      <c r="CH1122"/>
      <c r="CI1122"/>
      <c r="CU1122" s="21">
        <v>1117</v>
      </c>
      <c r="CV1122" s="41">
        <v>4</v>
      </c>
      <c r="CW1122" s="41">
        <v>0.11332468572476186</v>
      </c>
      <c r="CX1122" s="41" t="e">
        <v>#N/A</v>
      </c>
      <c r="CY1122" s="41" t="e">
        <v>#N/A</v>
      </c>
      <c r="CZ1122" s="47" t="e">
        <v>#N/A</v>
      </c>
      <c r="DA1122">
        <v>0.11332468572476186</v>
      </c>
      <c r="DB1122" t="str">
        <v/>
      </c>
    </row>
    <row r="1123" spans="83:106" x14ac:dyDescent="0.2">
      <c r="CE1123"/>
      <c r="CF1123"/>
      <c r="CG1123"/>
      <c r="CH1123"/>
      <c r="CI1123"/>
      <c r="CU1123" s="21">
        <v>1118</v>
      </c>
      <c r="CV1123" s="41">
        <v>4</v>
      </c>
      <c r="CW1123" s="41">
        <v>0.11332468572476186</v>
      </c>
      <c r="CX1123" s="41" t="e">
        <v>#N/A</v>
      </c>
      <c r="CY1123" s="41" t="e">
        <v>#N/A</v>
      </c>
      <c r="CZ1123" s="47" t="e">
        <v>#N/A</v>
      </c>
      <c r="DA1123">
        <v>0.11332468572476186</v>
      </c>
      <c r="DB1123" t="str">
        <v/>
      </c>
    </row>
    <row r="1124" spans="83:106" x14ac:dyDescent="0.2">
      <c r="CE1124"/>
      <c r="CF1124"/>
      <c r="CG1124"/>
      <c r="CH1124"/>
      <c r="CI1124"/>
      <c r="CU1124" s="21">
        <v>1119</v>
      </c>
      <c r="CV1124" s="41">
        <v>4</v>
      </c>
      <c r="CW1124" s="41">
        <v>0.11332468572476186</v>
      </c>
      <c r="CX1124" s="41" t="e">
        <v>#N/A</v>
      </c>
      <c r="CY1124" s="41" t="e">
        <v>#N/A</v>
      </c>
      <c r="CZ1124" s="47" t="e">
        <v>#N/A</v>
      </c>
      <c r="DA1124">
        <v>0.11332468572476186</v>
      </c>
      <c r="DB1124" t="str">
        <v/>
      </c>
    </row>
    <row r="1125" spans="83:106" x14ac:dyDescent="0.2">
      <c r="CE1125"/>
      <c r="CF1125"/>
      <c r="CG1125"/>
      <c r="CH1125"/>
      <c r="CI1125"/>
      <c r="CU1125" s="21">
        <v>1120</v>
      </c>
      <c r="CV1125" s="41">
        <v>4</v>
      </c>
      <c r="CW1125" s="41">
        <v>0.11332468572476186</v>
      </c>
      <c r="CX1125" s="41" t="e">
        <v>#N/A</v>
      </c>
      <c r="CY1125" s="41" t="e">
        <v>#N/A</v>
      </c>
      <c r="CZ1125" s="47" t="e">
        <v>#N/A</v>
      </c>
      <c r="DA1125">
        <v>0.11332468572476186</v>
      </c>
      <c r="DB1125" t="str">
        <v/>
      </c>
    </row>
    <row r="1126" spans="83:106" x14ac:dyDescent="0.2">
      <c r="CE1126"/>
      <c r="CF1126"/>
      <c r="CG1126"/>
      <c r="CH1126"/>
      <c r="CI1126"/>
      <c r="CU1126" s="21">
        <v>1121</v>
      </c>
      <c r="CV1126" s="41">
        <v>4</v>
      </c>
      <c r="CW1126" s="41">
        <v>0.11332468572476186</v>
      </c>
      <c r="CX1126" s="41" t="e">
        <v>#N/A</v>
      </c>
      <c r="CY1126" s="41" t="e">
        <v>#N/A</v>
      </c>
      <c r="CZ1126" s="47" t="e">
        <v>#N/A</v>
      </c>
      <c r="DA1126">
        <v>0.11332468572476186</v>
      </c>
      <c r="DB1126" t="str">
        <v/>
      </c>
    </row>
    <row r="1127" spans="83:106" x14ac:dyDescent="0.2">
      <c r="CE1127"/>
      <c r="CF1127"/>
      <c r="CG1127"/>
      <c r="CH1127"/>
      <c r="CI1127"/>
      <c r="CU1127" s="21">
        <v>1122</v>
      </c>
      <c r="CV1127" s="41">
        <v>4</v>
      </c>
      <c r="CW1127" s="41">
        <v>0.11332468572476186</v>
      </c>
      <c r="CX1127" s="41" t="e">
        <v>#N/A</v>
      </c>
      <c r="CY1127" s="41" t="e">
        <v>#N/A</v>
      </c>
      <c r="CZ1127" s="47" t="e">
        <v>#N/A</v>
      </c>
      <c r="DA1127">
        <v>0.11332468572476186</v>
      </c>
      <c r="DB1127" t="str">
        <v/>
      </c>
    </row>
    <row r="1128" spans="83:106" x14ac:dyDescent="0.2">
      <c r="CE1128"/>
      <c r="CF1128"/>
      <c r="CG1128"/>
      <c r="CH1128"/>
      <c r="CI1128"/>
      <c r="CU1128" s="21">
        <v>1123</v>
      </c>
      <c r="CV1128" s="41">
        <v>4</v>
      </c>
      <c r="CW1128" s="41">
        <v>0.11332468572476186</v>
      </c>
      <c r="CX1128" s="41" t="e">
        <v>#N/A</v>
      </c>
      <c r="CY1128" s="41" t="e">
        <v>#N/A</v>
      </c>
      <c r="CZ1128" s="47" t="e">
        <v>#N/A</v>
      </c>
      <c r="DA1128">
        <v>0.11332468572476186</v>
      </c>
      <c r="DB1128" t="str">
        <v/>
      </c>
    </row>
    <row r="1129" spans="83:106" x14ac:dyDescent="0.2">
      <c r="CE1129"/>
      <c r="CF1129"/>
      <c r="CG1129"/>
      <c r="CH1129"/>
      <c r="CI1129"/>
      <c r="CU1129" s="21">
        <v>1124</v>
      </c>
      <c r="CV1129" s="41">
        <v>4</v>
      </c>
      <c r="CW1129" s="41">
        <v>0.11332468572476186</v>
      </c>
      <c r="CX1129" s="41" t="e">
        <v>#N/A</v>
      </c>
      <c r="CY1129" s="41" t="e">
        <v>#N/A</v>
      </c>
      <c r="CZ1129" s="47" t="e">
        <v>#N/A</v>
      </c>
      <c r="DA1129">
        <v>0.11332468572476186</v>
      </c>
      <c r="DB1129" t="str">
        <v/>
      </c>
    </row>
    <row r="1130" spans="83:106" x14ac:dyDescent="0.2">
      <c r="CE1130"/>
      <c r="CF1130"/>
      <c r="CG1130"/>
      <c r="CH1130"/>
      <c r="CI1130"/>
      <c r="CU1130" s="21">
        <v>1125</v>
      </c>
      <c r="CV1130" s="41">
        <v>4</v>
      </c>
      <c r="CW1130" s="41">
        <v>0.11332468572476186</v>
      </c>
      <c r="CX1130" s="41" t="e">
        <v>#N/A</v>
      </c>
      <c r="CY1130" s="41" t="e">
        <v>#N/A</v>
      </c>
      <c r="CZ1130" s="47" t="e">
        <v>#N/A</v>
      </c>
      <c r="DA1130">
        <v>0.11332468572476186</v>
      </c>
      <c r="DB1130" t="str">
        <v/>
      </c>
    </row>
    <row r="1131" spans="83:106" x14ac:dyDescent="0.2">
      <c r="CE1131"/>
      <c r="CF1131"/>
      <c r="CG1131"/>
      <c r="CH1131"/>
      <c r="CI1131"/>
      <c r="CU1131" s="21">
        <v>1126</v>
      </c>
      <c r="CV1131" s="41">
        <v>4</v>
      </c>
      <c r="CW1131" s="41">
        <v>0.11332468572476186</v>
      </c>
      <c r="CX1131" s="41" t="e">
        <v>#N/A</v>
      </c>
      <c r="CY1131" s="41" t="e">
        <v>#N/A</v>
      </c>
      <c r="CZ1131" s="47" t="e">
        <v>#N/A</v>
      </c>
      <c r="DA1131">
        <v>0.11332468572476186</v>
      </c>
      <c r="DB1131" t="str">
        <v/>
      </c>
    </row>
    <row r="1132" spans="83:106" x14ac:dyDescent="0.2">
      <c r="CE1132"/>
      <c r="CF1132"/>
      <c r="CG1132"/>
      <c r="CH1132"/>
      <c r="CI1132"/>
      <c r="CU1132" s="21">
        <v>1127</v>
      </c>
      <c r="CV1132" s="41">
        <v>4</v>
      </c>
      <c r="CW1132" s="41">
        <v>0.11332468572476186</v>
      </c>
      <c r="CX1132" s="41" t="e">
        <v>#N/A</v>
      </c>
      <c r="CY1132" s="41" t="e">
        <v>#N/A</v>
      </c>
      <c r="CZ1132" s="47" t="e">
        <v>#N/A</v>
      </c>
      <c r="DA1132">
        <v>0.11332468572476186</v>
      </c>
      <c r="DB1132" t="str">
        <v/>
      </c>
    </row>
    <row r="1133" spans="83:106" x14ac:dyDescent="0.2">
      <c r="CE1133"/>
      <c r="CF1133"/>
      <c r="CG1133"/>
      <c r="CH1133"/>
      <c r="CI1133"/>
      <c r="CU1133" s="21">
        <v>1128</v>
      </c>
      <c r="CV1133" s="41">
        <v>4</v>
      </c>
      <c r="CW1133" s="41">
        <v>0.11332468572476186</v>
      </c>
      <c r="CX1133" s="41" t="e">
        <v>#N/A</v>
      </c>
      <c r="CY1133" s="41" t="e">
        <v>#N/A</v>
      </c>
      <c r="CZ1133" s="47" t="e">
        <v>#N/A</v>
      </c>
      <c r="DA1133">
        <v>0.11332468572476186</v>
      </c>
      <c r="DB1133" t="str">
        <v/>
      </c>
    </row>
    <row r="1134" spans="83:106" x14ac:dyDescent="0.2">
      <c r="CE1134"/>
      <c r="CF1134"/>
      <c r="CG1134"/>
      <c r="CH1134"/>
      <c r="CI1134"/>
      <c r="CU1134" s="21">
        <v>1129</v>
      </c>
      <c r="CV1134" s="41">
        <v>4</v>
      </c>
      <c r="CW1134" s="41">
        <v>0.11332468572476186</v>
      </c>
      <c r="CX1134" s="41" t="e">
        <v>#N/A</v>
      </c>
      <c r="CY1134" s="41" t="e">
        <v>#N/A</v>
      </c>
      <c r="CZ1134" s="47" t="e">
        <v>#N/A</v>
      </c>
      <c r="DA1134">
        <v>0.11332468572476186</v>
      </c>
      <c r="DB1134" t="str">
        <v/>
      </c>
    </row>
    <row r="1135" spans="83:106" x14ac:dyDescent="0.2">
      <c r="CE1135"/>
      <c r="CF1135"/>
      <c r="CG1135"/>
      <c r="CH1135"/>
      <c r="CI1135"/>
      <c r="CU1135" s="21">
        <v>1130</v>
      </c>
      <c r="CV1135" s="41">
        <v>4</v>
      </c>
      <c r="CW1135" s="41">
        <v>0.11332468572476186</v>
      </c>
      <c r="CX1135" s="41" t="e">
        <v>#N/A</v>
      </c>
      <c r="CY1135" s="41" t="e">
        <v>#N/A</v>
      </c>
      <c r="CZ1135" s="47" t="e">
        <v>#N/A</v>
      </c>
      <c r="DA1135">
        <v>0.11332468572476186</v>
      </c>
      <c r="DB1135" t="str">
        <v/>
      </c>
    </row>
    <row r="1136" spans="83:106" x14ac:dyDescent="0.2">
      <c r="CE1136"/>
      <c r="CF1136"/>
      <c r="CG1136"/>
      <c r="CH1136"/>
      <c r="CI1136"/>
      <c r="CU1136" s="21">
        <v>1131</v>
      </c>
      <c r="CV1136" s="41">
        <v>4</v>
      </c>
      <c r="CW1136" s="41">
        <v>0.11332468572476186</v>
      </c>
      <c r="CX1136" s="41" t="e">
        <v>#N/A</v>
      </c>
      <c r="CY1136" s="41" t="e">
        <v>#N/A</v>
      </c>
      <c r="CZ1136" s="47" t="e">
        <v>#N/A</v>
      </c>
      <c r="DA1136">
        <v>0.11332468572476186</v>
      </c>
      <c r="DB1136" t="str">
        <v/>
      </c>
    </row>
    <row r="1137" spans="83:106" x14ac:dyDescent="0.2">
      <c r="CE1137"/>
      <c r="CF1137"/>
      <c r="CG1137"/>
      <c r="CH1137"/>
      <c r="CI1137"/>
      <c r="CU1137" s="21">
        <v>1132</v>
      </c>
      <c r="CV1137" s="41">
        <v>4</v>
      </c>
      <c r="CW1137" s="41">
        <v>0.11332468572476186</v>
      </c>
      <c r="CX1137" s="41" t="e">
        <v>#N/A</v>
      </c>
      <c r="CY1137" s="41" t="e">
        <v>#N/A</v>
      </c>
      <c r="CZ1137" s="47" t="e">
        <v>#N/A</v>
      </c>
      <c r="DA1137">
        <v>0.11332468572476186</v>
      </c>
      <c r="DB1137" t="str">
        <v/>
      </c>
    </row>
    <row r="1138" spans="83:106" x14ac:dyDescent="0.2">
      <c r="CE1138"/>
      <c r="CF1138"/>
      <c r="CG1138"/>
      <c r="CH1138"/>
      <c r="CI1138"/>
      <c r="CU1138" s="21">
        <v>1133</v>
      </c>
      <c r="CV1138" s="41">
        <v>4</v>
      </c>
      <c r="CW1138" s="41">
        <v>0.11332468572476186</v>
      </c>
      <c r="CX1138" s="41" t="e">
        <v>#N/A</v>
      </c>
      <c r="CY1138" s="41" t="e">
        <v>#N/A</v>
      </c>
      <c r="CZ1138" s="47" t="e">
        <v>#N/A</v>
      </c>
      <c r="DA1138">
        <v>0.11332468572476186</v>
      </c>
      <c r="DB1138" t="str">
        <v/>
      </c>
    </row>
    <row r="1139" spans="83:106" x14ac:dyDescent="0.2">
      <c r="CE1139"/>
      <c r="CF1139"/>
      <c r="CG1139"/>
      <c r="CH1139"/>
      <c r="CI1139"/>
      <c r="CU1139" s="21">
        <v>1134</v>
      </c>
      <c r="CV1139" s="41">
        <v>4</v>
      </c>
      <c r="CW1139" s="41">
        <v>0.11332468572476186</v>
      </c>
      <c r="CX1139" s="41" t="e">
        <v>#N/A</v>
      </c>
      <c r="CY1139" s="41" t="e">
        <v>#N/A</v>
      </c>
      <c r="CZ1139" s="47" t="e">
        <v>#N/A</v>
      </c>
      <c r="DA1139">
        <v>0.11332468572476186</v>
      </c>
      <c r="DB1139" t="str">
        <v/>
      </c>
    </row>
    <row r="1140" spans="83:106" x14ac:dyDescent="0.2">
      <c r="CE1140"/>
      <c r="CF1140"/>
      <c r="CG1140"/>
      <c r="CH1140"/>
      <c r="CI1140"/>
      <c r="CU1140" s="21">
        <v>1135</v>
      </c>
      <c r="CV1140" s="41">
        <v>4</v>
      </c>
      <c r="CW1140" s="41">
        <v>0.11332468572476186</v>
      </c>
      <c r="CX1140" s="41" t="e">
        <v>#N/A</v>
      </c>
      <c r="CY1140" s="41" t="e">
        <v>#N/A</v>
      </c>
      <c r="CZ1140" s="47" t="e">
        <v>#N/A</v>
      </c>
      <c r="DA1140">
        <v>0.11332468572476186</v>
      </c>
      <c r="DB1140" t="str">
        <v/>
      </c>
    </row>
    <row r="1141" spans="83:106" x14ac:dyDescent="0.2">
      <c r="CE1141"/>
      <c r="CF1141"/>
      <c r="CG1141"/>
      <c r="CH1141"/>
      <c r="CI1141"/>
      <c r="CU1141" s="21">
        <v>1136</v>
      </c>
      <c r="CV1141" s="41">
        <v>4</v>
      </c>
      <c r="CW1141" s="41">
        <v>0.11332468572476186</v>
      </c>
      <c r="CX1141" s="41" t="e">
        <v>#N/A</v>
      </c>
      <c r="CY1141" s="41" t="e">
        <v>#N/A</v>
      </c>
      <c r="CZ1141" s="47" t="e">
        <v>#N/A</v>
      </c>
      <c r="DA1141">
        <v>0.11332468572476186</v>
      </c>
      <c r="DB1141" t="str">
        <v/>
      </c>
    </row>
    <row r="1142" spans="83:106" x14ac:dyDescent="0.2">
      <c r="CE1142"/>
      <c r="CF1142"/>
      <c r="CG1142"/>
      <c r="CH1142"/>
      <c r="CI1142"/>
      <c r="CU1142" s="21">
        <v>1137</v>
      </c>
      <c r="CV1142" s="41">
        <v>4</v>
      </c>
      <c r="CW1142" s="41">
        <v>0.11332468572476186</v>
      </c>
      <c r="CX1142" s="41" t="e">
        <v>#N/A</v>
      </c>
      <c r="CY1142" s="41" t="e">
        <v>#N/A</v>
      </c>
      <c r="CZ1142" s="47" t="e">
        <v>#N/A</v>
      </c>
      <c r="DA1142">
        <v>0.11332468572476186</v>
      </c>
      <c r="DB1142" t="str">
        <v/>
      </c>
    </row>
    <row r="1143" spans="83:106" x14ac:dyDescent="0.2">
      <c r="CE1143"/>
      <c r="CF1143"/>
      <c r="CG1143"/>
      <c r="CH1143"/>
      <c r="CI1143"/>
      <c r="CU1143" s="21">
        <v>1138</v>
      </c>
      <c r="CV1143" s="41">
        <v>4</v>
      </c>
      <c r="CW1143" s="41">
        <v>0.11332468572476186</v>
      </c>
      <c r="CX1143" s="41" t="e">
        <v>#N/A</v>
      </c>
      <c r="CY1143" s="41" t="e">
        <v>#N/A</v>
      </c>
      <c r="CZ1143" s="47" t="e">
        <v>#N/A</v>
      </c>
      <c r="DA1143">
        <v>0.11332468572476186</v>
      </c>
      <c r="DB1143" t="str">
        <v/>
      </c>
    </row>
    <row r="1144" spans="83:106" x14ac:dyDescent="0.2">
      <c r="CE1144"/>
      <c r="CF1144"/>
      <c r="CG1144"/>
      <c r="CH1144"/>
      <c r="CI1144"/>
      <c r="CU1144" s="21">
        <v>1139</v>
      </c>
      <c r="CV1144" s="41">
        <v>4</v>
      </c>
      <c r="CW1144" s="41">
        <v>0.11332468572476186</v>
      </c>
      <c r="CX1144" s="41" t="e">
        <v>#N/A</v>
      </c>
      <c r="CY1144" s="41" t="e">
        <v>#N/A</v>
      </c>
      <c r="CZ1144" s="47" t="e">
        <v>#N/A</v>
      </c>
      <c r="DA1144">
        <v>0.11332468572476186</v>
      </c>
      <c r="DB1144" t="str">
        <v/>
      </c>
    </row>
    <row r="1145" spans="83:106" x14ac:dyDescent="0.2">
      <c r="CE1145"/>
      <c r="CF1145"/>
      <c r="CG1145"/>
      <c r="CH1145"/>
      <c r="CI1145"/>
      <c r="CU1145" s="21">
        <v>1140</v>
      </c>
      <c r="CV1145" s="41">
        <v>4</v>
      </c>
      <c r="CW1145" s="41">
        <v>0.11332468572476186</v>
      </c>
      <c r="CX1145" s="41" t="e">
        <v>#N/A</v>
      </c>
      <c r="CY1145" s="41" t="e">
        <v>#N/A</v>
      </c>
      <c r="CZ1145" s="47" t="e">
        <v>#N/A</v>
      </c>
      <c r="DA1145">
        <v>0.11332468572476186</v>
      </c>
      <c r="DB1145" t="str">
        <v/>
      </c>
    </row>
    <row r="1146" spans="83:106" x14ac:dyDescent="0.2">
      <c r="CE1146"/>
      <c r="CF1146"/>
      <c r="CG1146"/>
      <c r="CH1146"/>
      <c r="CI1146"/>
      <c r="CU1146" s="21">
        <v>1141</v>
      </c>
      <c r="CV1146" s="41">
        <v>4</v>
      </c>
      <c r="CW1146" s="41">
        <v>0.11332468572476186</v>
      </c>
      <c r="CX1146" s="41" t="e">
        <v>#N/A</v>
      </c>
      <c r="CY1146" s="41" t="e">
        <v>#N/A</v>
      </c>
      <c r="CZ1146" s="47" t="e">
        <v>#N/A</v>
      </c>
      <c r="DA1146">
        <v>0.11332468572476186</v>
      </c>
      <c r="DB1146" t="str">
        <v/>
      </c>
    </row>
    <row r="1147" spans="83:106" x14ac:dyDescent="0.2">
      <c r="CE1147"/>
      <c r="CF1147"/>
      <c r="CG1147"/>
      <c r="CH1147"/>
      <c r="CI1147"/>
      <c r="CU1147" s="21">
        <v>1142</v>
      </c>
      <c r="CV1147" s="41">
        <v>4</v>
      </c>
      <c r="CW1147" s="41">
        <v>0.11332468572476186</v>
      </c>
      <c r="CX1147" s="41" t="e">
        <v>#N/A</v>
      </c>
      <c r="CY1147" s="41" t="e">
        <v>#N/A</v>
      </c>
      <c r="CZ1147" s="47" t="e">
        <v>#N/A</v>
      </c>
      <c r="DA1147">
        <v>0.11332468572476186</v>
      </c>
      <c r="DB1147" t="str">
        <v/>
      </c>
    </row>
    <row r="1148" spans="83:106" x14ac:dyDescent="0.2">
      <c r="CE1148"/>
      <c r="CF1148"/>
      <c r="CG1148"/>
      <c r="CH1148"/>
      <c r="CI1148"/>
      <c r="CU1148" s="21">
        <v>1143</v>
      </c>
      <c r="CV1148" s="41">
        <v>4</v>
      </c>
      <c r="CW1148" s="41">
        <v>0.11332468572476186</v>
      </c>
      <c r="CX1148" s="41" t="e">
        <v>#N/A</v>
      </c>
      <c r="CY1148" s="41" t="e">
        <v>#N/A</v>
      </c>
      <c r="CZ1148" s="47" t="e">
        <v>#N/A</v>
      </c>
      <c r="DA1148">
        <v>0.11332468572476186</v>
      </c>
      <c r="DB1148" t="str">
        <v/>
      </c>
    </row>
    <row r="1149" spans="83:106" x14ac:dyDescent="0.2">
      <c r="CE1149"/>
      <c r="CF1149"/>
      <c r="CG1149"/>
      <c r="CH1149"/>
      <c r="CI1149"/>
      <c r="CU1149" s="21">
        <v>1144</v>
      </c>
      <c r="CV1149" s="41">
        <v>4</v>
      </c>
      <c r="CW1149" s="41">
        <v>0.11332468572476186</v>
      </c>
      <c r="CX1149" s="41" t="e">
        <v>#N/A</v>
      </c>
      <c r="CY1149" s="41" t="e">
        <v>#N/A</v>
      </c>
      <c r="CZ1149" s="47" t="e">
        <v>#N/A</v>
      </c>
      <c r="DA1149">
        <v>0.11332468572476186</v>
      </c>
      <c r="DB1149" t="str">
        <v/>
      </c>
    </row>
    <row r="1150" spans="83:106" x14ac:dyDescent="0.2">
      <c r="CE1150"/>
      <c r="CF1150"/>
      <c r="CG1150"/>
      <c r="CH1150"/>
      <c r="CI1150"/>
      <c r="CU1150" s="21">
        <v>1145</v>
      </c>
      <c r="CV1150" s="41">
        <v>4</v>
      </c>
      <c r="CW1150" s="41">
        <v>0.11332468572476186</v>
      </c>
      <c r="CX1150" s="41" t="e">
        <v>#N/A</v>
      </c>
      <c r="CY1150" s="41" t="e">
        <v>#N/A</v>
      </c>
      <c r="CZ1150" s="47" t="e">
        <v>#N/A</v>
      </c>
      <c r="DA1150">
        <v>0.11332468572476186</v>
      </c>
      <c r="DB1150" t="str">
        <v/>
      </c>
    </row>
    <row r="1151" spans="83:106" x14ac:dyDescent="0.2">
      <c r="CE1151"/>
      <c r="CF1151"/>
      <c r="CG1151"/>
      <c r="CH1151"/>
      <c r="CI1151"/>
      <c r="CU1151" s="21">
        <v>1146</v>
      </c>
      <c r="CV1151" s="41">
        <v>4</v>
      </c>
      <c r="CW1151" s="41">
        <v>0.11332468572476186</v>
      </c>
      <c r="CX1151" s="41" t="e">
        <v>#N/A</v>
      </c>
      <c r="CY1151" s="41" t="e">
        <v>#N/A</v>
      </c>
      <c r="CZ1151" s="47" t="e">
        <v>#N/A</v>
      </c>
      <c r="DA1151">
        <v>0.11332468572476186</v>
      </c>
      <c r="DB1151" t="str">
        <v/>
      </c>
    </row>
    <row r="1152" spans="83:106" x14ac:dyDescent="0.2">
      <c r="CE1152"/>
      <c r="CF1152"/>
      <c r="CG1152"/>
      <c r="CH1152"/>
      <c r="CI1152"/>
      <c r="CU1152" s="21">
        <v>1147</v>
      </c>
      <c r="CV1152" s="41">
        <v>4</v>
      </c>
      <c r="CW1152" s="41">
        <v>0.11332468572476186</v>
      </c>
      <c r="CX1152" s="41" t="e">
        <v>#N/A</v>
      </c>
      <c r="CY1152" s="41" t="e">
        <v>#N/A</v>
      </c>
      <c r="CZ1152" s="47" t="e">
        <v>#N/A</v>
      </c>
      <c r="DA1152">
        <v>0.11332468572476186</v>
      </c>
      <c r="DB1152" t="str">
        <v/>
      </c>
    </row>
    <row r="1153" spans="83:106" x14ac:dyDescent="0.2">
      <c r="CE1153"/>
      <c r="CF1153"/>
      <c r="CG1153"/>
      <c r="CH1153"/>
      <c r="CI1153"/>
      <c r="CU1153" s="21">
        <v>1148</v>
      </c>
      <c r="CV1153" s="41">
        <v>4</v>
      </c>
      <c r="CW1153" s="41">
        <v>0.11332468572476186</v>
      </c>
      <c r="CX1153" s="41" t="e">
        <v>#N/A</v>
      </c>
      <c r="CY1153" s="41" t="e">
        <v>#N/A</v>
      </c>
      <c r="CZ1153" s="47" t="e">
        <v>#N/A</v>
      </c>
      <c r="DA1153">
        <v>0.11332468572476186</v>
      </c>
      <c r="DB1153" t="str">
        <v/>
      </c>
    </row>
    <row r="1154" spans="83:106" x14ac:dyDescent="0.2">
      <c r="CE1154"/>
      <c r="CF1154"/>
      <c r="CG1154"/>
      <c r="CH1154"/>
      <c r="CI1154"/>
      <c r="CU1154" s="21">
        <v>1149</v>
      </c>
      <c r="CV1154" s="41">
        <v>4</v>
      </c>
      <c r="CW1154" s="41">
        <v>0.11332468572476186</v>
      </c>
      <c r="CX1154" s="41" t="e">
        <v>#N/A</v>
      </c>
      <c r="CY1154" s="41" t="e">
        <v>#N/A</v>
      </c>
      <c r="CZ1154" s="47" t="e">
        <v>#N/A</v>
      </c>
      <c r="DA1154">
        <v>0.11332468572476186</v>
      </c>
      <c r="DB1154" t="str">
        <v/>
      </c>
    </row>
    <row r="1155" spans="83:106" x14ac:dyDescent="0.2">
      <c r="CE1155"/>
      <c r="CF1155"/>
      <c r="CG1155"/>
      <c r="CH1155"/>
      <c r="CI1155"/>
      <c r="CU1155" s="21">
        <v>1150</v>
      </c>
      <c r="CV1155" s="41">
        <v>4</v>
      </c>
      <c r="CW1155" s="41">
        <v>0.11332468572476186</v>
      </c>
      <c r="CX1155" s="41" t="e">
        <v>#N/A</v>
      </c>
      <c r="CY1155" s="41" t="e">
        <v>#N/A</v>
      </c>
      <c r="CZ1155" s="47" t="e">
        <v>#N/A</v>
      </c>
      <c r="DA1155">
        <v>0.11332468572476186</v>
      </c>
      <c r="DB1155" t="str">
        <v/>
      </c>
    </row>
    <row r="1156" spans="83:106" x14ac:dyDescent="0.2">
      <c r="CE1156"/>
      <c r="CF1156"/>
      <c r="CG1156"/>
      <c r="CH1156"/>
      <c r="CI1156"/>
      <c r="CU1156" s="21">
        <v>1151</v>
      </c>
      <c r="CV1156" s="41">
        <v>4</v>
      </c>
      <c r="CW1156" s="41">
        <v>0.11332468572476186</v>
      </c>
      <c r="CX1156" s="41" t="e">
        <v>#N/A</v>
      </c>
      <c r="CY1156" s="41" t="e">
        <v>#N/A</v>
      </c>
      <c r="CZ1156" s="47" t="e">
        <v>#N/A</v>
      </c>
      <c r="DA1156">
        <v>0.11332468572476186</v>
      </c>
      <c r="DB1156" t="str">
        <v/>
      </c>
    </row>
    <row r="1157" spans="83:106" x14ac:dyDescent="0.2">
      <c r="CE1157"/>
      <c r="CF1157"/>
      <c r="CG1157"/>
      <c r="CH1157"/>
      <c r="CI1157"/>
      <c r="CU1157" s="21">
        <v>1152</v>
      </c>
      <c r="CV1157" s="41">
        <v>4</v>
      </c>
      <c r="CW1157" s="41">
        <v>0.11332468572476186</v>
      </c>
      <c r="CX1157" s="41" t="e">
        <v>#N/A</v>
      </c>
      <c r="CY1157" s="41" t="e">
        <v>#N/A</v>
      </c>
      <c r="CZ1157" s="47" t="e">
        <v>#N/A</v>
      </c>
      <c r="DA1157">
        <v>0.11332468572476186</v>
      </c>
      <c r="DB1157" t="str">
        <v/>
      </c>
    </row>
    <row r="1158" spans="83:106" x14ac:dyDescent="0.2">
      <c r="CE1158"/>
      <c r="CF1158"/>
      <c r="CG1158"/>
      <c r="CH1158"/>
      <c r="CI1158"/>
      <c r="CU1158" s="21">
        <v>1153</v>
      </c>
      <c r="CV1158" s="41">
        <v>4</v>
      </c>
      <c r="CW1158" s="41">
        <v>0.11332468572476186</v>
      </c>
      <c r="CX1158" s="41" t="e">
        <v>#N/A</v>
      </c>
      <c r="CY1158" s="41" t="e">
        <v>#N/A</v>
      </c>
      <c r="CZ1158" s="47" t="e">
        <v>#N/A</v>
      </c>
      <c r="DA1158">
        <v>0.11332468572476186</v>
      </c>
      <c r="DB1158" t="str">
        <v/>
      </c>
    </row>
    <row r="1159" spans="83:106" x14ac:dyDescent="0.2">
      <c r="CE1159"/>
      <c r="CF1159"/>
      <c r="CG1159"/>
      <c r="CH1159"/>
      <c r="CI1159"/>
      <c r="CU1159" s="21">
        <v>1154</v>
      </c>
      <c r="CV1159" s="41">
        <v>4</v>
      </c>
      <c r="CW1159" s="41">
        <v>0.11332468572476186</v>
      </c>
      <c r="CX1159" s="41" t="e">
        <v>#N/A</v>
      </c>
      <c r="CY1159" s="41" t="e">
        <v>#N/A</v>
      </c>
      <c r="CZ1159" s="47" t="e">
        <v>#N/A</v>
      </c>
      <c r="DA1159">
        <v>0.11332468572476186</v>
      </c>
      <c r="DB1159" t="str">
        <v/>
      </c>
    </row>
    <row r="1160" spans="83:106" x14ac:dyDescent="0.2">
      <c r="CE1160"/>
      <c r="CF1160"/>
      <c r="CG1160"/>
      <c r="CH1160"/>
      <c r="CI1160"/>
      <c r="CU1160" s="21">
        <v>1155</v>
      </c>
      <c r="CV1160" s="41">
        <v>4</v>
      </c>
      <c r="CW1160" s="41">
        <v>0.11332468572476186</v>
      </c>
      <c r="CX1160" s="41" t="e">
        <v>#N/A</v>
      </c>
      <c r="CY1160" s="41" t="e">
        <v>#N/A</v>
      </c>
      <c r="CZ1160" s="47" t="e">
        <v>#N/A</v>
      </c>
      <c r="DA1160">
        <v>0.11332468572476186</v>
      </c>
      <c r="DB1160" t="str">
        <v/>
      </c>
    </row>
    <row r="1161" spans="83:106" x14ac:dyDescent="0.2">
      <c r="CE1161"/>
      <c r="CF1161"/>
      <c r="CG1161"/>
      <c r="CH1161"/>
      <c r="CI1161"/>
      <c r="CU1161" s="21">
        <v>1156</v>
      </c>
      <c r="CV1161" s="41">
        <v>4</v>
      </c>
      <c r="CW1161" s="41">
        <v>0.11332468572476186</v>
      </c>
      <c r="CX1161" s="41" t="e">
        <v>#N/A</v>
      </c>
      <c r="CY1161" s="41" t="e">
        <v>#N/A</v>
      </c>
      <c r="CZ1161" s="47" t="e">
        <v>#N/A</v>
      </c>
      <c r="DA1161">
        <v>0.11332468572476186</v>
      </c>
      <c r="DB1161" t="str">
        <v/>
      </c>
    </row>
    <row r="1162" spans="83:106" x14ac:dyDescent="0.2">
      <c r="CE1162"/>
      <c r="CF1162"/>
      <c r="CG1162"/>
      <c r="CH1162"/>
      <c r="CI1162"/>
      <c r="CU1162" s="21">
        <v>1157</v>
      </c>
      <c r="CV1162" s="41">
        <v>4</v>
      </c>
      <c r="CW1162" s="41">
        <v>0.11332468572476186</v>
      </c>
      <c r="CX1162" s="41" t="e">
        <v>#N/A</v>
      </c>
      <c r="CY1162" s="41" t="e">
        <v>#N/A</v>
      </c>
      <c r="CZ1162" s="47" t="e">
        <v>#N/A</v>
      </c>
      <c r="DA1162">
        <v>0.11332468572476186</v>
      </c>
      <c r="DB1162" t="str">
        <v/>
      </c>
    </row>
    <row r="1163" spans="83:106" x14ac:dyDescent="0.2">
      <c r="CE1163"/>
      <c r="CF1163"/>
      <c r="CG1163"/>
      <c r="CH1163"/>
      <c r="CI1163"/>
      <c r="CU1163" s="21">
        <v>1158</v>
      </c>
      <c r="CV1163" s="41">
        <v>4</v>
      </c>
      <c r="CW1163" s="41">
        <v>0.11332468572476186</v>
      </c>
      <c r="CX1163" s="41" t="e">
        <v>#N/A</v>
      </c>
      <c r="CY1163" s="41" t="e">
        <v>#N/A</v>
      </c>
      <c r="CZ1163" s="47" t="e">
        <v>#N/A</v>
      </c>
      <c r="DA1163">
        <v>0.11332468572476186</v>
      </c>
      <c r="DB1163" t="str">
        <v/>
      </c>
    </row>
    <row r="1164" spans="83:106" x14ac:dyDescent="0.2">
      <c r="CE1164"/>
      <c r="CF1164"/>
      <c r="CG1164"/>
      <c r="CH1164"/>
      <c r="CI1164"/>
      <c r="CU1164" s="21">
        <v>1159</v>
      </c>
      <c r="CV1164" s="41">
        <v>4</v>
      </c>
      <c r="CW1164" s="41">
        <v>0.11332468572476186</v>
      </c>
      <c r="CX1164" s="41" t="e">
        <v>#N/A</v>
      </c>
      <c r="CY1164" s="41" t="e">
        <v>#N/A</v>
      </c>
      <c r="CZ1164" s="47" t="e">
        <v>#N/A</v>
      </c>
      <c r="DA1164">
        <v>0.11332468572476186</v>
      </c>
      <c r="DB1164" t="str">
        <v/>
      </c>
    </row>
    <row r="1165" spans="83:106" x14ac:dyDescent="0.2">
      <c r="CE1165"/>
      <c r="CF1165"/>
      <c r="CG1165"/>
      <c r="CH1165"/>
      <c r="CI1165"/>
      <c r="CU1165" s="21">
        <v>1160</v>
      </c>
      <c r="CV1165" s="41">
        <v>4</v>
      </c>
      <c r="CW1165" s="41">
        <v>0.11332468572476186</v>
      </c>
      <c r="CX1165" s="41" t="e">
        <v>#N/A</v>
      </c>
      <c r="CY1165" s="41" t="e">
        <v>#N/A</v>
      </c>
      <c r="CZ1165" s="47" t="e">
        <v>#N/A</v>
      </c>
      <c r="DA1165">
        <v>0.11332468572476186</v>
      </c>
      <c r="DB1165" t="str">
        <v/>
      </c>
    </row>
    <row r="1166" spans="83:106" x14ac:dyDescent="0.2">
      <c r="CE1166"/>
      <c r="CF1166"/>
      <c r="CG1166"/>
      <c r="CH1166"/>
      <c r="CI1166"/>
      <c r="CU1166" s="21">
        <v>1161</v>
      </c>
      <c r="CV1166" s="41">
        <v>4</v>
      </c>
      <c r="CW1166" s="41">
        <v>0.11332468572476186</v>
      </c>
      <c r="CX1166" s="41" t="e">
        <v>#N/A</v>
      </c>
      <c r="CY1166" s="41" t="e">
        <v>#N/A</v>
      </c>
      <c r="CZ1166" s="47" t="e">
        <v>#N/A</v>
      </c>
      <c r="DA1166">
        <v>0.11332468572476186</v>
      </c>
      <c r="DB1166" t="str">
        <v/>
      </c>
    </row>
    <row r="1167" spans="83:106" x14ac:dyDescent="0.2">
      <c r="CE1167"/>
      <c r="CF1167"/>
      <c r="CG1167"/>
      <c r="CH1167"/>
      <c r="CI1167"/>
      <c r="CU1167" s="21">
        <v>1162</v>
      </c>
      <c r="CV1167" s="41">
        <v>4</v>
      </c>
      <c r="CW1167" s="41">
        <v>0.11332468572476186</v>
      </c>
      <c r="CX1167" s="41" t="e">
        <v>#N/A</v>
      </c>
      <c r="CY1167" s="41" t="e">
        <v>#N/A</v>
      </c>
      <c r="CZ1167" s="47" t="e">
        <v>#N/A</v>
      </c>
      <c r="DA1167">
        <v>0.11332468572476186</v>
      </c>
      <c r="DB1167" t="str">
        <v/>
      </c>
    </row>
    <row r="1168" spans="83:106" x14ac:dyDescent="0.2">
      <c r="CE1168"/>
      <c r="CF1168"/>
      <c r="CG1168"/>
      <c r="CH1168"/>
      <c r="CI1168"/>
      <c r="CU1168" s="21">
        <v>1163</v>
      </c>
      <c r="CV1168" s="41">
        <v>4</v>
      </c>
      <c r="CW1168" s="41">
        <v>0.11332468572476186</v>
      </c>
      <c r="CX1168" s="41" t="e">
        <v>#N/A</v>
      </c>
      <c r="CY1168" s="41" t="e">
        <v>#N/A</v>
      </c>
      <c r="CZ1168" s="47" t="e">
        <v>#N/A</v>
      </c>
      <c r="DA1168">
        <v>0.11332468572476186</v>
      </c>
      <c r="DB1168" t="str">
        <v/>
      </c>
    </row>
    <row r="1169" spans="83:106" x14ac:dyDescent="0.2">
      <c r="CE1169"/>
      <c r="CF1169"/>
      <c r="CG1169"/>
      <c r="CH1169"/>
      <c r="CI1169"/>
      <c r="CU1169" s="21">
        <v>1164</v>
      </c>
      <c r="CV1169" s="41">
        <v>4</v>
      </c>
      <c r="CW1169" s="41">
        <v>0.11332468572476186</v>
      </c>
      <c r="CX1169" s="41" t="e">
        <v>#N/A</v>
      </c>
      <c r="CY1169" s="41" t="e">
        <v>#N/A</v>
      </c>
      <c r="CZ1169" s="47" t="e">
        <v>#N/A</v>
      </c>
      <c r="DA1169">
        <v>0.11332468572476186</v>
      </c>
      <c r="DB1169" t="str">
        <v/>
      </c>
    </row>
    <row r="1170" spans="83:106" x14ac:dyDescent="0.2">
      <c r="CE1170"/>
      <c r="CF1170"/>
      <c r="CG1170"/>
      <c r="CH1170"/>
      <c r="CI1170"/>
      <c r="CU1170" s="21">
        <v>1165</v>
      </c>
      <c r="CV1170" s="41">
        <v>4</v>
      </c>
      <c r="CW1170" s="41">
        <v>0.11332468572476186</v>
      </c>
      <c r="CX1170" s="41" t="e">
        <v>#N/A</v>
      </c>
      <c r="CY1170" s="41" t="e">
        <v>#N/A</v>
      </c>
      <c r="CZ1170" s="47" t="e">
        <v>#N/A</v>
      </c>
      <c r="DA1170">
        <v>0.11332468572476186</v>
      </c>
      <c r="DB1170" t="str">
        <v/>
      </c>
    </row>
    <row r="1171" spans="83:106" x14ac:dyDescent="0.2">
      <c r="CE1171"/>
      <c r="CF1171"/>
      <c r="CG1171"/>
      <c r="CH1171"/>
      <c r="CI1171"/>
      <c r="CU1171" s="21">
        <v>1166</v>
      </c>
      <c r="CV1171" s="41">
        <v>4</v>
      </c>
      <c r="CW1171" s="41">
        <v>0.11332468572476186</v>
      </c>
      <c r="CX1171" s="41" t="e">
        <v>#N/A</v>
      </c>
      <c r="CY1171" s="41" t="e">
        <v>#N/A</v>
      </c>
      <c r="CZ1171" s="47" t="e">
        <v>#N/A</v>
      </c>
      <c r="DA1171">
        <v>0.11332468572476186</v>
      </c>
      <c r="DB1171" t="str">
        <v/>
      </c>
    </row>
    <row r="1172" spans="83:106" x14ac:dyDescent="0.2">
      <c r="CE1172"/>
      <c r="CF1172"/>
      <c r="CG1172"/>
      <c r="CH1172"/>
      <c r="CI1172"/>
      <c r="CU1172" s="21">
        <v>1167</v>
      </c>
      <c r="CV1172" s="41">
        <v>4</v>
      </c>
      <c r="CW1172" s="41">
        <v>0.11332468572476186</v>
      </c>
      <c r="CX1172" s="41" t="e">
        <v>#N/A</v>
      </c>
      <c r="CY1172" s="41" t="e">
        <v>#N/A</v>
      </c>
      <c r="CZ1172" s="47" t="e">
        <v>#N/A</v>
      </c>
      <c r="DA1172">
        <v>0.11332468572476186</v>
      </c>
      <c r="DB1172" t="str">
        <v/>
      </c>
    </row>
    <row r="1173" spans="83:106" x14ac:dyDescent="0.2">
      <c r="CE1173"/>
      <c r="CF1173"/>
      <c r="CG1173"/>
      <c r="CH1173"/>
      <c r="CI1173"/>
      <c r="CU1173" s="21">
        <v>1168</v>
      </c>
      <c r="CV1173" s="41">
        <v>4</v>
      </c>
      <c r="CW1173" s="41">
        <v>0.11332468572476186</v>
      </c>
      <c r="CX1173" s="41" t="e">
        <v>#N/A</v>
      </c>
      <c r="CY1173" s="41" t="e">
        <v>#N/A</v>
      </c>
      <c r="CZ1173" s="47" t="e">
        <v>#N/A</v>
      </c>
      <c r="DA1173">
        <v>0.11332468572476186</v>
      </c>
      <c r="DB1173" t="str">
        <v/>
      </c>
    </row>
    <row r="1174" spans="83:106" x14ac:dyDescent="0.2">
      <c r="CE1174"/>
      <c r="CF1174"/>
      <c r="CG1174"/>
      <c r="CH1174"/>
      <c r="CI1174"/>
      <c r="CU1174" s="21">
        <v>1169</v>
      </c>
      <c r="CV1174" s="41">
        <v>4</v>
      </c>
      <c r="CW1174" s="41">
        <v>0.11332468572476186</v>
      </c>
      <c r="CX1174" s="41" t="e">
        <v>#N/A</v>
      </c>
      <c r="CY1174" s="41" t="e">
        <v>#N/A</v>
      </c>
      <c r="CZ1174" s="47" t="e">
        <v>#N/A</v>
      </c>
      <c r="DA1174">
        <v>0.11332468572476186</v>
      </c>
      <c r="DB1174" t="str">
        <v/>
      </c>
    </row>
    <row r="1175" spans="83:106" x14ac:dyDescent="0.2">
      <c r="CE1175"/>
      <c r="CF1175"/>
      <c r="CG1175"/>
      <c r="CH1175"/>
      <c r="CI1175"/>
      <c r="CU1175" s="21">
        <v>1170</v>
      </c>
      <c r="CV1175" s="41">
        <v>4</v>
      </c>
      <c r="CW1175" s="41">
        <v>0.11332468572476186</v>
      </c>
      <c r="CX1175" s="41" t="e">
        <v>#N/A</v>
      </c>
      <c r="CY1175" s="41" t="e">
        <v>#N/A</v>
      </c>
      <c r="CZ1175" s="47" t="e">
        <v>#N/A</v>
      </c>
      <c r="DA1175">
        <v>0.11332468572476186</v>
      </c>
      <c r="DB1175" t="str">
        <v/>
      </c>
    </row>
    <row r="1176" spans="83:106" x14ac:dyDescent="0.2">
      <c r="CE1176"/>
      <c r="CF1176"/>
      <c r="CG1176"/>
      <c r="CH1176"/>
      <c r="CI1176"/>
      <c r="CU1176" s="21">
        <v>1171</v>
      </c>
      <c r="CV1176" s="41">
        <v>4</v>
      </c>
      <c r="CW1176" s="41">
        <v>0.11332468572476186</v>
      </c>
      <c r="CX1176" s="41" t="e">
        <v>#N/A</v>
      </c>
      <c r="CY1176" s="41" t="e">
        <v>#N/A</v>
      </c>
      <c r="CZ1176" s="47" t="e">
        <v>#N/A</v>
      </c>
      <c r="DA1176">
        <v>0.11332468572476186</v>
      </c>
      <c r="DB1176" t="str">
        <v/>
      </c>
    </row>
    <row r="1177" spans="83:106" x14ac:dyDescent="0.2">
      <c r="CE1177"/>
      <c r="CF1177"/>
      <c r="CG1177"/>
      <c r="CH1177"/>
      <c r="CI1177"/>
      <c r="CU1177" s="21">
        <v>1172</v>
      </c>
      <c r="CV1177" s="41">
        <v>4</v>
      </c>
      <c r="CW1177" s="41">
        <v>0.11332468572476186</v>
      </c>
      <c r="CX1177" s="41" t="e">
        <v>#N/A</v>
      </c>
      <c r="CY1177" s="41" t="e">
        <v>#N/A</v>
      </c>
      <c r="CZ1177" s="47" t="e">
        <v>#N/A</v>
      </c>
      <c r="DA1177">
        <v>0.11332468572476186</v>
      </c>
      <c r="DB1177" t="str">
        <v/>
      </c>
    </row>
    <row r="1178" spans="83:106" x14ac:dyDescent="0.2">
      <c r="CE1178"/>
      <c r="CF1178"/>
      <c r="CG1178"/>
      <c r="CH1178"/>
      <c r="CI1178"/>
      <c r="CU1178" s="21">
        <v>1173</v>
      </c>
      <c r="CV1178" s="41">
        <v>4</v>
      </c>
      <c r="CW1178" s="41">
        <v>0.11332468572476186</v>
      </c>
      <c r="CX1178" s="41" t="e">
        <v>#N/A</v>
      </c>
      <c r="CY1178" s="41" t="e">
        <v>#N/A</v>
      </c>
      <c r="CZ1178" s="47" t="e">
        <v>#N/A</v>
      </c>
      <c r="DA1178">
        <v>0.11332468572476186</v>
      </c>
      <c r="DB1178" t="str">
        <v/>
      </c>
    </row>
    <row r="1179" spans="83:106" x14ac:dyDescent="0.2">
      <c r="CE1179"/>
      <c r="CF1179"/>
      <c r="CG1179"/>
      <c r="CH1179"/>
      <c r="CI1179"/>
      <c r="CU1179" s="21">
        <v>1174</v>
      </c>
      <c r="CV1179" s="41">
        <v>4</v>
      </c>
      <c r="CW1179" s="41">
        <v>0.11332468572476186</v>
      </c>
      <c r="CX1179" s="41" t="e">
        <v>#N/A</v>
      </c>
      <c r="CY1179" s="41" t="e">
        <v>#N/A</v>
      </c>
      <c r="CZ1179" s="47" t="e">
        <v>#N/A</v>
      </c>
      <c r="DA1179">
        <v>0.11332468572476186</v>
      </c>
      <c r="DB1179" t="str">
        <v/>
      </c>
    </row>
    <row r="1180" spans="83:106" x14ac:dyDescent="0.2">
      <c r="CE1180"/>
      <c r="CF1180"/>
      <c r="CG1180"/>
      <c r="CH1180"/>
      <c r="CI1180"/>
      <c r="CU1180" s="21">
        <v>1175</v>
      </c>
      <c r="CV1180" s="41">
        <v>4</v>
      </c>
      <c r="CW1180" s="41">
        <v>0.11332468572476186</v>
      </c>
      <c r="CX1180" s="41" t="e">
        <v>#N/A</v>
      </c>
      <c r="CY1180" s="41" t="e">
        <v>#N/A</v>
      </c>
      <c r="CZ1180" s="47" t="e">
        <v>#N/A</v>
      </c>
      <c r="DA1180">
        <v>0.11332468572476186</v>
      </c>
      <c r="DB1180" t="str">
        <v/>
      </c>
    </row>
    <row r="1181" spans="83:106" x14ac:dyDescent="0.2">
      <c r="CE1181"/>
      <c r="CF1181"/>
      <c r="CG1181"/>
      <c r="CH1181"/>
      <c r="CI1181"/>
      <c r="CU1181" s="21">
        <v>1176</v>
      </c>
      <c r="CV1181" s="41">
        <v>4</v>
      </c>
      <c r="CW1181" s="41">
        <v>0.11332468572476186</v>
      </c>
      <c r="CX1181" s="41" t="e">
        <v>#N/A</v>
      </c>
      <c r="CY1181" s="41" t="e">
        <v>#N/A</v>
      </c>
      <c r="CZ1181" s="47" t="e">
        <v>#N/A</v>
      </c>
      <c r="DA1181">
        <v>0.11332468572476186</v>
      </c>
      <c r="DB1181" t="str">
        <v/>
      </c>
    </row>
    <row r="1182" spans="83:106" x14ac:dyDescent="0.2">
      <c r="CE1182"/>
      <c r="CF1182"/>
      <c r="CG1182"/>
      <c r="CH1182"/>
      <c r="CI1182"/>
      <c r="CU1182" s="21">
        <v>1177</v>
      </c>
      <c r="CV1182" s="41">
        <v>4</v>
      </c>
      <c r="CW1182" s="41">
        <v>0.11332468572476186</v>
      </c>
      <c r="CX1182" s="41" t="e">
        <v>#N/A</v>
      </c>
      <c r="CY1182" s="41" t="e">
        <v>#N/A</v>
      </c>
      <c r="CZ1182" s="47" t="e">
        <v>#N/A</v>
      </c>
      <c r="DA1182">
        <v>0.11332468572476186</v>
      </c>
      <c r="DB1182" t="str">
        <v/>
      </c>
    </row>
    <row r="1183" spans="83:106" x14ac:dyDescent="0.2">
      <c r="CE1183"/>
      <c r="CF1183"/>
      <c r="CG1183"/>
      <c r="CH1183"/>
      <c r="CI1183"/>
      <c r="CU1183" s="21">
        <v>1178</v>
      </c>
      <c r="CV1183" s="41">
        <v>4</v>
      </c>
      <c r="CW1183" s="41">
        <v>0.11332468572476186</v>
      </c>
      <c r="CX1183" s="41" t="e">
        <v>#N/A</v>
      </c>
      <c r="CY1183" s="41" t="e">
        <v>#N/A</v>
      </c>
      <c r="CZ1183" s="47" t="e">
        <v>#N/A</v>
      </c>
      <c r="DA1183">
        <v>0.11332468572476186</v>
      </c>
      <c r="DB1183" t="str">
        <v/>
      </c>
    </row>
    <row r="1184" spans="83:106" x14ac:dyDescent="0.2">
      <c r="CE1184"/>
      <c r="CF1184"/>
      <c r="CG1184"/>
      <c r="CH1184"/>
      <c r="CI1184"/>
      <c r="CU1184" s="21">
        <v>1179</v>
      </c>
      <c r="CV1184" s="41">
        <v>4</v>
      </c>
      <c r="CW1184" s="41">
        <v>0.11332468572476186</v>
      </c>
      <c r="CX1184" s="41" t="e">
        <v>#N/A</v>
      </c>
      <c r="CY1184" s="41" t="e">
        <v>#N/A</v>
      </c>
      <c r="CZ1184" s="47" t="e">
        <v>#N/A</v>
      </c>
      <c r="DA1184">
        <v>0.11332468572476186</v>
      </c>
      <c r="DB1184" t="str">
        <v/>
      </c>
    </row>
    <row r="1185" spans="83:106" x14ac:dyDescent="0.2">
      <c r="CE1185"/>
      <c r="CF1185"/>
      <c r="CG1185"/>
      <c r="CH1185"/>
      <c r="CI1185"/>
      <c r="CU1185" s="21">
        <v>1180</v>
      </c>
      <c r="CV1185" s="41">
        <v>4</v>
      </c>
      <c r="CW1185" s="41">
        <v>0.11332468572476186</v>
      </c>
      <c r="CX1185" s="41" t="e">
        <v>#N/A</v>
      </c>
      <c r="CY1185" s="41" t="e">
        <v>#N/A</v>
      </c>
      <c r="CZ1185" s="47" t="e">
        <v>#N/A</v>
      </c>
      <c r="DA1185">
        <v>0.11332468572476186</v>
      </c>
      <c r="DB1185" t="str">
        <v/>
      </c>
    </row>
    <row r="1186" spans="83:106" x14ac:dyDescent="0.2">
      <c r="CE1186"/>
      <c r="CF1186"/>
      <c r="CG1186"/>
      <c r="CH1186"/>
      <c r="CI1186"/>
      <c r="CU1186" s="21">
        <v>1181</v>
      </c>
      <c r="CV1186" s="41">
        <v>4</v>
      </c>
      <c r="CW1186" s="41">
        <v>0.11332468572476186</v>
      </c>
      <c r="CX1186" s="41" t="e">
        <v>#N/A</v>
      </c>
      <c r="CY1186" s="41" t="e">
        <v>#N/A</v>
      </c>
      <c r="CZ1186" s="47" t="e">
        <v>#N/A</v>
      </c>
      <c r="DA1186">
        <v>0.11332468572476186</v>
      </c>
      <c r="DB1186" t="str">
        <v/>
      </c>
    </row>
    <row r="1187" spans="83:106" x14ac:dyDescent="0.2">
      <c r="CE1187"/>
      <c r="CF1187"/>
      <c r="CG1187"/>
      <c r="CH1187"/>
      <c r="CI1187"/>
      <c r="CU1187" s="21">
        <v>1182</v>
      </c>
      <c r="CV1187" s="41">
        <v>4</v>
      </c>
      <c r="CW1187" s="41">
        <v>0.11332468572476186</v>
      </c>
      <c r="CX1187" s="41" t="e">
        <v>#N/A</v>
      </c>
      <c r="CY1187" s="41" t="e">
        <v>#N/A</v>
      </c>
      <c r="CZ1187" s="47" t="e">
        <v>#N/A</v>
      </c>
      <c r="DA1187">
        <v>0.11332468572476186</v>
      </c>
      <c r="DB1187" t="str">
        <v/>
      </c>
    </row>
    <row r="1188" spans="83:106" x14ac:dyDescent="0.2">
      <c r="CE1188"/>
      <c r="CF1188"/>
      <c r="CG1188"/>
      <c r="CH1188"/>
      <c r="CI1188"/>
      <c r="CU1188" s="21">
        <v>1183</v>
      </c>
      <c r="CV1188" s="41">
        <v>4</v>
      </c>
      <c r="CW1188" s="41">
        <v>0.11332468572476186</v>
      </c>
      <c r="CX1188" s="41" t="e">
        <v>#N/A</v>
      </c>
      <c r="CY1188" s="41" t="e">
        <v>#N/A</v>
      </c>
      <c r="CZ1188" s="47" t="e">
        <v>#N/A</v>
      </c>
      <c r="DA1188">
        <v>0.11332468572476186</v>
      </c>
      <c r="DB1188" t="str">
        <v/>
      </c>
    </row>
    <row r="1189" spans="83:106" x14ac:dyDescent="0.2">
      <c r="CE1189"/>
      <c r="CF1189"/>
      <c r="CG1189"/>
      <c r="CH1189"/>
      <c r="CI1189"/>
      <c r="CU1189" s="21">
        <v>1184</v>
      </c>
      <c r="CV1189" s="41">
        <v>4</v>
      </c>
      <c r="CW1189" s="41">
        <v>0.11332468572476186</v>
      </c>
      <c r="CX1189" s="41" t="e">
        <v>#N/A</v>
      </c>
      <c r="CY1189" s="41" t="e">
        <v>#N/A</v>
      </c>
      <c r="CZ1189" s="47" t="e">
        <v>#N/A</v>
      </c>
      <c r="DA1189">
        <v>0.11332468572476186</v>
      </c>
      <c r="DB1189" t="str">
        <v/>
      </c>
    </row>
    <row r="1190" spans="83:106" x14ac:dyDescent="0.2">
      <c r="CE1190"/>
      <c r="CF1190"/>
      <c r="CG1190"/>
      <c r="CH1190"/>
      <c r="CI1190"/>
      <c r="CU1190" s="21">
        <v>1185</v>
      </c>
      <c r="CV1190" s="41">
        <v>4</v>
      </c>
      <c r="CW1190" s="41">
        <v>0.11332468572476186</v>
      </c>
      <c r="CX1190" s="41" t="e">
        <v>#N/A</v>
      </c>
      <c r="CY1190" s="41" t="e">
        <v>#N/A</v>
      </c>
      <c r="CZ1190" s="47" t="e">
        <v>#N/A</v>
      </c>
      <c r="DA1190">
        <v>0.11332468572476186</v>
      </c>
      <c r="DB1190" t="str">
        <v/>
      </c>
    </row>
    <row r="1191" spans="83:106" x14ac:dyDescent="0.2">
      <c r="CE1191"/>
      <c r="CF1191"/>
      <c r="CG1191"/>
      <c r="CH1191"/>
      <c r="CI1191"/>
      <c r="CU1191" s="21">
        <v>1186</v>
      </c>
      <c r="CV1191" s="41">
        <v>4</v>
      </c>
      <c r="CW1191" s="41">
        <v>0.11332468572476186</v>
      </c>
      <c r="CX1191" s="41" t="e">
        <v>#N/A</v>
      </c>
      <c r="CY1191" s="41" t="e">
        <v>#N/A</v>
      </c>
      <c r="CZ1191" s="47" t="e">
        <v>#N/A</v>
      </c>
      <c r="DA1191">
        <v>0.11332468572476186</v>
      </c>
      <c r="DB1191" t="str">
        <v/>
      </c>
    </row>
    <row r="1192" spans="83:106" x14ac:dyDescent="0.2">
      <c r="CE1192"/>
      <c r="CF1192"/>
      <c r="CG1192"/>
      <c r="CH1192"/>
      <c r="CI1192"/>
      <c r="CU1192" s="21">
        <v>1187</v>
      </c>
      <c r="CV1192" s="41">
        <v>4</v>
      </c>
      <c r="CW1192" s="41">
        <v>0.11332468572476186</v>
      </c>
      <c r="CX1192" s="41" t="e">
        <v>#N/A</v>
      </c>
      <c r="CY1192" s="41" t="e">
        <v>#N/A</v>
      </c>
      <c r="CZ1192" s="47" t="e">
        <v>#N/A</v>
      </c>
      <c r="DA1192">
        <v>0.11332468572476186</v>
      </c>
      <c r="DB1192" t="str">
        <v/>
      </c>
    </row>
    <row r="1193" spans="83:106" x14ac:dyDescent="0.2">
      <c r="CE1193"/>
      <c r="CF1193"/>
      <c r="CG1193"/>
      <c r="CH1193"/>
      <c r="CI1193"/>
      <c r="CU1193" s="21">
        <v>1188</v>
      </c>
      <c r="CV1193" s="41">
        <v>4</v>
      </c>
      <c r="CW1193" s="41">
        <v>0.11332468572476186</v>
      </c>
      <c r="CX1193" s="41" t="e">
        <v>#N/A</v>
      </c>
      <c r="CY1193" s="41" t="e">
        <v>#N/A</v>
      </c>
      <c r="CZ1193" s="47" t="e">
        <v>#N/A</v>
      </c>
      <c r="DA1193">
        <v>0.11332468572476186</v>
      </c>
      <c r="DB1193" t="str">
        <v/>
      </c>
    </row>
    <row r="1194" spans="83:106" x14ac:dyDescent="0.2">
      <c r="CE1194"/>
      <c r="CF1194"/>
      <c r="CG1194"/>
      <c r="CH1194"/>
      <c r="CI1194"/>
      <c r="CU1194" s="21">
        <v>1189</v>
      </c>
      <c r="CV1194" s="41">
        <v>4</v>
      </c>
      <c r="CW1194" s="41">
        <v>0.11332468572476186</v>
      </c>
      <c r="CX1194" s="41" t="e">
        <v>#N/A</v>
      </c>
      <c r="CY1194" s="41" t="e">
        <v>#N/A</v>
      </c>
      <c r="CZ1194" s="47" t="e">
        <v>#N/A</v>
      </c>
      <c r="DA1194">
        <v>0.11332468572476186</v>
      </c>
      <c r="DB1194" t="str">
        <v/>
      </c>
    </row>
    <row r="1195" spans="83:106" x14ac:dyDescent="0.2">
      <c r="CE1195"/>
      <c r="CF1195"/>
      <c r="CG1195"/>
      <c r="CH1195"/>
      <c r="CI1195"/>
      <c r="CU1195" s="21">
        <v>1190</v>
      </c>
      <c r="CV1195" s="41">
        <v>4</v>
      </c>
      <c r="CW1195" s="41">
        <v>0.11332468572476186</v>
      </c>
      <c r="CX1195" s="41" t="e">
        <v>#N/A</v>
      </c>
      <c r="CY1195" s="41" t="e">
        <v>#N/A</v>
      </c>
      <c r="CZ1195" s="47" t="e">
        <v>#N/A</v>
      </c>
      <c r="DA1195">
        <v>0.11332468572476186</v>
      </c>
      <c r="DB1195" t="str">
        <v/>
      </c>
    </row>
    <row r="1196" spans="83:106" x14ac:dyDescent="0.2">
      <c r="CE1196"/>
      <c r="CF1196"/>
      <c r="CG1196"/>
      <c r="CH1196"/>
      <c r="CI1196"/>
      <c r="CU1196" s="21">
        <v>1191</v>
      </c>
      <c r="CV1196" s="41">
        <v>4</v>
      </c>
      <c r="CW1196" s="41">
        <v>0.11332468572476186</v>
      </c>
      <c r="CX1196" s="41" t="e">
        <v>#N/A</v>
      </c>
      <c r="CY1196" s="41" t="e">
        <v>#N/A</v>
      </c>
      <c r="CZ1196" s="47" t="e">
        <v>#N/A</v>
      </c>
      <c r="DA1196">
        <v>0.11332468572476186</v>
      </c>
      <c r="DB1196" t="str">
        <v/>
      </c>
    </row>
    <row r="1197" spans="83:106" x14ac:dyDescent="0.2">
      <c r="CE1197"/>
      <c r="CF1197"/>
      <c r="CG1197"/>
      <c r="CH1197"/>
      <c r="CI1197"/>
      <c r="CU1197" s="21">
        <v>1192</v>
      </c>
      <c r="CV1197" s="41">
        <v>4</v>
      </c>
      <c r="CW1197" s="41">
        <v>0.11332468572476186</v>
      </c>
      <c r="CX1197" s="41" t="e">
        <v>#N/A</v>
      </c>
      <c r="CY1197" s="41" t="e">
        <v>#N/A</v>
      </c>
      <c r="CZ1197" s="47" t="e">
        <v>#N/A</v>
      </c>
      <c r="DA1197">
        <v>0.11332468572476186</v>
      </c>
      <c r="DB1197" t="str">
        <v/>
      </c>
    </row>
    <row r="1198" spans="83:106" x14ac:dyDescent="0.2">
      <c r="CE1198"/>
      <c r="CF1198"/>
      <c r="CG1198"/>
      <c r="CH1198"/>
      <c r="CI1198"/>
      <c r="CU1198" s="21">
        <v>1193</v>
      </c>
      <c r="CV1198" s="41">
        <v>4</v>
      </c>
      <c r="CW1198" s="41">
        <v>0.11332468572476186</v>
      </c>
      <c r="CX1198" s="41" t="e">
        <v>#N/A</v>
      </c>
      <c r="CY1198" s="41" t="e">
        <v>#N/A</v>
      </c>
      <c r="CZ1198" s="47" t="e">
        <v>#N/A</v>
      </c>
      <c r="DA1198">
        <v>0.11332468572476186</v>
      </c>
      <c r="DB1198" t="str">
        <v/>
      </c>
    </row>
    <row r="1199" spans="83:106" x14ac:dyDescent="0.2">
      <c r="CE1199"/>
      <c r="CF1199"/>
      <c r="CG1199"/>
      <c r="CH1199"/>
      <c r="CI1199"/>
      <c r="CU1199" s="21">
        <v>1194</v>
      </c>
      <c r="CV1199" s="41">
        <v>4</v>
      </c>
      <c r="CW1199" s="41">
        <v>0.11332468572476186</v>
      </c>
      <c r="CX1199" s="41" t="e">
        <v>#N/A</v>
      </c>
      <c r="CY1199" s="41" t="e">
        <v>#N/A</v>
      </c>
      <c r="CZ1199" s="47" t="e">
        <v>#N/A</v>
      </c>
      <c r="DA1199">
        <v>0.11332468572476186</v>
      </c>
      <c r="DB1199" t="str">
        <v/>
      </c>
    </row>
    <row r="1200" spans="83:106" x14ac:dyDescent="0.2">
      <c r="CE1200"/>
      <c r="CF1200"/>
      <c r="CG1200"/>
      <c r="CH1200"/>
      <c r="CI1200"/>
      <c r="CU1200" s="21">
        <v>1195</v>
      </c>
      <c r="CV1200" s="41">
        <v>4</v>
      </c>
      <c r="CW1200" s="41">
        <v>0.11332468572476186</v>
      </c>
      <c r="CX1200" s="41" t="e">
        <v>#N/A</v>
      </c>
      <c r="CY1200" s="41" t="e">
        <v>#N/A</v>
      </c>
      <c r="CZ1200" s="47" t="e">
        <v>#N/A</v>
      </c>
      <c r="DA1200">
        <v>0.11332468572476186</v>
      </c>
      <c r="DB1200" t="str">
        <v/>
      </c>
    </row>
    <row r="1201" spans="83:106" x14ac:dyDescent="0.2">
      <c r="CE1201"/>
      <c r="CF1201"/>
      <c r="CG1201"/>
      <c r="CH1201"/>
      <c r="CI1201"/>
      <c r="CU1201" s="21">
        <v>1196</v>
      </c>
      <c r="CV1201" s="41">
        <v>4</v>
      </c>
      <c r="CW1201" s="41">
        <v>0.11332468572476186</v>
      </c>
      <c r="CX1201" s="41" t="e">
        <v>#N/A</v>
      </c>
      <c r="CY1201" s="41" t="e">
        <v>#N/A</v>
      </c>
      <c r="CZ1201" s="47" t="e">
        <v>#N/A</v>
      </c>
      <c r="DA1201">
        <v>0.11332468572476186</v>
      </c>
      <c r="DB1201" t="str">
        <v/>
      </c>
    </row>
    <row r="1202" spans="83:106" x14ac:dyDescent="0.2">
      <c r="CE1202"/>
      <c r="CF1202"/>
      <c r="CG1202"/>
      <c r="CH1202"/>
      <c r="CI1202"/>
      <c r="CU1202" s="21">
        <v>1197</v>
      </c>
      <c r="CV1202" s="41">
        <v>4</v>
      </c>
      <c r="CW1202" s="41">
        <v>0.11332468572476186</v>
      </c>
      <c r="CX1202" s="41" t="e">
        <v>#N/A</v>
      </c>
      <c r="CY1202" s="41" t="e">
        <v>#N/A</v>
      </c>
      <c r="CZ1202" s="47" t="e">
        <v>#N/A</v>
      </c>
      <c r="DA1202">
        <v>0.11332468572476186</v>
      </c>
      <c r="DB1202" t="str">
        <v/>
      </c>
    </row>
    <row r="1203" spans="83:106" x14ac:dyDescent="0.2">
      <c r="CE1203"/>
      <c r="CF1203"/>
      <c r="CG1203"/>
      <c r="CH1203"/>
      <c r="CI1203"/>
      <c r="CU1203" s="21">
        <v>1198</v>
      </c>
      <c r="CV1203" s="41">
        <v>4</v>
      </c>
      <c r="CW1203" s="41">
        <v>0.11332468572476186</v>
      </c>
      <c r="CX1203" s="41" t="e">
        <v>#N/A</v>
      </c>
      <c r="CY1203" s="41" t="e">
        <v>#N/A</v>
      </c>
      <c r="CZ1203" s="47" t="e">
        <v>#N/A</v>
      </c>
      <c r="DA1203">
        <v>0.11332468572476186</v>
      </c>
      <c r="DB1203" t="str">
        <v/>
      </c>
    </row>
    <row r="1204" spans="83:106" x14ac:dyDescent="0.2">
      <c r="CE1204"/>
      <c r="CF1204"/>
      <c r="CG1204"/>
      <c r="CH1204"/>
      <c r="CI1204"/>
      <c r="CU1204" s="21">
        <v>1199</v>
      </c>
      <c r="CV1204" s="41">
        <v>4</v>
      </c>
      <c r="CW1204" s="41">
        <v>0.11332468572476186</v>
      </c>
      <c r="CX1204" s="41" t="e">
        <v>#N/A</v>
      </c>
      <c r="CY1204" s="41" t="e">
        <v>#N/A</v>
      </c>
      <c r="CZ1204" s="47" t="e">
        <v>#N/A</v>
      </c>
      <c r="DA1204">
        <v>0.11332468572476186</v>
      </c>
      <c r="DB1204" t="str">
        <v/>
      </c>
    </row>
    <row r="1205" spans="83:106" x14ac:dyDescent="0.2">
      <c r="CE1205"/>
      <c r="CF1205"/>
      <c r="CG1205"/>
      <c r="CH1205"/>
      <c r="CI1205"/>
      <c r="CU1205" s="21">
        <v>1200</v>
      </c>
      <c r="CV1205" s="41">
        <v>4</v>
      </c>
      <c r="CW1205" s="41">
        <v>0.11332468572476186</v>
      </c>
      <c r="CX1205" s="41" t="e">
        <v>#N/A</v>
      </c>
      <c r="CY1205" s="41" t="e">
        <v>#N/A</v>
      </c>
      <c r="CZ1205" s="47" t="e">
        <v>#N/A</v>
      </c>
      <c r="DA1205">
        <v>0.11332468572476186</v>
      </c>
      <c r="DB1205" t="str">
        <v/>
      </c>
    </row>
    <row r="1206" spans="83:106" x14ac:dyDescent="0.2">
      <c r="CE1206"/>
      <c r="CF1206"/>
      <c r="CG1206"/>
      <c r="CH1206"/>
      <c r="CI1206"/>
      <c r="CU1206" s="21">
        <v>1201</v>
      </c>
      <c r="CV1206" s="41">
        <v>4</v>
      </c>
      <c r="CW1206" s="41">
        <v>0.11332468572476186</v>
      </c>
      <c r="CX1206" s="41" t="e">
        <v>#N/A</v>
      </c>
      <c r="CY1206" s="41" t="e">
        <v>#N/A</v>
      </c>
      <c r="CZ1206" s="47" t="e">
        <v>#N/A</v>
      </c>
      <c r="DA1206">
        <v>0.11332468572476186</v>
      </c>
      <c r="DB1206" t="str">
        <v/>
      </c>
    </row>
    <row r="1207" spans="83:106" x14ac:dyDescent="0.2">
      <c r="CE1207"/>
      <c r="CF1207"/>
      <c r="CG1207"/>
      <c r="CH1207"/>
      <c r="CI1207"/>
      <c r="CU1207" s="21">
        <v>1202</v>
      </c>
      <c r="CV1207" s="41">
        <v>4</v>
      </c>
      <c r="CW1207" s="41">
        <v>0.11332468572476186</v>
      </c>
      <c r="CX1207" s="41" t="e">
        <v>#N/A</v>
      </c>
      <c r="CY1207" s="41" t="e">
        <v>#N/A</v>
      </c>
      <c r="CZ1207" s="47" t="e">
        <v>#N/A</v>
      </c>
      <c r="DA1207">
        <v>0.11332468572476186</v>
      </c>
      <c r="DB1207" t="str">
        <v/>
      </c>
    </row>
    <row r="1208" spans="83:106" x14ac:dyDescent="0.2">
      <c r="CE1208"/>
      <c r="CF1208"/>
      <c r="CG1208"/>
      <c r="CH1208"/>
      <c r="CI1208"/>
      <c r="CU1208" s="21">
        <v>1203</v>
      </c>
      <c r="CV1208" s="41">
        <v>4</v>
      </c>
      <c r="CW1208" s="41">
        <v>0.11332468572476186</v>
      </c>
      <c r="CX1208" s="41" t="e">
        <v>#N/A</v>
      </c>
      <c r="CY1208" s="41" t="e">
        <v>#N/A</v>
      </c>
      <c r="CZ1208" s="47" t="e">
        <v>#N/A</v>
      </c>
      <c r="DA1208">
        <v>0.11332468572476186</v>
      </c>
      <c r="DB1208" t="str">
        <v/>
      </c>
    </row>
    <row r="1209" spans="83:106" x14ac:dyDescent="0.2">
      <c r="CE1209"/>
      <c r="CF1209"/>
      <c r="CG1209"/>
      <c r="CH1209"/>
      <c r="CI1209"/>
      <c r="CU1209" s="21">
        <v>1204</v>
      </c>
      <c r="CV1209" s="41">
        <v>4</v>
      </c>
      <c r="CW1209" s="41">
        <v>0.11332468572476186</v>
      </c>
      <c r="CX1209" s="41" t="e">
        <v>#N/A</v>
      </c>
      <c r="CY1209" s="41" t="e">
        <v>#N/A</v>
      </c>
      <c r="CZ1209" s="47" t="e">
        <v>#N/A</v>
      </c>
      <c r="DA1209">
        <v>0.11332468572476186</v>
      </c>
      <c r="DB1209" t="str">
        <v/>
      </c>
    </row>
    <row r="1210" spans="83:106" x14ac:dyDescent="0.2">
      <c r="CE1210"/>
      <c r="CF1210"/>
      <c r="CG1210"/>
      <c r="CH1210"/>
      <c r="CI1210"/>
      <c r="CU1210" s="21">
        <v>1205</v>
      </c>
      <c r="CV1210" s="41">
        <v>4</v>
      </c>
      <c r="CW1210" s="41">
        <v>0.11332468572476186</v>
      </c>
      <c r="CX1210" s="41" t="e">
        <v>#N/A</v>
      </c>
      <c r="CY1210" s="41" t="e">
        <v>#N/A</v>
      </c>
      <c r="CZ1210" s="47" t="e">
        <v>#N/A</v>
      </c>
      <c r="DA1210">
        <v>0.11332468572476186</v>
      </c>
      <c r="DB1210" t="str">
        <v/>
      </c>
    </row>
    <row r="1211" spans="83:106" x14ac:dyDescent="0.2">
      <c r="CE1211"/>
      <c r="CF1211"/>
      <c r="CG1211"/>
      <c r="CH1211"/>
      <c r="CI1211"/>
      <c r="CU1211" s="21">
        <v>1206</v>
      </c>
      <c r="CV1211" s="41">
        <v>4</v>
      </c>
      <c r="CW1211" s="41">
        <v>0.11332468572476186</v>
      </c>
      <c r="CX1211" s="41" t="e">
        <v>#N/A</v>
      </c>
      <c r="CY1211" s="41" t="e">
        <v>#N/A</v>
      </c>
      <c r="CZ1211" s="47" t="e">
        <v>#N/A</v>
      </c>
      <c r="DA1211">
        <v>0.11332468572476186</v>
      </c>
      <c r="DB1211" t="str">
        <v/>
      </c>
    </row>
    <row r="1212" spans="83:106" x14ac:dyDescent="0.2">
      <c r="CE1212"/>
      <c r="CF1212"/>
      <c r="CG1212"/>
      <c r="CH1212"/>
      <c r="CI1212"/>
      <c r="CU1212" s="21">
        <v>1207</v>
      </c>
      <c r="CV1212" s="41">
        <v>4</v>
      </c>
      <c r="CW1212" s="41">
        <v>0.11332468572476186</v>
      </c>
      <c r="CX1212" s="41" t="e">
        <v>#N/A</v>
      </c>
      <c r="CY1212" s="41" t="e">
        <v>#N/A</v>
      </c>
      <c r="CZ1212" s="47" t="e">
        <v>#N/A</v>
      </c>
      <c r="DA1212">
        <v>0.11332468572476186</v>
      </c>
      <c r="DB1212" t="str">
        <v/>
      </c>
    </row>
    <row r="1213" spans="83:106" x14ac:dyDescent="0.2">
      <c r="CE1213"/>
      <c r="CF1213"/>
      <c r="CG1213"/>
      <c r="CH1213"/>
      <c r="CI1213"/>
      <c r="CU1213" s="21">
        <v>1208</v>
      </c>
      <c r="CV1213" s="41">
        <v>4</v>
      </c>
      <c r="CW1213" s="41">
        <v>0.11332468572476186</v>
      </c>
      <c r="CX1213" s="41" t="e">
        <v>#N/A</v>
      </c>
      <c r="CY1213" s="41" t="e">
        <v>#N/A</v>
      </c>
      <c r="CZ1213" s="47" t="e">
        <v>#N/A</v>
      </c>
      <c r="DA1213">
        <v>0.11332468572476186</v>
      </c>
      <c r="DB1213" t="str">
        <v/>
      </c>
    </row>
    <row r="1214" spans="83:106" x14ac:dyDescent="0.2">
      <c r="CE1214"/>
      <c r="CF1214"/>
      <c r="CG1214"/>
      <c r="CH1214"/>
      <c r="CI1214"/>
      <c r="CU1214" s="21">
        <v>1209</v>
      </c>
      <c r="CV1214" s="41">
        <v>4</v>
      </c>
      <c r="CW1214" s="41">
        <v>0.11332468572476186</v>
      </c>
      <c r="CX1214" s="41" t="e">
        <v>#N/A</v>
      </c>
      <c r="CY1214" s="41" t="e">
        <v>#N/A</v>
      </c>
      <c r="CZ1214" s="47" t="e">
        <v>#N/A</v>
      </c>
      <c r="DA1214">
        <v>0.11332468572476186</v>
      </c>
      <c r="DB1214" t="str">
        <v/>
      </c>
    </row>
    <row r="1215" spans="83:106" x14ac:dyDescent="0.2">
      <c r="CE1215"/>
      <c r="CF1215"/>
      <c r="CG1215"/>
      <c r="CH1215"/>
      <c r="CI1215"/>
      <c r="CU1215" s="21">
        <v>1210</v>
      </c>
      <c r="CV1215" s="41">
        <v>4</v>
      </c>
      <c r="CW1215" s="41">
        <v>0.11332468572476186</v>
      </c>
      <c r="CX1215" s="41" t="e">
        <v>#N/A</v>
      </c>
      <c r="CY1215" s="41" t="e">
        <v>#N/A</v>
      </c>
      <c r="CZ1215" s="47" t="e">
        <v>#N/A</v>
      </c>
      <c r="DA1215">
        <v>0.11332468572476186</v>
      </c>
      <c r="DB1215" t="str">
        <v/>
      </c>
    </row>
    <row r="1216" spans="83:106" x14ac:dyDescent="0.2">
      <c r="CE1216"/>
      <c r="CF1216"/>
      <c r="CG1216"/>
      <c r="CH1216"/>
      <c r="CI1216"/>
      <c r="CU1216" s="21">
        <v>1211</v>
      </c>
      <c r="CV1216" s="41">
        <v>4</v>
      </c>
      <c r="CW1216" s="41">
        <v>0.11332468572476186</v>
      </c>
      <c r="CX1216" s="41" t="e">
        <v>#N/A</v>
      </c>
      <c r="CY1216" s="41" t="e">
        <v>#N/A</v>
      </c>
      <c r="CZ1216" s="47" t="e">
        <v>#N/A</v>
      </c>
      <c r="DA1216">
        <v>0.11332468572476186</v>
      </c>
      <c r="DB1216" t="str">
        <v/>
      </c>
    </row>
    <row r="1217" spans="83:106" x14ac:dyDescent="0.2">
      <c r="CE1217"/>
      <c r="CF1217"/>
      <c r="CG1217"/>
      <c r="CH1217"/>
      <c r="CI1217"/>
      <c r="CU1217" s="21">
        <v>1212</v>
      </c>
      <c r="CV1217" s="41">
        <v>4</v>
      </c>
      <c r="CW1217" s="41">
        <v>0.11332468572476186</v>
      </c>
      <c r="CX1217" s="41" t="e">
        <v>#N/A</v>
      </c>
      <c r="CY1217" s="41" t="e">
        <v>#N/A</v>
      </c>
      <c r="CZ1217" s="47" t="e">
        <v>#N/A</v>
      </c>
      <c r="DA1217">
        <v>0.11332468572476186</v>
      </c>
      <c r="DB1217" t="str">
        <v/>
      </c>
    </row>
    <row r="1218" spans="83:106" x14ac:dyDescent="0.2">
      <c r="CE1218"/>
      <c r="CF1218"/>
      <c r="CG1218"/>
      <c r="CH1218"/>
      <c r="CI1218"/>
      <c r="CU1218" s="21">
        <v>1213</v>
      </c>
      <c r="CV1218" s="41">
        <v>4</v>
      </c>
      <c r="CW1218" s="41">
        <v>0.11332468572476186</v>
      </c>
      <c r="CX1218" s="41" t="e">
        <v>#N/A</v>
      </c>
      <c r="CY1218" s="41" t="e">
        <v>#N/A</v>
      </c>
      <c r="CZ1218" s="47" t="e">
        <v>#N/A</v>
      </c>
      <c r="DA1218">
        <v>0.11332468572476186</v>
      </c>
      <c r="DB1218" t="str">
        <v/>
      </c>
    </row>
    <row r="1219" spans="83:106" x14ac:dyDescent="0.2">
      <c r="CE1219"/>
      <c r="CF1219"/>
      <c r="CG1219"/>
      <c r="CH1219"/>
      <c r="CI1219"/>
      <c r="CU1219" s="21">
        <v>1214</v>
      </c>
      <c r="CV1219" s="41">
        <v>4</v>
      </c>
      <c r="CW1219" s="41">
        <v>0.11332468572476186</v>
      </c>
      <c r="CX1219" s="41" t="e">
        <v>#N/A</v>
      </c>
      <c r="CY1219" s="41" t="e">
        <v>#N/A</v>
      </c>
      <c r="CZ1219" s="47" t="e">
        <v>#N/A</v>
      </c>
      <c r="DA1219">
        <v>0.11332468572476186</v>
      </c>
      <c r="DB1219" t="str">
        <v/>
      </c>
    </row>
    <row r="1220" spans="83:106" x14ac:dyDescent="0.2">
      <c r="CE1220"/>
      <c r="CF1220"/>
      <c r="CG1220"/>
      <c r="CH1220"/>
      <c r="CI1220"/>
      <c r="CU1220" s="21">
        <v>1215</v>
      </c>
      <c r="CV1220" s="41">
        <v>4</v>
      </c>
      <c r="CW1220" s="41">
        <v>0.11332468572476186</v>
      </c>
      <c r="CX1220" s="41" t="e">
        <v>#N/A</v>
      </c>
      <c r="CY1220" s="41" t="e">
        <v>#N/A</v>
      </c>
      <c r="CZ1220" s="47" t="e">
        <v>#N/A</v>
      </c>
      <c r="DA1220">
        <v>0.11332468572476186</v>
      </c>
      <c r="DB1220" t="str">
        <v/>
      </c>
    </row>
    <row r="1221" spans="83:106" x14ac:dyDescent="0.2">
      <c r="CE1221"/>
      <c r="CF1221"/>
      <c r="CG1221"/>
      <c r="CH1221"/>
      <c r="CI1221"/>
      <c r="CU1221" s="21">
        <v>1216</v>
      </c>
      <c r="CV1221" s="41">
        <v>4</v>
      </c>
      <c r="CW1221" s="41">
        <v>0.11332468572476186</v>
      </c>
      <c r="CX1221" s="41" t="e">
        <v>#N/A</v>
      </c>
      <c r="CY1221" s="41" t="e">
        <v>#N/A</v>
      </c>
      <c r="CZ1221" s="47" t="e">
        <v>#N/A</v>
      </c>
      <c r="DA1221">
        <v>0.11332468572476186</v>
      </c>
      <c r="DB1221" t="str">
        <v/>
      </c>
    </row>
    <row r="1222" spans="83:106" x14ac:dyDescent="0.2">
      <c r="CE1222"/>
      <c r="CF1222"/>
      <c r="CG1222"/>
      <c r="CH1222"/>
      <c r="CI1222"/>
      <c r="CU1222" s="21">
        <v>1217</v>
      </c>
      <c r="CV1222" s="41">
        <v>4</v>
      </c>
      <c r="CW1222" s="41">
        <v>0.11332468572476186</v>
      </c>
      <c r="CX1222" s="41" t="e">
        <v>#N/A</v>
      </c>
      <c r="CY1222" s="41" t="e">
        <v>#N/A</v>
      </c>
      <c r="CZ1222" s="47" t="e">
        <v>#N/A</v>
      </c>
      <c r="DA1222">
        <v>0.11332468572476186</v>
      </c>
      <c r="DB1222" t="str">
        <v/>
      </c>
    </row>
    <row r="1223" spans="83:106" x14ac:dyDescent="0.2">
      <c r="CE1223"/>
      <c r="CF1223"/>
      <c r="CG1223"/>
      <c r="CH1223"/>
      <c r="CI1223"/>
      <c r="CU1223" s="21">
        <v>1218</v>
      </c>
      <c r="CV1223" s="41">
        <v>4</v>
      </c>
      <c r="CW1223" s="41">
        <v>0.11332468572476186</v>
      </c>
      <c r="CX1223" s="41" t="e">
        <v>#N/A</v>
      </c>
      <c r="CY1223" s="41" t="e">
        <v>#N/A</v>
      </c>
      <c r="CZ1223" s="47" t="e">
        <v>#N/A</v>
      </c>
      <c r="DA1223">
        <v>0.11332468572476186</v>
      </c>
      <c r="DB1223" t="str">
        <v/>
      </c>
    </row>
    <row r="1224" spans="83:106" x14ac:dyDescent="0.2">
      <c r="CE1224"/>
      <c r="CF1224"/>
      <c r="CG1224"/>
      <c r="CH1224"/>
      <c r="CI1224"/>
      <c r="CU1224" s="21">
        <v>1219</v>
      </c>
      <c r="CV1224" s="41">
        <v>4</v>
      </c>
      <c r="CW1224" s="41">
        <v>0.11332468572476186</v>
      </c>
      <c r="CX1224" s="41" t="e">
        <v>#N/A</v>
      </c>
      <c r="CY1224" s="41" t="e">
        <v>#N/A</v>
      </c>
      <c r="CZ1224" s="47" t="e">
        <v>#N/A</v>
      </c>
      <c r="DA1224">
        <v>0.11332468572476186</v>
      </c>
      <c r="DB1224" t="str">
        <v/>
      </c>
    </row>
    <row r="1225" spans="83:106" x14ac:dyDescent="0.2">
      <c r="CE1225"/>
      <c r="CF1225"/>
      <c r="CG1225"/>
      <c r="CH1225"/>
      <c r="CI1225"/>
      <c r="CU1225" s="21">
        <v>1220</v>
      </c>
      <c r="CV1225" s="41">
        <v>4</v>
      </c>
      <c r="CW1225" s="41">
        <v>0.11332468572476186</v>
      </c>
      <c r="CX1225" s="41" t="e">
        <v>#N/A</v>
      </c>
      <c r="CY1225" s="41" t="e">
        <v>#N/A</v>
      </c>
      <c r="CZ1225" s="47" t="e">
        <v>#N/A</v>
      </c>
      <c r="DA1225">
        <v>0.11332468572476186</v>
      </c>
      <c r="DB1225" t="str">
        <v/>
      </c>
    </row>
    <row r="1226" spans="83:106" x14ac:dyDescent="0.2">
      <c r="CE1226"/>
      <c r="CF1226"/>
      <c r="CG1226"/>
      <c r="CH1226"/>
      <c r="CI1226"/>
      <c r="CU1226" s="21">
        <v>1221</v>
      </c>
      <c r="CV1226" s="41">
        <v>4</v>
      </c>
      <c r="CW1226" s="41">
        <v>0.11332468572476186</v>
      </c>
      <c r="CX1226" s="41" t="e">
        <v>#N/A</v>
      </c>
      <c r="CY1226" s="41" t="e">
        <v>#N/A</v>
      </c>
      <c r="CZ1226" s="47" t="e">
        <v>#N/A</v>
      </c>
      <c r="DA1226">
        <v>0.11332468572476186</v>
      </c>
      <c r="DB1226" t="str">
        <v/>
      </c>
    </row>
    <row r="1227" spans="83:106" x14ac:dyDescent="0.2">
      <c r="CE1227"/>
      <c r="CF1227"/>
      <c r="CG1227"/>
      <c r="CH1227"/>
      <c r="CI1227"/>
      <c r="CU1227" s="21">
        <v>1222</v>
      </c>
      <c r="CV1227" s="41">
        <v>4</v>
      </c>
      <c r="CW1227" s="41">
        <v>0.11332468572476186</v>
      </c>
      <c r="CX1227" s="41" t="e">
        <v>#N/A</v>
      </c>
      <c r="CY1227" s="41" t="e">
        <v>#N/A</v>
      </c>
      <c r="CZ1227" s="47" t="e">
        <v>#N/A</v>
      </c>
      <c r="DA1227">
        <v>0.11332468572476186</v>
      </c>
      <c r="DB1227" t="str">
        <v/>
      </c>
    </row>
    <row r="1228" spans="83:106" x14ac:dyDescent="0.2">
      <c r="CE1228"/>
      <c r="CF1228"/>
      <c r="CG1228"/>
      <c r="CH1228"/>
      <c r="CI1228"/>
      <c r="CU1228" s="21">
        <v>1223</v>
      </c>
      <c r="CV1228" s="41">
        <v>4</v>
      </c>
      <c r="CW1228" s="41">
        <v>0.11332468572476186</v>
      </c>
      <c r="CX1228" s="41" t="e">
        <v>#N/A</v>
      </c>
      <c r="CY1228" s="41" t="e">
        <v>#N/A</v>
      </c>
      <c r="CZ1228" s="47" t="e">
        <v>#N/A</v>
      </c>
      <c r="DA1228">
        <v>0.11332468572476186</v>
      </c>
      <c r="DB1228" t="str">
        <v/>
      </c>
    </row>
    <row r="1229" spans="83:106" x14ac:dyDescent="0.2">
      <c r="CE1229"/>
      <c r="CF1229"/>
      <c r="CG1229"/>
      <c r="CH1229"/>
      <c r="CI1229"/>
      <c r="CU1229" s="21">
        <v>1224</v>
      </c>
      <c r="CV1229" s="41">
        <v>4</v>
      </c>
      <c r="CW1229" s="41">
        <v>0.11332468572476186</v>
      </c>
      <c r="CX1229" s="41" t="e">
        <v>#N/A</v>
      </c>
      <c r="CY1229" s="41" t="e">
        <v>#N/A</v>
      </c>
      <c r="CZ1229" s="47" t="e">
        <v>#N/A</v>
      </c>
      <c r="DA1229">
        <v>0.11332468572476186</v>
      </c>
      <c r="DB1229" t="str">
        <v/>
      </c>
    </row>
    <row r="1230" spans="83:106" x14ac:dyDescent="0.2">
      <c r="CE1230"/>
      <c r="CF1230"/>
      <c r="CG1230"/>
      <c r="CH1230"/>
      <c r="CI1230"/>
      <c r="CU1230" s="21">
        <v>1225</v>
      </c>
      <c r="CV1230" s="41">
        <v>4</v>
      </c>
      <c r="CW1230" s="41">
        <v>0.11332468572476186</v>
      </c>
      <c r="CX1230" s="41" t="e">
        <v>#N/A</v>
      </c>
      <c r="CY1230" s="41" t="e">
        <v>#N/A</v>
      </c>
      <c r="CZ1230" s="47" t="e">
        <v>#N/A</v>
      </c>
      <c r="DA1230">
        <v>0.11332468572476186</v>
      </c>
      <c r="DB1230" t="str">
        <v/>
      </c>
    </row>
    <row r="1231" spans="83:106" x14ac:dyDescent="0.2">
      <c r="CE1231"/>
      <c r="CF1231"/>
      <c r="CG1231"/>
      <c r="CH1231"/>
      <c r="CI1231"/>
      <c r="CU1231" s="21">
        <v>1226</v>
      </c>
      <c r="CV1231" s="41">
        <v>4</v>
      </c>
      <c r="CW1231" s="41">
        <v>0.11332468572476186</v>
      </c>
      <c r="CX1231" s="41" t="e">
        <v>#N/A</v>
      </c>
      <c r="CY1231" s="41" t="e">
        <v>#N/A</v>
      </c>
      <c r="CZ1231" s="47" t="e">
        <v>#N/A</v>
      </c>
      <c r="DA1231">
        <v>0.11332468572476186</v>
      </c>
      <c r="DB1231" t="str">
        <v/>
      </c>
    </row>
    <row r="1232" spans="83:106" x14ac:dyDescent="0.2">
      <c r="CE1232"/>
      <c r="CF1232"/>
      <c r="CG1232"/>
      <c r="CH1232"/>
      <c r="CI1232"/>
      <c r="CU1232" s="21">
        <v>1227</v>
      </c>
      <c r="CV1232" s="41">
        <v>4</v>
      </c>
      <c r="CW1232" s="41">
        <v>0.11332468572476186</v>
      </c>
      <c r="CX1232" s="41" t="e">
        <v>#N/A</v>
      </c>
      <c r="CY1232" s="41" t="e">
        <v>#N/A</v>
      </c>
      <c r="CZ1232" s="47" t="e">
        <v>#N/A</v>
      </c>
      <c r="DA1232">
        <v>0.11332468572476186</v>
      </c>
      <c r="DB1232" t="str">
        <v/>
      </c>
    </row>
    <row r="1233" spans="83:106" x14ac:dyDescent="0.2">
      <c r="CE1233"/>
      <c r="CF1233"/>
      <c r="CG1233"/>
      <c r="CH1233"/>
      <c r="CI1233"/>
      <c r="CU1233" s="21">
        <v>1228</v>
      </c>
      <c r="CV1233" s="41">
        <v>4</v>
      </c>
      <c r="CW1233" s="41">
        <v>0.11332468572476186</v>
      </c>
      <c r="CX1233" s="41" t="e">
        <v>#N/A</v>
      </c>
      <c r="CY1233" s="41" t="e">
        <v>#N/A</v>
      </c>
      <c r="CZ1233" s="47" t="e">
        <v>#N/A</v>
      </c>
      <c r="DA1233">
        <v>0.11332468572476186</v>
      </c>
      <c r="DB1233" t="str">
        <v/>
      </c>
    </row>
    <row r="1234" spans="83:106" x14ac:dyDescent="0.2">
      <c r="CE1234"/>
      <c r="CF1234"/>
      <c r="CG1234"/>
      <c r="CH1234"/>
      <c r="CI1234"/>
      <c r="CU1234" s="21">
        <v>1229</v>
      </c>
      <c r="CV1234" s="41">
        <v>4</v>
      </c>
      <c r="CW1234" s="41">
        <v>0.11332468572476186</v>
      </c>
      <c r="CX1234" s="41" t="e">
        <v>#N/A</v>
      </c>
      <c r="CY1234" s="41" t="e">
        <v>#N/A</v>
      </c>
      <c r="CZ1234" s="47" t="e">
        <v>#N/A</v>
      </c>
      <c r="DA1234">
        <v>0.11332468572476186</v>
      </c>
      <c r="DB1234" t="str">
        <v/>
      </c>
    </row>
    <row r="1235" spans="83:106" x14ac:dyDescent="0.2">
      <c r="CE1235"/>
      <c r="CF1235"/>
      <c r="CG1235"/>
      <c r="CH1235"/>
      <c r="CI1235"/>
      <c r="CU1235" s="21">
        <v>1230</v>
      </c>
      <c r="CV1235" s="41">
        <v>4</v>
      </c>
      <c r="CW1235" s="41">
        <v>0.11332468572476186</v>
      </c>
      <c r="CX1235" s="41" t="e">
        <v>#N/A</v>
      </c>
      <c r="CY1235" s="41" t="e">
        <v>#N/A</v>
      </c>
      <c r="CZ1235" s="47" t="e">
        <v>#N/A</v>
      </c>
      <c r="DA1235">
        <v>0.11332468572476186</v>
      </c>
      <c r="DB1235" t="str">
        <v/>
      </c>
    </row>
    <row r="1236" spans="83:106" x14ac:dyDescent="0.2">
      <c r="CE1236"/>
      <c r="CF1236"/>
      <c r="CG1236"/>
      <c r="CH1236"/>
      <c r="CI1236"/>
      <c r="CU1236" s="21">
        <v>1231</v>
      </c>
      <c r="CV1236" s="41">
        <v>4</v>
      </c>
      <c r="CW1236" s="41">
        <v>0.11332468572476186</v>
      </c>
      <c r="CX1236" s="41" t="e">
        <v>#N/A</v>
      </c>
      <c r="CY1236" s="41" t="e">
        <v>#N/A</v>
      </c>
      <c r="CZ1236" s="47" t="e">
        <v>#N/A</v>
      </c>
      <c r="DA1236">
        <v>0.11332468572476186</v>
      </c>
      <c r="DB1236" t="str">
        <v/>
      </c>
    </row>
    <row r="1237" spans="83:106" x14ac:dyDescent="0.2">
      <c r="CE1237"/>
      <c r="CF1237"/>
      <c r="CG1237"/>
      <c r="CH1237"/>
      <c r="CI1237"/>
      <c r="CU1237" s="21">
        <v>1232</v>
      </c>
      <c r="CV1237" s="41">
        <v>4</v>
      </c>
      <c r="CW1237" s="41">
        <v>0.11332468572476186</v>
      </c>
      <c r="CX1237" s="41" t="e">
        <v>#N/A</v>
      </c>
      <c r="CY1237" s="41" t="e">
        <v>#N/A</v>
      </c>
      <c r="CZ1237" s="47" t="e">
        <v>#N/A</v>
      </c>
      <c r="DA1237">
        <v>0.11332468572476186</v>
      </c>
      <c r="DB1237" t="str">
        <v/>
      </c>
    </row>
    <row r="1238" spans="83:106" x14ac:dyDescent="0.2">
      <c r="CE1238"/>
      <c r="CF1238"/>
      <c r="CG1238"/>
      <c r="CH1238"/>
      <c r="CI1238"/>
      <c r="CU1238" s="21">
        <v>1233</v>
      </c>
      <c r="CV1238" s="41">
        <v>4</v>
      </c>
      <c r="CW1238" s="41">
        <v>0.11332468572476186</v>
      </c>
      <c r="CX1238" s="41" t="e">
        <v>#N/A</v>
      </c>
      <c r="CY1238" s="41" t="e">
        <v>#N/A</v>
      </c>
      <c r="CZ1238" s="47" t="e">
        <v>#N/A</v>
      </c>
      <c r="DA1238">
        <v>0.11332468572476186</v>
      </c>
      <c r="DB1238" t="str">
        <v/>
      </c>
    </row>
    <row r="1239" spans="83:106" x14ac:dyDescent="0.2">
      <c r="CE1239"/>
      <c r="CF1239"/>
      <c r="CG1239"/>
      <c r="CH1239"/>
      <c r="CI1239"/>
      <c r="CU1239" s="21">
        <v>1234</v>
      </c>
      <c r="CV1239" s="41">
        <v>4</v>
      </c>
      <c r="CW1239" s="41">
        <v>0.11332468572476186</v>
      </c>
      <c r="CX1239" s="41" t="e">
        <v>#N/A</v>
      </c>
      <c r="CY1239" s="41" t="e">
        <v>#N/A</v>
      </c>
      <c r="CZ1239" s="47" t="e">
        <v>#N/A</v>
      </c>
      <c r="DA1239">
        <v>0.11332468572476186</v>
      </c>
      <c r="DB1239" t="str">
        <v/>
      </c>
    </row>
    <row r="1240" spans="83:106" x14ac:dyDescent="0.2">
      <c r="CE1240"/>
      <c r="CF1240"/>
      <c r="CG1240"/>
      <c r="CH1240"/>
      <c r="CI1240"/>
      <c r="CU1240" s="21">
        <v>1235</v>
      </c>
      <c r="CV1240" s="41">
        <v>4</v>
      </c>
      <c r="CW1240" s="41">
        <v>0.11332468572476186</v>
      </c>
      <c r="CX1240" s="41" t="e">
        <v>#N/A</v>
      </c>
      <c r="CY1240" s="41" t="e">
        <v>#N/A</v>
      </c>
      <c r="CZ1240" s="47" t="e">
        <v>#N/A</v>
      </c>
      <c r="DA1240">
        <v>0.11332468572476186</v>
      </c>
      <c r="DB1240" t="str">
        <v/>
      </c>
    </row>
    <row r="1241" spans="83:106" x14ac:dyDescent="0.2">
      <c r="CE1241"/>
      <c r="CF1241"/>
      <c r="CG1241"/>
      <c r="CH1241"/>
      <c r="CI1241"/>
      <c r="CU1241" s="21">
        <v>1236</v>
      </c>
      <c r="CV1241" s="41">
        <v>4</v>
      </c>
      <c r="CW1241" s="41">
        <v>0.11332468572476186</v>
      </c>
      <c r="CX1241" s="41" t="e">
        <v>#N/A</v>
      </c>
      <c r="CY1241" s="41" t="e">
        <v>#N/A</v>
      </c>
      <c r="CZ1241" s="47" t="e">
        <v>#N/A</v>
      </c>
      <c r="DA1241">
        <v>0.11332468572476186</v>
      </c>
      <c r="DB1241" t="str">
        <v/>
      </c>
    </row>
    <row r="1242" spans="83:106" x14ac:dyDescent="0.2">
      <c r="CE1242"/>
      <c r="CF1242"/>
      <c r="CG1242"/>
      <c r="CH1242"/>
      <c r="CI1242"/>
      <c r="CU1242" s="21">
        <v>1237</v>
      </c>
      <c r="CV1242" s="41">
        <v>4</v>
      </c>
      <c r="CW1242" s="41">
        <v>0.11332468572476186</v>
      </c>
      <c r="CX1242" s="41" t="e">
        <v>#N/A</v>
      </c>
      <c r="CY1242" s="41" t="e">
        <v>#N/A</v>
      </c>
      <c r="CZ1242" s="47" t="e">
        <v>#N/A</v>
      </c>
      <c r="DA1242">
        <v>0.11332468572476186</v>
      </c>
      <c r="DB1242" t="str">
        <v/>
      </c>
    </row>
    <row r="1243" spans="83:106" x14ac:dyDescent="0.2">
      <c r="CE1243"/>
      <c r="CF1243"/>
      <c r="CG1243"/>
      <c r="CH1243"/>
      <c r="CI1243"/>
      <c r="CU1243" s="21">
        <v>1238</v>
      </c>
      <c r="CV1243" s="41">
        <v>4</v>
      </c>
      <c r="CW1243" s="41">
        <v>0.11332468572476186</v>
      </c>
      <c r="CX1243" s="41" t="e">
        <v>#N/A</v>
      </c>
      <c r="CY1243" s="41" t="e">
        <v>#N/A</v>
      </c>
      <c r="CZ1243" s="47" t="e">
        <v>#N/A</v>
      </c>
      <c r="DA1243">
        <v>0.11332468572476186</v>
      </c>
      <c r="DB1243" t="str">
        <v/>
      </c>
    </row>
    <row r="1244" spans="83:106" x14ac:dyDescent="0.2">
      <c r="CE1244"/>
      <c r="CF1244"/>
      <c r="CG1244"/>
      <c r="CH1244"/>
      <c r="CI1244"/>
      <c r="CU1244" s="21">
        <v>1239</v>
      </c>
      <c r="CV1244" s="41">
        <v>4</v>
      </c>
      <c r="CW1244" s="41">
        <v>0.11332468572476186</v>
      </c>
      <c r="CX1244" s="41" t="e">
        <v>#N/A</v>
      </c>
      <c r="CY1244" s="41" t="e">
        <v>#N/A</v>
      </c>
      <c r="CZ1244" s="47" t="e">
        <v>#N/A</v>
      </c>
      <c r="DA1244">
        <v>0.11332468572476186</v>
      </c>
      <c r="DB1244" t="str">
        <v/>
      </c>
    </row>
    <row r="1245" spans="83:106" x14ac:dyDescent="0.2">
      <c r="CE1245"/>
      <c r="CF1245"/>
      <c r="CG1245"/>
      <c r="CH1245"/>
      <c r="CI1245"/>
      <c r="CU1245" s="21">
        <v>1240</v>
      </c>
      <c r="CV1245" s="41">
        <v>4</v>
      </c>
      <c r="CW1245" s="41">
        <v>0.11332468572476186</v>
      </c>
      <c r="CX1245" s="41" t="e">
        <v>#N/A</v>
      </c>
      <c r="CY1245" s="41" t="e">
        <v>#N/A</v>
      </c>
      <c r="CZ1245" s="47" t="e">
        <v>#N/A</v>
      </c>
      <c r="DA1245">
        <v>0.11332468572476186</v>
      </c>
      <c r="DB1245" t="str">
        <v/>
      </c>
    </row>
    <row r="1246" spans="83:106" x14ac:dyDescent="0.2">
      <c r="CE1246"/>
      <c r="CF1246"/>
      <c r="CG1246"/>
      <c r="CH1246"/>
      <c r="CI1246"/>
      <c r="CU1246" s="21">
        <v>1241</v>
      </c>
      <c r="CV1246" s="41">
        <v>4</v>
      </c>
      <c r="CW1246" s="41">
        <v>0.11332468572476186</v>
      </c>
      <c r="CX1246" s="41" t="e">
        <v>#N/A</v>
      </c>
      <c r="CY1246" s="41" t="e">
        <v>#N/A</v>
      </c>
      <c r="CZ1246" s="47" t="e">
        <v>#N/A</v>
      </c>
      <c r="DA1246">
        <v>0.11332468572476186</v>
      </c>
      <c r="DB1246" t="str">
        <v/>
      </c>
    </row>
    <row r="1247" spans="83:106" x14ac:dyDescent="0.2">
      <c r="CE1247"/>
      <c r="CF1247"/>
      <c r="CG1247"/>
      <c r="CH1247"/>
      <c r="CI1247"/>
      <c r="CU1247" s="21">
        <v>1242</v>
      </c>
      <c r="CV1247" s="41">
        <v>4</v>
      </c>
      <c r="CW1247" s="41">
        <v>0.11332468572476186</v>
      </c>
      <c r="CX1247" s="41" t="e">
        <v>#N/A</v>
      </c>
      <c r="CY1247" s="41" t="e">
        <v>#N/A</v>
      </c>
      <c r="CZ1247" s="47" t="e">
        <v>#N/A</v>
      </c>
      <c r="DA1247">
        <v>0.11332468572476186</v>
      </c>
      <c r="DB1247" t="str">
        <v/>
      </c>
    </row>
    <row r="1248" spans="83:106" x14ac:dyDescent="0.2">
      <c r="CE1248"/>
      <c r="CF1248"/>
      <c r="CG1248"/>
      <c r="CH1248"/>
      <c r="CI1248"/>
      <c r="CU1248" s="21">
        <v>1243</v>
      </c>
      <c r="CV1248" s="41">
        <v>4</v>
      </c>
      <c r="CW1248" s="41">
        <v>0.11332468572476186</v>
      </c>
      <c r="CX1248" s="41" t="e">
        <v>#N/A</v>
      </c>
      <c r="CY1248" s="41" t="e">
        <v>#N/A</v>
      </c>
      <c r="CZ1248" s="47" t="e">
        <v>#N/A</v>
      </c>
      <c r="DA1248">
        <v>0.11332468572476186</v>
      </c>
      <c r="DB1248" t="str">
        <v/>
      </c>
    </row>
    <row r="1249" spans="83:106" x14ac:dyDescent="0.2">
      <c r="CE1249"/>
      <c r="CF1249"/>
      <c r="CG1249"/>
      <c r="CH1249"/>
      <c r="CI1249"/>
      <c r="CU1249" s="21">
        <v>1244</v>
      </c>
      <c r="CV1249" s="41">
        <v>4</v>
      </c>
      <c r="CW1249" s="41">
        <v>0.11332468572476186</v>
      </c>
      <c r="CX1249" s="41" t="e">
        <v>#N/A</v>
      </c>
      <c r="CY1249" s="41" t="e">
        <v>#N/A</v>
      </c>
      <c r="CZ1249" s="47" t="e">
        <v>#N/A</v>
      </c>
      <c r="DA1249">
        <v>0.11332468572476186</v>
      </c>
      <c r="DB1249" t="str">
        <v/>
      </c>
    </row>
    <row r="1250" spans="83:106" x14ac:dyDescent="0.2">
      <c r="CE1250"/>
      <c r="CF1250"/>
      <c r="CG1250"/>
      <c r="CH1250"/>
      <c r="CI1250"/>
      <c r="CU1250" s="21">
        <v>1245</v>
      </c>
      <c r="CV1250" s="41">
        <v>4</v>
      </c>
      <c r="CW1250" s="41">
        <v>0.11332468572476186</v>
      </c>
      <c r="CX1250" s="41" t="e">
        <v>#N/A</v>
      </c>
      <c r="CY1250" s="41" t="e">
        <v>#N/A</v>
      </c>
      <c r="CZ1250" s="47" t="e">
        <v>#N/A</v>
      </c>
      <c r="DA1250">
        <v>0.11332468572476186</v>
      </c>
      <c r="DB1250" t="str">
        <v/>
      </c>
    </row>
    <row r="1251" spans="83:106" x14ac:dyDescent="0.2">
      <c r="CE1251"/>
      <c r="CF1251"/>
      <c r="CG1251"/>
      <c r="CH1251"/>
      <c r="CI1251"/>
      <c r="CU1251" s="21">
        <v>1246</v>
      </c>
      <c r="CV1251" s="41">
        <v>4</v>
      </c>
      <c r="CW1251" s="41">
        <v>0.11332468572476186</v>
      </c>
      <c r="CX1251" s="41" t="e">
        <v>#N/A</v>
      </c>
      <c r="CY1251" s="41" t="e">
        <v>#N/A</v>
      </c>
      <c r="CZ1251" s="47" t="e">
        <v>#N/A</v>
      </c>
      <c r="DA1251">
        <v>0.11332468572476186</v>
      </c>
      <c r="DB1251" t="str">
        <v/>
      </c>
    </row>
    <row r="1252" spans="83:106" x14ac:dyDescent="0.2">
      <c r="CE1252"/>
      <c r="CF1252"/>
      <c r="CG1252"/>
      <c r="CH1252"/>
      <c r="CI1252"/>
      <c r="CU1252" s="21">
        <v>1247</v>
      </c>
      <c r="CV1252" s="41">
        <v>4</v>
      </c>
      <c r="CW1252" s="41">
        <v>0.11332468572476186</v>
      </c>
      <c r="CX1252" s="41" t="e">
        <v>#N/A</v>
      </c>
      <c r="CY1252" s="41" t="e">
        <v>#N/A</v>
      </c>
      <c r="CZ1252" s="47" t="e">
        <v>#N/A</v>
      </c>
      <c r="DA1252">
        <v>0.11332468572476186</v>
      </c>
      <c r="DB1252" t="str">
        <v/>
      </c>
    </row>
    <row r="1253" spans="83:106" x14ac:dyDescent="0.2">
      <c r="CE1253"/>
      <c r="CF1253"/>
      <c r="CG1253"/>
      <c r="CH1253"/>
      <c r="CI1253"/>
      <c r="CU1253" s="21">
        <v>1248</v>
      </c>
      <c r="CV1253" s="41">
        <v>4</v>
      </c>
      <c r="CW1253" s="41">
        <v>0.11332468572476186</v>
      </c>
      <c r="CX1253" s="41" t="e">
        <v>#N/A</v>
      </c>
      <c r="CY1253" s="41" t="e">
        <v>#N/A</v>
      </c>
      <c r="CZ1253" s="47" t="e">
        <v>#N/A</v>
      </c>
      <c r="DA1253">
        <v>0.11332468572476186</v>
      </c>
      <c r="DB1253" t="str">
        <v/>
      </c>
    </row>
    <row r="1254" spans="83:106" x14ac:dyDescent="0.2">
      <c r="CE1254"/>
      <c r="CF1254"/>
      <c r="CG1254"/>
      <c r="CH1254"/>
      <c r="CI1254"/>
      <c r="CU1254" s="21">
        <v>1249</v>
      </c>
      <c r="CV1254" s="41">
        <v>4</v>
      </c>
      <c r="CW1254" s="41">
        <v>0.11332468572476186</v>
      </c>
      <c r="CX1254" s="41" t="e">
        <v>#N/A</v>
      </c>
      <c r="CY1254" s="41" t="e">
        <v>#N/A</v>
      </c>
      <c r="CZ1254" s="47" t="e">
        <v>#N/A</v>
      </c>
      <c r="DA1254">
        <v>0.11332468572476186</v>
      </c>
      <c r="DB1254" t="str">
        <v/>
      </c>
    </row>
    <row r="1255" spans="83:106" x14ac:dyDescent="0.2">
      <c r="CE1255"/>
      <c r="CF1255"/>
      <c r="CG1255"/>
      <c r="CH1255"/>
      <c r="CI1255"/>
      <c r="CU1255" s="21">
        <v>1250</v>
      </c>
      <c r="CV1255" s="41">
        <v>4</v>
      </c>
      <c r="CW1255" s="41">
        <v>0.11332468572476186</v>
      </c>
      <c r="CX1255" s="41" t="e">
        <v>#N/A</v>
      </c>
      <c r="CY1255" s="41" t="e">
        <v>#N/A</v>
      </c>
      <c r="CZ1255" s="47" t="e">
        <v>#N/A</v>
      </c>
      <c r="DA1255">
        <v>0.11332468572476186</v>
      </c>
      <c r="DB1255" t="str">
        <v/>
      </c>
    </row>
    <row r="1256" spans="83:106" x14ac:dyDescent="0.2">
      <c r="CE1256"/>
      <c r="CF1256"/>
      <c r="CG1256"/>
      <c r="CH1256"/>
      <c r="CI1256"/>
      <c r="CU1256" s="21">
        <v>1251</v>
      </c>
      <c r="CV1256" s="41">
        <v>4</v>
      </c>
      <c r="CW1256" s="41">
        <v>0.11332468572476186</v>
      </c>
      <c r="CX1256" s="41" t="e">
        <v>#N/A</v>
      </c>
      <c r="CY1256" s="41" t="e">
        <v>#N/A</v>
      </c>
      <c r="CZ1256" s="47" t="e">
        <v>#N/A</v>
      </c>
      <c r="DA1256">
        <v>0.11332468572476186</v>
      </c>
      <c r="DB1256" t="str">
        <v/>
      </c>
    </row>
    <row r="1257" spans="83:106" x14ac:dyDescent="0.2">
      <c r="CE1257"/>
      <c r="CF1257"/>
      <c r="CG1257"/>
      <c r="CH1257"/>
      <c r="CI1257"/>
      <c r="CU1257" s="21">
        <v>1252</v>
      </c>
      <c r="CV1257" s="41">
        <v>4</v>
      </c>
      <c r="CW1257" s="41">
        <v>0.11332468572476186</v>
      </c>
      <c r="CX1257" s="41" t="e">
        <v>#N/A</v>
      </c>
      <c r="CY1257" s="41" t="e">
        <v>#N/A</v>
      </c>
      <c r="CZ1257" s="47" t="e">
        <v>#N/A</v>
      </c>
      <c r="DA1257">
        <v>0.11332468572476186</v>
      </c>
      <c r="DB1257" t="str">
        <v/>
      </c>
    </row>
    <row r="1258" spans="83:106" x14ac:dyDescent="0.2">
      <c r="CE1258"/>
      <c r="CF1258"/>
      <c r="CG1258"/>
      <c r="CH1258"/>
      <c r="CI1258"/>
      <c r="CU1258" s="21">
        <v>1253</v>
      </c>
      <c r="CV1258" s="41">
        <v>4</v>
      </c>
      <c r="CW1258" s="41">
        <v>0.11332468572476186</v>
      </c>
      <c r="CX1258" s="41" t="e">
        <v>#N/A</v>
      </c>
      <c r="CY1258" s="41" t="e">
        <v>#N/A</v>
      </c>
      <c r="CZ1258" s="47" t="e">
        <v>#N/A</v>
      </c>
      <c r="DA1258">
        <v>0.11332468572476186</v>
      </c>
      <c r="DB1258" t="str">
        <v/>
      </c>
    </row>
    <row r="1259" spans="83:106" x14ac:dyDescent="0.2">
      <c r="CE1259"/>
      <c r="CF1259"/>
      <c r="CG1259"/>
      <c r="CH1259"/>
      <c r="CI1259"/>
      <c r="CU1259" s="21">
        <v>1254</v>
      </c>
      <c r="CV1259" s="41">
        <v>4</v>
      </c>
      <c r="CW1259" s="41">
        <v>0.11332468572476186</v>
      </c>
      <c r="CX1259" s="41" t="e">
        <v>#N/A</v>
      </c>
      <c r="CY1259" s="41" t="e">
        <v>#N/A</v>
      </c>
      <c r="CZ1259" s="47" t="e">
        <v>#N/A</v>
      </c>
      <c r="DA1259">
        <v>0.11332468572476186</v>
      </c>
      <c r="DB1259" t="str">
        <v/>
      </c>
    </row>
    <row r="1260" spans="83:106" x14ac:dyDescent="0.2">
      <c r="CE1260"/>
      <c r="CF1260"/>
      <c r="CG1260"/>
      <c r="CH1260"/>
      <c r="CI1260"/>
      <c r="CU1260" s="21">
        <v>1255</v>
      </c>
      <c r="CV1260" s="41">
        <v>4</v>
      </c>
      <c r="CW1260" s="41">
        <v>0.11332468572476186</v>
      </c>
      <c r="CX1260" s="41" t="e">
        <v>#N/A</v>
      </c>
      <c r="CY1260" s="41" t="e">
        <v>#N/A</v>
      </c>
      <c r="CZ1260" s="47" t="e">
        <v>#N/A</v>
      </c>
      <c r="DA1260">
        <v>0.11332468572476186</v>
      </c>
      <c r="DB1260" t="str">
        <v/>
      </c>
    </row>
    <row r="1261" spans="83:106" x14ac:dyDescent="0.2">
      <c r="CE1261"/>
      <c r="CF1261"/>
      <c r="CG1261"/>
      <c r="CH1261"/>
      <c r="CI1261"/>
      <c r="CU1261" s="21">
        <v>1256</v>
      </c>
      <c r="CV1261" s="41">
        <v>4</v>
      </c>
      <c r="CW1261" s="41">
        <v>0.11332468572476186</v>
      </c>
      <c r="CX1261" s="41" t="e">
        <v>#N/A</v>
      </c>
      <c r="CY1261" s="41" t="e">
        <v>#N/A</v>
      </c>
      <c r="CZ1261" s="47" t="e">
        <v>#N/A</v>
      </c>
      <c r="DA1261">
        <v>0.11332468572476186</v>
      </c>
      <c r="DB1261" t="str">
        <v/>
      </c>
    </row>
    <row r="1262" spans="83:106" x14ac:dyDescent="0.2">
      <c r="CE1262"/>
      <c r="CF1262"/>
      <c r="CG1262"/>
      <c r="CH1262"/>
      <c r="CI1262"/>
      <c r="CU1262" s="21">
        <v>1257</v>
      </c>
      <c r="CV1262" s="41">
        <v>4</v>
      </c>
      <c r="CW1262" s="41">
        <v>0.11332468572476186</v>
      </c>
      <c r="CX1262" s="41" t="e">
        <v>#N/A</v>
      </c>
      <c r="CY1262" s="41" t="e">
        <v>#N/A</v>
      </c>
      <c r="CZ1262" s="47" t="e">
        <v>#N/A</v>
      </c>
      <c r="DA1262">
        <v>0.11332468572476186</v>
      </c>
      <c r="DB1262" t="str">
        <v/>
      </c>
    </row>
    <row r="1263" spans="83:106" x14ac:dyDescent="0.2">
      <c r="CE1263"/>
      <c r="CF1263"/>
      <c r="CG1263"/>
      <c r="CH1263"/>
      <c r="CI1263"/>
      <c r="CU1263" s="21">
        <v>1258</v>
      </c>
      <c r="CV1263" s="41">
        <v>4</v>
      </c>
      <c r="CW1263" s="41">
        <v>0.11332468572476186</v>
      </c>
      <c r="CX1263" s="41" t="e">
        <v>#N/A</v>
      </c>
      <c r="CY1263" s="41" t="e">
        <v>#N/A</v>
      </c>
      <c r="CZ1263" s="47" t="e">
        <v>#N/A</v>
      </c>
      <c r="DA1263">
        <v>0.11332468572476186</v>
      </c>
      <c r="DB1263" t="str">
        <v/>
      </c>
    </row>
    <row r="1264" spans="83:106" x14ac:dyDescent="0.2">
      <c r="CE1264"/>
      <c r="CF1264"/>
      <c r="CG1264"/>
      <c r="CH1264"/>
      <c r="CI1264"/>
      <c r="CU1264" s="21">
        <v>1259</v>
      </c>
      <c r="CV1264" s="41">
        <v>4</v>
      </c>
      <c r="CW1264" s="41">
        <v>0.11332468572476186</v>
      </c>
      <c r="CX1264" s="41" t="e">
        <v>#N/A</v>
      </c>
      <c r="CY1264" s="41" t="e">
        <v>#N/A</v>
      </c>
      <c r="CZ1264" s="47" t="e">
        <v>#N/A</v>
      </c>
      <c r="DA1264">
        <v>0.11332468572476186</v>
      </c>
      <c r="DB1264" t="str">
        <v/>
      </c>
    </row>
    <row r="1265" spans="83:106" x14ac:dyDescent="0.2">
      <c r="CE1265"/>
      <c r="CF1265"/>
      <c r="CG1265"/>
      <c r="CH1265"/>
      <c r="CI1265"/>
      <c r="CU1265" s="21">
        <v>1260</v>
      </c>
      <c r="CV1265" s="41">
        <v>4</v>
      </c>
      <c r="CW1265" s="41">
        <v>0.11332468572476186</v>
      </c>
      <c r="CX1265" s="41" t="e">
        <v>#N/A</v>
      </c>
      <c r="CY1265" s="41" t="e">
        <v>#N/A</v>
      </c>
      <c r="CZ1265" s="47" t="e">
        <v>#N/A</v>
      </c>
      <c r="DA1265">
        <v>0.11332468572476186</v>
      </c>
      <c r="DB1265" t="str">
        <v/>
      </c>
    </row>
    <row r="1266" spans="83:106" x14ac:dyDescent="0.2">
      <c r="CE1266"/>
      <c r="CF1266"/>
      <c r="CG1266"/>
      <c r="CH1266"/>
      <c r="CI1266"/>
      <c r="CU1266" s="21">
        <v>1261</v>
      </c>
      <c r="CV1266" s="41">
        <v>4</v>
      </c>
      <c r="CW1266" s="41">
        <v>0.11332468572476186</v>
      </c>
      <c r="CX1266" s="41" t="e">
        <v>#N/A</v>
      </c>
      <c r="CY1266" s="41" t="e">
        <v>#N/A</v>
      </c>
      <c r="CZ1266" s="47" t="e">
        <v>#N/A</v>
      </c>
      <c r="DA1266">
        <v>0.11332468572476186</v>
      </c>
      <c r="DB1266" t="str">
        <v/>
      </c>
    </row>
    <row r="1267" spans="83:106" x14ac:dyDescent="0.2">
      <c r="CE1267"/>
      <c r="CF1267"/>
      <c r="CG1267"/>
      <c r="CH1267"/>
      <c r="CI1267"/>
      <c r="CU1267" s="21">
        <v>1262</v>
      </c>
      <c r="CV1267" s="41">
        <v>4</v>
      </c>
      <c r="CW1267" s="41">
        <v>0.11332468572476186</v>
      </c>
      <c r="CX1267" s="41" t="e">
        <v>#N/A</v>
      </c>
      <c r="CY1267" s="41" t="e">
        <v>#N/A</v>
      </c>
      <c r="CZ1267" s="47" t="e">
        <v>#N/A</v>
      </c>
      <c r="DA1267">
        <v>0.11332468572476186</v>
      </c>
      <c r="DB1267" t="str">
        <v/>
      </c>
    </row>
    <row r="1268" spans="83:106" x14ac:dyDescent="0.2">
      <c r="CE1268"/>
      <c r="CF1268"/>
      <c r="CG1268"/>
      <c r="CH1268"/>
      <c r="CI1268"/>
      <c r="CU1268" s="21">
        <v>1263</v>
      </c>
      <c r="CV1268" s="41">
        <v>4</v>
      </c>
      <c r="CW1268" s="41">
        <v>0.11332468572476186</v>
      </c>
      <c r="CX1268" s="41" t="e">
        <v>#N/A</v>
      </c>
      <c r="CY1268" s="41" t="e">
        <v>#N/A</v>
      </c>
      <c r="CZ1268" s="47" t="e">
        <v>#N/A</v>
      </c>
      <c r="DA1268">
        <v>0.11332468572476186</v>
      </c>
      <c r="DB1268" t="str">
        <v/>
      </c>
    </row>
    <row r="1269" spans="83:106" x14ac:dyDescent="0.2">
      <c r="CE1269"/>
      <c r="CF1269"/>
      <c r="CG1269"/>
      <c r="CH1269"/>
      <c r="CI1269"/>
      <c r="CU1269" s="21">
        <v>1264</v>
      </c>
      <c r="CV1269" s="41">
        <v>4</v>
      </c>
      <c r="CW1269" s="41">
        <v>0.11332468572476186</v>
      </c>
      <c r="CX1269" s="41" t="e">
        <v>#N/A</v>
      </c>
      <c r="CY1269" s="41" t="e">
        <v>#N/A</v>
      </c>
      <c r="CZ1269" s="47" t="e">
        <v>#N/A</v>
      </c>
      <c r="DA1269">
        <v>0.11332468572476186</v>
      </c>
      <c r="DB1269" t="str">
        <v/>
      </c>
    </row>
    <row r="1270" spans="83:106" x14ac:dyDescent="0.2">
      <c r="CE1270"/>
      <c r="CF1270"/>
      <c r="CG1270"/>
      <c r="CH1270"/>
      <c r="CI1270"/>
      <c r="CU1270" s="21">
        <v>1265</v>
      </c>
      <c r="CV1270" s="41">
        <v>4</v>
      </c>
      <c r="CW1270" s="41">
        <v>0.11332468572476186</v>
      </c>
      <c r="CX1270" s="41" t="e">
        <v>#N/A</v>
      </c>
      <c r="CY1270" s="41" t="e">
        <v>#N/A</v>
      </c>
      <c r="CZ1270" s="47" t="e">
        <v>#N/A</v>
      </c>
      <c r="DA1270">
        <v>0.11332468572476186</v>
      </c>
      <c r="DB1270" t="str">
        <v/>
      </c>
    </row>
    <row r="1271" spans="83:106" x14ac:dyDescent="0.2">
      <c r="CE1271"/>
      <c r="CF1271"/>
      <c r="CG1271"/>
      <c r="CH1271"/>
      <c r="CI1271"/>
      <c r="CU1271" s="21">
        <v>1266</v>
      </c>
      <c r="CV1271" s="41">
        <v>4</v>
      </c>
      <c r="CW1271" s="41">
        <v>0.11332468572476186</v>
      </c>
      <c r="CX1271" s="41" t="e">
        <v>#N/A</v>
      </c>
      <c r="CY1271" s="41" t="e">
        <v>#N/A</v>
      </c>
      <c r="CZ1271" s="47" t="e">
        <v>#N/A</v>
      </c>
      <c r="DA1271">
        <v>0.11332468572476186</v>
      </c>
      <c r="DB1271" t="str">
        <v/>
      </c>
    </row>
    <row r="1272" spans="83:106" x14ac:dyDescent="0.2">
      <c r="CE1272"/>
      <c r="CF1272"/>
      <c r="CG1272"/>
      <c r="CH1272"/>
      <c r="CI1272"/>
      <c r="CU1272" s="21">
        <v>1267</v>
      </c>
      <c r="CV1272" s="41">
        <v>4</v>
      </c>
      <c r="CW1272" s="41">
        <v>0.11332468572476186</v>
      </c>
      <c r="CX1272" s="41" t="e">
        <v>#N/A</v>
      </c>
      <c r="CY1272" s="41" t="e">
        <v>#N/A</v>
      </c>
      <c r="CZ1272" s="47" t="e">
        <v>#N/A</v>
      </c>
      <c r="DA1272">
        <v>0.11332468572476186</v>
      </c>
      <c r="DB1272" t="str">
        <v/>
      </c>
    </row>
    <row r="1273" spans="83:106" x14ac:dyDescent="0.2">
      <c r="CE1273"/>
      <c r="CF1273"/>
      <c r="CG1273"/>
      <c r="CH1273"/>
      <c r="CI1273"/>
      <c r="CU1273" s="21">
        <v>1268</v>
      </c>
      <c r="CV1273" s="41">
        <v>4</v>
      </c>
      <c r="CW1273" s="41">
        <v>0.11332468572476186</v>
      </c>
      <c r="CX1273" s="41" t="e">
        <v>#N/A</v>
      </c>
      <c r="CY1273" s="41" t="e">
        <v>#N/A</v>
      </c>
      <c r="CZ1273" s="47" t="e">
        <v>#N/A</v>
      </c>
      <c r="DA1273">
        <v>0.11332468572476186</v>
      </c>
      <c r="DB1273" t="str">
        <v/>
      </c>
    </row>
    <row r="1274" spans="83:106" x14ac:dyDescent="0.2">
      <c r="CE1274"/>
      <c r="CF1274"/>
      <c r="CG1274"/>
      <c r="CH1274"/>
      <c r="CI1274"/>
      <c r="CU1274" s="21">
        <v>1269</v>
      </c>
      <c r="CV1274" s="41">
        <v>4</v>
      </c>
      <c r="CW1274" s="41">
        <v>0.11332468572476186</v>
      </c>
      <c r="CX1274" s="41" t="e">
        <v>#N/A</v>
      </c>
      <c r="CY1274" s="41" t="e">
        <v>#N/A</v>
      </c>
      <c r="CZ1274" s="47" t="e">
        <v>#N/A</v>
      </c>
      <c r="DA1274">
        <v>0.11332468572476186</v>
      </c>
      <c r="DB1274" t="str">
        <v/>
      </c>
    </row>
    <row r="1275" spans="83:106" x14ac:dyDescent="0.2">
      <c r="CE1275"/>
      <c r="CF1275"/>
      <c r="CG1275"/>
      <c r="CH1275"/>
      <c r="CI1275"/>
      <c r="CU1275" s="21">
        <v>1270</v>
      </c>
      <c r="CV1275" s="41">
        <v>4</v>
      </c>
      <c r="CW1275" s="41">
        <v>0.11332468572476186</v>
      </c>
      <c r="CX1275" s="41" t="e">
        <v>#N/A</v>
      </c>
      <c r="CY1275" s="41" t="e">
        <v>#N/A</v>
      </c>
      <c r="CZ1275" s="47" t="e">
        <v>#N/A</v>
      </c>
      <c r="DA1275">
        <v>0.11332468572476186</v>
      </c>
      <c r="DB1275" t="str">
        <v/>
      </c>
    </row>
    <row r="1276" spans="83:106" x14ac:dyDescent="0.2">
      <c r="CE1276"/>
      <c r="CF1276"/>
      <c r="CG1276"/>
      <c r="CH1276"/>
      <c r="CI1276"/>
      <c r="CU1276" s="21">
        <v>1271</v>
      </c>
      <c r="CV1276" s="41">
        <v>4</v>
      </c>
      <c r="CW1276" s="41">
        <v>0.11332468572476186</v>
      </c>
      <c r="CX1276" s="41" t="e">
        <v>#N/A</v>
      </c>
      <c r="CY1276" s="41" t="e">
        <v>#N/A</v>
      </c>
      <c r="CZ1276" s="47" t="e">
        <v>#N/A</v>
      </c>
      <c r="DA1276">
        <v>0.11332468572476186</v>
      </c>
      <c r="DB1276" t="str">
        <v/>
      </c>
    </row>
    <row r="1277" spans="83:106" x14ac:dyDescent="0.2">
      <c r="CE1277"/>
      <c r="CF1277"/>
      <c r="CG1277"/>
      <c r="CH1277"/>
      <c r="CI1277"/>
      <c r="CU1277" s="21">
        <v>1272</v>
      </c>
      <c r="CV1277" s="41">
        <v>4</v>
      </c>
      <c r="CW1277" s="41">
        <v>0.11332468572476186</v>
      </c>
      <c r="CX1277" s="41" t="e">
        <v>#N/A</v>
      </c>
      <c r="CY1277" s="41" t="e">
        <v>#N/A</v>
      </c>
      <c r="CZ1277" s="47" t="e">
        <v>#N/A</v>
      </c>
      <c r="DA1277">
        <v>0.11332468572476186</v>
      </c>
      <c r="DB1277" t="str">
        <v/>
      </c>
    </row>
    <row r="1278" spans="83:106" x14ac:dyDescent="0.2">
      <c r="CE1278"/>
      <c r="CF1278"/>
      <c r="CG1278"/>
      <c r="CH1278"/>
      <c r="CI1278"/>
      <c r="CU1278" s="21">
        <v>1273</v>
      </c>
      <c r="CV1278" s="41">
        <v>4</v>
      </c>
      <c r="CW1278" s="41">
        <v>0.11332468572476186</v>
      </c>
      <c r="CX1278" s="41" t="e">
        <v>#N/A</v>
      </c>
      <c r="CY1278" s="41" t="e">
        <v>#N/A</v>
      </c>
      <c r="CZ1278" s="47" t="e">
        <v>#N/A</v>
      </c>
      <c r="DA1278">
        <v>0.11332468572476186</v>
      </c>
      <c r="DB1278" t="str">
        <v/>
      </c>
    </row>
    <row r="1279" spans="83:106" x14ac:dyDescent="0.2">
      <c r="CE1279"/>
      <c r="CF1279"/>
      <c r="CG1279"/>
      <c r="CH1279"/>
      <c r="CI1279"/>
      <c r="CU1279" s="21">
        <v>1274</v>
      </c>
      <c r="CV1279" s="41">
        <v>4</v>
      </c>
      <c r="CW1279" s="41">
        <v>0.11332468572476186</v>
      </c>
      <c r="CX1279" s="41" t="e">
        <v>#N/A</v>
      </c>
      <c r="CY1279" s="41" t="e">
        <v>#N/A</v>
      </c>
      <c r="CZ1279" s="47" t="e">
        <v>#N/A</v>
      </c>
      <c r="DA1279">
        <v>0.11332468572476186</v>
      </c>
      <c r="DB1279" t="str">
        <v/>
      </c>
    </row>
    <row r="1280" spans="83:106" x14ac:dyDescent="0.2">
      <c r="CE1280"/>
      <c r="CF1280"/>
      <c r="CG1280"/>
      <c r="CH1280"/>
      <c r="CI1280"/>
      <c r="CU1280" s="21">
        <v>1275</v>
      </c>
      <c r="CV1280" s="41">
        <v>4</v>
      </c>
      <c r="CW1280" s="41">
        <v>0.11332468572476186</v>
      </c>
      <c r="CX1280" s="41" t="e">
        <v>#N/A</v>
      </c>
      <c r="CY1280" s="41" t="e">
        <v>#N/A</v>
      </c>
      <c r="CZ1280" s="47" t="e">
        <v>#N/A</v>
      </c>
      <c r="DA1280">
        <v>0.11332468572476186</v>
      </c>
      <c r="DB1280" t="str">
        <v/>
      </c>
    </row>
    <row r="1281" spans="83:106" x14ac:dyDescent="0.2">
      <c r="CE1281"/>
      <c r="CF1281"/>
      <c r="CG1281"/>
      <c r="CH1281"/>
      <c r="CI1281"/>
      <c r="CU1281" s="21">
        <v>1276</v>
      </c>
      <c r="CV1281" s="41">
        <v>4</v>
      </c>
      <c r="CW1281" s="41">
        <v>0.11332468572476186</v>
      </c>
      <c r="CX1281" s="41" t="e">
        <v>#N/A</v>
      </c>
      <c r="CY1281" s="41" t="e">
        <v>#N/A</v>
      </c>
      <c r="CZ1281" s="47" t="e">
        <v>#N/A</v>
      </c>
      <c r="DA1281">
        <v>0.11332468572476186</v>
      </c>
      <c r="DB1281" t="str">
        <v/>
      </c>
    </row>
    <row r="1282" spans="83:106" x14ac:dyDescent="0.2">
      <c r="CE1282"/>
      <c r="CF1282"/>
      <c r="CG1282"/>
      <c r="CH1282"/>
      <c r="CI1282"/>
      <c r="CU1282" s="21">
        <v>1277</v>
      </c>
      <c r="CV1282" s="41">
        <v>4</v>
      </c>
      <c r="CW1282" s="41">
        <v>0.11332468572476186</v>
      </c>
      <c r="CX1282" s="41" t="e">
        <v>#N/A</v>
      </c>
      <c r="CY1282" s="41" t="e">
        <v>#N/A</v>
      </c>
      <c r="CZ1282" s="47" t="e">
        <v>#N/A</v>
      </c>
      <c r="DA1282">
        <v>0.11332468572476186</v>
      </c>
      <c r="DB1282" t="str">
        <v/>
      </c>
    </row>
    <row r="1283" spans="83:106" x14ac:dyDescent="0.2">
      <c r="CE1283"/>
      <c r="CF1283"/>
      <c r="CG1283"/>
      <c r="CH1283"/>
      <c r="CI1283"/>
      <c r="CU1283" s="21">
        <v>1278</v>
      </c>
      <c r="CV1283" s="41">
        <v>4</v>
      </c>
      <c r="CW1283" s="41">
        <v>0.11332468572476186</v>
      </c>
      <c r="CX1283" s="41" t="e">
        <v>#N/A</v>
      </c>
      <c r="CY1283" s="41" t="e">
        <v>#N/A</v>
      </c>
      <c r="CZ1283" s="47" t="e">
        <v>#N/A</v>
      </c>
      <c r="DA1283">
        <v>0.11332468572476186</v>
      </c>
      <c r="DB1283" t="str">
        <v/>
      </c>
    </row>
    <row r="1284" spans="83:106" x14ac:dyDescent="0.2">
      <c r="CE1284"/>
      <c r="CF1284"/>
      <c r="CG1284"/>
      <c r="CH1284"/>
      <c r="CI1284"/>
      <c r="CU1284" s="21">
        <v>1279</v>
      </c>
      <c r="CV1284" s="41">
        <v>4</v>
      </c>
      <c r="CW1284" s="41">
        <v>0.11332468572476186</v>
      </c>
      <c r="CX1284" s="41" t="e">
        <v>#N/A</v>
      </c>
      <c r="CY1284" s="41" t="e">
        <v>#N/A</v>
      </c>
      <c r="CZ1284" s="47" t="e">
        <v>#N/A</v>
      </c>
      <c r="DA1284">
        <v>0.11332468572476186</v>
      </c>
      <c r="DB1284" t="str">
        <v/>
      </c>
    </row>
    <row r="1285" spans="83:106" x14ac:dyDescent="0.2">
      <c r="CE1285"/>
      <c r="CF1285"/>
      <c r="CG1285"/>
      <c r="CH1285"/>
      <c r="CI1285"/>
      <c r="CU1285" s="21">
        <v>1280</v>
      </c>
      <c r="CV1285" s="41">
        <v>4</v>
      </c>
      <c r="CW1285" s="41">
        <v>0.11332468572476186</v>
      </c>
      <c r="CX1285" s="41" t="e">
        <v>#N/A</v>
      </c>
      <c r="CY1285" s="41" t="e">
        <v>#N/A</v>
      </c>
      <c r="CZ1285" s="47" t="e">
        <v>#N/A</v>
      </c>
      <c r="DA1285">
        <v>0.11332468572476186</v>
      </c>
      <c r="DB1285" t="str">
        <v/>
      </c>
    </row>
    <row r="1286" spans="83:106" x14ac:dyDescent="0.2">
      <c r="CE1286"/>
      <c r="CF1286"/>
      <c r="CG1286"/>
      <c r="CH1286"/>
      <c r="CI1286"/>
      <c r="CU1286" s="21">
        <v>1281</v>
      </c>
      <c r="CV1286" s="41">
        <v>4</v>
      </c>
      <c r="CW1286" s="41">
        <v>0.11332468572476186</v>
      </c>
      <c r="CX1286" s="41" t="e">
        <v>#N/A</v>
      </c>
      <c r="CY1286" s="41" t="e">
        <v>#N/A</v>
      </c>
      <c r="CZ1286" s="47" t="e">
        <v>#N/A</v>
      </c>
      <c r="DA1286">
        <v>0.11332468572476186</v>
      </c>
      <c r="DB1286" t="str">
        <v/>
      </c>
    </row>
    <row r="1287" spans="83:106" x14ac:dyDescent="0.2">
      <c r="CE1287"/>
      <c r="CF1287"/>
      <c r="CG1287"/>
      <c r="CH1287"/>
      <c r="CI1287"/>
      <c r="CU1287" s="21">
        <v>1282</v>
      </c>
      <c r="CV1287" s="41">
        <v>4</v>
      </c>
      <c r="CW1287" s="41">
        <v>0.11332468572476186</v>
      </c>
      <c r="CX1287" s="41" t="e">
        <v>#N/A</v>
      </c>
      <c r="CY1287" s="41" t="e">
        <v>#N/A</v>
      </c>
      <c r="CZ1287" s="47" t="e">
        <v>#N/A</v>
      </c>
      <c r="DA1287">
        <v>0.11332468572476186</v>
      </c>
      <c r="DB1287" t="str">
        <v/>
      </c>
    </row>
    <row r="1288" spans="83:106" x14ac:dyDescent="0.2">
      <c r="CE1288"/>
      <c r="CF1288"/>
      <c r="CG1288"/>
      <c r="CH1288"/>
      <c r="CI1288"/>
      <c r="CU1288" s="21">
        <v>1283</v>
      </c>
      <c r="CV1288" s="41">
        <v>4</v>
      </c>
      <c r="CW1288" s="41">
        <v>0.11332468572476186</v>
      </c>
      <c r="CX1288" s="41" t="e">
        <v>#N/A</v>
      </c>
      <c r="CY1288" s="41" t="e">
        <v>#N/A</v>
      </c>
      <c r="CZ1288" s="47" t="e">
        <v>#N/A</v>
      </c>
      <c r="DA1288">
        <v>0.11332468572476186</v>
      </c>
      <c r="DB1288" t="str">
        <v/>
      </c>
    </row>
    <row r="1289" spans="83:106" x14ac:dyDescent="0.2">
      <c r="CE1289"/>
      <c r="CF1289"/>
      <c r="CG1289"/>
      <c r="CH1289"/>
      <c r="CI1289"/>
      <c r="CU1289" s="21">
        <v>1284</v>
      </c>
      <c r="CV1289" s="41">
        <v>4</v>
      </c>
      <c r="CW1289" s="41">
        <v>0.11332468572476186</v>
      </c>
      <c r="CX1289" s="41" t="e">
        <v>#N/A</v>
      </c>
      <c r="CY1289" s="41" t="e">
        <v>#N/A</v>
      </c>
      <c r="CZ1289" s="47" t="e">
        <v>#N/A</v>
      </c>
      <c r="DA1289">
        <v>0.11332468572476186</v>
      </c>
      <c r="DB1289" t="str">
        <v/>
      </c>
    </row>
    <row r="1290" spans="83:106" x14ac:dyDescent="0.2">
      <c r="CE1290"/>
      <c r="CF1290"/>
      <c r="CG1290"/>
      <c r="CH1290"/>
      <c r="CI1290"/>
      <c r="CU1290" s="21">
        <v>1285</v>
      </c>
      <c r="CV1290" s="41">
        <v>4</v>
      </c>
      <c r="CW1290" s="41">
        <v>0.11332468572476186</v>
      </c>
      <c r="CX1290" s="41" t="e">
        <v>#N/A</v>
      </c>
      <c r="CY1290" s="41" t="e">
        <v>#N/A</v>
      </c>
      <c r="CZ1290" s="47" t="e">
        <v>#N/A</v>
      </c>
      <c r="DA1290">
        <v>0.11332468572476186</v>
      </c>
      <c r="DB1290" t="str">
        <v/>
      </c>
    </row>
    <row r="1291" spans="83:106" x14ac:dyDescent="0.2">
      <c r="CE1291"/>
      <c r="CF1291"/>
      <c r="CG1291"/>
      <c r="CH1291"/>
      <c r="CI1291"/>
      <c r="CU1291" s="21">
        <v>1286</v>
      </c>
      <c r="CV1291" s="41">
        <v>4</v>
      </c>
      <c r="CW1291" s="41">
        <v>0.11332468572476186</v>
      </c>
      <c r="CX1291" s="41" t="e">
        <v>#N/A</v>
      </c>
      <c r="CY1291" s="41" t="e">
        <v>#N/A</v>
      </c>
      <c r="CZ1291" s="47" t="e">
        <v>#N/A</v>
      </c>
      <c r="DA1291">
        <v>0.11332468572476186</v>
      </c>
      <c r="DB1291" t="str">
        <v/>
      </c>
    </row>
    <row r="1292" spans="83:106" x14ac:dyDescent="0.2">
      <c r="CE1292"/>
      <c r="CF1292"/>
      <c r="CG1292"/>
      <c r="CH1292"/>
      <c r="CI1292"/>
      <c r="CU1292" s="21">
        <v>1287</v>
      </c>
      <c r="CV1292" s="41">
        <v>4</v>
      </c>
      <c r="CW1292" s="41">
        <v>0.11332468572476186</v>
      </c>
      <c r="CX1292" s="41" t="e">
        <v>#N/A</v>
      </c>
      <c r="CY1292" s="41" t="e">
        <v>#N/A</v>
      </c>
      <c r="CZ1292" s="47" t="e">
        <v>#N/A</v>
      </c>
      <c r="DA1292">
        <v>0.11332468572476186</v>
      </c>
      <c r="DB1292" t="str">
        <v/>
      </c>
    </row>
    <row r="1293" spans="83:106" x14ac:dyDescent="0.2">
      <c r="CE1293"/>
      <c r="CF1293"/>
      <c r="CG1293"/>
      <c r="CH1293"/>
      <c r="CI1293"/>
      <c r="CU1293" s="21">
        <v>1288</v>
      </c>
      <c r="CV1293" s="41">
        <v>4</v>
      </c>
      <c r="CW1293" s="41">
        <v>0.11332468572476186</v>
      </c>
      <c r="CX1293" s="41" t="e">
        <v>#N/A</v>
      </c>
      <c r="CY1293" s="41" t="e">
        <v>#N/A</v>
      </c>
      <c r="CZ1293" s="47" t="e">
        <v>#N/A</v>
      </c>
      <c r="DA1293">
        <v>0.11332468572476186</v>
      </c>
      <c r="DB1293" t="str">
        <v/>
      </c>
    </row>
    <row r="1294" spans="83:106" x14ac:dyDescent="0.2">
      <c r="CE1294"/>
      <c r="CF1294"/>
      <c r="CG1294"/>
      <c r="CH1294"/>
      <c r="CI1294"/>
      <c r="CU1294" s="21">
        <v>1289</v>
      </c>
      <c r="CV1294" s="41">
        <v>4</v>
      </c>
      <c r="CW1294" s="41">
        <v>0.11332468572476186</v>
      </c>
      <c r="CX1294" s="41" t="e">
        <v>#N/A</v>
      </c>
      <c r="CY1294" s="41" t="e">
        <v>#N/A</v>
      </c>
      <c r="CZ1294" s="47" t="e">
        <v>#N/A</v>
      </c>
      <c r="DA1294">
        <v>0.11332468572476186</v>
      </c>
      <c r="DB1294" t="str">
        <v/>
      </c>
    </row>
    <row r="1295" spans="83:106" x14ac:dyDescent="0.2">
      <c r="CE1295"/>
      <c r="CF1295"/>
      <c r="CG1295"/>
      <c r="CH1295"/>
      <c r="CI1295"/>
      <c r="CU1295" s="21">
        <v>1290</v>
      </c>
      <c r="CV1295" s="41">
        <v>4</v>
      </c>
      <c r="CW1295" s="41">
        <v>0.11332468572476186</v>
      </c>
      <c r="CX1295" s="41" t="e">
        <v>#N/A</v>
      </c>
      <c r="CY1295" s="41" t="e">
        <v>#N/A</v>
      </c>
      <c r="CZ1295" s="47" t="e">
        <v>#N/A</v>
      </c>
      <c r="DA1295">
        <v>0.11332468572476186</v>
      </c>
      <c r="DB1295" t="str">
        <v/>
      </c>
    </row>
    <row r="1296" spans="83:106" x14ac:dyDescent="0.2">
      <c r="CE1296"/>
      <c r="CF1296"/>
      <c r="CG1296"/>
      <c r="CH1296"/>
      <c r="CI1296"/>
      <c r="CU1296" s="21">
        <v>1291</v>
      </c>
      <c r="CV1296" s="41">
        <v>4</v>
      </c>
      <c r="CW1296" s="41">
        <v>0.11332468572476186</v>
      </c>
      <c r="CX1296" s="41" t="e">
        <v>#N/A</v>
      </c>
      <c r="CY1296" s="41" t="e">
        <v>#N/A</v>
      </c>
      <c r="CZ1296" s="47" t="e">
        <v>#N/A</v>
      </c>
      <c r="DA1296">
        <v>0.11332468572476186</v>
      </c>
      <c r="DB1296" t="str">
        <v/>
      </c>
    </row>
    <row r="1297" spans="83:106" x14ac:dyDescent="0.2">
      <c r="CE1297"/>
      <c r="CF1297"/>
      <c r="CG1297"/>
      <c r="CH1297"/>
      <c r="CI1297"/>
      <c r="CU1297" s="21">
        <v>1292</v>
      </c>
      <c r="CV1297" s="41">
        <v>4</v>
      </c>
      <c r="CW1297" s="41">
        <v>0.11332468572476186</v>
      </c>
      <c r="CX1297" s="41" t="e">
        <v>#N/A</v>
      </c>
      <c r="CY1297" s="41" t="e">
        <v>#N/A</v>
      </c>
      <c r="CZ1297" s="47" t="e">
        <v>#N/A</v>
      </c>
      <c r="DA1297">
        <v>0.11332468572476186</v>
      </c>
      <c r="DB1297" t="str">
        <v/>
      </c>
    </row>
    <row r="1298" spans="83:106" x14ac:dyDescent="0.2">
      <c r="CE1298"/>
      <c r="CF1298"/>
      <c r="CG1298"/>
      <c r="CH1298"/>
      <c r="CI1298"/>
      <c r="CU1298" s="21">
        <v>1293</v>
      </c>
      <c r="CV1298" s="41">
        <v>4</v>
      </c>
      <c r="CW1298" s="41">
        <v>0.11332468572476186</v>
      </c>
      <c r="CX1298" s="41" t="e">
        <v>#N/A</v>
      </c>
      <c r="CY1298" s="41" t="e">
        <v>#N/A</v>
      </c>
      <c r="CZ1298" s="47" t="e">
        <v>#N/A</v>
      </c>
      <c r="DA1298">
        <v>0.11332468572476186</v>
      </c>
      <c r="DB1298" t="str">
        <v/>
      </c>
    </row>
    <row r="1299" spans="83:106" x14ac:dyDescent="0.2">
      <c r="CE1299"/>
      <c r="CF1299"/>
      <c r="CG1299"/>
      <c r="CH1299"/>
      <c r="CI1299"/>
      <c r="CU1299" s="21">
        <v>1294</v>
      </c>
      <c r="CV1299" s="41">
        <v>4</v>
      </c>
      <c r="CW1299" s="41">
        <v>0.11332468572476186</v>
      </c>
      <c r="CX1299" s="41" t="e">
        <v>#N/A</v>
      </c>
      <c r="CY1299" s="41" t="e">
        <v>#N/A</v>
      </c>
      <c r="CZ1299" s="47" t="e">
        <v>#N/A</v>
      </c>
      <c r="DA1299">
        <v>0.11332468572476186</v>
      </c>
      <c r="DB1299" t="str">
        <v/>
      </c>
    </row>
    <row r="1300" spans="83:106" x14ac:dyDescent="0.2">
      <c r="CE1300"/>
      <c r="CF1300"/>
      <c r="CG1300"/>
      <c r="CH1300"/>
      <c r="CI1300"/>
      <c r="CU1300" s="21">
        <v>1295</v>
      </c>
      <c r="CV1300" s="41">
        <v>4</v>
      </c>
      <c r="CW1300" s="41">
        <v>0.11332468572476186</v>
      </c>
      <c r="CX1300" s="41" t="e">
        <v>#N/A</v>
      </c>
      <c r="CY1300" s="41" t="e">
        <v>#N/A</v>
      </c>
      <c r="CZ1300" s="47" t="e">
        <v>#N/A</v>
      </c>
      <c r="DA1300">
        <v>0.11332468572476186</v>
      </c>
      <c r="DB1300" t="str">
        <v/>
      </c>
    </row>
    <row r="1301" spans="83:106" x14ac:dyDescent="0.2">
      <c r="CE1301"/>
      <c r="CF1301"/>
      <c r="CG1301"/>
      <c r="CH1301"/>
      <c r="CI1301"/>
      <c r="CU1301" s="21">
        <v>1296</v>
      </c>
      <c r="CV1301" s="41">
        <v>4</v>
      </c>
      <c r="CW1301" s="41">
        <v>0.11332468572476186</v>
      </c>
      <c r="CX1301" s="41" t="e">
        <v>#N/A</v>
      </c>
      <c r="CY1301" s="41" t="e">
        <v>#N/A</v>
      </c>
      <c r="CZ1301" s="47" t="e">
        <v>#N/A</v>
      </c>
      <c r="DA1301">
        <v>0.11332468572476186</v>
      </c>
      <c r="DB1301" t="str">
        <v/>
      </c>
    </row>
    <row r="1302" spans="83:106" x14ac:dyDescent="0.2">
      <c r="CE1302"/>
      <c r="CF1302"/>
      <c r="CG1302"/>
      <c r="CH1302"/>
      <c r="CI1302"/>
      <c r="CU1302" s="21">
        <v>1297</v>
      </c>
      <c r="CV1302" s="41">
        <v>4</v>
      </c>
      <c r="CW1302" s="41">
        <v>0.11332468572476186</v>
      </c>
      <c r="CX1302" s="41" t="e">
        <v>#N/A</v>
      </c>
      <c r="CY1302" s="41" t="e">
        <v>#N/A</v>
      </c>
      <c r="CZ1302" s="47" t="e">
        <v>#N/A</v>
      </c>
      <c r="DA1302">
        <v>0.11332468572476186</v>
      </c>
      <c r="DB1302" t="str">
        <v/>
      </c>
    </row>
    <row r="1303" spans="83:106" x14ac:dyDescent="0.2">
      <c r="CE1303"/>
      <c r="CF1303"/>
      <c r="CG1303"/>
      <c r="CH1303"/>
      <c r="CI1303"/>
      <c r="CU1303" s="21">
        <v>1298</v>
      </c>
      <c r="CV1303" s="41">
        <v>4</v>
      </c>
      <c r="CW1303" s="41">
        <v>0.11332468572476186</v>
      </c>
      <c r="CX1303" s="41" t="e">
        <v>#N/A</v>
      </c>
      <c r="CY1303" s="41" t="e">
        <v>#N/A</v>
      </c>
      <c r="CZ1303" s="47" t="e">
        <v>#N/A</v>
      </c>
      <c r="DA1303">
        <v>0.11332468572476186</v>
      </c>
      <c r="DB1303" t="str">
        <v/>
      </c>
    </row>
    <row r="1304" spans="83:106" x14ac:dyDescent="0.2">
      <c r="CE1304"/>
      <c r="CF1304"/>
      <c r="CG1304"/>
      <c r="CH1304"/>
      <c r="CI1304"/>
      <c r="CU1304" s="21">
        <v>1299</v>
      </c>
      <c r="CV1304" s="41">
        <v>4</v>
      </c>
      <c r="CW1304" s="41">
        <v>0.11332468572476186</v>
      </c>
      <c r="CX1304" s="41" t="e">
        <v>#N/A</v>
      </c>
      <c r="CY1304" s="41" t="e">
        <v>#N/A</v>
      </c>
      <c r="CZ1304" s="47" t="e">
        <v>#N/A</v>
      </c>
      <c r="DA1304">
        <v>0.11332468572476186</v>
      </c>
      <c r="DB1304" t="str">
        <v/>
      </c>
    </row>
    <row r="1305" spans="83:106" x14ac:dyDescent="0.2">
      <c r="CE1305"/>
      <c r="CF1305"/>
      <c r="CG1305"/>
      <c r="CH1305"/>
      <c r="CI1305"/>
      <c r="CU1305" s="21">
        <v>1300</v>
      </c>
      <c r="CV1305" s="41">
        <v>4</v>
      </c>
      <c r="CW1305" s="41">
        <v>0.11332468572476186</v>
      </c>
      <c r="CX1305" s="41" t="e">
        <v>#N/A</v>
      </c>
      <c r="CY1305" s="41" t="e">
        <v>#N/A</v>
      </c>
      <c r="CZ1305" s="47" t="e">
        <v>#N/A</v>
      </c>
      <c r="DA1305">
        <v>0.11332468572476186</v>
      </c>
      <c r="DB1305" t="str">
        <v/>
      </c>
    </row>
    <row r="1306" spans="83:106" x14ac:dyDescent="0.2">
      <c r="CE1306"/>
      <c r="CF1306"/>
      <c r="CG1306"/>
      <c r="CH1306"/>
      <c r="CI1306"/>
      <c r="CU1306" s="21">
        <v>1301</v>
      </c>
      <c r="CV1306" s="41">
        <v>4</v>
      </c>
      <c r="CW1306" s="41">
        <v>0.11332468572476186</v>
      </c>
      <c r="CX1306" s="41" t="e">
        <v>#N/A</v>
      </c>
      <c r="CY1306" s="41" t="e">
        <v>#N/A</v>
      </c>
      <c r="CZ1306" s="47" t="e">
        <v>#N/A</v>
      </c>
      <c r="DA1306">
        <v>0.11332468572476186</v>
      </c>
      <c r="DB1306" t="str">
        <v/>
      </c>
    </row>
    <row r="1307" spans="83:106" x14ac:dyDescent="0.2">
      <c r="CE1307"/>
      <c r="CF1307"/>
      <c r="CG1307"/>
      <c r="CH1307"/>
      <c r="CI1307"/>
      <c r="CU1307" s="21">
        <v>1302</v>
      </c>
      <c r="CV1307" s="41">
        <v>4</v>
      </c>
      <c r="CW1307" s="41">
        <v>0.11332468572476186</v>
      </c>
      <c r="CX1307" s="41" t="e">
        <v>#N/A</v>
      </c>
      <c r="CY1307" s="41" t="e">
        <v>#N/A</v>
      </c>
      <c r="CZ1307" s="47" t="e">
        <v>#N/A</v>
      </c>
      <c r="DA1307">
        <v>0.11332468572476186</v>
      </c>
      <c r="DB1307" t="str">
        <v/>
      </c>
    </row>
    <row r="1308" spans="83:106" x14ac:dyDescent="0.2">
      <c r="CE1308"/>
      <c r="CF1308"/>
      <c r="CG1308"/>
      <c r="CH1308"/>
      <c r="CI1308"/>
      <c r="CU1308" s="21">
        <v>1303</v>
      </c>
      <c r="CV1308" s="41">
        <v>4</v>
      </c>
      <c r="CW1308" s="41">
        <v>0.11332468572476186</v>
      </c>
      <c r="CX1308" s="41" t="e">
        <v>#N/A</v>
      </c>
      <c r="CY1308" s="41" t="e">
        <v>#N/A</v>
      </c>
      <c r="CZ1308" s="47" t="e">
        <v>#N/A</v>
      </c>
      <c r="DA1308">
        <v>0.11332468572476186</v>
      </c>
      <c r="DB1308" t="str">
        <v/>
      </c>
    </row>
    <row r="1309" spans="83:106" x14ac:dyDescent="0.2">
      <c r="CE1309"/>
      <c r="CF1309"/>
      <c r="CG1309"/>
      <c r="CH1309"/>
      <c r="CI1309"/>
      <c r="CU1309" s="21">
        <v>1304</v>
      </c>
      <c r="CV1309" s="41">
        <v>4</v>
      </c>
      <c r="CW1309" s="41">
        <v>0.11332468572476186</v>
      </c>
      <c r="CX1309" s="41" t="e">
        <v>#N/A</v>
      </c>
      <c r="CY1309" s="41" t="e">
        <v>#N/A</v>
      </c>
      <c r="CZ1309" s="47" t="e">
        <v>#N/A</v>
      </c>
      <c r="DA1309">
        <v>0.11332468572476186</v>
      </c>
      <c r="DB1309" t="str">
        <v/>
      </c>
    </row>
    <row r="1310" spans="83:106" x14ac:dyDescent="0.2">
      <c r="CE1310"/>
      <c r="CF1310"/>
      <c r="CG1310"/>
      <c r="CH1310"/>
      <c r="CI1310"/>
      <c r="CU1310" s="21">
        <v>1305</v>
      </c>
      <c r="CV1310" s="41">
        <v>4</v>
      </c>
      <c r="CW1310" s="41">
        <v>0.11332468572476186</v>
      </c>
      <c r="CX1310" s="41" t="e">
        <v>#N/A</v>
      </c>
      <c r="CY1310" s="41" t="e">
        <v>#N/A</v>
      </c>
      <c r="CZ1310" s="47" t="e">
        <v>#N/A</v>
      </c>
      <c r="DA1310">
        <v>0.11332468572476186</v>
      </c>
      <c r="DB1310" t="str">
        <v/>
      </c>
    </row>
    <row r="1311" spans="83:106" x14ac:dyDescent="0.2">
      <c r="CE1311"/>
      <c r="CF1311"/>
      <c r="CG1311"/>
      <c r="CH1311"/>
      <c r="CI1311"/>
      <c r="CU1311" s="21">
        <v>1306</v>
      </c>
      <c r="CV1311" s="41">
        <v>4</v>
      </c>
      <c r="CW1311" s="41">
        <v>0.11332468572476186</v>
      </c>
      <c r="CX1311" s="41" t="e">
        <v>#N/A</v>
      </c>
      <c r="CY1311" s="41" t="e">
        <v>#N/A</v>
      </c>
      <c r="CZ1311" s="47" t="e">
        <v>#N/A</v>
      </c>
      <c r="DA1311">
        <v>0.11332468572476186</v>
      </c>
      <c r="DB1311" t="str">
        <v/>
      </c>
    </row>
    <row r="1312" spans="83:106" x14ac:dyDescent="0.2">
      <c r="CE1312"/>
      <c r="CF1312"/>
      <c r="CG1312"/>
      <c r="CH1312"/>
      <c r="CI1312"/>
      <c r="CU1312" s="21">
        <v>1307</v>
      </c>
      <c r="CV1312" s="41">
        <v>4</v>
      </c>
      <c r="CW1312" s="41">
        <v>0.11332468572476186</v>
      </c>
      <c r="CX1312" s="41" t="e">
        <v>#N/A</v>
      </c>
      <c r="CY1312" s="41" t="e">
        <v>#N/A</v>
      </c>
      <c r="CZ1312" s="47" t="e">
        <v>#N/A</v>
      </c>
      <c r="DA1312">
        <v>0.11332468572476186</v>
      </c>
      <c r="DB1312" t="str">
        <v/>
      </c>
    </row>
    <row r="1313" spans="83:106" x14ac:dyDescent="0.2">
      <c r="CE1313"/>
      <c r="CF1313"/>
      <c r="CG1313"/>
      <c r="CH1313"/>
      <c r="CI1313"/>
      <c r="CU1313" s="21">
        <v>1308</v>
      </c>
      <c r="CV1313" s="41">
        <v>4</v>
      </c>
      <c r="CW1313" s="41">
        <v>0.11332468572476186</v>
      </c>
      <c r="CX1313" s="41" t="e">
        <v>#N/A</v>
      </c>
      <c r="CY1313" s="41" t="e">
        <v>#N/A</v>
      </c>
      <c r="CZ1313" s="47" t="e">
        <v>#N/A</v>
      </c>
      <c r="DA1313">
        <v>0.11332468572476186</v>
      </c>
      <c r="DB1313" t="str">
        <v/>
      </c>
    </row>
    <row r="1314" spans="83:106" x14ac:dyDescent="0.2">
      <c r="CE1314"/>
      <c r="CF1314"/>
      <c r="CG1314"/>
      <c r="CH1314"/>
      <c r="CI1314"/>
      <c r="CU1314" s="21">
        <v>1309</v>
      </c>
      <c r="CV1314" s="41">
        <v>4</v>
      </c>
      <c r="CW1314" s="41">
        <v>0.11332468572476186</v>
      </c>
      <c r="CX1314" s="41" t="e">
        <v>#N/A</v>
      </c>
      <c r="CY1314" s="41" t="e">
        <v>#N/A</v>
      </c>
      <c r="CZ1314" s="47" t="e">
        <v>#N/A</v>
      </c>
      <c r="DA1314">
        <v>0.11332468572476186</v>
      </c>
      <c r="DB1314" t="str">
        <v/>
      </c>
    </row>
    <row r="1315" spans="83:106" x14ac:dyDescent="0.2">
      <c r="CE1315"/>
      <c r="CF1315"/>
      <c r="CG1315"/>
      <c r="CH1315"/>
      <c r="CI1315"/>
      <c r="CU1315" s="21">
        <v>1310</v>
      </c>
      <c r="CV1315" s="41">
        <v>4</v>
      </c>
      <c r="CW1315" s="41">
        <v>0.11332468572476186</v>
      </c>
      <c r="CX1315" s="41" t="e">
        <v>#N/A</v>
      </c>
      <c r="CY1315" s="41" t="e">
        <v>#N/A</v>
      </c>
      <c r="CZ1315" s="47" t="e">
        <v>#N/A</v>
      </c>
      <c r="DA1315">
        <v>0.11332468572476186</v>
      </c>
      <c r="DB1315" t="str">
        <v/>
      </c>
    </row>
    <row r="1316" spans="83:106" x14ac:dyDescent="0.2">
      <c r="CE1316"/>
      <c r="CF1316"/>
      <c r="CG1316"/>
      <c r="CH1316"/>
      <c r="CI1316"/>
      <c r="CU1316" s="21">
        <v>1311</v>
      </c>
      <c r="CV1316" s="41">
        <v>4</v>
      </c>
      <c r="CW1316" s="41">
        <v>0.11332468572476186</v>
      </c>
      <c r="CX1316" s="41" t="e">
        <v>#N/A</v>
      </c>
      <c r="CY1316" s="41" t="e">
        <v>#N/A</v>
      </c>
      <c r="CZ1316" s="47" t="e">
        <v>#N/A</v>
      </c>
      <c r="DA1316">
        <v>0.11332468572476186</v>
      </c>
      <c r="DB1316" t="str">
        <v/>
      </c>
    </row>
    <row r="1317" spans="83:106" x14ac:dyDescent="0.2">
      <c r="CE1317"/>
      <c r="CF1317"/>
      <c r="CG1317"/>
      <c r="CH1317"/>
      <c r="CI1317"/>
      <c r="CU1317" s="21">
        <v>1312</v>
      </c>
      <c r="CV1317" s="41">
        <v>4</v>
      </c>
      <c r="CW1317" s="41">
        <v>0.11332468572476186</v>
      </c>
      <c r="CX1317" s="41" t="e">
        <v>#N/A</v>
      </c>
      <c r="CY1317" s="41" t="e">
        <v>#N/A</v>
      </c>
      <c r="CZ1317" s="47" t="e">
        <v>#N/A</v>
      </c>
      <c r="DA1317">
        <v>0.11332468572476186</v>
      </c>
      <c r="DB1317" t="str">
        <v/>
      </c>
    </row>
    <row r="1318" spans="83:106" x14ac:dyDescent="0.2">
      <c r="CE1318"/>
      <c r="CF1318"/>
      <c r="CG1318"/>
      <c r="CH1318"/>
      <c r="CI1318"/>
      <c r="CU1318" s="21">
        <v>1313</v>
      </c>
      <c r="CV1318" s="41">
        <v>4</v>
      </c>
      <c r="CW1318" s="41">
        <v>0.11332468572476186</v>
      </c>
      <c r="CX1318" s="41" t="e">
        <v>#N/A</v>
      </c>
      <c r="CY1318" s="41" t="e">
        <v>#N/A</v>
      </c>
      <c r="CZ1318" s="47" t="e">
        <v>#N/A</v>
      </c>
      <c r="DA1318">
        <v>0.11332468572476186</v>
      </c>
      <c r="DB1318" t="str">
        <v/>
      </c>
    </row>
    <row r="1319" spans="83:106" x14ac:dyDescent="0.2">
      <c r="CE1319"/>
      <c r="CF1319"/>
      <c r="CG1319"/>
      <c r="CH1319"/>
      <c r="CI1319"/>
      <c r="CU1319" s="21">
        <v>1314</v>
      </c>
      <c r="CV1319" s="41">
        <v>4</v>
      </c>
      <c r="CW1319" s="41">
        <v>0.11332468572476186</v>
      </c>
      <c r="CX1319" s="41" t="e">
        <v>#N/A</v>
      </c>
      <c r="CY1319" s="41" t="e">
        <v>#N/A</v>
      </c>
      <c r="CZ1319" s="47" t="e">
        <v>#N/A</v>
      </c>
      <c r="DA1319">
        <v>0.11332468572476186</v>
      </c>
      <c r="DB1319" t="str">
        <v/>
      </c>
    </row>
    <row r="1320" spans="83:106" x14ac:dyDescent="0.2">
      <c r="CE1320"/>
      <c r="CF1320"/>
      <c r="CG1320"/>
      <c r="CH1320"/>
      <c r="CI1320"/>
      <c r="CU1320" s="21">
        <v>1315</v>
      </c>
      <c r="CV1320" s="41">
        <v>4</v>
      </c>
      <c r="CW1320" s="41">
        <v>0.11332468572476186</v>
      </c>
      <c r="CX1320" s="41" t="e">
        <v>#N/A</v>
      </c>
      <c r="CY1320" s="41" t="e">
        <v>#N/A</v>
      </c>
      <c r="CZ1320" s="47" t="e">
        <v>#N/A</v>
      </c>
      <c r="DA1320">
        <v>0.11332468572476186</v>
      </c>
      <c r="DB1320" t="str">
        <v/>
      </c>
    </row>
    <row r="1321" spans="83:106" x14ac:dyDescent="0.2">
      <c r="CE1321"/>
      <c r="CF1321"/>
      <c r="CG1321"/>
      <c r="CH1321"/>
      <c r="CI1321"/>
      <c r="CU1321" s="21">
        <v>1316</v>
      </c>
      <c r="CV1321" s="41">
        <v>4</v>
      </c>
      <c r="CW1321" s="41">
        <v>0.11332468572476186</v>
      </c>
      <c r="CX1321" s="41" t="e">
        <v>#N/A</v>
      </c>
      <c r="CY1321" s="41" t="e">
        <v>#N/A</v>
      </c>
      <c r="CZ1321" s="47" t="e">
        <v>#N/A</v>
      </c>
      <c r="DA1321">
        <v>0.11332468572476186</v>
      </c>
      <c r="DB1321" t="str">
        <v/>
      </c>
    </row>
    <row r="1322" spans="83:106" x14ac:dyDescent="0.2">
      <c r="CE1322"/>
      <c r="CF1322"/>
      <c r="CG1322"/>
      <c r="CH1322"/>
      <c r="CI1322"/>
      <c r="CU1322" s="21">
        <v>1317</v>
      </c>
      <c r="CV1322" s="41">
        <v>4</v>
      </c>
      <c r="CW1322" s="41">
        <v>0.11332468572476186</v>
      </c>
      <c r="CX1322" s="41" t="e">
        <v>#N/A</v>
      </c>
      <c r="CY1322" s="41" t="e">
        <v>#N/A</v>
      </c>
      <c r="CZ1322" s="47" t="e">
        <v>#N/A</v>
      </c>
      <c r="DA1322">
        <v>0.11332468572476186</v>
      </c>
      <c r="DB1322" t="str">
        <v/>
      </c>
    </row>
    <row r="1323" spans="83:106" x14ac:dyDescent="0.2">
      <c r="CE1323"/>
      <c r="CF1323"/>
      <c r="CG1323"/>
      <c r="CH1323"/>
      <c r="CI1323"/>
      <c r="CU1323" s="21">
        <v>1318</v>
      </c>
      <c r="CV1323" s="41">
        <v>4</v>
      </c>
      <c r="CW1323" s="41">
        <v>0.11332468572476186</v>
      </c>
      <c r="CX1323" s="41" t="e">
        <v>#N/A</v>
      </c>
      <c r="CY1323" s="41" t="e">
        <v>#N/A</v>
      </c>
      <c r="CZ1323" s="47" t="e">
        <v>#N/A</v>
      </c>
      <c r="DA1323">
        <v>0.11332468572476186</v>
      </c>
      <c r="DB1323" t="str">
        <v/>
      </c>
    </row>
    <row r="1324" spans="83:106" x14ac:dyDescent="0.2">
      <c r="CE1324"/>
      <c r="CF1324"/>
      <c r="CG1324"/>
      <c r="CH1324"/>
      <c r="CI1324"/>
      <c r="CU1324" s="21">
        <v>1319</v>
      </c>
      <c r="CV1324" s="41">
        <v>4</v>
      </c>
      <c r="CW1324" s="41">
        <v>0.11332468572476186</v>
      </c>
      <c r="CX1324" s="41" t="e">
        <v>#N/A</v>
      </c>
      <c r="CY1324" s="41" t="e">
        <v>#N/A</v>
      </c>
      <c r="CZ1324" s="47" t="e">
        <v>#N/A</v>
      </c>
      <c r="DA1324">
        <v>0.11332468572476186</v>
      </c>
      <c r="DB1324" t="str">
        <v/>
      </c>
    </row>
    <row r="1325" spans="83:106" x14ac:dyDescent="0.2">
      <c r="CE1325"/>
      <c r="CF1325"/>
      <c r="CG1325"/>
      <c r="CH1325"/>
      <c r="CI1325"/>
      <c r="CU1325" s="21">
        <v>1320</v>
      </c>
      <c r="CV1325" s="41">
        <v>4</v>
      </c>
      <c r="CW1325" s="41">
        <v>0.11332468572476186</v>
      </c>
      <c r="CX1325" s="41" t="e">
        <v>#N/A</v>
      </c>
      <c r="CY1325" s="41" t="e">
        <v>#N/A</v>
      </c>
      <c r="CZ1325" s="47" t="e">
        <v>#N/A</v>
      </c>
      <c r="DA1325">
        <v>0.11332468572476186</v>
      </c>
      <c r="DB1325" t="str">
        <v/>
      </c>
    </row>
    <row r="1326" spans="83:106" x14ac:dyDescent="0.2">
      <c r="CE1326"/>
      <c r="CF1326"/>
      <c r="CG1326"/>
      <c r="CH1326"/>
      <c r="CI1326"/>
      <c r="CU1326" s="21">
        <v>1321</v>
      </c>
      <c r="CV1326" s="41">
        <v>4</v>
      </c>
      <c r="CW1326" s="41">
        <v>0.11332468572476186</v>
      </c>
      <c r="CX1326" s="41" t="e">
        <v>#N/A</v>
      </c>
      <c r="CY1326" s="41" t="e">
        <v>#N/A</v>
      </c>
      <c r="CZ1326" s="47" t="e">
        <v>#N/A</v>
      </c>
      <c r="DA1326">
        <v>0.11332468572476186</v>
      </c>
      <c r="DB1326" t="str">
        <v/>
      </c>
    </row>
    <row r="1327" spans="83:106" x14ac:dyDescent="0.2">
      <c r="CE1327"/>
      <c r="CF1327"/>
      <c r="CG1327"/>
      <c r="CH1327"/>
      <c r="CI1327"/>
      <c r="CU1327" s="21">
        <v>1322</v>
      </c>
      <c r="CV1327" s="41">
        <v>4</v>
      </c>
      <c r="CW1327" s="41">
        <v>0.11332468572476186</v>
      </c>
      <c r="CX1327" s="41" t="e">
        <v>#N/A</v>
      </c>
      <c r="CY1327" s="41" t="e">
        <v>#N/A</v>
      </c>
      <c r="CZ1327" s="47" t="e">
        <v>#N/A</v>
      </c>
      <c r="DA1327">
        <v>0.11332468572476186</v>
      </c>
      <c r="DB1327" t="str">
        <v/>
      </c>
    </row>
    <row r="1328" spans="83:106" x14ac:dyDescent="0.2">
      <c r="CE1328"/>
      <c r="CF1328"/>
      <c r="CG1328"/>
      <c r="CH1328"/>
      <c r="CI1328"/>
      <c r="CU1328" s="21">
        <v>1323</v>
      </c>
      <c r="CV1328" s="41">
        <v>4</v>
      </c>
      <c r="CW1328" s="41">
        <v>0.11332468572476186</v>
      </c>
      <c r="CX1328" s="41" t="e">
        <v>#N/A</v>
      </c>
      <c r="CY1328" s="41" t="e">
        <v>#N/A</v>
      </c>
      <c r="CZ1328" s="47" t="e">
        <v>#N/A</v>
      </c>
      <c r="DA1328">
        <v>0.11332468572476186</v>
      </c>
      <c r="DB1328" t="str">
        <v/>
      </c>
    </row>
    <row r="1329" spans="83:106" x14ac:dyDescent="0.2">
      <c r="CE1329"/>
      <c r="CF1329"/>
      <c r="CG1329"/>
      <c r="CH1329"/>
      <c r="CI1329"/>
      <c r="CU1329" s="21">
        <v>1324</v>
      </c>
      <c r="CV1329" s="41">
        <v>4</v>
      </c>
      <c r="CW1329" s="41">
        <v>0.11332468572476186</v>
      </c>
      <c r="CX1329" s="41" t="e">
        <v>#N/A</v>
      </c>
      <c r="CY1329" s="41" t="e">
        <v>#N/A</v>
      </c>
      <c r="CZ1329" s="47" t="e">
        <v>#N/A</v>
      </c>
      <c r="DA1329">
        <v>0.11332468572476186</v>
      </c>
      <c r="DB1329" t="str">
        <v/>
      </c>
    </row>
    <row r="1330" spans="83:106" x14ac:dyDescent="0.2">
      <c r="CE1330"/>
      <c r="CF1330"/>
      <c r="CG1330"/>
      <c r="CH1330"/>
      <c r="CI1330"/>
      <c r="CU1330" s="21">
        <v>1325</v>
      </c>
      <c r="CV1330" s="41">
        <v>4</v>
      </c>
      <c r="CW1330" s="41">
        <v>0.11332468572476186</v>
      </c>
      <c r="CX1330" s="41" t="e">
        <v>#N/A</v>
      </c>
      <c r="CY1330" s="41" t="e">
        <v>#N/A</v>
      </c>
      <c r="CZ1330" s="47" t="e">
        <v>#N/A</v>
      </c>
      <c r="DA1330">
        <v>0.11332468572476186</v>
      </c>
      <c r="DB1330" t="str">
        <v/>
      </c>
    </row>
    <row r="1331" spans="83:106" x14ac:dyDescent="0.2">
      <c r="CE1331"/>
      <c r="CF1331"/>
      <c r="CG1331"/>
      <c r="CH1331"/>
      <c r="CI1331"/>
      <c r="CU1331" s="21">
        <v>1326</v>
      </c>
      <c r="CV1331" s="41">
        <v>4</v>
      </c>
      <c r="CW1331" s="41">
        <v>0.11332468572476186</v>
      </c>
      <c r="CX1331" s="41" t="e">
        <v>#N/A</v>
      </c>
      <c r="CY1331" s="41" t="e">
        <v>#N/A</v>
      </c>
      <c r="CZ1331" s="47" t="e">
        <v>#N/A</v>
      </c>
      <c r="DA1331">
        <v>0.11332468572476186</v>
      </c>
      <c r="DB1331" t="str">
        <v/>
      </c>
    </row>
    <row r="1332" spans="83:106" x14ac:dyDescent="0.2">
      <c r="CE1332"/>
      <c r="CF1332"/>
      <c r="CG1332"/>
      <c r="CH1332"/>
      <c r="CI1332"/>
      <c r="CU1332" s="21">
        <v>1327</v>
      </c>
      <c r="CV1332" s="41">
        <v>4</v>
      </c>
      <c r="CW1332" s="41">
        <v>0.11332468572476186</v>
      </c>
      <c r="CX1332" s="41" t="e">
        <v>#N/A</v>
      </c>
      <c r="CY1332" s="41" t="e">
        <v>#N/A</v>
      </c>
      <c r="CZ1332" s="47" t="e">
        <v>#N/A</v>
      </c>
      <c r="DA1332">
        <v>0.11332468572476186</v>
      </c>
      <c r="DB1332" t="str">
        <v/>
      </c>
    </row>
    <row r="1333" spans="83:106" x14ac:dyDescent="0.2">
      <c r="CE1333"/>
      <c r="CF1333"/>
      <c r="CG1333"/>
      <c r="CH1333"/>
      <c r="CI1333"/>
      <c r="CU1333" s="21">
        <v>1328</v>
      </c>
      <c r="CV1333" s="41">
        <v>4</v>
      </c>
      <c r="CW1333" s="41">
        <v>0.11332468572476186</v>
      </c>
      <c r="CX1333" s="41" t="e">
        <v>#N/A</v>
      </c>
      <c r="CY1333" s="41" t="e">
        <v>#N/A</v>
      </c>
      <c r="CZ1333" s="47" t="e">
        <v>#N/A</v>
      </c>
      <c r="DA1333">
        <v>0.11332468572476186</v>
      </c>
      <c r="DB1333" t="str">
        <v/>
      </c>
    </row>
    <row r="1334" spans="83:106" x14ac:dyDescent="0.2">
      <c r="CE1334"/>
      <c r="CF1334"/>
      <c r="CG1334"/>
      <c r="CH1334"/>
      <c r="CI1334"/>
      <c r="CU1334" s="21">
        <v>1329</v>
      </c>
      <c r="CV1334" s="41">
        <v>4</v>
      </c>
      <c r="CW1334" s="41">
        <v>0.11332468572476186</v>
      </c>
      <c r="CX1334" s="41" t="e">
        <v>#N/A</v>
      </c>
      <c r="CY1334" s="41" t="e">
        <v>#N/A</v>
      </c>
      <c r="CZ1334" s="47" t="e">
        <v>#N/A</v>
      </c>
      <c r="DA1334">
        <v>0.11332468572476186</v>
      </c>
      <c r="DB1334" t="str">
        <v/>
      </c>
    </row>
    <row r="1335" spans="83:106" x14ac:dyDescent="0.2">
      <c r="CE1335"/>
      <c r="CF1335"/>
      <c r="CG1335"/>
      <c r="CH1335"/>
      <c r="CI1335"/>
      <c r="CU1335" s="21">
        <v>1330</v>
      </c>
      <c r="CV1335" s="41">
        <v>4</v>
      </c>
      <c r="CW1335" s="41">
        <v>0.11332468572476186</v>
      </c>
      <c r="CX1335" s="41" t="e">
        <v>#N/A</v>
      </c>
      <c r="CY1335" s="41" t="e">
        <v>#N/A</v>
      </c>
      <c r="CZ1335" s="47" t="e">
        <v>#N/A</v>
      </c>
      <c r="DA1335">
        <v>0.11332468572476186</v>
      </c>
      <c r="DB1335" t="str">
        <v/>
      </c>
    </row>
    <row r="1336" spans="83:106" x14ac:dyDescent="0.2">
      <c r="CE1336"/>
      <c r="CF1336"/>
      <c r="CG1336"/>
      <c r="CH1336"/>
      <c r="CI1336"/>
      <c r="CU1336" s="21">
        <v>1331</v>
      </c>
      <c r="CV1336" s="41">
        <v>4</v>
      </c>
      <c r="CW1336" s="41">
        <v>0.11332468572476186</v>
      </c>
      <c r="CX1336" s="41" t="e">
        <v>#N/A</v>
      </c>
      <c r="CY1336" s="41" t="e">
        <v>#N/A</v>
      </c>
      <c r="CZ1336" s="47" t="e">
        <v>#N/A</v>
      </c>
      <c r="DA1336">
        <v>0.11332468572476186</v>
      </c>
      <c r="DB1336" t="str">
        <v/>
      </c>
    </row>
    <row r="1337" spans="83:106" x14ac:dyDescent="0.2">
      <c r="CE1337"/>
      <c r="CF1337"/>
      <c r="CG1337"/>
      <c r="CH1337"/>
      <c r="CI1337"/>
      <c r="CU1337" s="21">
        <v>1332</v>
      </c>
      <c r="CV1337" s="41">
        <v>4</v>
      </c>
      <c r="CW1337" s="41">
        <v>0.11332468572476186</v>
      </c>
      <c r="CX1337" s="41" t="e">
        <v>#N/A</v>
      </c>
      <c r="CY1337" s="41" t="e">
        <v>#N/A</v>
      </c>
      <c r="CZ1337" s="47" t="e">
        <v>#N/A</v>
      </c>
      <c r="DA1337">
        <v>0.11332468572476186</v>
      </c>
      <c r="DB1337" t="str">
        <v/>
      </c>
    </row>
    <row r="1338" spans="83:106" x14ac:dyDescent="0.2">
      <c r="CE1338"/>
      <c r="CF1338"/>
      <c r="CG1338"/>
      <c r="CH1338"/>
      <c r="CI1338"/>
      <c r="CU1338" s="21">
        <v>1333</v>
      </c>
      <c r="CV1338" s="41">
        <v>4</v>
      </c>
      <c r="CW1338" s="41">
        <v>0.11332468572476186</v>
      </c>
      <c r="CX1338" s="41" t="e">
        <v>#N/A</v>
      </c>
      <c r="CY1338" s="41" t="e">
        <v>#N/A</v>
      </c>
      <c r="CZ1338" s="47" t="e">
        <v>#N/A</v>
      </c>
      <c r="DA1338">
        <v>0.11332468572476186</v>
      </c>
      <c r="DB1338" t="str">
        <v/>
      </c>
    </row>
    <row r="1339" spans="83:106" x14ac:dyDescent="0.2">
      <c r="CE1339"/>
      <c r="CF1339"/>
      <c r="CG1339"/>
      <c r="CH1339"/>
      <c r="CI1339"/>
      <c r="CU1339" s="21">
        <v>1334</v>
      </c>
      <c r="CV1339" s="41">
        <v>4</v>
      </c>
      <c r="CW1339" s="41">
        <v>0.11332468572476186</v>
      </c>
      <c r="CX1339" s="41" t="e">
        <v>#N/A</v>
      </c>
      <c r="CY1339" s="41" t="e">
        <v>#N/A</v>
      </c>
      <c r="CZ1339" s="47" t="e">
        <v>#N/A</v>
      </c>
      <c r="DA1339">
        <v>0.11332468572476186</v>
      </c>
      <c r="DB1339" t="str">
        <v/>
      </c>
    </row>
    <row r="1340" spans="83:106" x14ac:dyDescent="0.2">
      <c r="CE1340"/>
      <c r="CF1340"/>
      <c r="CG1340"/>
      <c r="CH1340"/>
      <c r="CI1340"/>
      <c r="CU1340" s="21">
        <v>1335</v>
      </c>
      <c r="CV1340" s="41">
        <v>4</v>
      </c>
      <c r="CW1340" s="41">
        <v>0.11332468572476186</v>
      </c>
      <c r="CX1340" s="41" t="e">
        <v>#N/A</v>
      </c>
      <c r="CY1340" s="41" t="e">
        <v>#N/A</v>
      </c>
      <c r="CZ1340" s="47" t="e">
        <v>#N/A</v>
      </c>
      <c r="DA1340">
        <v>0.11332468572476186</v>
      </c>
      <c r="DB1340" t="str">
        <v/>
      </c>
    </row>
    <row r="1341" spans="83:106" x14ac:dyDescent="0.2">
      <c r="CE1341"/>
      <c r="CF1341"/>
      <c r="CG1341"/>
      <c r="CH1341"/>
      <c r="CI1341"/>
      <c r="CU1341" s="21">
        <v>1336</v>
      </c>
      <c r="CV1341" s="41">
        <v>4</v>
      </c>
      <c r="CW1341" s="41">
        <v>0.11332468572476186</v>
      </c>
      <c r="CX1341" s="41" t="e">
        <v>#N/A</v>
      </c>
      <c r="CY1341" s="41" t="e">
        <v>#N/A</v>
      </c>
      <c r="CZ1341" s="47" t="e">
        <v>#N/A</v>
      </c>
      <c r="DA1341">
        <v>0.11332468572476186</v>
      </c>
      <c r="DB1341" t="str">
        <v/>
      </c>
    </row>
    <row r="1342" spans="83:106" x14ac:dyDescent="0.2">
      <c r="CE1342"/>
      <c r="CF1342"/>
      <c r="CG1342"/>
      <c r="CH1342"/>
      <c r="CI1342"/>
      <c r="CU1342" s="21">
        <v>1337</v>
      </c>
      <c r="CV1342" s="41">
        <v>4</v>
      </c>
      <c r="CW1342" s="41">
        <v>0.11332468572476186</v>
      </c>
      <c r="CX1342" s="41" t="e">
        <v>#N/A</v>
      </c>
      <c r="CY1342" s="41" t="e">
        <v>#N/A</v>
      </c>
      <c r="CZ1342" s="47" t="e">
        <v>#N/A</v>
      </c>
      <c r="DA1342">
        <v>0.11332468572476186</v>
      </c>
      <c r="DB1342" t="str">
        <v/>
      </c>
    </row>
    <row r="1343" spans="83:106" x14ac:dyDescent="0.2">
      <c r="CE1343"/>
      <c r="CF1343"/>
      <c r="CG1343"/>
      <c r="CH1343"/>
      <c r="CI1343"/>
      <c r="CU1343" s="21">
        <v>1338</v>
      </c>
      <c r="CV1343" s="41">
        <v>4</v>
      </c>
      <c r="CW1343" s="41">
        <v>0.11332468572476186</v>
      </c>
      <c r="CX1343" s="41" t="e">
        <v>#N/A</v>
      </c>
      <c r="CY1343" s="41" t="e">
        <v>#N/A</v>
      </c>
      <c r="CZ1343" s="47" t="e">
        <v>#N/A</v>
      </c>
      <c r="DA1343">
        <v>0.11332468572476186</v>
      </c>
      <c r="DB1343" t="str">
        <v/>
      </c>
    </row>
    <row r="1344" spans="83:106" x14ac:dyDescent="0.2">
      <c r="CE1344"/>
      <c r="CF1344"/>
      <c r="CG1344"/>
      <c r="CH1344"/>
      <c r="CI1344"/>
      <c r="CU1344" s="21">
        <v>1339</v>
      </c>
      <c r="CV1344" s="41">
        <v>4</v>
      </c>
      <c r="CW1344" s="41">
        <v>0.11332468572476186</v>
      </c>
      <c r="CX1344" s="41" t="e">
        <v>#N/A</v>
      </c>
      <c r="CY1344" s="41" t="e">
        <v>#N/A</v>
      </c>
      <c r="CZ1344" s="47" t="e">
        <v>#N/A</v>
      </c>
      <c r="DA1344">
        <v>0.11332468572476186</v>
      </c>
      <c r="DB1344" t="str">
        <v/>
      </c>
    </row>
    <row r="1345" spans="83:106" x14ac:dyDescent="0.2">
      <c r="CE1345"/>
      <c r="CF1345"/>
      <c r="CG1345"/>
      <c r="CH1345"/>
      <c r="CI1345"/>
      <c r="CU1345" s="21">
        <v>1340</v>
      </c>
      <c r="CV1345" s="41">
        <v>4</v>
      </c>
      <c r="CW1345" s="41">
        <v>0.11332468572476186</v>
      </c>
      <c r="CX1345" s="41" t="e">
        <v>#N/A</v>
      </c>
      <c r="CY1345" s="41" t="e">
        <v>#N/A</v>
      </c>
      <c r="CZ1345" s="47" t="e">
        <v>#N/A</v>
      </c>
      <c r="DA1345">
        <v>0.11332468572476186</v>
      </c>
      <c r="DB1345" t="str">
        <v/>
      </c>
    </row>
    <row r="1346" spans="83:106" x14ac:dyDescent="0.2">
      <c r="CE1346"/>
      <c r="CF1346"/>
      <c r="CG1346"/>
      <c r="CH1346"/>
      <c r="CI1346"/>
      <c r="CU1346" s="21">
        <v>1341</v>
      </c>
      <c r="CV1346" s="41">
        <v>4</v>
      </c>
      <c r="CW1346" s="41">
        <v>0.11332468572476186</v>
      </c>
      <c r="CX1346" s="41" t="e">
        <v>#N/A</v>
      </c>
      <c r="CY1346" s="41" t="e">
        <v>#N/A</v>
      </c>
      <c r="CZ1346" s="47" t="e">
        <v>#N/A</v>
      </c>
      <c r="DA1346">
        <v>0.11332468572476186</v>
      </c>
      <c r="DB1346" t="str">
        <v/>
      </c>
    </row>
    <row r="1347" spans="83:106" x14ac:dyDescent="0.2">
      <c r="CE1347"/>
      <c r="CF1347"/>
      <c r="CG1347"/>
      <c r="CH1347"/>
      <c r="CI1347"/>
      <c r="CU1347" s="21">
        <v>1342</v>
      </c>
      <c r="CV1347" s="41">
        <v>4</v>
      </c>
      <c r="CW1347" s="41">
        <v>0.11332468572476186</v>
      </c>
      <c r="CX1347" s="41" t="e">
        <v>#N/A</v>
      </c>
      <c r="CY1347" s="41" t="e">
        <v>#N/A</v>
      </c>
      <c r="CZ1347" s="47" t="e">
        <v>#N/A</v>
      </c>
      <c r="DA1347">
        <v>0.11332468572476186</v>
      </c>
      <c r="DB1347" t="str">
        <v/>
      </c>
    </row>
    <row r="1348" spans="83:106" x14ac:dyDescent="0.2">
      <c r="CE1348"/>
      <c r="CF1348"/>
      <c r="CG1348"/>
      <c r="CH1348"/>
      <c r="CI1348"/>
      <c r="CU1348" s="21">
        <v>1343</v>
      </c>
      <c r="CV1348" s="41">
        <v>4</v>
      </c>
      <c r="CW1348" s="41">
        <v>0.11332468572476186</v>
      </c>
      <c r="CX1348" s="41" t="e">
        <v>#N/A</v>
      </c>
      <c r="CY1348" s="41" t="e">
        <v>#N/A</v>
      </c>
      <c r="CZ1348" s="47" t="e">
        <v>#N/A</v>
      </c>
      <c r="DA1348">
        <v>0.11332468572476186</v>
      </c>
      <c r="DB1348" t="str">
        <v/>
      </c>
    </row>
    <row r="1349" spans="83:106" x14ac:dyDescent="0.2">
      <c r="CE1349"/>
      <c r="CF1349"/>
      <c r="CG1349"/>
      <c r="CH1349"/>
      <c r="CI1349"/>
      <c r="CU1349" s="21">
        <v>1344</v>
      </c>
      <c r="CV1349" s="41">
        <v>4</v>
      </c>
      <c r="CW1349" s="41">
        <v>0.11332468572476186</v>
      </c>
      <c r="CX1349" s="41" t="e">
        <v>#N/A</v>
      </c>
      <c r="CY1349" s="41" t="e">
        <v>#N/A</v>
      </c>
      <c r="CZ1349" s="47" t="e">
        <v>#N/A</v>
      </c>
      <c r="DA1349">
        <v>0.11332468572476186</v>
      </c>
      <c r="DB1349" t="str">
        <v/>
      </c>
    </row>
    <row r="1350" spans="83:106" x14ac:dyDescent="0.2">
      <c r="CE1350"/>
      <c r="CF1350"/>
      <c r="CG1350"/>
      <c r="CH1350"/>
      <c r="CI1350"/>
      <c r="CU1350" s="21">
        <v>1345</v>
      </c>
      <c r="CV1350" s="41">
        <v>4</v>
      </c>
      <c r="CW1350" s="41">
        <v>0.11332468572476186</v>
      </c>
      <c r="CX1350" s="41" t="e">
        <v>#N/A</v>
      </c>
      <c r="CY1350" s="41" t="e">
        <v>#N/A</v>
      </c>
      <c r="CZ1350" s="47" t="e">
        <v>#N/A</v>
      </c>
      <c r="DA1350">
        <v>0.11332468572476186</v>
      </c>
      <c r="DB1350" t="str">
        <v/>
      </c>
    </row>
    <row r="1351" spans="83:106" x14ac:dyDescent="0.2">
      <c r="CE1351"/>
      <c r="CF1351"/>
      <c r="CG1351"/>
      <c r="CH1351"/>
      <c r="CI1351"/>
      <c r="CU1351" s="21">
        <v>1346</v>
      </c>
      <c r="CV1351" s="41">
        <v>4</v>
      </c>
      <c r="CW1351" s="41">
        <v>0.11332468572476186</v>
      </c>
      <c r="CX1351" s="41" t="e">
        <v>#N/A</v>
      </c>
      <c r="CY1351" s="41" t="e">
        <v>#N/A</v>
      </c>
      <c r="CZ1351" s="47" t="e">
        <v>#N/A</v>
      </c>
      <c r="DA1351">
        <v>0.11332468572476186</v>
      </c>
      <c r="DB1351" t="str">
        <v/>
      </c>
    </row>
    <row r="1352" spans="83:106" x14ac:dyDescent="0.2">
      <c r="CE1352"/>
      <c r="CF1352"/>
      <c r="CG1352"/>
      <c r="CH1352"/>
      <c r="CI1352"/>
      <c r="CU1352" s="21">
        <v>1347</v>
      </c>
      <c r="CV1352" s="41">
        <v>4</v>
      </c>
      <c r="CW1352" s="41">
        <v>0.11332468572476186</v>
      </c>
      <c r="CX1352" s="41" t="e">
        <v>#N/A</v>
      </c>
      <c r="CY1352" s="41" t="e">
        <v>#N/A</v>
      </c>
      <c r="CZ1352" s="47" t="e">
        <v>#N/A</v>
      </c>
      <c r="DA1352">
        <v>0.11332468572476186</v>
      </c>
      <c r="DB1352" t="str">
        <v/>
      </c>
    </row>
    <row r="1353" spans="83:106" x14ac:dyDescent="0.2">
      <c r="CE1353"/>
      <c r="CF1353"/>
      <c r="CG1353"/>
      <c r="CH1353"/>
      <c r="CI1353"/>
      <c r="CU1353" s="21">
        <v>1348</v>
      </c>
      <c r="CV1353" s="41">
        <v>4</v>
      </c>
      <c r="CW1353" s="41">
        <v>0.11332468572476186</v>
      </c>
      <c r="CX1353" s="41" t="e">
        <v>#N/A</v>
      </c>
      <c r="CY1353" s="41" t="e">
        <v>#N/A</v>
      </c>
      <c r="CZ1353" s="47" t="e">
        <v>#N/A</v>
      </c>
      <c r="DA1353">
        <v>0.11332468572476186</v>
      </c>
      <c r="DB1353" t="str">
        <v/>
      </c>
    </row>
    <row r="1354" spans="83:106" x14ac:dyDescent="0.2">
      <c r="CE1354"/>
      <c r="CF1354"/>
      <c r="CG1354"/>
      <c r="CH1354"/>
      <c r="CI1354"/>
      <c r="CU1354" s="21">
        <v>1349</v>
      </c>
      <c r="CV1354" s="41">
        <v>4</v>
      </c>
      <c r="CW1354" s="41">
        <v>0.11332468572476186</v>
      </c>
      <c r="CX1354" s="41" t="e">
        <v>#N/A</v>
      </c>
      <c r="CY1354" s="41" t="e">
        <v>#N/A</v>
      </c>
      <c r="CZ1354" s="47" t="e">
        <v>#N/A</v>
      </c>
      <c r="DA1354">
        <v>0.11332468572476186</v>
      </c>
      <c r="DB1354" t="str">
        <v/>
      </c>
    </row>
    <row r="1355" spans="83:106" x14ac:dyDescent="0.2">
      <c r="CE1355"/>
      <c r="CF1355"/>
      <c r="CG1355"/>
      <c r="CH1355"/>
      <c r="CI1355"/>
      <c r="CU1355" s="21">
        <v>1350</v>
      </c>
      <c r="CV1355" s="41">
        <v>4</v>
      </c>
      <c r="CW1355" s="41">
        <v>0.11332468572476186</v>
      </c>
      <c r="CX1355" s="41" t="e">
        <v>#N/A</v>
      </c>
      <c r="CY1355" s="41" t="e">
        <v>#N/A</v>
      </c>
      <c r="CZ1355" s="47" t="e">
        <v>#N/A</v>
      </c>
      <c r="DA1355">
        <v>0.11332468572476186</v>
      </c>
      <c r="DB1355" t="str">
        <v/>
      </c>
    </row>
    <row r="1356" spans="83:106" x14ac:dyDescent="0.2">
      <c r="CE1356"/>
      <c r="CF1356"/>
      <c r="CG1356"/>
      <c r="CH1356"/>
      <c r="CI1356"/>
      <c r="CU1356" s="21">
        <v>1351</v>
      </c>
      <c r="CV1356" s="41">
        <v>4</v>
      </c>
      <c r="CW1356" s="41">
        <v>0.11332468572476186</v>
      </c>
      <c r="CX1356" s="41" t="e">
        <v>#N/A</v>
      </c>
      <c r="CY1356" s="41" t="e">
        <v>#N/A</v>
      </c>
      <c r="CZ1356" s="47" t="e">
        <v>#N/A</v>
      </c>
      <c r="DA1356">
        <v>0.11332468572476186</v>
      </c>
      <c r="DB1356" t="str">
        <v/>
      </c>
    </row>
    <row r="1357" spans="83:106" x14ac:dyDescent="0.2">
      <c r="CE1357"/>
      <c r="CF1357"/>
      <c r="CG1357"/>
      <c r="CH1357"/>
      <c r="CI1357"/>
      <c r="CU1357" s="21">
        <v>1352</v>
      </c>
      <c r="CV1357" s="41">
        <v>4</v>
      </c>
      <c r="CW1357" s="41">
        <v>0.11332468572476186</v>
      </c>
      <c r="CX1357" s="41" t="e">
        <v>#N/A</v>
      </c>
      <c r="CY1357" s="41" t="e">
        <v>#N/A</v>
      </c>
      <c r="CZ1357" s="47" t="e">
        <v>#N/A</v>
      </c>
      <c r="DA1357">
        <v>0.11332468572476186</v>
      </c>
      <c r="DB1357" t="str">
        <v/>
      </c>
    </row>
    <row r="1358" spans="83:106" x14ac:dyDescent="0.2">
      <c r="CE1358"/>
      <c r="CF1358"/>
      <c r="CG1358"/>
      <c r="CH1358"/>
      <c r="CI1358"/>
      <c r="CU1358" s="21">
        <v>1353</v>
      </c>
      <c r="CV1358" s="41">
        <v>4</v>
      </c>
      <c r="CW1358" s="41">
        <v>0.11332468572476186</v>
      </c>
      <c r="CX1358" s="41" t="e">
        <v>#N/A</v>
      </c>
      <c r="CY1358" s="41" t="e">
        <v>#N/A</v>
      </c>
      <c r="CZ1358" s="47" t="e">
        <v>#N/A</v>
      </c>
      <c r="DA1358">
        <v>0.11332468572476186</v>
      </c>
      <c r="DB1358" t="str">
        <v/>
      </c>
    </row>
    <row r="1359" spans="83:106" x14ac:dyDescent="0.2">
      <c r="CE1359"/>
      <c r="CF1359"/>
      <c r="CG1359"/>
      <c r="CH1359"/>
      <c r="CI1359"/>
      <c r="CU1359" s="21">
        <v>1354</v>
      </c>
      <c r="CV1359" s="41">
        <v>4</v>
      </c>
      <c r="CW1359" s="41">
        <v>0.11332468572476186</v>
      </c>
      <c r="CX1359" s="41" t="e">
        <v>#N/A</v>
      </c>
      <c r="CY1359" s="41" t="e">
        <v>#N/A</v>
      </c>
      <c r="CZ1359" s="47" t="e">
        <v>#N/A</v>
      </c>
      <c r="DA1359">
        <v>0.11332468572476186</v>
      </c>
      <c r="DB1359" t="str">
        <v/>
      </c>
    </row>
    <row r="1360" spans="83:106" x14ac:dyDescent="0.2">
      <c r="CE1360"/>
      <c r="CF1360"/>
      <c r="CG1360"/>
      <c r="CH1360"/>
      <c r="CI1360"/>
      <c r="CU1360" s="21">
        <v>1355</v>
      </c>
      <c r="CV1360" s="41">
        <v>4</v>
      </c>
      <c r="CW1360" s="41">
        <v>0.11332468572476186</v>
      </c>
      <c r="CX1360" s="41" t="e">
        <v>#N/A</v>
      </c>
      <c r="CY1360" s="41" t="e">
        <v>#N/A</v>
      </c>
      <c r="CZ1360" s="47" t="e">
        <v>#N/A</v>
      </c>
      <c r="DA1360">
        <v>0.11332468572476186</v>
      </c>
      <c r="DB1360" t="str">
        <v/>
      </c>
    </row>
    <row r="1361" spans="83:106" x14ac:dyDescent="0.2">
      <c r="CE1361"/>
      <c r="CF1361"/>
      <c r="CG1361"/>
      <c r="CH1361"/>
      <c r="CI1361"/>
      <c r="CU1361" s="21">
        <v>1356</v>
      </c>
      <c r="CV1361" s="41">
        <v>4</v>
      </c>
      <c r="CW1361" s="41">
        <v>0.11332468572476186</v>
      </c>
      <c r="CX1361" s="41" t="e">
        <v>#N/A</v>
      </c>
      <c r="CY1361" s="41" t="e">
        <v>#N/A</v>
      </c>
      <c r="CZ1361" s="47" t="e">
        <v>#N/A</v>
      </c>
      <c r="DA1361">
        <v>0.11332468572476186</v>
      </c>
      <c r="DB1361" t="str">
        <v/>
      </c>
    </row>
    <row r="1362" spans="83:106" x14ac:dyDescent="0.2">
      <c r="CE1362"/>
      <c r="CF1362"/>
      <c r="CG1362"/>
      <c r="CH1362"/>
      <c r="CI1362"/>
      <c r="CU1362" s="21">
        <v>1357</v>
      </c>
      <c r="CV1362" s="41">
        <v>4</v>
      </c>
      <c r="CW1362" s="41">
        <v>0.11332468572476186</v>
      </c>
      <c r="CX1362" s="41" t="e">
        <v>#N/A</v>
      </c>
      <c r="CY1362" s="41" t="e">
        <v>#N/A</v>
      </c>
      <c r="CZ1362" s="47" t="e">
        <v>#N/A</v>
      </c>
      <c r="DA1362">
        <v>0.11332468572476186</v>
      </c>
      <c r="DB1362" t="str">
        <v/>
      </c>
    </row>
    <row r="1363" spans="83:106" x14ac:dyDescent="0.2">
      <c r="CE1363"/>
      <c r="CF1363"/>
      <c r="CG1363"/>
      <c r="CH1363"/>
      <c r="CI1363"/>
      <c r="CU1363" s="21">
        <v>1358</v>
      </c>
      <c r="CV1363" s="41">
        <v>4</v>
      </c>
      <c r="CW1363" s="41">
        <v>0.11332468572476186</v>
      </c>
      <c r="CX1363" s="41" t="e">
        <v>#N/A</v>
      </c>
      <c r="CY1363" s="41" t="e">
        <v>#N/A</v>
      </c>
      <c r="CZ1363" s="47" t="e">
        <v>#N/A</v>
      </c>
      <c r="DA1363">
        <v>0.11332468572476186</v>
      </c>
      <c r="DB1363" t="str">
        <v/>
      </c>
    </row>
    <row r="1364" spans="83:106" x14ac:dyDescent="0.2">
      <c r="CE1364"/>
      <c r="CF1364"/>
      <c r="CG1364"/>
      <c r="CH1364"/>
      <c r="CI1364"/>
      <c r="CU1364" s="21">
        <v>1359</v>
      </c>
      <c r="CV1364" s="41">
        <v>4</v>
      </c>
      <c r="CW1364" s="41">
        <v>0.11332468572476186</v>
      </c>
      <c r="CX1364" s="41" t="e">
        <v>#N/A</v>
      </c>
      <c r="CY1364" s="41" t="e">
        <v>#N/A</v>
      </c>
      <c r="CZ1364" s="47" t="e">
        <v>#N/A</v>
      </c>
      <c r="DA1364">
        <v>0.11332468572476186</v>
      </c>
      <c r="DB1364" t="str">
        <v/>
      </c>
    </row>
    <row r="1365" spans="83:106" x14ac:dyDescent="0.2">
      <c r="CE1365"/>
      <c r="CF1365"/>
      <c r="CG1365"/>
      <c r="CH1365"/>
      <c r="CI1365"/>
      <c r="CU1365" s="21">
        <v>1360</v>
      </c>
      <c r="CV1365" s="41">
        <v>4</v>
      </c>
      <c r="CW1365" s="41">
        <v>0.11332468572476186</v>
      </c>
      <c r="CX1365" s="41" t="e">
        <v>#N/A</v>
      </c>
      <c r="CY1365" s="41" t="e">
        <v>#N/A</v>
      </c>
      <c r="CZ1365" s="47" t="e">
        <v>#N/A</v>
      </c>
      <c r="DA1365">
        <v>0.11332468572476186</v>
      </c>
      <c r="DB1365" t="str">
        <v/>
      </c>
    </row>
    <row r="1366" spans="83:106" x14ac:dyDescent="0.2">
      <c r="CE1366"/>
      <c r="CF1366"/>
      <c r="CG1366"/>
      <c r="CH1366"/>
      <c r="CI1366"/>
      <c r="CU1366" s="21">
        <v>1361</v>
      </c>
      <c r="CV1366" s="41">
        <v>4</v>
      </c>
      <c r="CW1366" s="41">
        <v>0.11332468572476186</v>
      </c>
      <c r="CX1366" s="41" t="e">
        <v>#N/A</v>
      </c>
      <c r="CY1366" s="41" t="e">
        <v>#N/A</v>
      </c>
      <c r="CZ1366" s="47" t="e">
        <v>#N/A</v>
      </c>
      <c r="DA1366">
        <v>0.11332468572476186</v>
      </c>
      <c r="DB1366" t="str">
        <v/>
      </c>
    </row>
    <row r="1367" spans="83:106" x14ac:dyDescent="0.2">
      <c r="CE1367"/>
      <c r="CF1367"/>
      <c r="CG1367"/>
      <c r="CH1367"/>
      <c r="CI1367"/>
      <c r="CU1367" s="21">
        <v>1362</v>
      </c>
      <c r="CV1367" s="41">
        <v>4</v>
      </c>
      <c r="CW1367" s="41">
        <v>0.11332468572476186</v>
      </c>
      <c r="CX1367" s="41" t="e">
        <v>#N/A</v>
      </c>
      <c r="CY1367" s="41" t="e">
        <v>#N/A</v>
      </c>
      <c r="CZ1367" s="47" t="e">
        <v>#N/A</v>
      </c>
      <c r="DA1367">
        <v>0.11332468572476186</v>
      </c>
      <c r="DB1367" t="str">
        <v/>
      </c>
    </row>
    <row r="1368" spans="83:106" x14ac:dyDescent="0.2">
      <c r="CE1368"/>
      <c r="CF1368"/>
      <c r="CG1368"/>
      <c r="CH1368"/>
      <c r="CI1368"/>
      <c r="CU1368" s="21">
        <v>1363</v>
      </c>
      <c r="CV1368" s="41">
        <v>4</v>
      </c>
      <c r="CW1368" s="41">
        <v>0.11332468572476186</v>
      </c>
      <c r="CX1368" s="41" t="e">
        <v>#N/A</v>
      </c>
      <c r="CY1368" s="41" t="e">
        <v>#N/A</v>
      </c>
      <c r="CZ1368" s="47" t="e">
        <v>#N/A</v>
      </c>
      <c r="DA1368">
        <v>0.11332468572476186</v>
      </c>
      <c r="DB1368" t="str">
        <v/>
      </c>
    </row>
    <row r="1369" spans="83:106" x14ac:dyDescent="0.2">
      <c r="CE1369"/>
      <c r="CF1369"/>
      <c r="CG1369"/>
      <c r="CH1369"/>
      <c r="CI1369"/>
      <c r="CU1369" s="21">
        <v>1364</v>
      </c>
      <c r="CV1369" s="41">
        <v>4</v>
      </c>
      <c r="CW1369" s="41">
        <v>0.11332468572476186</v>
      </c>
      <c r="CX1369" s="41" t="e">
        <v>#N/A</v>
      </c>
      <c r="CY1369" s="41" t="e">
        <v>#N/A</v>
      </c>
      <c r="CZ1369" s="47" t="e">
        <v>#N/A</v>
      </c>
      <c r="DA1369">
        <v>0.11332468572476186</v>
      </c>
      <c r="DB1369" t="str">
        <v/>
      </c>
    </row>
    <row r="1370" spans="83:106" x14ac:dyDescent="0.2">
      <c r="CE1370"/>
      <c r="CF1370"/>
      <c r="CG1370"/>
      <c r="CH1370"/>
      <c r="CI1370"/>
      <c r="CU1370" s="21">
        <v>1365</v>
      </c>
      <c r="CV1370" s="41">
        <v>4</v>
      </c>
      <c r="CW1370" s="41">
        <v>0.11332468572476186</v>
      </c>
      <c r="CX1370" s="41" t="e">
        <v>#N/A</v>
      </c>
      <c r="CY1370" s="41" t="e">
        <v>#N/A</v>
      </c>
      <c r="CZ1370" s="47" t="e">
        <v>#N/A</v>
      </c>
      <c r="DA1370">
        <v>0.11332468572476186</v>
      </c>
      <c r="DB1370" t="str">
        <v/>
      </c>
    </row>
    <row r="1371" spans="83:106" x14ac:dyDescent="0.2">
      <c r="CE1371"/>
      <c r="CF1371"/>
      <c r="CG1371"/>
      <c r="CH1371"/>
      <c r="CI1371"/>
      <c r="CU1371" s="21">
        <v>1366</v>
      </c>
      <c r="CV1371" s="41">
        <v>4</v>
      </c>
      <c r="CW1371" s="41">
        <v>0.11332468572476186</v>
      </c>
      <c r="CX1371" s="41" t="e">
        <v>#N/A</v>
      </c>
      <c r="CY1371" s="41" t="e">
        <v>#N/A</v>
      </c>
      <c r="CZ1371" s="47" t="e">
        <v>#N/A</v>
      </c>
      <c r="DA1371">
        <v>0.11332468572476186</v>
      </c>
      <c r="DB1371" t="str">
        <v/>
      </c>
    </row>
    <row r="1372" spans="83:106" x14ac:dyDescent="0.2">
      <c r="CE1372"/>
      <c r="CF1372"/>
      <c r="CG1372"/>
      <c r="CH1372"/>
      <c r="CI1372"/>
      <c r="CU1372" s="21">
        <v>1367</v>
      </c>
      <c r="CV1372" s="41">
        <v>4</v>
      </c>
      <c r="CW1372" s="41">
        <v>0.11332468572476186</v>
      </c>
      <c r="CX1372" s="41" t="e">
        <v>#N/A</v>
      </c>
      <c r="CY1372" s="41" t="e">
        <v>#N/A</v>
      </c>
      <c r="CZ1372" s="47" t="e">
        <v>#N/A</v>
      </c>
      <c r="DA1372">
        <v>0.11332468572476186</v>
      </c>
      <c r="DB1372" t="str">
        <v/>
      </c>
    </row>
    <row r="1373" spans="83:106" x14ac:dyDescent="0.2">
      <c r="CE1373"/>
      <c r="CF1373"/>
      <c r="CG1373"/>
      <c r="CH1373"/>
      <c r="CI1373"/>
      <c r="CU1373" s="21">
        <v>1368</v>
      </c>
      <c r="CV1373" s="41">
        <v>4</v>
      </c>
      <c r="CW1373" s="41">
        <v>0.11332468572476186</v>
      </c>
      <c r="CX1373" s="41" t="e">
        <v>#N/A</v>
      </c>
      <c r="CY1373" s="41" t="e">
        <v>#N/A</v>
      </c>
      <c r="CZ1373" s="47" t="e">
        <v>#N/A</v>
      </c>
      <c r="DA1373">
        <v>0.11332468572476186</v>
      </c>
      <c r="DB1373" t="str">
        <v/>
      </c>
    </row>
    <row r="1374" spans="83:106" x14ac:dyDescent="0.2">
      <c r="CE1374"/>
      <c r="CF1374"/>
      <c r="CG1374"/>
      <c r="CH1374"/>
      <c r="CI1374"/>
      <c r="CU1374" s="21">
        <v>1369</v>
      </c>
      <c r="CV1374" s="41">
        <v>4</v>
      </c>
      <c r="CW1374" s="41">
        <v>0.11332468572476186</v>
      </c>
      <c r="CX1374" s="41" t="e">
        <v>#N/A</v>
      </c>
      <c r="CY1374" s="41" t="e">
        <v>#N/A</v>
      </c>
      <c r="CZ1374" s="47" t="e">
        <v>#N/A</v>
      </c>
      <c r="DA1374">
        <v>0.11332468572476186</v>
      </c>
      <c r="DB1374" t="str">
        <v/>
      </c>
    </row>
    <row r="1375" spans="83:106" x14ac:dyDescent="0.2">
      <c r="CE1375"/>
      <c r="CF1375"/>
      <c r="CG1375"/>
      <c r="CH1375"/>
      <c r="CI1375"/>
      <c r="CU1375" s="21">
        <v>1370</v>
      </c>
      <c r="CV1375" s="41">
        <v>4</v>
      </c>
      <c r="CW1375" s="41">
        <v>0.11332468572476186</v>
      </c>
      <c r="CX1375" s="41" t="e">
        <v>#N/A</v>
      </c>
      <c r="CY1375" s="41" t="e">
        <v>#N/A</v>
      </c>
      <c r="CZ1375" s="47" t="e">
        <v>#N/A</v>
      </c>
      <c r="DA1375">
        <v>0.11332468572476186</v>
      </c>
      <c r="DB1375" t="str">
        <v/>
      </c>
    </row>
    <row r="1376" spans="83:106" x14ac:dyDescent="0.2">
      <c r="CE1376"/>
      <c r="CF1376"/>
      <c r="CG1376"/>
      <c r="CH1376"/>
      <c r="CI1376"/>
      <c r="CU1376" s="21">
        <v>1371</v>
      </c>
      <c r="CV1376" s="41">
        <v>4</v>
      </c>
      <c r="CW1376" s="41">
        <v>0.11332468572476186</v>
      </c>
      <c r="CX1376" s="41" t="e">
        <v>#N/A</v>
      </c>
      <c r="CY1376" s="41" t="e">
        <v>#N/A</v>
      </c>
      <c r="CZ1376" s="47" t="e">
        <v>#N/A</v>
      </c>
      <c r="DA1376">
        <v>0.11332468572476186</v>
      </c>
      <c r="DB1376" t="str">
        <v/>
      </c>
    </row>
    <row r="1377" spans="83:106" x14ac:dyDescent="0.2">
      <c r="CE1377"/>
      <c r="CF1377"/>
      <c r="CG1377"/>
      <c r="CH1377"/>
      <c r="CI1377"/>
      <c r="CU1377" s="21">
        <v>1372</v>
      </c>
      <c r="CV1377" s="41">
        <v>4</v>
      </c>
      <c r="CW1377" s="41">
        <v>0.11332468572476186</v>
      </c>
      <c r="CX1377" s="41" t="e">
        <v>#N/A</v>
      </c>
      <c r="CY1377" s="41" t="e">
        <v>#N/A</v>
      </c>
      <c r="CZ1377" s="47" t="e">
        <v>#N/A</v>
      </c>
      <c r="DA1377">
        <v>0.11332468572476186</v>
      </c>
      <c r="DB1377" t="str">
        <v/>
      </c>
    </row>
    <row r="1378" spans="83:106" x14ac:dyDescent="0.2">
      <c r="CE1378"/>
      <c r="CF1378"/>
      <c r="CG1378"/>
      <c r="CH1378"/>
      <c r="CI1378"/>
      <c r="CU1378" s="21">
        <v>1373</v>
      </c>
      <c r="CV1378" s="41">
        <v>4</v>
      </c>
      <c r="CW1378" s="41">
        <v>0.11332468572476186</v>
      </c>
      <c r="CX1378" s="41" t="e">
        <v>#N/A</v>
      </c>
      <c r="CY1378" s="41" t="e">
        <v>#N/A</v>
      </c>
      <c r="CZ1378" s="47" t="e">
        <v>#N/A</v>
      </c>
      <c r="DA1378">
        <v>0.11332468572476186</v>
      </c>
      <c r="DB1378" t="str">
        <v/>
      </c>
    </row>
    <row r="1379" spans="83:106" x14ac:dyDescent="0.2">
      <c r="CE1379"/>
      <c r="CF1379"/>
      <c r="CG1379"/>
      <c r="CH1379"/>
      <c r="CI1379"/>
      <c r="CU1379" s="21">
        <v>1374</v>
      </c>
      <c r="CV1379" s="41">
        <v>4</v>
      </c>
      <c r="CW1379" s="41">
        <v>0.11332468572476186</v>
      </c>
      <c r="CX1379" s="41" t="e">
        <v>#N/A</v>
      </c>
      <c r="CY1379" s="41" t="e">
        <v>#N/A</v>
      </c>
      <c r="CZ1379" s="47" t="e">
        <v>#N/A</v>
      </c>
      <c r="DA1379">
        <v>0.11332468572476186</v>
      </c>
      <c r="DB1379" t="str">
        <v/>
      </c>
    </row>
    <row r="1380" spans="83:106" x14ac:dyDescent="0.2">
      <c r="CE1380"/>
      <c r="CF1380"/>
      <c r="CG1380"/>
      <c r="CH1380"/>
      <c r="CI1380"/>
      <c r="CU1380" s="21">
        <v>1375</v>
      </c>
      <c r="CV1380" s="41">
        <v>4</v>
      </c>
      <c r="CW1380" s="41">
        <v>0.11332468572476186</v>
      </c>
      <c r="CX1380" s="41" t="e">
        <v>#N/A</v>
      </c>
      <c r="CY1380" s="41" t="e">
        <v>#N/A</v>
      </c>
      <c r="CZ1380" s="47" t="e">
        <v>#N/A</v>
      </c>
      <c r="DA1380">
        <v>0.11332468572476186</v>
      </c>
      <c r="DB1380" t="str">
        <v/>
      </c>
    </row>
    <row r="1381" spans="83:106" x14ac:dyDescent="0.2">
      <c r="CE1381"/>
      <c r="CF1381"/>
      <c r="CG1381"/>
      <c r="CH1381"/>
      <c r="CI1381"/>
      <c r="CU1381" s="21">
        <v>1376</v>
      </c>
      <c r="CV1381" s="41">
        <v>4</v>
      </c>
      <c r="CW1381" s="41">
        <v>0.11332468572476186</v>
      </c>
      <c r="CX1381" s="41" t="e">
        <v>#N/A</v>
      </c>
      <c r="CY1381" s="41" t="e">
        <v>#N/A</v>
      </c>
      <c r="CZ1381" s="47" t="e">
        <v>#N/A</v>
      </c>
      <c r="DA1381">
        <v>0.11332468572476186</v>
      </c>
      <c r="DB1381" t="str">
        <v/>
      </c>
    </row>
    <row r="1382" spans="83:106" x14ac:dyDescent="0.2">
      <c r="CE1382"/>
      <c r="CF1382"/>
      <c r="CG1382"/>
      <c r="CH1382"/>
      <c r="CI1382"/>
      <c r="CU1382" s="21">
        <v>1377</v>
      </c>
      <c r="CV1382" s="41">
        <v>4</v>
      </c>
      <c r="CW1382" s="41">
        <v>0.11332468572476186</v>
      </c>
      <c r="CX1382" s="41" t="e">
        <v>#N/A</v>
      </c>
      <c r="CY1382" s="41" t="e">
        <v>#N/A</v>
      </c>
      <c r="CZ1382" s="47" t="e">
        <v>#N/A</v>
      </c>
      <c r="DA1382">
        <v>0.11332468572476186</v>
      </c>
      <c r="DB1382" t="str">
        <v/>
      </c>
    </row>
    <row r="1383" spans="83:106" x14ac:dyDescent="0.2">
      <c r="CE1383"/>
      <c r="CF1383"/>
      <c r="CG1383"/>
      <c r="CH1383"/>
      <c r="CI1383"/>
      <c r="CU1383" s="21">
        <v>1378</v>
      </c>
      <c r="CV1383" s="41">
        <v>4</v>
      </c>
      <c r="CW1383" s="41">
        <v>0.11332468572476186</v>
      </c>
      <c r="CX1383" s="41" t="e">
        <v>#N/A</v>
      </c>
      <c r="CY1383" s="41" t="e">
        <v>#N/A</v>
      </c>
      <c r="CZ1383" s="47" t="e">
        <v>#N/A</v>
      </c>
      <c r="DA1383">
        <v>0.11332468572476186</v>
      </c>
      <c r="DB1383" t="str">
        <v/>
      </c>
    </row>
    <row r="1384" spans="83:106" x14ac:dyDescent="0.2">
      <c r="CE1384"/>
      <c r="CF1384"/>
      <c r="CG1384"/>
      <c r="CH1384"/>
      <c r="CI1384"/>
      <c r="CU1384" s="21">
        <v>1379</v>
      </c>
      <c r="CV1384" s="41">
        <v>4</v>
      </c>
      <c r="CW1384" s="41">
        <v>0.11332468572476186</v>
      </c>
      <c r="CX1384" s="41" t="e">
        <v>#N/A</v>
      </c>
      <c r="CY1384" s="41" t="e">
        <v>#N/A</v>
      </c>
      <c r="CZ1384" s="47" t="e">
        <v>#N/A</v>
      </c>
      <c r="DA1384">
        <v>0.11332468572476186</v>
      </c>
      <c r="DB1384" t="str">
        <v/>
      </c>
    </row>
    <row r="1385" spans="83:106" x14ac:dyDescent="0.2">
      <c r="CE1385"/>
      <c r="CF1385"/>
      <c r="CG1385"/>
      <c r="CH1385"/>
      <c r="CI1385"/>
      <c r="CU1385" s="21">
        <v>1380</v>
      </c>
      <c r="CV1385" s="41">
        <v>4</v>
      </c>
      <c r="CW1385" s="41">
        <v>0.11332468572476186</v>
      </c>
      <c r="CX1385" s="41" t="e">
        <v>#N/A</v>
      </c>
      <c r="CY1385" s="41" t="e">
        <v>#N/A</v>
      </c>
      <c r="CZ1385" s="47" t="e">
        <v>#N/A</v>
      </c>
      <c r="DA1385">
        <v>0.11332468572476186</v>
      </c>
      <c r="DB1385" t="str">
        <v/>
      </c>
    </row>
    <row r="1386" spans="83:106" x14ac:dyDescent="0.2">
      <c r="CE1386"/>
      <c r="CF1386"/>
      <c r="CG1386"/>
      <c r="CH1386"/>
      <c r="CI1386"/>
      <c r="CU1386" s="21">
        <v>1381</v>
      </c>
      <c r="CV1386" s="41">
        <v>4</v>
      </c>
      <c r="CW1386" s="41">
        <v>0.11332468572476186</v>
      </c>
      <c r="CX1386" s="41" t="e">
        <v>#N/A</v>
      </c>
      <c r="CY1386" s="41" t="e">
        <v>#N/A</v>
      </c>
      <c r="CZ1386" s="47" t="e">
        <v>#N/A</v>
      </c>
      <c r="DA1386">
        <v>0.11332468572476186</v>
      </c>
      <c r="DB1386" t="str">
        <v/>
      </c>
    </row>
    <row r="1387" spans="83:106" x14ac:dyDescent="0.2">
      <c r="CE1387"/>
      <c r="CF1387"/>
      <c r="CG1387"/>
      <c r="CH1387"/>
      <c r="CI1387"/>
      <c r="CU1387" s="21">
        <v>1382</v>
      </c>
      <c r="CV1387" s="41">
        <v>4</v>
      </c>
      <c r="CW1387" s="41">
        <v>0.11332468572476186</v>
      </c>
      <c r="CX1387" s="41" t="e">
        <v>#N/A</v>
      </c>
      <c r="CY1387" s="41" t="e">
        <v>#N/A</v>
      </c>
      <c r="CZ1387" s="47" t="e">
        <v>#N/A</v>
      </c>
      <c r="DA1387">
        <v>0.11332468572476186</v>
      </c>
      <c r="DB1387" t="str">
        <v/>
      </c>
    </row>
    <row r="1388" spans="83:106" x14ac:dyDescent="0.2">
      <c r="CE1388"/>
      <c r="CF1388"/>
      <c r="CG1388"/>
      <c r="CH1388"/>
      <c r="CI1388"/>
      <c r="CU1388" s="21">
        <v>1383</v>
      </c>
      <c r="CV1388" s="41">
        <v>4</v>
      </c>
      <c r="CW1388" s="41">
        <v>0.11332468572476186</v>
      </c>
      <c r="CX1388" s="41" t="e">
        <v>#N/A</v>
      </c>
      <c r="CY1388" s="41" t="e">
        <v>#N/A</v>
      </c>
      <c r="CZ1388" s="47" t="e">
        <v>#N/A</v>
      </c>
      <c r="DA1388">
        <v>0.11332468572476186</v>
      </c>
      <c r="DB1388" t="str">
        <v/>
      </c>
    </row>
    <row r="1389" spans="83:106" x14ac:dyDescent="0.2">
      <c r="CE1389"/>
      <c r="CF1389"/>
      <c r="CG1389"/>
      <c r="CH1389"/>
      <c r="CI1389"/>
      <c r="CU1389" s="21">
        <v>1384</v>
      </c>
      <c r="CV1389" s="41">
        <v>4</v>
      </c>
      <c r="CW1389" s="41">
        <v>0.11332468572476186</v>
      </c>
      <c r="CX1389" s="41" t="e">
        <v>#N/A</v>
      </c>
      <c r="CY1389" s="41" t="e">
        <v>#N/A</v>
      </c>
      <c r="CZ1389" s="47" t="e">
        <v>#N/A</v>
      </c>
      <c r="DA1389">
        <v>0.11332468572476186</v>
      </c>
      <c r="DB1389" t="str">
        <v/>
      </c>
    </row>
    <row r="1390" spans="83:106" x14ac:dyDescent="0.2">
      <c r="CE1390"/>
      <c r="CF1390"/>
      <c r="CG1390"/>
      <c r="CH1390"/>
      <c r="CI1390"/>
      <c r="CU1390" s="21">
        <v>1385</v>
      </c>
      <c r="CV1390" s="41">
        <v>4</v>
      </c>
      <c r="CW1390" s="41">
        <v>0.11332468572476186</v>
      </c>
      <c r="CX1390" s="41" t="e">
        <v>#N/A</v>
      </c>
      <c r="CY1390" s="41" t="e">
        <v>#N/A</v>
      </c>
      <c r="CZ1390" s="47" t="e">
        <v>#N/A</v>
      </c>
      <c r="DA1390">
        <v>0.11332468572476186</v>
      </c>
      <c r="DB1390" t="str">
        <v/>
      </c>
    </row>
    <row r="1391" spans="83:106" x14ac:dyDescent="0.2">
      <c r="CE1391"/>
      <c r="CF1391"/>
      <c r="CG1391"/>
      <c r="CH1391"/>
      <c r="CI1391"/>
      <c r="CU1391" s="21">
        <v>1386</v>
      </c>
      <c r="CV1391" s="41">
        <v>4</v>
      </c>
      <c r="CW1391" s="41">
        <v>0.11332468572476186</v>
      </c>
      <c r="CX1391" s="41" t="e">
        <v>#N/A</v>
      </c>
      <c r="CY1391" s="41" t="e">
        <v>#N/A</v>
      </c>
      <c r="CZ1391" s="47" t="e">
        <v>#N/A</v>
      </c>
      <c r="DA1391">
        <v>0.11332468572476186</v>
      </c>
      <c r="DB1391" t="str">
        <v/>
      </c>
    </row>
    <row r="1392" spans="83:106" x14ac:dyDescent="0.2">
      <c r="CE1392"/>
      <c r="CF1392"/>
      <c r="CG1392"/>
      <c r="CH1392"/>
      <c r="CI1392"/>
      <c r="CU1392" s="21">
        <v>1387</v>
      </c>
      <c r="CV1392" s="41">
        <v>4</v>
      </c>
      <c r="CW1392" s="41">
        <v>0.11332468572476186</v>
      </c>
      <c r="CX1392" s="41" t="e">
        <v>#N/A</v>
      </c>
      <c r="CY1392" s="41" t="e">
        <v>#N/A</v>
      </c>
      <c r="CZ1392" s="47" t="e">
        <v>#N/A</v>
      </c>
      <c r="DA1392">
        <v>0.11332468572476186</v>
      </c>
      <c r="DB1392" t="str">
        <v/>
      </c>
    </row>
    <row r="1393" spans="83:106" x14ac:dyDescent="0.2">
      <c r="CE1393"/>
      <c r="CF1393"/>
      <c r="CG1393"/>
      <c r="CH1393"/>
      <c r="CI1393"/>
      <c r="CU1393" s="21">
        <v>1388</v>
      </c>
      <c r="CV1393" s="41">
        <v>4</v>
      </c>
      <c r="CW1393" s="41">
        <v>0.11332468572476186</v>
      </c>
      <c r="CX1393" s="41" t="e">
        <v>#N/A</v>
      </c>
      <c r="CY1393" s="41" t="e">
        <v>#N/A</v>
      </c>
      <c r="CZ1393" s="47" t="e">
        <v>#N/A</v>
      </c>
      <c r="DA1393">
        <v>0.11332468572476186</v>
      </c>
      <c r="DB1393" t="str">
        <v/>
      </c>
    </row>
    <row r="1394" spans="83:106" x14ac:dyDescent="0.2">
      <c r="CE1394"/>
      <c r="CF1394"/>
      <c r="CG1394"/>
      <c r="CH1394"/>
      <c r="CI1394"/>
      <c r="CU1394" s="21">
        <v>1389</v>
      </c>
      <c r="CV1394" s="41">
        <v>4</v>
      </c>
      <c r="CW1394" s="41">
        <v>0.11332468572476186</v>
      </c>
      <c r="CX1394" s="41" t="e">
        <v>#N/A</v>
      </c>
      <c r="CY1394" s="41" t="e">
        <v>#N/A</v>
      </c>
      <c r="CZ1394" s="47" t="e">
        <v>#N/A</v>
      </c>
      <c r="DA1394">
        <v>0.11332468572476186</v>
      </c>
      <c r="DB1394" t="str">
        <v/>
      </c>
    </row>
    <row r="1395" spans="83:106" x14ac:dyDescent="0.2">
      <c r="CE1395"/>
      <c r="CF1395"/>
      <c r="CG1395"/>
      <c r="CH1395"/>
      <c r="CI1395"/>
      <c r="CU1395" s="21">
        <v>1390</v>
      </c>
      <c r="CV1395" s="41">
        <v>4</v>
      </c>
      <c r="CW1395" s="41">
        <v>0.11332468572476186</v>
      </c>
      <c r="CX1395" s="41" t="e">
        <v>#N/A</v>
      </c>
      <c r="CY1395" s="41" t="e">
        <v>#N/A</v>
      </c>
      <c r="CZ1395" s="47" t="e">
        <v>#N/A</v>
      </c>
      <c r="DA1395">
        <v>0.11332468572476186</v>
      </c>
      <c r="DB1395" t="str">
        <v/>
      </c>
    </row>
    <row r="1396" spans="83:106" x14ac:dyDescent="0.2">
      <c r="CE1396"/>
      <c r="CF1396"/>
      <c r="CG1396"/>
      <c r="CH1396"/>
      <c r="CI1396"/>
      <c r="CU1396" s="21">
        <v>1391</v>
      </c>
      <c r="CV1396" s="41">
        <v>4</v>
      </c>
      <c r="CW1396" s="41">
        <v>0.11332468572476186</v>
      </c>
      <c r="CX1396" s="41" t="e">
        <v>#N/A</v>
      </c>
      <c r="CY1396" s="41" t="e">
        <v>#N/A</v>
      </c>
      <c r="CZ1396" s="47" t="e">
        <v>#N/A</v>
      </c>
      <c r="DA1396">
        <v>0.11332468572476186</v>
      </c>
      <c r="DB1396" t="str">
        <v/>
      </c>
    </row>
    <row r="1397" spans="83:106" x14ac:dyDescent="0.2">
      <c r="CE1397"/>
      <c r="CF1397"/>
      <c r="CG1397"/>
      <c r="CH1397"/>
      <c r="CI1397"/>
      <c r="CU1397" s="21">
        <v>1392</v>
      </c>
      <c r="CV1397" s="41">
        <v>4</v>
      </c>
      <c r="CW1397" s="41">
        <v>0.11332468572476186</v>
      </c>
      <c r="CX1397" s="41" t="e">
        <v>#N/A</v>
      </c>
      <c r="CY1397" s="41" t="e">
        <v>#N/A</v>
      </c>
      <c r="CZ1397" s="47" t="e">
        <v>#N/A</v>
      </c>
      <c r="DA1397">
        <v>0.11332468572476186</v>
      </c>
      <c r="DB1397" t="str">
        <v/>
      </c>
    </row>
    <row r="1398" spans="83:106" x14ac:dyDescent="0.2">
      <c r="CE1398"/>
      <c r="CF1398"/>
      <c r="CG1398"/>
      <c r="CH1398"/>
      <c r="CI1398"/>
      <c r="CU1398" s="21">
        <v>1393</v>
      </c>
      <c r="CV1398" s="41">
        <v>4</v>
      </c>
      <c r="CW1398" s="41">
        <v>0.11332468572476186</v>
      </c>
      <c r="CX1398" s="41" t="e">
        <v>#N/A</v>
      </c>
      <c r="CY1398" s="41" t="e">
        <v>#N/A</v>
      </c>
      <c r="CZ1398" s="47" t="e">
        <v>#N/A</v>
      </c>
      <c r="DA1398">
        <v>0.11332468572476186</v>
      </c>
      <c r="DB1398" t="str">
        <v/>
      </c>
    </row>
    <row r="1399" spans="83:106" x14ac:dyDescent="0.2">
      <c r="CE1399"/>
      <c r="CF1399"/>
      <c r="CG1399"/>
      <c r="CH1399"/>
      <c r="CI1399"/>
      <c r="CU1399" s="21">
        <v>1394</v>
      </c>
      <c r="CV1399" s="41">
        <v>4</v>
      </c>
      <c r="CW1399" s="41">
        <v>0.11332468572476186</v>
      </c>
      <c r="CX1399" s="41" t="e">
        <v>#N/A</v>
      </c>
      <c r="CY1399" s="41" t="e">
        <v>#N/A</v>
      </c>
      <c r="CZ1399" s="47" t="e">
        <v>#N/A</v>
      </c>
      <c r="DA1399">
        <v>0.11332468572476186</v>
      </c>
      <c r="DB1399" t="str">
        <v/>
      </c>
    </row>
    <row r="1400" spans="83:106" x14ac:dyDescent="0.2">
      <c r="CE1400"/>
      <c r="CF1400"/>
      <c r="CG1400"/>
      <c r="CH1400"/>
      <c r="CI1400"/>
      <c r="CU1400" s="21">
        <v>1395</v>
      </c>
      <c r="CV1400" s="41">
        <v>4</v>
      </c>
      <c r="CW1400" s="41">
        <v>0.11332468572476186</v>
      </c>
      <c r="CX1400" s="41" t="e">
        <v>#N/A</v>
      </c>
      <c r="CY1400" s="41" t="e">
        <v>#N/A</v>
      </c>
      <c r="CZ1400" s="47" t="e">
        <v>#N/A</v>
      </c>
      <c r="DA1400">
        <v>0.11332468572476186</v>
      </c>
      <c r="DB1400" t="str">
        <v/>
      </c>
    </row>
    <row r="1401" spans="83:106" x14ac:dyDescent="0.2">
      <c r="CE1401"/>
      <c r="CF1401"/>
      <c r="CG1401"/>
      <c r="CH1401"/>
      <c r="CI1401"/>
      <c r="CU1401" s="21">
        <v>1396</v>
      </c>
      <c r="CV1401" s="41">
        <v>4</v>
      </c>
      <c r="CW1401" s="41">
        <v>0.11332468572476186</v>
      </c>
      <c r="CX1401" s="41" t="e">
        <v>#N/A</v>
      </c>
      <c r="CY1401" s="41" t="e">
        <v>#N/A</v>
      </c>
      <c r="CZ1401" s="47" t="e">
        <v>#N/A</v>
      </c>
      <c r="DA1401">
        <v>0.11332468572476186</v>
      </c>
      <c r="DB1401" t="str">
        <v/>
      </c>
    </row>
    <row r="1402" spans="83:106" x14ac:dyDescent="0.2">
      <c r="CE1402"/>
      <c r="CF1402"/>
      <c r="CG1402"/>
      <c r="CH1402"/>
      <c r="CI1402"/>
      <c r="CU1402" s="21">
        <v>1397</v>
      </c>
      <c r="CV1402" s="41">
        <v>4</v>
      </c>
      <c r="CW1402" s="41">
        <v>0.11332468572476186</v>
      </c>
      <c r="CX1402" s="41" t="e">
        <v>#N/A</v>
      </c>
      <c r="CY1402" s="41" t="e">
        <v>#N/A</v>
      </c>
      <c r="CZ1402" s="47" t="e">
        <v>#N/A</v>
      </c>
      <c r="DA1402">
        <v>0.11332468572476186</v>
      </c>
      <c r="DB1402" t="str">
        <v/>
      </c>
    </row>
    <row r="1403" spans="83:106" x14ac:dyDescent="0.2">
      <c r="CE1403"/>
      <c r="CF1403"/>
      <c r="CG1403"/>
      <c r="CH1403"/>
      <c r="CI1403"/>
      <c r="CU1403" s="21">
        <v>1398</v>
      </c>
      <c r="CV1403" s="41">
        <v>4</v>
      </c>
      <c r="CW1403" s="41">
        <v>0.11332468572476186</v>
      </c>
      <c r="CX1403" s="41" t="e">
        <v>#N/A</v>
      </c>
      <c r="CY1403" s="41" t="e">
        <v>#N/A</v>
      </c>
      <c r="CZ1403" s="47" t="e">
        <v>#N/A</v>
      </c>
      <c r="DA1403">
        <v>0.11332468572476186</v>
      </c>
      <c r="DB1403" t="str">
        <v/>
      </c>
    </row>
    <row r="1404" spans="83:106" x14ac:dyDescent="0.2">
      <c r="CE1404"/>
      <c r="CF1404"/>
      <c r="CG1404"/>
      <c r="CH1404"/>
      <c r="CI1404"/>
      <c r="CU1404" s="21">
        <v>1399</v>
      </c>
      <c r="CV1404" s="41">
        <v>4</v>
      </c>
      <c r="CW1404" s="41">
        <v>0.11332468572476186</v>
      </c>
      <c r="CX1404" s="41" t="e">
        <v>#N/A</v>
      </c>
      <c r="CY1404" s="41" t="e">
        <v>#N/A</v>
      </c>
      <c r="CZ1404" s="47" t="e">
        <v>#N/A</v>
      </c>
      <c r="DA1404">
        <v>0.11332468572476186</v>
      </c>
      <c r="DB1404" t="str">
        <v/>
      </c>
    </row>
    <row r="1405" spans="83:106" x14ac:dyDescent="0.2">
      <c r="CE1405"/>
      <c r="CF1405"/>
      <c r="CG1405"/>
      <c r="CH1405"/>
      <c r="CI1405"/>
      <c r="CU1405" s="21">
        <v>1400</v>
      </c>
      <c r="CV1405" s="41">
        <v>4</v>
      </c>
      <c r="CW1405" s="41">
        <v>0.11332468572476186</v>
      </c>
      <c r="CX1405" s="41" t="e">
        <v>#N/A</v>
      </c>
      <c r="CY1405" s="41" t="e">
        <v>#N/A</v>
      </c>
      <c r="CZ1405" s="47" t="e">
        <v>#N/A</v>
      </c>
      <c r="DA1405">
        <v>0.11332468572476186</v>
      </c>
      <c r="DB1405" t="str">
        <v/>
      </c>
    </row>
    <row r="1406" spans="83:106" x14ac:dyDescent="0.2">
      <c r="CE1406"/>
      <c r="CF1406"/>
      <c r="CG1406"/>
      <c r="CH1406"/>
      <c r="CI1406"/>
      <c r="CU1406" s="21">
        <v>1401</v>
      </c>
      <c r="CV1406" s="41">
        <v>4</v>
      </c>
      <c r="CW1406" s="41">
        <v>0.11332468572476186</v>
      </c>
      <c r="CX1406" s="41" t="e">
        <v>#N/A</v>
      </c>
      <c r="CY1406" s="41" t="e">
        <v>#N/A</v>
      </c>
      <c r="CZ1406" s="47" t="e">
        <v>#N/A</v>
      </c>
      <c r="DA1406">
        <v>0.11332468572476186</v>
      </c>
      <c r="DB1406" t="str">
        <v/>
      </c>
    </row>
    <row r="1407" spans="83:106" x14ac:dyDescent="0.2">
      <c r="CE1407"/>
      <c r="CF1407"/>
      <c r="CG1407"/>
      <c r="CH1407"/>
      <c r="CI1407"/>
      <c r="CU1407" s="21">
        <v>1402</v>
      </c>
      <c r="CV1407" s="41">
        <v>4</v>
      </c>
      <c r="CW1407" s="41">
        <v>0.11332468572476186</v>
      </c>
      <c r="CX1407" s="41" t="e">
        <v>#N/A</v>
      </c>
      <c r="CY1407" s="41" t="e">
        <v>#N/A</v>
      </c>
      <c r="CZ1407" s="47" t="e">
        <v>#N/A</v>
      </c>
      <c r="DA1407">
        <v>0.11332468572476186</v>
      </c>
      <c r="DB1407" t="str">
        <v/>
      </c>
    </row>
    <row r="1408" spans="83:106" x14ac:dyDescent="0.2">
      <c r="CE1408"/>
      <c r="CF1408"/>
      <c r="CG1408"/>
      <c r="CH1408"/>
      <c r="CI1408"/>
      <c r="CU1408" s="21">
        <v>1403</v>
      </c>
      <c r="CV1408" s="41">
        <v>4</v>
      </c>
      <c r="CW1408" s="41">
        <v>0.11332468572476186</v>
      </c>
      <c r="CX1408" s="41" t="e">
        <v>#N/A</v>
      </c>
      <c r="CY1408" s="41" t="e">
        <v>#N/A</v>
      </c>
      <c r="CZ1408" s="47" t="e">
        <v>#N/A</v>
      </c>
      <c r="DA1408">
        <v>0.11332468572476186</v>
      </c>
      <c r="DB1408" t="str">
        <v/>
      </c>
    </row>
    <row r="1409" spans="83:106" x14ac:dyDescent="0.2">
      <c r="CE1409"/>
      <c r="CF1409"/>
      <c r="CG1409"/>
      <c r="CH1409"/>
      <c r="CI1409"/>
      <c r="CU1409" s="21">
        <v>1404</v>
      </c>
      <c r="CV1409" s="41">
        <v>4</v>
      </c>
      <c r="CW1409" s="41">
        <v>0.11332468572476186</v>
      </c>
      <c r="CX1409" s="41" t="e">
        <v>#N/A</v>
      </c>
      <c r="CY1409" s="41" t="e">
        <v>#N/A</v>
      </c>
      <c r="CZ1409" s="47" t="e">
        <v>#N/A</v>
      </c>
      <c r="DA1409">
        <v>0.11332468572476186</v>
      </c>
      <c r="DB1409" t="str">
        <v/>
      </c>
    </row>
    <row r="1410" spans="83:106" x14ac:dyDescent="0.2">
      <c r="CE1410"/>
      <c r="CF1410"/>
      <c r="CG1410"/>
      <c r="CH1410"/>
      <c r="CI1410"/>
      <c r="CU1410" s="21">
        <v>1405</v>
      </c>
      <c r="CV1410" s="41">
        <v>4</v>
      </c>
      <c r="CW1410" s="41">
        <v>0.11332468572476186</v>
      </c>
      <c r="CX1410" s="41" t="e">
        <v>#N/A</v>
      </c>
      <c r="CY1410" s="41" t="e">
        <v>#N/A</v>
      </c>
      <c r="CZ1410" s="47" t="e">
        <v>#N/A</v>
      </c>
      <c r="DA1410">
        <v>0.11332468572476186</v>
      </c>
      <c r="DB1410" t="str">
        <v/>
      </c>
    </row>
    <row r="1411" spans="83:106" x14ac:dyDescent="0.2">
      <c r="CE1411"/>
      <c r="CF1411"/>
      <c r="CG1411"/>
      <c r="CH1411"/>
      <c r="CI1411"/>
      <c r="CU1411" s="21">
        <v>1406</v>
      </c>
      <c r="CV1411" s="41">
        <v>4</v>
      </c>
      <c r="CW1411" s="41">
        <v>0.11332468572476186</v>
      </c>
      <c r="CX1411" s="41" t="e">
        <v>#N/A</v>
      </c>
      <c r="CY1411" s="41" t="e">
        <v>#N/A</v>
      </c>
      <c r="CZ1411" s="47" t="e">
        <v>#N/A</v>
      </c>
      <c r="DA1411">
        <v>0.11332468572476186</v>
      </c>
      <c r="DB1411" t="str">
        <v/>
      </c>
    </row>
    <row r="1412" spans="83:106" x14ac:dyDescent="0.2">
      <c r="CE1412"/>
      <c r="CF1412"/>
      <c r="CG1412"/>
      <c r="CH1412"/>
      <c r="CI1412"/>
      <c r="CU1412" s="21">
        <v>1407</v>
      </c>
      <c r="CV1412" s="41">
        <v>4</v>
      </c>
      <c r="CW1412" s="41">
        <v>0.11332468572476186</v>
      </c>
      <c r="CX1412" s="41" t="e">
        <v>#N/A</v>
      </c>
      <c r="CY1412" s="41" t="e">
        <v>#N/A</v>
      </c>
      <c r="CZ1412" s="47" t="e">
        <v>#N/A</v>
      </c>
      <c r="DA1412">
        <v>0.11332468572476186</v>
      </c>
      <c r="DB1412" t="str">
        <v/>
      </c>
    </row>
    <row r="1413" spans="83:106" x14ac:dyDescent="0.2">
      <c r="CE1413"/>
      <c r="CF1413"/>
      <c r="CG1413"/>
      <c r="CH1413"/>
      <c r="CI1413"/>
      <c r="CU1413" s="21">
        <v>1408</v>
      </c>
      <c r="CV1413" s="41">
        <v>4</v>
      </c>
      <c r="CW1413" s="41">
        <v>0.11332468572476186</v>
      </c>
      <c r="CX1413" s="41" t="e">
        <v>#N/A</v>
      </c>
      <c r="CY1413" s="41" t="e">
        <v>#N/A</v>
      </c>
      <c r="CZ1413" s="47" t="e">
        <v>#N/A</v>
      </c>
      <c r="DA1413">
        <v>0.11332468572476186</v>
      </c>
      <c r="DB1413" t="str">
        <v/>
      </c>
    </row>
    <row r="1414" spans="83:106" x14ac:dyDescent="0.2">
      <c r="CE1414"/>
      <c r="CF1414"/>
      <c r="CG1414"/>
      <c r="CH1414"/>
      <c r="CI1414"/>
      <c r="CU1414" s="21">
        <v>1409</v>
      </c>
      <c r="CV1414" s="41">
        <v>4</v>
      </c>
      <c r="CW1414" s="41">
        <v>0.11332468572476186</v>
      </c>
      <c r="CX1414" s="41" t="e">
        <v>#N/A</v>
      </c>
      <c r="CY1414" s="41" t="e">
        <v>#N/A</v>
      </c>
      <c r="CZ1414" s="47" t="e">
        <v>#N/A</v>
      </c>
      <c r="DA1414">
        <v>0.11332468572476186</v>
      </c>
      <c r="DB1414" t="str">
        <v/>
      </c>
    </row>
    <row r="1415" spans="83:106" x14ac:dyDescent="0.2">
      <c r="CE1415"/>
      <c r="CF1415"/>
      <c r="CG1415"/>
      <c r="CH1415"/>
      <c r="CI1415"/>
      <c r="CU1415" s="21">
        <v>1410</v>
      </c>
      <c r="CV1415" s="41">
        <v>4</v>
      </c>
      <c r="CW1415" s="41">
        <v>0.11332468572476186</v>
      </c>
      <c r="CX1415" s="41" t="e">
        <v>#N/A</v>
      </c>
      <c r="CY1415" s="41" t="e">
        <v>#N/A</v>
      </c>
      <c r="CZ1415" s="47" t="e">
        <v>#N/A</v>
      </c>
      <c r="DA1415">
        <v>0.11332468572476186</v>
      </c>
      <c r="DB1415" t="str">
        <v/>
      </c>
    </row>
    <row r="1416" spans="83:106" x14ac:dyDescent="0.2">
      <c r="CE1416"/>
      <c r="CF1416"/>
      <c r="CG1416"/>
      <c r="CH1416"/>
      <c r="CI1416"/>
      <c r="CU1416" s="21">
        <v>1411</v>
      </c>
      <c r="CV1416" s="41">
        <v>4</v>
      </c>
      <c r="CW1416" s="41">
        <v>0.11332468572476186</v>
      </c>
      <c r="CX1416" s="41" t="e">
        <v>#N/A</v>
      </c>
      <c r="CY1416" s="41" t="e">
        <v>#N/A</v>
      </c>
      <c r="CZ1416" s="47" t="e">
        <v>#N/A</v>
      </c>
      <c r="DA1416">
        <v>0.11332468572476186</v>
      </c>
      <c r="DB1416" t="str">
        <v/>
      </c>
    </row>
    <row r="1417" spans="83:106" x14ac:dyDescent="0.2">
      <c r="CE1417"/>
      <c r="CF1417"/>
      <c r="CG1417"/>
      <c r="CH1417"/>
      <c r="CI1417"/>
      <c r="CU1417" s="21">
        <v>1412</v>
      </c>
      <c r="CV1417" s="41">
        <v>4</v>
      </c>
      <c r="CW1417" s="41">
        <v>0.11332468572476186</v>
      </c>
      <c r="CX1417" s="41" t="e">
        <v>#N/A</v>
      </c>
      <c r="CY1417" s="41" t="e">
        <v>#N/A</v>
      </c>
      <c r="CZ1417" s="47" t="e">
        <v>#N/A</v>
      </c>
      <c r="DA1417">
        <v>0.11332468572476186</v>
      </c>
      <c r="DB1417" t="str">
        <v/>
      </c>
    </row>
    <row r="1418" spans="83:106" x14ac:dyDescent="0.2">
      <c r="CE1418"/>
      <c r="CF1418"/>
      <c r="CG1418"/>
      <c r="CH1418"/>
      <c r="CI1418"/>
      <c r="CU1418" s="21">
        <v>1413</v>
      </c>
      <c r="CV1418" s="41">
        <v>4</v>
      </c>
      <c r="CW1418" s="41">
        <v>0.11332468572476186</v>
      </c>
      <c r="CX1418" s="41" t="e">
        <v>#N/A</v>
      </c>
      <c r="CY1418" s="41" t="e">
        <v>#N/A</v>
      </c>
      <c r="CZ1418" s="47" t="e">
        <v>#N/A</v>
      </c>
      <c r="DA1418">
        <v>0.11332468572476186</v>
      </c>
      <c r="DB1418" t="str">
        <v/>
      </c>
    </row>
    <row r="1419" spans="83:106" x14ac:dyDescent="0.2">
      <c r="CE1419"/>
      <c r="CF1419"/>
      <c r="CG1419"/>
      <c r="CH1419"/>
      <c r="CI1419"/>
      <c r="CU1419" s="21">
        <v>1414</v>
      </c>
      <c r="CV1419" s="41">
        <v>4</v>
      </c>
      <c r="CW1419" s="41">
        <v>0.11332468572476186</v>
      </c>
      <c r="CX1419" s="41" t="e">
        <v>#N/A</v>
      </c>
      <c r="CY1419" s="41" t="e">
        <v>#N/A</v>
      </c>
      <c r="CZ1419" s="47" t="e">
        <v>#N/A</v>
      </c>
      <c r="DA1419">
        <v>0.11332468572476186</v>
      </c>
      <c r="DB1419" t="str">
        <v/>
      </c>
    </row>
    <row r="1420" spans="83:106" x14ac:dyDescent="0.2">
      <c r="CE1420"/>
      <c r="CF1420"/>
      <c r="CG1420"/>
      <c r="CH1420"/>
      <c r="CI1420"/>
      <c r="CU1420" s="21">
        <v>1415</v>
      </c>
      <c r="CV1420" s="41">
        <v>4</v>
      </c>
      <c r="CW1420" s="41">
        <v>0.11332468572476186</v>
      </c>
      <c r="CX1420" s="41" t="e">
        <v>#N/A</v>
      </c>
      <c r="CY1420" s="41" t="e">
        <v>#N/A</v>
      </c>
      <c r="CZ1420" s="47" t="e">
        <v>#N/A</v>
      </c>
      <c r="DA1420">
        <v>0.11332468572476186</v>
      </c>
      <c r="DB1420" t="str">
        <v/>
      </c>
    </row>
    <row r="1421" spans="83:106" x14ac:dyDescent="0.2">
      <c r="CE1421"/>
      <c r="CF1421"/>
      <c r="CG1421"/>
      <c r="CH1421"/>
      <c r="CI1421"/>
      <c r="CU1421" s="21">
        <v>1416</v>
      </c>
      <c r="CV1421" s="41">
        <v>4</v>
      </c>
      <c r="CW1421" s="41">
        <v>0.11332468572476186</v>
      </c>
      <c r="CX1421" s="41" t="e">
        <v>#N/A</v>
      </c>
      <c r="CY1421" s="41" t="e">
        <v>#N/A</v>
      </c>
      <c r="CZ1421" s="47" t="e">
        <v>#N/A</v>
      </c>
      <c r="DA1421">
        <v>0.11332468572476186</v>
      </c>
      <c r="DB1421" t="str">
        <v/>
      </c>
    </row>
    <row r="1422" spans="83:106" x14ac:dyDescent="0.2">
      <c r="CE1422"/>
      <c r="CF1422"/>
      <c r="CG1422"/>
      <c r="CH1422"/>
      <c r="CI1422"/>
      <c r="CU1422" s="21">
        <v>1417</v>
      </c>
      <c r="CV1422" s="41">
        <v>4</v>
      </c>
      <c r="CW1422" s="41">
        <v>0.11332468572476186</v>
      </c>
      <c r="CX1422" s="41" t="e">
        <v>#N/A</v>
      </c>
      <c r="CY1422" s="41" t="e">
        <v>#N/A</v>
      </c>
      <c r="CZ1422" s="47" t="e">
        <v>#N/A</v>
      </c>
      <c r="DA1422">
        <v>0.11332468572476186</v>
      </c>
      <c r="DB1422" t="str">
        <v/>
      </c>
    </row>
    <row r="1423" spans="83:106" x14ac:dyDescent="0.2">
      <c r="CE1423"/>
      <c r="CF1423"/>
      <c r="CG1423"/>
      <c r="CH1423"/>
      <c r="CI1423"/>
      <c r="CU1423" s="21">
        <v>1418</v>
      </c>
      <c r="CV1423" s="41">
        <v>4</v>
      </c>
      <c r="CW1423" s="41">
        <v>0.11332468572476186</v>
      </c>
      <c r="CX1423" s="41" t="e">
        <v>#N/A</v>
      </c>
      <c r="CY1423" s="41" t="e">
        <v>#N/A</v>
      </c>
      <c r="CZ1423" s="47" t="e">
        <v>#N/A</v>
      </c>
      <c r="DA1423">
        <v>0.11332468572476186</v>
      </c>
      <c r="DB1423" t="str">
        <v/>
      </c>
    </row>
    <row r="1424" spans="83:106" x14ac:dyDescent="0.2">
      <c r="CE1424"/>
      <c r="CF1424"/>
      <c r="CG1424"/>
      <c r="CH1424"/>
      <c r="CI1424"/>
      <c r="CU1424" s="21">
        <v>1419</v>
      </c>
      <c r="CV1424" s="41">
        <v>4</v>
      </c>
      <c r="CW1424" s="41">
        <v>0.11332468572476186</v>
      </c>
      <c r="CX1424" s="41" t="e">
        <v>#N/A</v>
      </c>
      <c r="CY1424" s="41" t="e">
        <v>#N/A</v>
      </c>
      <c r="CZ1424" s="47" t="e">
        <v>#N/A</v>
      </c>
      <c r="DA1424">
        <v>0.11332468572476186</v>
      </c>
      <c r="DB1424" t="str">
        <v/>
      </c>
    </row>
    <row r="1425" spans="83:106" x14ac:dyDescent="0.2">
      <c r="CE1425"/>
      <c r="CF1425"/>
      <c r="CG1425"/>
      <c r="CH1425"/>
      <c r="CI1425"/>
      <c r="CU1425" s="21">
        <v>1420</v>
      </c>
      <c r="CV1425" s="41">
        <v>4</v>
      </c>
      <c r="CW1425" s="41">
        <v>0.11332468572476186</v>
      </c>
      <c r="CX1425" s="41" t="e">
        <v>#N/A</v>
      </c>
      <c r="CY1425" s="41" t="e">
        <v>#N/A</v>
      </c>
      <c r="CZ1425" s="47" t="e">
        <v>#N/A</v>
      </c>
      <c r="DA1425">
        <v>0.11332468572476186</v>
      </c>
      <c r="DB1425" t="str">
        <v/>
      </c>
    </row>
    <row r="1426" spans="83:106" x14ac:dyDescent="0.2">
      <c r="CE1426"/>
      <c r="CF1426"/>
      <c r="CG1426"/>
      <c r="CH1426"/>
      <c r="CI1426"/>
      <c r="CU1426" s="21">
        <v>1421</v>
      </c>
      <c r="CV1426" s="41">
        <v>4</v>
      </c>
      <c r="CW1426" s="41">
        <v>0.11332468572476186</v>
      </c>
      <c r="CX1426" s="41" t="e">
        <v>#N/A</v>
      </c>
      <c r="CY1426" s="41" t="e">
        <v>#N/A</v>
      </c>
      <c r="CZ1426" s="47" t="e">
        <v>#N/A</v>
      </c>
      <c r="DA1426">
        <v>0.11332468572476186</v>
      </c>
      <c r="DB1426" t="str">
        <v/>
      </c>
    </row>
    <row r="1427" spans="83:106" x14ac:dyDescent="0.2">
      <c r="CE1427"/>
      <c r="CF1427"/>
      <c r="CG1427"/>
      <c r="CH1427"/>
      <c r="CI1427"/>
      <c r="CU1427" s="21">
        <v>1422</v>
      </c>
      <c r="CV1427" s="41">
        <v>4</v>
      </c>
      <c r="CW1427" s="41">
        <v>0.11332468572476186</v>
      </c>
      <c r="CX1427" s="41" t="e">
        <v>#N/A</v>
      </c>
      <c r="CY1427" s="41" t="e">
        <v>#N/A</v>
      </c>
      <c r="CZ1427" s="47" t="e">
        <v>#N/A</v>
      </c>
      <c r="DA1427">
        <v>0.11332468572476186</v>
      </c>
      <c r="DB1427" t="str">
        <v/>
      </c>
    </row>
    <row r="1428" spans="83:106" x14ac:dyDescent="0.2">
      <c r="CE1428"/>
      <c r="CF1428"/>
      <c r="CG1428"/>
      <c r="CH1428"/>
      <c r="CI1428"/>
      <c r="CU1428" s="21">
        <v>1423</v>
      </c>
      <c r="CV1428" s="41">
        <v>4</v>
      </c>
      <c r="CW1428" s="41">
        <v>0.11332468572476186</v>
      </c>
      <c r="CX1428" s="41" t="e">
        <v>#N/A</v>
      </c>
      <c r="CY1428" s="41" t="e">
        <v>#N/A</v>
      </c>
      <c r="CZ1428" s="47" t="e">
        <v>#N/A</v>
      </c>
      <c r="DA1428">
        <v>0.11332468572476186</v>
      </c>
      <c r="DB1428" t="str">
        <v/>
      </c>
    </row>
    <row r="1429" spans="83:106" x14ac:dyDescent="0.2">
      <c r="CE1429"/>
      <c r="CF1429"/>
      <c r="CG1429"/>
      <c r="CH1429"/>
      <c r="CI1429"/>
      <c r="CU1429" s="21">
        <v>1424</v>
      </c>
      <c r="CV1429" s="41">
        <v>4</v>
      </c>
      <c r="CW1429" s="41">
        <v>0.11332468572476186</v>
      </c>
      <c r="CX1429" s="41" t="e">
        <v>#N/A</v>
      </c>
      <c r="CY1429" s="41" t="e">
        <v>#N/A</v>
      </c>
      <c r="CZ1429" s="47" t="e">
        <v>#N/A</v>
      </c>
      <c r="DA1429">
        <v>0.11332468572476186</v>
      </c>
      <c r="DB1429" t="str">
        <v/>
      </c>
    </row>
    <row r="1430" spans="83:106" x14ac:dyDescent="0.2">
      <c r="CE1430"/>
      <c r="CF1430"/>
      <c r="CG1430"/>
      <c r="CH1430"/>
      <c r="CI1430"/>
      <c r="CU1430" s="21">
        <v>1425</v>
      </c>
      <c r="CV1430" s="41">
        <v>4</v>
      </c>
      <c r="CW1430" s="41">
        <v>0.11332468572476186</v>
      </c>
      <c r="CX1430" s="41" t="e">
        <v>#N/A</v>
      </c>
      <c r="CY1430" s="41" t="e">
        <v>#N/A</v>
      </c>
      <c r="CZ1430" s="47" t="e">
        <v>#N/A</v>
      </c>
      <c r="DA1430">
        <v>0.11332468572476186</v>
      </c>
      <c r="DB1430" t="str">
        <v/>
      </c>
    </row>
    <row r="1431" spans="83:106" x14ac:dyDescent="0.2">
      <c r="CE1431"/>
      <c r="CF1431"/>
      <c r="CG1431"/>
      <c r="CH1431"/>
      <c r="CI1431"/>
      <c r="CU1431" s="21">
        <v>1426</v>
      </c>
      <c r="CV1431" s="41">
        <v>4</v>
      </c>
      <c r="CW1431" s="41">
        <v>0.11332468572476186</v>
      </c>
      <c r="CX1431" s="41" t="e">
        <v>#N/A</v>
      </c>
      <c r="CY1431" s="41" t="e">
        <v>#N/A</v>
      </c>
      <c r="CZ1431" s="47" t="e">
        <v>#N/A</v>
      </c>
      <c r="DA1431">
        <v>0.11332468572476186</v>
      </c>
      <c r="DB1431" t="str">
        <v/>
      </c>
    </row>
    <row r="1432" spans="83:106" x14ac:dyDescent="0.2">
      <c r="CE1432"/>
      <c r="CF1432"/>
      <c r="CG1432"/>
      <c r="CH1432"/>
      <c r="CI1432"/>
      <c r="CU1432" s="21">
        <v>1427</v>
      </c>
      <c r="CV1432" s="41">
        <v>4</v>
      </c>
      <c r="CW1432" s="41">
        <v>0.11332468572476186</v>
      </c>
      <c r="CX1432" s="41" t="e">
        <v>#N/A</v>
      </c>
      <c r="CY1432" s="41" t="e">
        <v>#N/A</v>
      </c>
      <c r="CZ1432" s="47" t="e">
        <v>#N/A</v>
      </c>
      <c r="DA1432">
        <v>0.11332468572476186</v>
      </c>
      <c r="DB1432" t="str">
        <v/>
      </c>
    </row>
    <row r="1433" spans="83:106" x14ac:dyDescent="0.2">
      <c r="CE1433"/>
      <c r="CF1433"/>
      <c r="CG1433"/>
      <c r="CH1433"/>
      <c r="CI1433"/>
      <c r="CU1433" s="21">
        <v>1428</v>
      </c>
      <c r="CV1433" s="41">
        <v>4</v>
      </c>
      <c r="CW1433" s="41">
        <v>0.11332468572476186</v>
      </c>
      <c r="CX1433" s="41" t="e">
        <v>#N/A</v>
      </c>
      <c r="CY1433" s="41" t="e">
        <v>#N/A</v>
      </c>
      <c r="CZ1433" s="47" t="e">
        <v>#N/A</v>
      </c>
      <c r="DA1433">
        <v>0.11332468572476186</v>
      </c>
      <c r="DB1433" t="str">
        <v/>
      </c>
    </row>
    <row r="1434" spans="83:106" x14ac:dyDescent="0.2">
      <c r="CE1434"/>
      <c r="CF1434"/>
      <c r="CG1434"/>
      <c r="CH1434"/>
      <c r="CI1434"/>
      <c r="CU1434" s="21">
        <v>1429</v>
      </c>
      <c r="CV1434" s="41">
        <v>4</v>
      </c>
      <c r="CW1434" s="41">
        <v>0.11332468572476186</v>
      </c>
      <c r="CX1434" s="41" t="e">
        <v>#N/A</v>
      </c>
      <c r="CY1434" s="41" t="e">
        <v>#N/A</v>
      </c>
      <c r="CZ1434" s="47" t="e">
        <v>#N/A</v>
      </c>
      <c r="DA1434">
        <v>0.11332468572476186</v>
      </c>
      <c r="DB1434" t="str">
        <v/>
      </c>
    </row>
    <row r="1435" spans="83:106" x14ac:dyDescent="0.2">
      <c r="CE1435"/>
      <c r="CF1435"/>
      <c r="CG1435"/>
      <c r="CH1435"/>
      <c r="CI1435"/>
      <c r="CU1435" s="21">
        <v>1430</v>
      </c>
      <c r="CV1435" s="41">
        <v>4</v>
      </c>
      <c r="CW1435" s="41">
        <v>0.11332468572476186</v>
      </c>
      <c r="CX1435" s="41" t="e">
        <v>#N/A</v>
      </c>
      <c r="CY1435" s="41" t="e">
        <v>#N/A</v>
      </c>
      <c r="CZ1435" s="47" t="e">
        <v>#N/A</v>
      </c>
      <c r="DA1435">
        <v>0.11332468572476186</v>
      </c>
      <c r="DB1435" t="str">
        <v/>
      </c>
    </row>
    <row r="1436" spans="83:106" x14ac:dyDescent="0.2">
      <c r="CE1436"/>
      <c r="CF1436"/>
      <c r="CG1436"/>
      <c r="CH1436"/>
      <c r="CI1436"/>
      <c r="CU1436" s="21">
        <v>1431</v>
      </c>
      <c r="CV1436" s="41">
        <v>4</v>
      </c>
      <c r="CW1436" s="41">
        <v>0.11332468572476186</v>
      </c>
      <c r="CX1436" s="41" t="e">
        <v>#N/A</v>
      </c>
      <c r="CY1436" s="41" t="e">
        <v>#N/A</v>
      </c>
      <c r="CZ1436" s="47" t="e">
        <v>#N/A</v>
      </c>
      <c r="DA1436">
        <v>0.11332468572476186</v>
      </c>
      <c r="DB1436" t="str">
        <v/>
      </c>
    </row>
    <row r="1437" spans="83:106" x14ac:dyDescent="0.2">
      <c r="CE1437"/>
      <c r="CF1437"/>
      <c r="CG1437"/>
      <c r="CH1437"/>
      <c r="CI1437"/>
      <c r="CU1437" s="21">
        <v>1432</v>
      </c>
      <c r="CV1437" s="41">
        <v>4</v>
      </c>
      <c r="CW1437" s="41">
        <v>0.11332468572476186</v>
      </c>
      <c r="CX1437" s="41" t="e">
        <v>#N/A</v>
      </c>
      <c r="CY1437" s="41" t="e">
        <v>#N/A</v>
      </c>
      <c r="CZ1437" s="47" t="e">
        <v>#N/A</v>
      </c>
      <c r="DA1437">
        <v>0.11332468572476186</v>
      </c>
      <c r="DB1437" t="str">
        <v/>
      </c>
    </row>
    <row r="1438" spans="83:106" x14ac:dyDescent="0.2">
      <c r="CE1438"/>
      <c r="CF1438"/>
      <c r="CG1438"/>
      <c r="CH1438"/>
      <c r="CI1438"/>
      <c r="CU1438" s="21">
        <v>1433</v>
      </c>
      <c r="CV1438" s="41">
        <v>4</v>
      </c>
      <c r="CW1438" s="41">
        <v>0.11332468572476186</v>
      </c>
      <c r="CX1438" s="41" t="e">
        <v>#N/A</v>
      </c>
      <c r="CY1438" s="41" t="e">
        <v>#N/A</v>
      </c>
      <c r="CZ1438" s="47" t="e">
        <v>#N/A</v>
      </c>
      <c r="DA1438">
        <v>0.11332468572476186</v>
      </c>
      <c r="DB1438" t="str">
        <v/>
      </c>
    </row>
    <row r="1439" spans="83:106" x14ac:dyDescent="0.2">
      <c r="CE1439"/>
      <c r="CF1439"/>
      <c r="CG1439"/>
      <c r="CH1439"/>
      <c r="CI1439"/>
      <c r="CU1439" s="21">
        <v>1434</v>
      </c>
      <c r="CV1439" s="41">
        <v>4</v>
      </c>
      <c r="CW1439" s="41">
        <v>0.11332468572476186</v>
      </c>
      <c r="CX1439" s="41" t="e">
        <v>#N/A</v>
      </c>
      <c r="CY1439" s="41" t="e">
        <v>#N/A</v>
      </c>
      <c r="CZ1439" s="47" t="e">
        <v>#N/A</v>
      </c>
      <c r="DA1439">
        <v>0.11332468572476186</v>
      </c>
      <c r="DB1439" t="str">
        <v/>
      </c>
    </row>
    <row r="1440" spans="83:106" x14ac:dyDescent="0.2">
      <c r="CE1440"/>
      <c r="CF1440"/>
      <c r="CG1440"/>
      <c r="CH1440"/>
      <c r="CI1440"/>
      <c r="CU1440" s="21">
        <v>1435</v>
      </c>
      <c r="CV1440" s="41">
        <v>4</v>
      </c>
      <c r="CW1440" s="41">
        <v>0.11332468572476186</v>
      </c>
      <c r="CX1440" s="41" t="e">
        <v>#N/A</v>
      </c>
      <c r="CY1440" s="41" t="e">
        <v>#N/A</v>
      </c>
      <c r="CZ1440" s="47" t="e">
        <v>#N/A</v>
      </c>
      <c r="DA1440">
        <v>0.11332468572476186</v>
      </c>
      <c r="DB1440" t="str">
        <v/>
      </c>
    </row>
    <row r="1441" spans="83:106" x14ac:dyDescent="0.2">
      <c r="CE1441"/>
      <c r="CF1441"/>
      <c r="CG1441"/>
      <c r="CH1441"/>
      <c r="CI1441"/>
      <c r="CU1441" s="21">
        <v>1436</v>
      </c>
      <c r="CV1441" s="41">
        <v>4</v>
      </c>
      <c r="CW1441" s="41">
        <v>0.11332468572476186</v>
      </c>
      <c r="CX1441" s="41" t="e">
        <v>#N/A</v>
      </c>
      <c r="CY1441" s="41" t="e">
        <v>#N/A</v>
      </c>
      <c r="CZ1441" s="47" t="e">
        <v>#N/A</v>
      </c>
      <c r="DA1441">
        <v>0.11332468572476186</v>
      </c>
      <c r="DB1441" t="str">
        <v/>
      </c>
    </row>
    <row r="1442" spans="83:106" x14ac:dyDescent="0.2">
      <c r="CE1442"/>
      <c r="CF1442"/>
      <c r="CG1442"/>
      <c r="CH1442"/>
      <c r="CI1442"/>
      <c r="CU1442" s="21">
        <v>1437</v>
      </c>
      <c r="CV1442" s="41">
        <v>4</v>
      </c>
      <c r="CW1442" s="41">
        <v>0.11332468572476186</v>
      </c>
      <c r="CX1442" s="41" t="e">
        <v>#N/A</v>
      </c>
      <c r="CY1442" s="41" t="e">
        <v>#N/A</v>
      </c>
      <c r="CZ1442" s="47" t="e">
        <v>#N/A</v>
      </c>
      <c r="DA1442">
        <v>0.11332468572476186</v>
      </c>
      <c r="DB1442" t="str">
        <v/>
      </c>
    </row>
    <row r="1443" spans="83:106" x14ac:dyDescent="0.2">
      <c r="CE1443"/>
      <c r="CF1443"/>
      <c r="CG1443"/>
      <c r="CH1443"/>
      <c r="CI1443"/>
      <c r="CU1443" s="21">
        <v>1438</v>
      </c>
      <c r="CV1443" s="41">
        <v>4</v>
      </c>
      <c r="CW1443" s="41">
        <v>0.11332468572476186</v>
      </c>
      <c r="CX1443" s="41" t="e">
        <v>#N/A</v>
      </c>
      <c r="CY1443" s="41" t="e">
        <v>#N/A</v>
      </c>
      <c r="CZ1443" s="47" t="e">
        <v>#N/A</v>
      </c>
      <c r="DA1443">
        <v>0.11332468572476186</v>
      </c>
      <c r="DB1443" t="str">
        <v/>
      </c>
    </row>
    <row r="1444" spans="83:106" x14ac:dyDescent="0.2">
      <c r="CE1444"/>
      <c r="CF1444"/>
      <c r="CG1444"/>
      <c r="CH1444"/>
      <c r="CI1444"/>
      <c r="CU1444" s="21">
        <v>1439</v>
      </c>
      <c r="CV1444" s="41">
        <v>4</v>
      </c>
      <c r="CW1444" s="41">
        <v>0.11332468572476186</v>
      </c>
      <c r="CX1444" s="41" t="e">
        <v>#N/A</v>
      </c>
      <c r="CY1444" s="41" t="e">
        <v>#N/A</v>
      </c>
      <c r="CZ1444" s="47" t="e">
        <v>#N/A</v>
      </c>
      <c r="DA1444">
        <v>0.11332468572476186</v>
      </c>
      <c r="DB1444" t="str">
        <v/>
      </c>
    </row>
    <row r="1445" spans="83:106" x14ac:dyDescent="0.2">
      <c r="CE1445"/>
      <c r="CF1445"/>
      <c r="CG1445"/>
      <c r="CH1445"/>
      <c r="CI1445"/>
      <c r="CU1445" s="21">
        <v>1440</v>
      </c>
      <c r="CV1445" s="41">
        <v>4</v>
      </c>
      <c r="CW1445" s="41">
        <v>0.11332468572476186</v>
      </c>
      <c r="CX1445" s="41" t="e">
        <v>#N/A</v>
      </c>
      <c r="CY1445" s="41" t="e">
        <v>#N/A</v>
      </c>
      <c r="CZ1445" s="47" t="e">
        <v>#N/A</v>
      </c>
      <c r="DA1445">
        <v>0.11332468572476186</v>
      </c>
      <c r="DB1445" t="str">
        <v/>
      </c>
    </row>
    <row r="1446" spans="83:106" x14ac:dyDescent="0.2">
      <c r="CE1446"/>
      <c r="CF1446"/>
      <c r="CG1446"/>
      <c r="CH1446"/>
      <c r="CI1446"/>
      <c r="CU1446" s="21">
        <v>1441</v>
      </c>
      <c r="CV1446" s="41">
        <v>4</v>
      </c>
      <c r="CW1446" s="41">
        <v>0.11332468572476186</v>
      </c>
      <c r="CX1446" s="41" t="e">
        <v>#N/A</v>
      </c>
      <c r="CY1446" s="41" t="e">
        <v>#N/A</v>
      </c>
      <c r="CZ1446" s="47" t="e">
        <v>#N/A</v>
      </c>
      <c r="DA1446">
        <v>0.11332468572476186</v>
      </c>
      <c r="DB1446" t="str">
        <v/>
      </c>
    </row>
    <row r="1447" spans="83:106" x14ac:dyDescent="0.2">
      <c r="CE1447"/>
      <c r="CF1447"/>
      <c r="CG1447"/>
      <c r="CH1447"/>
      <c r="CI1447"/>
      <c r="CU1447" s="21">
        <v>1442</v>
      </c>
      <c r="CV1447" s="41">
        <v>4</v>
      </c>
      <c r="CW1447" s="41">
        <v>0.11332468572476186</v>
      </c>
      <c r="CX1447" s="41" t="e">
        <v>#N/A</v>
      </c>
      <c r="CY1447" s="41" t="e">
        <v>#N/A</v>
      </c>
      <c r="CZ1447" s="47" t="e">
        <v>#N/A</v>
      </c>
      <c r="DA1447">
        <v>0.11332468572476186</v>
      </c>
      <c r="DB1447" t="str">
        <v/>
      </c>
    </row>
    <row r="1448" spans="83:106" x14ac:dyDescent="0.2">
      <c r="CE1448"/>
      <c r="CF1448"/>
      <c r="CG1448"/>
      <c r="CH1448"/>
      <c r="CI1448"/>
      <c r="CU1448" s="21">
        <v>1443</v>
      </c>
      <c r="CV1448" s="41">
        <v>4</v>
      </c>
      <c r="CW1448" s="41">
        <v>0.11332468572476186</v>
      </c>
      <c r="CX1448" s="41" t="e">
        <v>#N/A</v>
      </c>
      <c r="CY1448" s="41" t="e">
        <v>#N/A</v>
      </c>
      <c r="CZ1448" s="47" t="e">
        <v>#N/A</v>
      </c>
      <c r="DA1448">
        <v>0.11332468572476186</v>
      </c>
      <c r="DB1448" t="str">
        <v/>
      </c>
    </row>
    <row r="1449" spans="83:106" x14ac:dyDescent="0.2">
      <c r="CE1449"/>
      <c r="CF1449"/>
      <c r="CG1449"/>
      <c r="CH1449"/>
      <c r="CI1449"/>
      <c r="CU1449" s="21">
        <v>1444</v>
      </c>
      <c r="CV1449" s="41">
        <v>4</v>
      </c>
      <c r="CW1449" s="41">
        <v>0.11332468572476186</v>
      </c>
      <c r="CX1449" s="41" t="e">
        <v>#N/A</v>
      </c>
      <c r="CY1449" s="41" t="e">
        <v>#N/A</v>
      </c>
      <c r="CZ1449" s="47" t="e">
        <v>#N/A</v>
      </c>
      <c r="DA1449">
        <v>0.11332468572476186</v>
      </c>
      <c r="DB1449" t="str">
        <v/>
      </c>
    </row>
    <row r="1450" spans="83:106" x14ac:dyDescent="0.2">
      <c r="CE1450"/>
      <c r="CF1450"/>
      <c r="CG1450"/>
      <c r="CH1450"/>
      <c r="CI1450"/>
      <c r="CU1450" s="21">
        <v>1445</v>
      </c>
      <c r="CV1450" s="41">
        <v>4</v>
      </c>
      <c r="CW1450" s="41">
        <v>0.11332468572476186</v>
      </c>
      <c r="CX1450" s="41" t="e">
        <v>#N/A</v>
      </c>
      <c r="CY1450" s="41" t="e">
        <v>#N/A</v>
      </c>
      <c r="CZ1450" s="47" t="e">
        <v>#N/A</v>
      </c>
      <c r="DA1450">
        <v>0.11332468572476186</v>
      </c>
      <c r="DB1450" t="str">
        <v/>
      </c>
    </row>
    <row r="1451" spans="83:106" x14ac:dyDescent="0.2">
      <c r="CE1451"/>
      <c r="CF1451"/>
      <c r="CG1451"/>
      <c r="CH1451"/>
      <c r="CI1451"/>
      <c r="CU1451" s="21">
        <v>1446</v>
      </c>
      <c r="CV1451" s="41">
        <v>4</v>
      </c>
      <c r="CW1451" s="41">
        <v>0.11332468572476186</v>
      </c>
      <c r="CX1451" s="41" t="e">
        <v>#N/A</v>
      </c>
      <c r="CY1451" s="41" t="e">
        <v>#N/A</v>
      </c>
      <c r="CZ1451" s="47" t="e">
        <v>#N/A</v>
      </c>
      <c r="DA1451">
        <v>0.11332468572476186</v>
      </c>
      <c r="DB1451" t="str">
        <v/>
      </c>
    </row>
    <row r="1452" spans="83:106" x14ac:dyDescent="0.2">
      <c r="CE1452"/>
      <c r="CF1452"/>
      <c r="CG1452"/>
      <c r="CH1452"/>
      <c r="CI1452"/>
      <c r="CU1452" s="21">
        <v>1447</v>
      </c>
      <c r="CV1452" s="41">
        <v>4</v>
      </c>
      <c r="CW1452" s="41">
        <v>0.11332468572476186</v>
      </c>
      <c r="CX1452" s="41" t="e">
        <v>#N/A</v>
      </c>
      <c r="CY1452" s="41" t="e">
        <v>#N/A</v>
      </c>
      <c r="CZ1452" s="47" t="e">
        <v>#N/A</v>
      </c>
      <c r="DA1452">
        <v>0.11332468572476186</v>
      </c>
      <c r="DB1452" t="str">
        <v/>
      </c>
    </row>
    <row r="1453" spans="83:106" x14ac:dyDescent="0.2">
      <c r="CE1453"/>
      <c r="CF1453"/>
      <c r="CG1453"/>
      <c r="CH1453"/>
      <c r="CI1453"/>
      <c r="CU1453" s="21">
        <v>1448</v>
      </c>
      <c r="CV1453" s="41">
        <v>4</v>
      </c>
      <c r="CW1453" s="41">
        <v>0.11332468572476186</v>
      </c>
      <c r="CX1453" s="41" t="e">
        <v>#N/A</v>
      </c>
      <c r="CY1453" s="41" t="e">
        <v>#N/A</v>
      </c>
      <c r="CZ1453" s="47" t="e">
        <v>#N/A</v>
      </c>
      <c r="DA1453">
        <v>0.11332468572476186</v>
      </c>
      <c r="DB1453" t="str">
        <v/>
      </c>
    </row>
    <row r="1454" spans="83:106" x14ac:dyDescent="0.2">
      <c r="CE1454"/>
      <c r="CF1454"/>
      <c r="CG1454"/>
      <c r="CH1454"/>
      <c r="CI1454"/>
      <c r="CU1454" s="21">
        <v>1449</v>
      </c>
      <c r="CV1454" s="41">
        <v>4</v>
      </c>
      <c r="CW1454" s="41">
        <v>0.11332468572476186</v>
      </c>
      <c r="CX1454" s="41" t="e">
        <v>#N/A</v>
      </c>
      <c r="CY1454" s="41" t="e">
        <v>#N/A</v>
      </c>
      <c r="CZ1454" s="47" t="e">
        <v>#N/A</v>
      </c>
      <c r="DA1454">
        <v>0.11332468572476186</v>
      </c>
      <c r="DB1454" t="str">
        <v/>
      </c>
    </row>
    <row r="1455" spans="83:106" x14ac:dyDescent="0.2">
      <c r="CE1455"/>
      <c r="CF1455"/>
      <c r="CG1455"/>
      <c r="CH1455"/>
      <c r="CI1455"/>
      <c r="CU1455" s="21">
        <v>1450</v>
      </c>
      <c r="CV1455" s="41">
        <v>4</v>
      </c>
      <c r="CW1455" s="41">
        <v>0.11332468572476186</v>
      </c>
      <c r="CX1455" s="41" t="e">
        <v>#N/A</v>
      </c>
      <c r="CY1455" s="41" t="e">
        <v>#N/A</v>
      </c>
      <c r="CZ1455" s="47" t="e">
        <v>#N/A</v>
      </c>
      <c r="DA1455">
        <v>0.11332468572476186</v>
      </c>
      <c r="DB1455" t="str">
        <v/>
      </c>
    </row>
    <row r="1456" spans="83:106" x14ac:dyDescent="0.2">
      <c r="CE1456"/>
      <c r="CF1456"/>
      <c r="CG1456"/>
      <c r="CH1456"/>
      <c r="CI1456"/>
      <c r="CU1456" s="21">
        <v>1451</v>
      </c>
      <c r="CV1456" s="41">
        <v>4</v>
      </c>
      <c r="CW1456" s="41">
        <v>0.11332468572476186</v>
      </c>
      <c r="CX1456" s="41" t="e">
        <v>#N/A</v>
      </c>
      <c r="CY1456" s="41" t="e">
        <v>#N/A</v>
      </c>
      <c r="CZ1456" s="47" t="e">
        <v>#N/A</v>
      </c>
      <c r="DA1456">
        <v>0.11332468572476186</v>
      </c>
      <c r="DB1456" t="str">
        <v/>
      </c>
    </row>
    <row r="1457" spans="83:106" x14ac:dyDescent="0.2">
      <c r="CE1457"/>
      <c r="CF1457"/>
      <c r="CG1457"/>
      <c r="CH1457"/>
      <c r="CI1457"/>
      <c r="CU1457" s="21">
        <v>1452</v>
      </c>
      <c r="CV1457" s="41">
        <v>4</v>
      </c>
      <c r="CW1457" s="41">
        <v>0.11332468572476186</v>
      </c>
      <c r="CX1457" s="41" t="e">
        <v>#N/A</v>
      </c>
      <c r="CY1457" s="41" t="e">
        <v>#N/A</v>
      </c>
      <c r="CZ1457" s="47" t="e">
        <v>#N/A</v>
      </c>
      <c r="DA1457">
        <v>0.11332468572476186</v>
      </c>
      <c r="DB1457" t="str">
        <v/>
      </c>
    </row>
    <row r="1458" spans="83:106" x14ac:dyDescent="0.2">
      <c r="CE1458"/>
      <c r="CF1458"/>
      <c r="CG1458"/>
      <c r="CH1458"/>
      <c r="CI1458"/>
      <c r="CU1458" s="21">
        <v>1453</v>
      </c>
      <c r="CV1458" s="41">
        <v>4</v>
      </c>
      <c r="CW1458" s="41">
        <v>0.11332468572476186</v>
      </c>
      <c r="CX1458" s="41" t="e">
        <v>#N/A</v>
      </c>
      <c r="CY1458" s="41" t="e">
        <v>#N/A</v>
      </c>
      <c r="CZ1458" s="47" t="e">
        <v>#N/A</v>
      </c>
      <c r="DA1458">
        <v>0.11332468572476186</v>
      </c>
      <c r="DB1458" t="str">
        <v/>
      </c>
    </row>
    <row r="1459" spans="83:106" x14ac:dyDescent="0.2">
      <c r="CE1459"/>
      <c r="CF1459"/>
      <c r="CG1459"/>
      <c r="CH1459"/>
      <c r="CI1459"/>
      <c r="CU1459" s="21">
        <v>1454</v>
      </c>
      <c r="CV1459" s="41">
        <v>4</v>
      </c>
      <c r="CW1459" s="41">
        <v>0.11332468572476186</v>
      </c>
      <c r="CX1459" s="41" t="e">
        <v>#N/A</v>
      </c>
      <c r="CY1459" s="41" t="e">
        <v>#N/A</v>
      </c>
      <c r="CZ1459" s="47" t="e">
        <v>#N/A</v>
      </c>
      <c r="DA1459">
        <v>0.11332468572476186</v>
      </c>
      <c r="DB1459" t="str">
        <v/>
      </c>
    </row>
    <row r="1460" spans="83:106" x14ac:dyDescent="0.2">
      <c r="CE1460"/>
      <c r="CF1460"/>
      <c r="CG1460"/>
      <c r="CH1460"/>
      <c r="CI1460"/>
      <c r="CU1460" s="21">
        <v>1455</v>
      </c>
      <c r="CV1460" s="41">
        <v>4</v>
      </c>
      <c r="CW1460" s="41">
        <v>0.11332468572476186</v>
      </c>
      <c r="CX1460" s="41" t="e">
        <v>#N/A</v>
      </c>
      <c r="CY1460" s="41" t="e">
        <v>#N/A</v>
      </c>
      <c r="CZ1460" s="47" t="e">
        <v>#N/A</v>
      </c>
      <c r="DA1460">
        <v>0.11332468572476186</v>
      </c>
      <c r="DB1460" t="str">
        <v/>
      </c>
    </row>
    <row r="1461" spans="83:106" x14ac:dyDescent="0.2">
      <c r="CE1461"/>
      <c r="CF1461"/>
      <c r="CG1461"/>
      <c r="CH1461"/>
      <c r="CI1461"/>
      <c r="CU1461" s="21">
        <v>1456</v>
      </c>
      <c r="CV1461" s="41">
        <v>4</v>
      </c>
      <c r="CW1461" s="41">
        <v>0.11332468572476186</v>
      </c>
      <c r="CX1461" s="41" t="e">
        <v>#N/A</v>
      </c>
      <c r="CY1461" s="41" t="e">
        <v>#N/A</v>
      </c>
      <c r="CZ1461" s="47" t="e">
        <v>#N/A</v>
      </c>
      <c r="DA1461">
        <v>0.11332468572476186</v>
      </c>
      <c r="DB1461" t="str">
        <v/>
      </c>
    </row>
    <row r="1462" spans="83:106" x14ac:dyDescent="0.2">
      <c r="CE1462"/>
      <c r="CF1462"/>
      <c r="CG1462"/>
      <c r="CH1462"/>
      <c r="CI1462"/>
      <c r="CU1462" s="21">
        <v>1457</v>
      </c>
      <c r="CV1462" s="41">
        <v>4</v>
      </c>
      <c r="CW1462" s="41">
        <v>0.11332468572476186</v>
      </c>
      <c r="CX1462" s="41" t="e">
        <v>#N/A</v>
      </c>
      <c r="CY1462" s="41" t="e">
        <v>#N/A</v>
      </c>
      <c r="CZ1462" s="47" t="e">
        <v>#N/A</v>
      </c>
      <c r="DA1462">
        <v>0.11332468572476186</v>
      </c>
      <c r="DB1462" t="str">
        <v/>
      </c>
    </row>
    <row r="1463" spans="83:106" x14ac:dyDescent="0.2">
      <c r="CE1463"/>
      <c r="CF1463"/>
      <c r="CG1463"/>
      <c r="CH1463"/>
      <c r="CI1463"/>
      <c r="CU1463" s="21">
        <v>1458</v>
      </c>
      <c r="CV1463" s="41">
        <v>4</v>
      </c>
      <c r="CW1463" s="41">
        <v>0.11332468572476186</v>
      </c>
      <c r="CX1463" s="41" t="e">
        <v>#N/A</v>
      </c>
      <c r="CY1463" s="41" t="e">
        <v>#N/A</v>
      </c>
      <c r="CZ1463" s="47" t="e">
        <v>#N/A</v>
      </c>
      <c r="DA1463">
        <v>0.11332468572476186</v>
      </c>
      <c r="DB1463" t="str">
        <v/>
      </c>
    </row>
    <row r="1464" spans="83:106" x14ac:dyDescent="0.2">
      <c r="CE1464"/>
      <c r="CF1464"/>
      <c r="CG1464"/>
      <c r="CH1464"/>
      <c r="CI1464"/>
      <c r="CU1464" s="21">
        <v>1459</v>
      </c>
      <c r="CV1464" s="41">
        <v>4</v>
      </c>
      <c r="CW1464" s="41">
        <v>0.11332468572476186</v>
      </c>
      <c r="CX1464" s="41" t="e">
        <v>#N/A</v>
      </c>
      <c r="CY1464" s="41" t="e">
        <v>#N/A</v>
      </c>
      <c r="CZ1464" s="47" t="e">
        <v>#N/A</v>
      </c>
      <c r="DA1464">
        <v>0.11332468572476186</v>
      </c>
      <c r="DB1464" t="str">
        <v/>
      </c>
    </row>
    <row r="1465" spans="83:106" x14ac:dyDescent="0.2">
      <c r="CE1465"/>
      <c r="CF1465"/>
      <c r="CG1465"/>
      <c r="CH1465"/>
      <c r="CI1465"/>
      <c r="CU1465" s="21">
        <v>1460</v>
      </c>
      <c r="CV1465" s="41">
        <v>4</v>
      </c>
      <c r="CW1465" s="41">
        <v>0.11332468572476186</v>
      </c>
      <c r="CX1465" s="41" t="e">
        <v>#N/A</v>
      </c>
      <c r="CY1465" s="41" t="e">
        <v>#N/A</v>
      </c>
      <c r="CZ1465" s="47" t="e">
        <v>#N/A</v>
      </c>
      <c r="DA1465">
        <v>0.11332468572476186</v>
      </c>
      <c r="DB1465" t="str">
        <v/>
      </c>
    </row>
    <row r="1466" spans="83:106" x14ac:dyDescent="0.2">
      <c r="CE1466"/>
      <c r="CF1466"/>
      <c r="CG1466"/>
      <c r="CH1466"/>
      <c r="CI1466"/>
      <c r="CU1466" s="21">
        <v>1461</v>
      </c>
      <c r="CV1466" s="41">
        <v>4</v>
      </c>
      <c r="CW1466" s="41">
        <v>0.11332468572476186</v>
      </c>
      <c r="CX1466" s="41" t="e">
        <v>#N/A</v>
      </c>
      <c r="CY1466" s="41" t="e">
        <v>#N/A</v>
      </c>
      <c r="CZ1466" s="47" t="e">
        <v>#N/A</v>
      </c>
      <c r="DA1466">
        <v>0.11332468572476186</v>
      </c>
      <c r="DB1466" t="str">
        <v/>
      </c>
    </row>
    <row r="1467" spans="83:106" x14ac:dyDescent="0.2">
      <c r="CE1467"/>
      <c r="CF1467"/>
      <c r="CG1467"/>
      <c r="CH1467"/>
      <c r="CI1467"/>
      <c r="CU1467" s="21">
        <v>1462</v>
      </c>
      <c r="CV1467" s="41">
        <v>4</v>
      </c>
      <c r="CW1467" s="41">
        <v>0.11332468572476186</v>
      </c>
      <c r="CX1467" s="41" t="e">
        <v>#N/A</v>
      </c>
      <c r="CY1467" s="41" t="e">
        <v>#N/A</v>
      </c>
      <c r="CZ1467" s="47" t="e">
        <v>#N/A</v>
      </c>
      <c r="DA1467">
        <v>0.11332468572476186</v>
      </c>
      <c r="DB1467" t="str">
        <v/>
      </c>
    </row>
    <row r="1468" spans="83:106" x14ac:dyDescent="0.2">
      <c r="CE1468"/>
      <c r="CF1468"/>
      <c r="CG1468"/>
      <c r="CH1468"/>
      <c r="CI1468"/>
      <c r="CU1468" s="21">
        <v>1463</v>
      </c>
      <c r="CV1468" s="41">
        <v>4</v>
      </c>
      <c r="CW1468" s="41">
        <v>0.11332468572476186</v>
      </c>
      <c r="CX1468" s="41" t="e">
        <v>#N/A</v>
      </c>
      <c r="CY1468" s="41" t="e">
        <v>#N/A</v>
      </c>
      <c r="CZ1468" s="47" t="e">
        <v>#N/A</v>
      </c>
      <c r="DA1468">
        <v>0.11332468572476186</v>
      </c>
      <c r="DB1468" t="str">
        <v/>
      </c>
    </row>
    <row r="1469" spans="83:106" x14ac:dyDescent="0.2">
      <c r="CE1469"/>
      <c r="CF1469"/>
      <c r="CG1469"/>
      <c r="CH1469"/>
      <c r="CI1469"/>
      <c r="CU1469" s="21">
        <v>1464</v>
      </c>
      <c r="CV1469" s="41">
        <v>4</v>
      </c>
      <c r="CW1469" s="41">
        <v>0.11332468572476186</v>
      </c>
      <c r="CX1469" s="41" t="e">
        <v>#N/A</v>
      </c>
      <c r="CY1469" s="41" t="e">
        <v>#N/A</v>
      </c>
      <c r="CZ1469" s="47" t="e">
        <v>#N/A</v>
      </c>
      <c r="DA1469">
        <v>0.11332468572476186</v>
      </c>
      <c r="DB1469" t="str">
        <v/>
      </c>
    </row>
    <row r="1470" spans="83:106" x14ac:dyDescent="0.2">
      <c r="CE1470"/>
      <c r="CF1470"/>
      <c r="CG1470"/>
      <c r="CH1470"/>
      <c r="CI1470"/>
      <c r="CU1470" s="21">
        <v>1465</v>
      </c>
      <c r="CV1470" s="41">
        <v>4</v>
      </c>
      <c r="CW1470" s="41">
        <v>0.11332468572476186</v>
      </c>
      <c r="CX1470" s="41" t="e">
        <v>#N/A</v>
      </c>
      <c r="CY1470" s="41" t="e">
        <v>#N/A</v>
      </c>
      <c r="CZ1470" s="47" t="e">
        <v>#N/A</v>
      </c>
      <c r="DA1470">
        <v>0.11332468572476186</v>
      </c>
      <c r="DB1470" t="str">
        <v/>
      </c>
    </row>
    <row r="1471" spans="83:106" x14ac:dyDescent="0.2">
      <c r="CE1471"/>
      <c r="CF1471"/>
      <c r="CG1471"/>
      <c r="CH1471"/>
      <c r="CI1471"/>
      <c r="CU1471" s="21">
        <v>1466</v>
      </c>
      <c r="CV1471" s="41">
        <v>4</v>
      </c>
      <c r="CW1471" s="41">
        <v>0.11332468572476186</v>
      </c>
      <c r="CX1471" s="41" t="e">
        <v>#N/A</v>
      </c>
      <c r="CY1471" s="41" t="e">
        <v>#N/A</v>
      </c>
      <c r="CZ1471" s="47" t="e">
        <v>#N/A</v>
      </c>
      <c r="DA1471">
        <v>0.11332468572476186</v>
      </c>
      <c r="DB1471" t="str">
        <v/>
      </c>
    </row>
    <row r="1472" spans="83:106" x14ac:dyDescent="0.2">
      <c r="CE1472"/>
      <c r="CF1472"/>
      <c r="CG1472"/>
      <c r="CH1472"/>
      <c r="CI1472"/>
      <c r="CU1472" s="21">
        <v>1467</v>
      </c>
      <c r="CV1472" s="41">
        <v>4</v>
      </c>
      <c r="CW1472" s="41">
        <v>0.11332468572476186</v>
      </c>
      <c r="CX1472" s="41" t="e">
        <v>#N/A</v>
      </c>
      <c r="CY1472" s="41" t="e">
        <v>#N/A</v>
      </c>
      <c r="CZ1472" s="47" t="e">
        <v>#N/A</v>
      </c>
      <c r="DA1472">
        <v>0.11332468572476186</v>
      </c>
      <c r="DB1472" t="str">
        <v/>
      </c>
    </row>
    <row r="1473" spans="83:106" x14ac:dyDescent="0.2">
      <c r="CE1473"/>
      <c r="CF1473"/>
      <c r="CG1473"/>
      <c r="CH1473"/>
      <c r="CI1473"/>
      <c r="CU1473" s="21">
        <v>1468</v>
      </c>
      <c r="CV1473" s="41">
        <v>4</v>
      </c>
      <c r="CW1473" s="41">
        <v>0.11332468572476186</v>
      </c>
      <c r="CX1473" s="41" t="e">
        <v>#N/A</v>
      </c>
      <c r="CY1473" s="41" t="e">
        <v>#N/A</v>
      </c>
      <c r="CZ1473" s="47" t="e">
        <v>#N/A</v>
      </c>
      <c r="DA1473">
        <v>0.11332468572476186</v>
      </c>
      <c r="DB1473" t="str">
        <v/>
      </c>
    </row>
    <row r="1474" spans="83:106" x14ac:dyDescent="0.2">
      <c r="CE1474"/>
      <c r="CF1474"/>
      <c r="CG1474"/>
      <c r="CH1474"/>
      <c r="CI1474"/>
      <c r="CU1474" s="21">
        <v>1469</v>
      </c>
      <c r="CV1474" s="41">
        <v>4</v>
      </c>
      <c r="CW1474" s="41">
        <v>0.11332468572476186</v>
      </c>
      <c r="CX1474" s="41" t="e">
        <v>#N/A</v>
      </c>
      <c r="CY1474" s="41" t="e">
        <v>#N/A</v>
      </c>
      <c r="CZ1474" s="47" t="e">
        <v>#N/A</v>
      </c>
      <c r="DA1474">
        <v>0.11332468572476186</v>
      </c>
      <c r="DB1474" t="str">
        <v/>
      </c>
    </row>
    <row r="1475" spans="83:106" x14ac:dyDescent="0.2">
      <c r="CE1475"/>
      <c r="CF1475"/>
      <c r="CG1475"/>
      <c r="CH1475"/>
      <c r="CI1475"/>
      <c r="CU1475" s="21">
        <v>1470</v>
      </c>
      <c r="CV1475" s="41">
        <v>4</v>
      </c>
      <c r="CW1475" s="41">
        <v>0.11332468572476186</v>
      </c>
      <c r="CX1475" s="41" t="e">
        <v>#N/A</v>
      </c>
      <c r="CY1475" s="41" t="e">
        <v>#N/A</v>
      </c>
      <c r="CZ1475" s="47" t="e">
        <v>#N/A</v>
      </c>
      <c r="DA1475">
        <v>0.11332468572476186</v>
      </c>
      <c r="DB1475" t="str">
        <v/>
      </c>
    </row>
    <row r="1476" spans="83:106" x14ac:dyDescent="0.2">
      <c r="CE1476"/>
      <c r="CF1476"/>
      <c r="CG1476"/>
      <c r="CH1476"/>
      <c r="CI1476"/>
      <c r="CU1476" s="21">
        <v>1471</v>
      </c>
      <c r="CV1476" s="41">
        <v>4</v>
      </c>
      <c r="CW1476" s="41">
        <v>0.11332468572476186</v>
      </c>
      <c r="CX1476" s="41" t="e">
        <v>#N/A</v>
      </c>
      <c r="CY1476" s="41" t="e">
        <v>#N/A</v>
      </c>
      <c r="CZ1476" s="47" t="e">
        <v>#N/A</v>
      </c>
      <c r="DA1476">
        <v>0.11332468572476186</v>
      </c>
      <c r="DB1476" t="str">
        <v/>
      </c>
    </row>
    <row r="1477" spans="83:106" x14ac:dyDescent="0.2">
      <c r="CE1477"/>
      <c r="CF1477"/>
      <c r="CG1477"/>
      <c r="CH1477"/>
      <c r="CI1477"/>
      <c r="CU1477" s="21">
        <v>1472</v>
      </c>
      <c r="CV1477" s="41">
        <v>4</v>
      </c>
      <c r="CW1477" s="41">
        <v>0.11332468572476186</v>
      </c>
      <c r="CX1477" s="41" t="e">
        <v>#N/A</v>
      </c>
      <c r="CY1477" s="41" t="e">
        <v>#N/A</v>
      </c>
      <c r="CZ1477" s="47" t="e">
        <v>#N/A</v>
      </c>
      <c r="DA1477">
        <v>0.11332468572476186</v>
      </c>
      <c r="DB1477" t="str">
        <v/>
      </c>
    </row>
    <row r="1478" spans="83:106" x14ac:dyDescent="0.2">
      <c r="CE1478"/>
      <c r="CF1478"/>
      <c r="CG1478"/>
      <c r="CH1478"/>
      <c r="CI1478"/>
      <c r="CU1478" s="21">
        <v>1473</v>
      </c>
      <c r="CV1478" s="41">
        <v>4</v>
      </c>
      <c r="CW1478" s="41">
        <v>0.11332468572476186</v>
      </c>
      <c r="CX1478" s="41" t="e">
        <v>#N/A</v>
      </c>
      <c r="CY1478" s="41" t="e">
        <v>#N/A</v>
      </c>
      <c r="CZ1478" s="47" t="e">
        <v>#N/A</v>
      </c>
      <c r="DA1478">
        <v>0.11332468572476186</v>
      </c>
      <c r="DB1478" t="str">
        <v/>
      </c>
    </row>
    <row r="1479" spans="83:106" x14ac:dyDescent="0.2">
      <c r="CE1479"/>
      <c r="CF1479"/>
      <c r="CG1479"/>
      <c r="CH1479"/>
      <c r="CI1479"/>
      <c r="CU1479" s="21">
        <v>1474</v>
      </c>
      <c r="CV1479" s="41">
        <v>4</v>
      </c>
      <c r="CW1479" s="41">
        <v>0.11332468572476186</v>
      </c>
      <c r="CX1479" s="41" t="e">
        <v>#N/A</v>
      </c>
      <c r="CY1479" s="41" t="e">
        <v>#N/A</v>
      </c>
      <c r="CZ1479" s="47" t="e">
        <v>#N/A</v>
      </c>
      <c r="DA1479">
        <v>0.11332468572476186</v>
      </c>
      <c r="DB1479" t="str">
        <v/>
      </c>
    </row>
    <row r="1480" spans="83:106" x14ac:dyDescent="0.2">
      <c r="CE1480"/>
      <c r="CF1480"/>
      <c r="CG1480"/>
      <c r="CH1480"/>
      <c r="CI1480"/>
      <c r="CU1480" s="21">
        <v>1475</v>
      </c>
      <c r="CV1480" s="41">
        <v>4</v>
      </c>
      <c r="CW1480" s="41">
        <v>0.11332468572476186</v>
      </c>
      <c r="CX1480" s="41" t="e">
        <v>#N/A</v>
      </c>
      <c r="CY1480" s="41" t="e">
        <v>#N/A</v>
      </c>
      <c r="CZ1480" s="47" t="e">
        <v>#N/A</v>
      </c>
      <c r="DA1480">
        <v>0.11332468572476186</v>
      </c>
      <c r="DB1480" t="str">
        <v/>
      </c>
    </row>
    <row r="1481" spans="83:106" x14ac:dyDescent="0.2">
      <c r="CE1481"/>
      <c r="CF1481"/>
      <c r="CG1481"/>
      <c r="CH1481"/>
      <c r="CI1481"/>
      <c r="CU1481" s="21">
        <v>1476</v>
      </c>
      <c r="CV1481" s="41">
        <v>4</v>
      </c>
      <c r="CW1481" s="41">
        <v>0.11332468572476186</v>
      </c>
      <c r="CX1481" s="41" t="e">
        <v>#N/A</v>
      </c>
      <c r="CY1481" s="41" t="e">
        <v>#N/A</v>
      </c>
      <c r="CZ1481" s="47" t="e">
        <v>#N/A</v>
      </c>
      <c r="DA1481">
        <v>0.11332468572476186</v>
      </c>
      <c r="DB1481" t="str">
        <v/>
      </c>
    </row>
    <row r="1482" spans="83:106" x14ac:dyDescent="0.2">
      <c r="CE1482"/>
      <c r="CF1482"/>
      <c r="CG1482"/>
      <c r="CH1482"/>
      <c r="CI1482"/>
      <c r="CU1482" s="21">
        <v>1477</v>
      </c>
      <c r="CV1482" s="41">
        <v>4</v>
      </c>
      <c r="CW1482" s="41">
        <v>0.11332468572476186</v>
      </c>
      <c r="CX1482" s="41" t="e">
        <v>#N/A</v>
      </c>
      <c r="CY1482" s="41" t="e">
        <v>#N/A</v>
      </c>
      <c r="CZ1482" s="47" t="e">
        <v>#N/A</v>
      </c>
      <c r="DA1482">
        <v>0.11332468572476186</v>
      </c>
      <c r="DB1482" t="str">
        <v/>
      </c>
    </row>
    <row r="1483" spans="83:106" x14ac:dyDescent="0.2">
      <c r="CE1483"/>
      <c r="CF1483"/>
      <c r="CG1483"/>
      <c r="CH1483"/>
      <c r="CI1483"/>
      <c r="CU1483" s="21">
        <v>1478</v>
      </c>
      <c r="CV1483" s="41">
        <v>4</v>
      </c>
      <c r="CW1483" s="41">
        <v>0.11332468572476186</v>
      </c>
      <c r="CX1483" s="41" t="e">
        <v>#N/A</v>
      </c>
      <c r="CY1483" s="41" t="e">
        <v>#N/A</v>
      </c>
      <c r="CZ1483" s="47" t="e">
        <v>#N/A</v>
      </c>
      <c r="DA1483">
        <v>0.11332468572476186</v>
      </c>
      <c r="DB1483" t="str">
        <v/>
      </c>
    </row>
    <row r="1484" spans="83:106" x14ac:dyDescent="0.2">
      <c r="CE1484"/>
      <c r="CF1484"/>
      <c r="CG1484"/>
      <c r="CH1484"/>
      <c r="CI1484"/>
      <c r="CU1484" s="21">
        <v>1479</v>
      </c>
      <c r="CV1484" s="41">
        <v>4</v>
      </c>
      <c r="CW1484" s="41">
        <v>0.11332468572476186</v>
      </c>
      <c r="CX1484" s="41" t="e">
        <v>#N/A</v>
      </c>
      <c r="CY1484" s="41" t="e">
        <v>#N/A</v>
      </c>
      <c r="CZ1484" s="47" t="e">
        <v>#N/A</v>
      </c>
      <c r="DA1484">
        <v>0.11332468572476186</v>
      </c>
      <c r="DB1484" t="str">
        <v/>
      </c>
    </row>
    <row r="1485" spans="83:106" x14ac:dyDescent="0.2">
      <c r="CE1485"/>
      <c r="CF1485"/>
      <c r="CG1485"/>
      <c r="CH1485"/>
      <c r="CI1485"/>
      <c r="CU1485" s="21">
        <v>1480</v>
      </c>
      <c r="CV1485" s="41">
        <v>4</v>
      </c>
      <c r="CW1485" s="41">
        <v>0.11332468572476186</v>
      </c>
      <c r="CX1485" s="41" t="e">
        <v>#N/A</v>
      </c>
      <c r="CY1485" s="41" t="e">
        <v>#N/A</v>
      </c>
      <c r="CZ1485" s="47" t="e">
        <v>#N/A</v>
      </c>
      <c r="DA1485">
        <v>0.11332468572476186</v>
      </c>
      <c r="DB1485" t="str">
        <v/>
      </c>
    </row>
    <row r="1486" spans="83:106" x14ac:dyDescent="0.2">
      <c r="CE1486"/>
      <c r="CF1486"/>
      <c r="CG1486"/>
      <c r="CH1486"/>
      <c r="CI1486"/>
      <c r="CU1486" s="21">
        <v>1481</v>
      </c>
      <c r="CV1486" s="41">
        <v>4</v>
      </c>
      <c r="CW1486" s="41">
        <v>0.11332468572476186</v>
      </c>
      <c r="CX1486" s="41" t="e">
        <v>#N/A</v>
      </c>
      <c r="CY1486" s="41" t="e">
        <v>#N/A</v>
      </c>
      <c r="CZ1486" s="47" t="e">
        <v>#N/A</v>
      </c>
      <c r="DA1486">
        <v>0.11332468572476186</v>
      </c>
      <c r="DB1486" t="str">
        <v/>
      </c>
    </row>
    <row r="1487" spans="83:106" x14ac:dyDescent="0.2">
      <c r="CE1487"/>
      <c r="CF1487"/>
      <c r="CG1487"/>
      <c r="CH1487"/>
      <c r="CI1487"/>
      <c r="CU1487" s="21">
        <v>1482</v>
      </c>
      <c r="CV1487" s="41">
        <v>4</v>
      </c>
      <c r="CW1487" s="41">
        <v>0.11332468572476186</v>
      </c>
      <c r="CX1487" s="41" t="e">
        <v>#N/A</v>
      </c>
      <c r="CY1487" s="41" t="e">
        <v>#N/A</v>
      </c>
      <c r="CZ1487" s="47" t="e">
        <v>#N/A</v>
      </c>
      <c r="DA1487">
        <v>0.11332468572476186</v>
      </c>
      <c r="DB1487" t="str">
        <v/>
      </c>
    </row>
    <row r="1488" spans="83:106" x14ac:dyDescent="0.2">
      <c r="CE1488"/>
      <c r="CF1488"/>
      <c r="CG1488"/>
      <c r="CH1488"/>
      <c r="CI1488"/>
      <c r="CU1488" s="21">
        <v>1483</v>
      </c>
      <c r="CV1488" s="41">
        <v>4</v>
      </c>
      <c r="CW1488" s="41">
        <v>0.11332468572476186</v>
      </c>
      <c r="CX1488" s="41" t="e">
        <v>#N/A</v>
      </c>
      <c r="CY1488" s="41" t="e">
        <v>#N/A</v>
      </c>
      <c r="CZ1488" s="47" t="e">
        <v>#N/A</v>
      </c>
      <c r="DA1488">
        <v>0.11332468572476186</v>
      </c>
      <c r="DB1488" t="str">
        <v/>
      </c>
    </row>
    <row r="1489" spans="83:106" x14ac:dyDescent="0.2">
      <c r="CE1489"/>
      <c r="CF1489"/>
      <c r="CG1489"/>
      <c r="CH1489"/>
      <c r="CI1489"/>
      <c r="CU1489" s="21">
        <v>1484</v>
      </c>
      <c r="CV1489" s="41">
        <v>4</v>
      </c>
      <c r="CW1489" s="41">
        <v>0.11332468572476186</v>
      </c>
      <c r="CX1489" s="41" t="e">
        <v>#N/A</v>
      </c>
      <c r="CY1489" s="41" t="e">
        <v>#N/A</v>
      </c>
      <c r="CZ1489" s="47" t="e">
        <v>#N/A</v>
      </c>
      <c r="DA1489">
        <v>0.11332468572476186</v>
      </c>
      <c r="DB1489" t="str">
        <v/>
      </c>
    </row>
    <row r="1490" spans="83:106" x14ac:dyDescent="0.2">
      <c r="CE1490"/>
      <c r="CF1490"/>
      <c r="CG1490"/>
      <c r="CH1490"/>
      <c r="CI1490"/>
      <c r="CU1490" s="21">
        <v>1485</v>
      </c>
      <c r="CV1490" s="41">
        <v>4</v>
      </c>
      <c r="CW1490" s="41">
        <v>0.11332468572476186</v>
      </c>
      <c r="CX1490" s="41" t="e">
        <v>#N/A</v>
      </c>
      <c r="CY1490" s="41" t="e">
        <v>#N/A</v>
      </c>
      <c r="CZ1490" s="47" t="e">
        <v>#N/A</v>
      </c>
      <c r="DA1490">
        <v>0.11332468572476186</v>
      </c>
      <c r="DB1490" t="str">
        <v/>
      </c>
    </row>
    <row r="1491" spans="83:106" x14ac:dyDescent="0.2">
      <c r="CE1491"/>
      <c r="CF1491"/>
      <c r="CG1491"/>
      <c r="CH1491"/>
      <c r="CI1491"/>
      <c r="CU1491" s="21">
        <v>1486</v>
      </c>
      <c r="CV1491" s="41">
        <v>4</v>
      </c>
      <c r="CW1491" s="41">
        <v>0.11332468572476186</v>
      </c>
      <c r="CX1491" s="41" t="e">
        <v>#N/A</v>
      </c>
      <c r="CY1491" s="41" t="e">
        <v>#N/A</v>
      </c>
      <c r="CZ1491" s="47" t="e">
        <v>#N/A</v>
      </c>
      <c r="DA1491">
        <v>0.11332468572476186</v>
      </c>
      <c r="DB1491" t="str">
        <v/>
      </c>
    </row>
    <row r="1492" spans="83:106" x14ac:dyDescent="0.2">
      <c r="CE1492"/>
      <c r="CF1492"/>
      <c r="CG1492"/>
      <c r="CH1492"/>
      <c r="CI1492"/>
      <c r="CU1492" s="21">
        <v>1487</v>
      </c>
      <c r="CV1492" s="41">
        <v>4</v>
      </c>
      <c r="CW1492" s="41">
        <v>0.11332468572476186</v>
      </c>
      <c r="CX1492" s="41" t="e">
        <v>#N/A</v>
      </c>
      <c r="CY1492" s="41" t="e">
        <v>#N/A</v>
      </c>
      <c r="CZ1492" s="47" t="e">
        <v>#N/A</v>
      </c>
      <c r="DA1492">
        <v>0.11332468572476186</v>
      </c>
      <c r="DB1492" t="str">
        <v/>
      </c>
    </row>
    <row r="1493" spans="83:106" x14ac:dyDescent="0.2">
      <c r="CE1493"/>
      <c r="CF1493"/>
      <c r="CG1493"/>
      <c r="CH1493"/>
      <c r="CI1493"/>
      <c r="CU1493" s="21">
        <v>1488</v>
      </c>
      <c r="CV1493" s="41">
        <v>4</v>
      </c>
      <c r="CW1493" s="41">
        <v>0.11332468572476186</v>
      </c>
      <c r="CX1493" s="41" t="e">
        <v>#N/A</v>
      </c>
      <c r="CY1493" s="41" t="e">
        <v>#N/A</v>
      </c>
      <c r="CZ1493" s="47" t="e">
        <v>#N/A</v>
      </c>
      <c r="DA1493">
        <v>0.11332468572476186</v>
      </c>
      <c r="DB1493" t="str">
        <v/>
      </c>
    </row>
    <row r="1494" spans="83:106" x14ac:dyDescent="0.2">
      <c r="CE1494"/>
      <c r="CF1494"/>
      <c r="CG1494"/>
      <c r="CH1494"/>
      <c r="CI1494"/>
      <c r="CU1494" s="21">
        <v>1489</v>
      </c>
      <c r="CV1494" s="41">
        <v>4</v>
      </c>
      <c r="CW1494" s="41">
        <v>0.11332468572476186</v>
      </c>
      <c r="CX1494" s="41" t="e">
        <v>#N/A</v>
      </c>
      <c r="CY1494" s="41" t="e">
        <v>#N/A</v>
      </c>
      <c r="CZ1494" s="47" t="e">
        <v>#N/A</v>
      </c>
      <c r="DA1494">
        <v>0.11332468572476186</v>
      </c>
      <c r="DB1494" t="str">
        <v/>
      </c>
    </row>
    <row r="1495" spans="83:106" x14ac:dyDescent="0.2">
      <c r="CE1495"/>
      <c r="CF1495"/>
      <c r="CG1495"/>
      <c r="CH1495"/>
      <c r="CI1495"/>
      <c r="CU1495" s="21">
        <v>1490</v>
      </c>
      <c r="CV1495" s="41">
        <v>4</v>
      </c>
      <c r="CW1495" s="41">
        <v>0.11332468572476186</v>
      </c>
      <c r="CX1495" s="41" t="e">
        <v>#N/A</v>
      </c>
      <c r="CY1495" s="41" t="e">
        <v>#N/A</v>
      </c>
      <c r="CZ1495" s="47" t="e">
        <v>#N/A</v>
      </c>
      <c r="DA1495">
        <v>0.11332468572476186</v>
      </c>
      <c r="DB1495" t="str">
        <v/>
      </c>
    </row>
    <row r="1496" spans="83:106" x14ac:dyDescent="0.2">
      <c r="CE1496"/>
      <c r="CF1496"/>
      <c r="CG1496"/>
      <c r="CH1496"/>
      <c r="CI1496"/>
      <c r="CU1496" s="21">
        <v>1491</v>
      </c>
      <c r="CV1496" s="41">
        <v>4</v>
      </c>
      <c r="CW1496" s="41">
        <v>0.11332468572476186</v>
      </c>
      <c r="CX1496" s="41" t="e">
        <v>#N/A</v>
      </c>
      <c r="CY1496" s="41" t="e">
        <v>#N/A</v>
      </c>
      <c r="CZ1496" s="47" t="e">
        <v>#N/A</v>
      </c>
      <c r="DA1496">
        <v>0.11332468572476186</v>
      </c>
      <c r="DB1496" t="str">
        <v/>
      </c>
    </row>
    <row r="1497" spans="83:106" x14ac:dyDescent="0.2">
      <c r="CE1497"/>
      <c r="CF1497"/>
      <c r="CG1497"/>
      <c r="CH1497"/>
      <c r="CI1497"/>
      <c r="CU1497" s="21">
        <v>1492</v>
      </c>
      <c r="CV1497" s="41">
        <v>4</v>
      </c>
      <c r="CW1497" s="41">
        <v>0.11332468572476186</v>
      </c>
      <c r="CX1497" s="41" t="e">
        <v>#N/A</v>
      </c>
      <c r="CY1497" s="41" t="e">
        <v>#N/A</v>
      </c>
      <c r="CZ1497" s="47" t="e">
        <v>#N/A</v>
      </c>
      <c r="DA1497">
        <v>0.11332468572476186</v>
      </c>
      <c r="DB1497" t="str">
        <v/>
      </c>
    </row>
    <row r="1498" spans="83:106" x14ac:dyDescent="0.2">
      <c r="CE1498"/>
      <c r="CF1498"/>
      <c r="CG1498"/>
      <c r="CH1498"/>
      <c r="CI1498"/>
      <c r="CU1498" s="21">
        <v>1493</v>
      </c>
      <c r="CV1498" s="41">
        <v>4</v>
      </c>
      <c r="CW1498" s="41">
        <v>0.11332468572476186</v>
      </c>
      <c r="CX1498" s="41" t="e">
        <v>#N/A</v>
      </c>
      <c r="CY1498" s="41" t="e">
        <v>#N/A</v>
      </c>
      <c r="CZ1498" s="47" t="e">
        <v>#N/A</v>
      </c>
      <c r="DA1498">
        <v>0.11332468572476186</v>
      </c>
      <c r="DB1498" t="str">
        <v/>
      </c>
    </row>
    <row r="1499" spans="83:106" x14ac:dyDescent="0.2">
      <c r="CE1499"/>
      <c r="CF1499"/>
      <c r="CG1499"/>
      <c r="CH1499"/>
      <c r="CI1499"/>
      <c r="CU1499" s="21">
        <v>1494</v>
      </c>
      <c r="CV1499" s="41">
        <v>4</v>
      </c>
      <c r="CW1499" s="41">
        <v>0.11332468572476186</v>
      </c>
      <c r="CX1499" s="41" t="e">
        <v>#N/A</v>
      </c>
      <c r="CY1499" s="41" t="e">
        <v>#N/A</v>
      </c>
      <c r="CZ1499" s="47" t="e">
        <v>#N/A</v>
      </c>
      <c r="DA1499">
        <v>0.11332468572476186</v>
      </c>
      <c r="DB1499" t="str">
        <v/>
      </c>
    </row>
    <row r="1500" spans="83:106" x14ac:dyDescent="0.2">
      <c r="CE1500"/>
      <c r="CF1500"/>
      <c r="CG1500"/>
      <c r="CH1500"/>
      <c r="CI1500"/>
      <c r="CU1500" s="21">
        <v>1495</v>
      </c>
      <c r="CV1500" s="41">
        <v>4</v>
      </c>
      <c r="CW1500" s="41">
        <v>0.11332468572476186</v>
      </c>
      <c r="CX1500" s="41" t="e">
        <v>#N/A</v>
      </c>
      <c r="CY1500" s="41" t="e">
        <v>#N/A</v>
      </c>
      <c r="CZ1500" s="47" t="e">
        <v>#N/A</v>
      </c>
      <c r="DA1500">
        <v>0.11332468572476186</v>
      </c>
      <c r="DB1500" t="str">
        <v/>
      </c>
    </row>
    <row r="1501" spans="83:106" x14ac:dyDescent="0.2">
      <c r="CE1501"/>
      <c r="CF1501"/>
      <c r="CG1501"/>
      <c r="CH1501"/>
      <c r="CI1501"/>
      <c r="CU1501" s="21">
        <v>1496</v>
      </c>
      <c r="CV1501" s="41">
        <v>4</v>
      </c>
      <c r="CW1501" s="41">
        <v>0.11332468572476186</v>
      </c>
      <c r="CX1501" s="41" t="e">
        <v>#N/A</v>
      </c>
      <c r="CY1501" s="41" t="e">
        <v>#N/A</v>
      </c>
      <c r="CZ1501" s="47" t="e">
        <v>#N/A</v>
      </c>
      <c r="DA1501">
        <v>0.11332468572476186</v>
      </c>
      <c r="DB1501" t="str">
        <v/>
      </c>
    </row>
    <row r="1502" spans="83:106" x14ac:dyDescent="0.2">
      <c r="CE1502"/>
      <c r="CF1502"/>
      <c r="CG1502"/>
      <c r="CH1502"/>
      <c r="CI1502"/>
      <c r="CU1502" s="21">
        <v>1497</v>
      </c>
      <c r="CV1502" s="41">
        <v>4</v>
      </c>
      <c r="CW1502" s="41">
        <v>0.11332468572476186</v>
      </c>
      <c r="CX1502" s="41" t="e">
        <v>#N/A</v>
      </c>
      <c r="CY1502" s="41" t="e">
        <v>#N/A</v>
      </c>
      <c r="CZ1502" s="47" t="e">
        <v>#N/A</v>
      </c>
      <c r="DA1502">
        <v>0.11332468572476186</v>
      </c>
      <c r="DB1502" t="str">
        <v/>
      </c>
    </row>
    <row r="1503" spans="83:106" x14ac:dyDescent="0.2">
      <c r="CE1503"/>
      <c r="CF1503"/>
      <c r="CG1503"/>
      <c r="CH1503"/>
      <c r="CI1503"/>
      <c r="CU1503" s="21">
        <v>1498</v>
      </c>
      <c r="CV1503" s="41">
        <v>4</v>
      </c>
      <c r="CW1503" s="41">
        <v>0.11332468572476186</v>
      </c>
      <c r="CX1503" s="41" t="e">
        <v>#N/A</v>
      </c>
      <c r="CY1503" s="41" t="e">
        <v>#N/A</v>
      </c>
      <c r="CZ1503" s="47" t="e">
        <v>#N/A</v>
      </c>
      <c r="DA1503">
        <v>0.11332468572476186</v>
      </c>
      <c r="DB1503" t="str">
        <v/>
      </c>
    </row>
    <row r="1504" spans="83:106" x14ac:dyDescent="0.2">
      <c r="CE1504"/>
      <c r="CF1504"/>
      <c r="CG1504"/>
      <c r="CH1504"/>
      <c r="CI1504"/>
      <c r="CU1504" s="21">
        <v>1499</v>
      </c>
      <c r="CV1504" s="41">
        <v>4</v>
      </c>
      <c r="CW1504" s="41">
        <v>0.11332468572476186</v>
      </c>
      <c r="CX1504" s="41" t="e">
        <v>#N/A</v>
      </c>
      <c r="CY1504" s="41" t="e">
        <v>#N/A</v>
      </c>
      <c r="CZ1504" s="47" t="e">
        <v>#N/A</v>
      </c>
      <c r="DA1504">
        <v>0.11332468572476186</v>
      </c>
      <c r="DB1504" t="str">
        <v/>
      </c>
    </row>
    <row r="1505" spans="83:106" x14ac:dyDescent="0.2">
      <c r="CE1505"/>
      <c r="CF1505"/>
      <c r="CG1505"/>
      <c r="CH1505"/>
      <c r="CI1505"/>
      <c r="CU1505" s="21">
        <v>1500</v>
      </c>
      <c r="CV1505" s="41">
        <v>4</v>
      </c>
      <c r="CW1505" s="41">
        <v>0.11332468572476186</v>
      </c>
      <c r="CX1505" s="41" t="e">
        <v>#N/A</v>
      </c>
      <c r="CY1505" s="41" t="e">
        <v>#N/A</v>
      </c>
      <c r="CZ1505" s="47" t="e">
        <v>#N/A</v>
      </c>
      <c r="DA1505">
        <v>0.11332468572476186</v>
      </c>
      <c r="DB1505" t="str">
        <v/>
      </c>
    </row>
    <row r="1506" spans="83:106" x14ac:dyDescent="0.2">
      <c r="CE1506"/>
      <c r="CF1506"/>
      <c r="CG1506"/>
      <c r="CH1506"/>
      <c r="CI1506"/>
      <c r="CU1506" s="21">
        <v>1501</v>
      </c>
      <c r="CV1506" s="41">
        <v>4</v>
      </c>
      <c r="CW1506" s="41">
        <v>0.11332468572476186</v>
      </c>
      <c r="CX1506" s="41" t="e">
        <v>#N/A</v>
      </c>
      <c r="CY1506" s="41" t="e">
        <v>#N/A</v>
      </c>
      <c r="CZ1506" s="47" t="e">
        <v>#N/A</v>
      </c>
      <c r="DA1506">
        <v>0.11332468572476186</v>
      </c>
      <c r="DB1506" t="str">
        <v/>
      </c>
    </row>
    <row r="1507" spans="83:106" x14ac:dyDescent="0.2">
      <c r="CE1507"/>
      <c r="CF1507"/>
      <c r="CG1507"/>
      <c r="CH1507"/>
      <c r="CI1507"/>
      <c r="CU1507" s="21">
        <v>1502</v>
      </c>
      <c r="CV1507" s="41">
        <v>4</v>
      </c>
      <c r="CW1507" s="41">
        <v>0.11332468572476186</v>
      </c>
      <c r="CX1507" s="41" t="e">
        <v>#N/A</v>
      </c>
      <c r="CY1507" s="41" t="e">
        <v>#N/A</v>
      </c>
      <c r="CZ1507" s="47" t="e">
        <v>#N/A</v>
      </c>
      <c r="DA1507">
        <v>0.11332468572476186</v>
      </c>
      <c r="DB1507" t="str">
        <v/>
      </c>
    </row>
    <row r="1508" spans="83:106" x14ac:dyDescent="0.2">
      <c r="CE1508"/>
      <c r="CF1508"/>
      <c r="CG1508"/>
      <c r="CH1508"/>
      <c r="CI1508"/>
      <c r="CU1508" s="21">
        <v>1503</v>
      </c>
      <c r="CV1508" s="41">
        <v>4</v>
      </c>
      <c r="CW1508" s="41">
        <v>0.11332468572476186</v>
      </c>
      <c r="CX1508" s="41" t="e">
        <v>#N/A</v>
      </c>
      <c r="CY1508" s="41" t="e">
        <v>#N/A</v>
      </c>
      <c r="CZ1508" s="47" t="e">
        <v>#N/A</v>
      </c>
      <c r="DA1508">
        <v>0.11332468572476186</v>
      </c>
      <c r="DB1508" t="str">
        <v/>
      </c>
    </row>
    <row r="1509" spans="83:106" x14ac:dyDescent="0.2">
      <c r="CE1509"/>
      <c r="CF1509"/>
      <c r="CG1509"/>
      <c r="CH1509"/>
      <c r="CI1509"/>
      <c r="CU1509" s="21">
        <v>1504</v>
      </c>
      <c r="CV1509" s="41">
        <v>4</v>
      </c>
      <c r="CW1509" s="41">
        <v>0.11332468572476186</v>
      </c>
      <c r="CX1509" s="41" t="e">
        <v>#N/A</v>
      </c>
      <c r="CY1509" s="41" t="e">
        <v>#N/A</v>
      </c>
      <c r="CZ1509" s="47" t="e">
        <v>#N/A</v>
      </c>
      <c r="DA1509">
        <v>0.11332468572476186</v>
      </c>
      <c r="DB1509" t="str">
        <v/>
      </c>
    </row>
    <row r="1510" spans="83:106" x14ac:dyDescent="0.2">
      <c r="CE1510"/>
      <c r="CF1510"/>
      <c r="CG1510"/>
      <c r="CH1510"/>
      <c r="CI1510"/>
      <c r="CU1510" s="21">
        <v>1505</v>
      </c>
      <c r="CV1510" s="41">
        <v>4</v>
      </c>
      <c r="CW1510" s="41">
        <v>0.11332468572476186</v>
      </c>
      <c r="CX1510" s="41" t="e">
        <v>#N/A</v>
      </c>
      <c r="CY1510" s="41" t="e">
        <v>#N/A</v>
      </c>
      <c r="CZ1510" s="47" t="e">
        <v>#N/A</v>
      </c>
      <c r="DA1510">
        <v>0.11332468572476186</v>
      </c>
      <c r="DB1510" t="str">
        <v/>
      </c>
    </row>
    <row r="1511" spans="83:106" x14ac:dyDescent="0.2">
      <c r="CE1511"/>
      <c r="CF1511"/>
      <c r="CG1511"/>
      <c r="CH1511"/>
      <c r="CI1511"/>
      <c r="CU1511" s="21">
        <v>1506</v>
      </c>
      <c r="CV1511" s="41">
        <v>4</v>
      </c>
      <c r="CW1511" s="41">
        <v>0.11332468572476186</v>
      </c>
      <c r="CX1511" s="41" t="e">
        <v>#N/A</v>
      </c>
      <c r="CY1511" s="41" t="e">
        <v>#N/A</v>
      </c>
      <c r="CZ1511" s="47" t="e">
        <v>#N/A</v>
      </c>
      <c r="DA1511">
        <v>0.11332468572476186</v>
      </c>
      <c r="DB1511" t="str">
        <v/>
      </c>
    </row>
    <row r="1512" spans="83:106" x14ac:dyDescent="0.2">
      <c r="CE1512"/>
      <c r="CF1512"/>
      <c r="CG1512"/>
      <c r="CH1512"/>
      <c r="CI1512"/>
      <c r="CU1512" s="21">
        <v>1507</v>
      </c>
      <c r="CV1512" s="41">
        <v>4</v>
      </c>
      <c r="CW1512" s="41">
        <v>0.11332468572476186</v>
      </c>
      <c r="CX1512" s="41" t="e">
        <v>#N/A</v>
      </c>
      <c r="CY1512" s="41" t="e">
        <v>#N/A</v>
      </c>
      <c r="CZ1512" s="47" t="e">
        <v>#N/A</v>
      </c>
      <c r="DA1512">
        <v>0.11332468572476186</v>
      </c>
      <c r="DB1512" t="str">
        <v/>
      </c>
    </row>
    <row r="1513" spans="83:106" x14ac:dyDescent="0.2">
      <c r="CE1513"/>
      <c r="CF1513"/>
      <c r="CG1513"/>
      <c r="CH1513"/>
      <c r="CI1513"/>
      <c r="CU1513" s="21">
        <v>1508</v>
      </c>
      <c r="CV1513" s="41">
        <v>4</v>
      </c>
      <c r="CW1513" s="41">
        <v>0.11332468572476186</v>
      </c>
      <c r="CX1513" s="41" t="e">
        <v>#N/A</v>
      </c>
      <c r="CY1513" s="41" t="e">
        <v>#N/A</v>
      </c>
      <c r="CZ1513" s="47" t="e">
        <v>#N/A</v>
      </c>
      <c r="DA1513">
        <v>0.11332468572476186</v>
      </c>
      <c r="DB1513" t="str">
        <v/>
      </c>
    </row>
    <row r="1514" spans="83:106" x14ac:dyDescent="0.2">
      <c r="CE1514"/>
      <c r="CF1514"/>
      <c r="CG1514"/>
      <c r="CH1514"/>
      <c r="CI1514"/>
      <c r="CU1514" s="21">
        <v>1509</v>
      </c>
      <c r="CV1514" s="41">
        <v>4</v>
      </c>
      <c r="CW1514" s="41">
        <v>0.11332468572476186</v>
      </c>
      <c r="CX1514" s="41" t="e">
        <v>#N/A</v>
      </c>
      <c r="CY1514" s="41" t="e">
        <v>#N/A</v>
      </c>
      <c r="CZ1514" s="47" t="e">
        <v>#N/A</v>
      </c>
      <c r="DA1514">
        <v>0.11332468572476186</v>
      </c>
      <c r="DB1514" t="str">
        <v/>
      </c>
    </row>
    <row r="1515" spans="83:106" x14ac:dyDescent="0.2">
      <c r="CE1515"/>
      <c r="CF1515"/>
      <c r="CG1515"/>
      <c r="CH1515"/>
      <c r="CI1515"/>
      <c r="CU1515" s="21">
        <v>1510</v>
      </c>
      <c r="CV1515" s="41">
        <v>4</v>
      </c>
      <c r="CW1515" s="41">
        <v>0.11332468572476186</v>
      </c>
      <c r="CX1515" s="41" t="e">
        <v>#N/A</v>
      </c>
      <c r="CY1515" s="41" t="e">
        <v>#N/A</v>
      </c>
      <c r="CZ1515" s="47" t="e">
        <v>#N/A</v>
      </c>
      <c r="DA1515">
        <v>0.11332468572476186</v>
      </c>
      <c r="DB1515" t="str">
        <v/>
      </c>
    </row>
    <row r="1516" spans="83:106" x14ac:dyDescent="0.2">
      <c r="CE1516"/>
      <c r="CF1516"/>
      <c r="CG1516"/>
      <c r="CH1516"/>
      <c r="CI1516"/>
      <c r="CU1516" s="21">
        <v>1511</v>
      </c>
      <c r="CV1516" s="41">
        <v>4</v>
      </c>
      <c r="CW1516" s="41">
        <v>0.11332468572476186</v>
      </c>
      <c r="CX1516" s="41" t="e">
        <v>#N/A</v>
      </c>
      <c r="CY1516" s="41" t="e">
        <v>#N/A</v>
      </c>
      <c r="CZ1516" s="47" t="e">
        <v>#N/A</v>
      </c>
      <c r="DA1516">
        <v>0.11332468572476186</v>
      </c>
      <c r="DB1516" t="str">
        <v/>
      </c>
    </row>
    <row r="1517" spans="83:106" x14ac:dyDescent="0.2">
      <c r="CE1517"/>
      <c r="CF1517"/>
      <c r="CG1517"/>
      <c r="CH1517"/>
      <c r="CI1517"/>
      <c r="CU1517" s="21">
        <v>1512</v>
      </c>
      <c r="CV1517" s="41">
        <v>4</v>
      </c>
      <c r="CW1517" s="41">
        <v>0.11332468572476186</v>
      </c>
      <c r="CX1517" s="41" t="e">
        <v>#N/A</v>
      </c>
      <c r="CY1517" s="41" t="e">
        <v>#N/A</v>
      </c>
      <c r="CZ1517" s="47" t="e">
        <v>#N/A</v>
      </c>
      <c r="DA1517">
        <v>0.11332468572476186</v>
      </c>
      <c r="DB1517" t="str">
        <v/>
      </c>
    </row>
    <row r="1518" spans="83:106" x14ac:dyDescent="0.2">
      <c r="CE1518"/>
      <c r="CF1518"/>
      <c r="CG1518"/>
      <c r="CH1518"/>
      <c r="CI1518"/>
      <c r="CU1518" s="21">
        <v>1513</v>
      </c>
      <c r="CV1518" s="41">
        <v>4</v>
      </c>
      <c r="CW1518" s="41">
        <v>0.11332468572476186</v>
      </c>
      <c r="CX1518" s="41" t="e">
        <v>#N/A</v>
      </c>
      <c r="CY1518" s="41" t="e">
        <v>#N/A</v>
      </c>
      <c r="CZ1518" s="47" t="e">
        <v>#N/A</v>
      </c>
      <c r="DA1518">
        <v>0.11332468572476186</v>
      </c>
      <c r="DB1518" t="str">
        <v/>
      </c>
    </row>
    <row r="1519" spans="83:106" x14ac:dyDescent="0.2">
      <c r="CE1519"/>
      <c r="CF1519"/>
      <c r="CG1519"/>
      <c r="CH1519"/>
      <c r="CI1519"/>
      <c r="CU1519" s="21">
        <v>1514</v>
      </c>
      <c r="CV1519" s="41">
        <v>4</v>
      </c>
      <c r="CW1519" s="41">
        <v>0.11332468572476186</v>
      </c>
      <c r="CX1519" s="41" t="e">
        <v>#N/A</v>
      </c>
      <c r="CY1519" s="41" t="e">
        <v>#N/A</v>
      </c>
      <c r="CZ1519" s="47" t="e">
        <v>#N/A</v>
      </c>
      <c r="DA1519">
        <v>0.11332468572476186</v>
      </c>
      <c r="DB1519" t="str">
        <v/>
      </c>
    </row>
    <row r="1520" spans="83:106" x14ac:dyDescent="0.2">
      <c r="CE1520"/>
      <c r="CF1520"/>
      <c r="CG1520"/>
      <c r="CH1520"/>
      <c r="CI1520"/>
      <c r="CU1520" s="21">
        <v>1515</v>
      </c>
      <c r="CV1520" s="41">
        <v>4</v>
      </c>
      <c r="CW1520" s="41">
        <v>0.11332468572476186</v>
      </c>
      <c r="CX1520" s="41" t="e">
        <v>#N/A</v>
      </c>
      <c r="CY1520" s="41" t="e">
        <v>#N/A</v>
      </c>
      <c r="CZ1520" s="47" t="e">
        <v>#N/A</v>
      </c>
      <c r="DA1520">
        <v>0.11332468572476186</v>
      </c>
      <c r="DB1520" t="str">
        <v/>
      </c>
    </row>
    <row r="1521" spans="83:106" x14ac:dyDescent="0.2">
      <c r="CE1521"/>
      <c r="CF1521"/>
      <c r="CG1521"/>
      <c r="CH1521"/>
      <c r="CI1521"/>
      <c r="CU1521" s="21">
        <v>1516</v>
      </c>
      <c r="CV1521" s="41">
        <v>4</v>
      </c>
      <c r="CW1521" s="41">
        <v>0.11332468572476186</v>
      </c>
      <c r="CX1521" s="41" t="e">
        <v>#N/A</v>
      </c>
      <c r="CY1521" s="41" t="e">
        <v>#N/A</v>
      </c>
      <c r="CZ1521" s="47" t="e">
        <v>#N/A</v>
      </c>
      <c r="DA1521">
        <v>0.11332468572476186</v>
      </c>
      <c r="DB1521" t="str">
        <v/>
      </c>
    </row>
    <row r="1522" spans="83:106" x14ac:dyDescent="0.2">
      <c r="CE1522"/>
      <c r="CF1522"/>
      <c r="CG1522"/>
      <c r="CH1522"/>
      <c r="CI1522"/>
      <c r="CU1522" s="21">
        <v>1517</v>
      </c>
      <c r="CV1522" s="41">
        <v>4</v>
      </c>
      <c r="CW1522" s="41">
        <v>0.11332468572476186</v>
      </c>
      <c r="CX1522" s="41" t="e">
        <v>#N/A</v>
      </c>
      <c r="CY1522" s="41" t="e">
        <v>#N/A</v>
      </c>
      <c r="CZ1522" s="47" t="e">
        <v>#N/A</v>
      </c>
      <c r="DA1522">
        <v>0.11332468572476186</v>
      </c>
      <c r="DB1522" t="str">
        <v/>
      </c>
    </row>
    <row r="1523" spans="83:106" x14ac:dyDescent="0.2">
      <c r="CE1523"/>
      <c r="CF1523"/>
      <c r="CG1523"/>
      <c r="CH1523"/>
      <c r="CI1523"/>
      <c r="CU1523" s="21">
        <v>1518</v>
      </c>
      <c r="CV1523" s="41">
        <v>4</v>
      </c>
      <c r="CW1523" s="41">
        <v>0.11332468572476186</v>
      </c>
      <c r="CX1523" s="41" t="e">
        <v>#N/A</v>
      </c>
      <c r="CY1523" s="41" t="e">
        <v>#N/A</v>
      </c>
      <c r="CZ1523" s="47" t="e">
        <v>#N/A</v>
      </c>
      <c r="DA1523">
        <v>0.11332468572476186</v>
      </c>
      <c r="DB1523" t="str">
        <v/>
      </c>
    </row>
    <row r="1524" spans="83:106" x14ac:dyDescent="0.2">
      <c r="CE1524"/>
      <c r="CF1524"/>
      <c r="CG1524"/>
      <c r="CH1524"/>
      <c r="CI1524"/>
      <c r="CU1524" s="21">
        <v>1519</v>
      </c>
      <c r="CV1524" s="41">
        <v>4</v>
      </c>
      <c r="CW1524" s="41">
        <v>0.11332468572476186</v>
      </c>
      <c r="CX1524" s="41" t="e">
        <v>#N/A</v>
      </c>
      <c r="CY1524" s="41" t="e">
        <v>#N/A</v>
      </c>
      <c r="CZ1524" s="47" t="e">
        <v>#N/A</v>
      </c>
      <c r="DA1524">
        <v>0.11332468572476186</v>
      </c>
      <c r="DB1524" t="str">
        <v/>
      </c>
    </row>
    <row r="1525" spans="83:106" x14ac:dyDescent="0.2">
      <c r="CE1525"/>
      <c r="CF1525"/>
      <c r="CG1525"/>
      <c r="CH1525"/>
      <c r="CI1525"/>
      <c r="CU1525" s="21">
        <v>1520</v>
      </c>
      <c r="CV1525" s="41">
        <v>4</v>
      </c>
      <c r="CW1525" s="41">
        <v>0.11332468572476186</v>
      </c>
      <c r="CX1525" s="41" t="e">
        <v>#N/A</v>
      </c>
      <c r="CY1525" s="41" t="e">
        <v>#N/A</v>
      </c>
      <c r="CZ1525" s="47" t="e">
        <v>#N/A</v>
      </c>
      <c r="DA1525">
        <v>0.11332468572476186</v>
      </c>
      <c r="DB1525" t="str">
        <v/>
      </c>
    </row>
    <row r="1526" spans="83:106" x14ac:dyDescent="0.2">
      <c r="CE1526"/>
      <c r="CF1526"/>
      <c r="CG1526"/>
      <c r="CH1526"/>
      <c r="CI1526"/>
      <c r="CU1526" s="21">
        <v>1521</v>
      </c>
      <c r="CV1526" s="41">
        <v>4</v>
      </c>
      <c r="CW1526" s="41">
        <v>0.11332468572476186</v>
      </c>
      <c r="CX1526" s="41" t="e">
        <v>#N/A</v>
      </c>
      <c r="CY1526" s="41" t="e">
        <v>#N/A</v>
      </c>
      <c r="CZ1526" s="47" t="e">
        <v>#N/A</v>
      </c>
      <c r="DA1526">
        <v>0.11332468572476186</v>
      </c>
      <c r="DB1526" t="str">
        <v/>
      </c>
    </row>
    <row r="1527" spans="83:106" x14ac:dyDescent="0.2">
      <c r="CE1527"/>
      <c r="CF1527"/>
      <c r="CG1527"/>
      <c r="CH1527"/>
      <c r="CI1527"/>
      <c r="CU1527" s="21">
        <v>1522</v>
      </c>
      <c r="CV1527" s="41">
        <v>4</v>
      </c>
      <c r="CW1527" s="41">
        <v>0.11332468572476186</v>
      </c>
      <c r="CX1527" s="41" t="e">
        <v>#N/A</v>
      </c>
      <c r="CY1527" s="41" t="e">
        <v>#N/A</v>
      </c>
      <c r="CZ1527" s="47" t="e">
        <v>#N/A</v>
      </c>
      <c r="DA1527">
        <v>0.11332468572476186</v>
      </c>
      <c r="DB1527" t="str">
        <v/>
      </c>
    </row>
    <row r="1528" spans="83:106" x14ac:dyDescent="0.2">
      <c r="CE1528"/>
      <c r="CF1528"/>
      <c r="CG1528"/>
      <c r="CH1528"/>
      <c r="CI1528"/>
      <c r="CU1528" s="21">
        <v>1523</v>
      </c>
      <c r="CV1528" s="41">
        <v>4</v>
      </c>
      <c r="CW1528" s="41">
        <v>0.11332468572476186</v>
      </c>
      <c r="CX1528" s="41" t="e">
        <v>#N/A</v>
      </c>
      <c r="CY1528" s="41" t="e">
        <v>#N/A</v>
      </c>
      <c r="CZ1528" s="47" t="e">
        <v>#N/A</v>
      </c>
      <c r="DA1528">
        <v>0.11332468572476186</v>
      </c>
      <c r="DB1528" t="str">
        <v/>
      </c>
    </row>
    <row r="1529" spans="83:106" x14ac:dyDescent="0.2">
      <c r="CE1529"/>
      <c r="CF1529"/>
      <c r="CG1529"/>
      <c r="CH1529"/>
      <c r="CI1529"/>
      <c r="CU1529" s="21">
        <v>1524</v>
      </c>
      <c r="CV1529" s="41">
        <v>4</v>
      </c>
      <c r="CW1529" s="41">
        <v>0.11332468572476186</v>
      </c>
      <c r="CX1529" s="41" t="e">
        <v>#N/A</v>
      </c>
      <c r="CY1529" s="41" t="e">
        <v>#N/A</v>
      </c>
      <c r="CZ1529" s="47" t="e">
        <v>#N/A</v>
      </c>
      <c r="DA1529">
        <v>0.11332468572476186</v>
      </c>
      <c r="DB1529" t="str">
        <v/>
      </c>
    </row>
    <row r="1530" spans="83:106" x14ac:dyDescent="0.2">
      <c r="CE1530"/>
      <c r="CF1530"/>
      <c r="CG1530"/>
      <c r="CH1530"/>
      <c r="CI1530"/>
      <c r="CU1530" s="21">
        <v>1525</v>
      </c>
      <c r="CV1530" s="41">
        <v>4</v>
      </c>
      <c r="CW1530" s="41">
        <v>0.11332468572476186</v>
      </c>
      <c r="CX1530" s="41" t="e">
        <v>#N/A</v>
      </c>
      <c r="CY1530" s="41" t="e">
        <v>#N/A</v>
      </c>
      <c r="CZ1530" s="47" t="e">
        <v>#N/A</v>
      </c>
      <c r="DA1530">
        <v>0.11332468572476186</v>
      </c>
      <c r="DB1530" t="str">
        <v/>
      </c>
    </row>
    <row r="1531" spans="83:106" x14ac:dyDescent="0.2">
      <c r="CE1531"/>
      <c r="CF1531"/>
      <c r="CG1531"/>
      <c r="CH1531"/>
      <c r="CI1531"/>
      <c r="CU1531" s="21">
        <v>1526</v>
      </c>
      <c r="CV1531" s="41">
        <v>4</v>
      </c>
      <c r="CW1531" s="41">
        <v>0.11332468572476186</v>
      </c>
      <c r="CX1531" s="41" t="e">
        <v>#N/A</v>
      </c>
      <c r="CY1531" s="41" t="e">
        <v>#N/A</v>
      </c>
      <c r="CZ1531" s="47" t="e">
        <v>#N/A</v>
      </c>
      <c r="DA1531">
        <v>0.11332468572476186</v>
      </c>
      <c r="DB1531" t="str">
        <v/>
      </c>
    </row>
    <row r="1532" spans="83:106" x14ac:dyDescent="0.2">
      <c r="CE1532"/>
      <c r="CF1532"/>
      <c r="CG1532"/>
      <c r="CH1532"/>
      <c r="CI1532"/>
      <c r="CU1532" s="21">
        <v>1527</v>
      </c>
      <c r="CV1532" s="41">
        <v>4</v>
      </c>
      <c r="CW1532" s="41">
        <v>0.11332468572476186</v>
      </c>
      <c r="CX1532" s="41" t="e">
        <v>#N/A</v>
      </c>
      <c r="CY1532" s="41" t="e">
        <v>#N/A</v>
      </c>
      <c r="CZ1532" s="47" t="e">
        <v>#N/A</v>
      </c>
      <c r="DA1532">
        <v>0.11332468572476186</v>
      </c>
      <c r="DB1532" t="str">
        <v/>
      </c>
    </row>
    <row r="1533" spans="83:106" x14ac:dyDescent="0.2">
      <c r="CE1533"/>
      <c r="CF1533"/>
      <c r="CG1533"/>
      <c r="CH1533"/>
      <c r="CI1533"/>
      <c r="CU1533" s="21">
        <v>1528</v>
      </c>
      <c r="CV1533" s="41">
        <v>4</v>
      </c>
      <c r="CW1533" s="41">
        <v>0.11332468572476186</v>
      </c>
      <c r="CX1533" s="41" t="e">
        <v>#N/A</v>
      </c>
      <c r="CY1533" s="41" t="e">
        <v>#N/A</v>
      </c>
      <c r="CZ1533" s="47" t="e">
        <v>#N/A</v>
      </c>
      <c r="DA1533">
        <v>0.11332468572476186</v>
      </c>
      <c r="DB1533" t="str">
        <v/>
      </c>
    </row>
    <row r="1534" spans="83:106" x14ac:dyDescent="0.2">
      <c r="CE1534"/>
      <c r="CF1534"/>
      <c r="CG1534"/>
      <c r="CH1534"/>
      <c r="CI1534"/>
      <c r="CU1534" s="21">
        <v>1529</v>
      </c>
      <c r="CV1534" s="41">
        <v>4</v>
      </c>
      <c r="CW1534" s="41">
        <v>0.11332468572476186</v>
      </c>
      <c r="CX1534" s="41" t="e">
        <v>#N/A</v>
      </c>
      <c r="CY1534" s="41" t="e">
        <v>#N/A</v>
      </c>
      <c r="CZ1534" s="47" t="e">
        <v>#N/A</v>
      </c>
      <c r="DA1534">
        <v>0.11332468572476186</v>
      </c>
      <c r="DB1534" t="str">
        <v/>
      </c>
    </row>
    <row r="1535" spans="83:106" x14ac:dyDescent="0.2">
      <c r="CE1535"/>
      <c r="CF1535"/>
      <c r="CG1535"/>
      <c r="CH1535"/>
      <c r="CI1535"/>
      <c r="CU1535" s="21">
        <v>1530</v>
      </c>
      <c r="CV1535" s="41">
        <v>4</v>
      </c>
      <c r="CW1535" s="41">
        <v>0.11332468572476186</v>
      </c>
      <c r="CX1535" s="41" t="e">
        <v>#N/A</v>
      </c>
      <c r="CY1535" s="41" t="e">
        <v>#N/A</v>
      </c>
      <c r="CZ1535" s="47" t="e">
        <v>#N/A</v>
      </c>
      <c r="DA1535">
        <v>0.11332468572476186</v>
      </c>
      <c r="DB1535" t="str">
        <v/>
      </c>
    </row>
    <row r="1536" spans="83:106" x14ac:dyDescent="0.2">
      <c r="CE1536"/>
      <c r="CF1536"/>
      <c r="CG1536"/>
      <c r="CH1536"/>
      <c r="CI1536"/>
      <c r="CU1536" s="21">
        <v>1531</v>
      </c>
      <c r="CV1536" s="41">
        <v>4</v>
      </c>
      <c r="CW1536" s="41">
        <v>0.11332468572476186</v>
      </c>
      <c r="CX1536" s="41" t="e">
        <v>#N/A</v>
      </c>
      <c r="CY1536" s="41" t="e">
        <v>#N/A</v>
      </c>
      <c r="CZ1536" s="47" t="e">
        <v>#N/A</v>
      </c>
      <c r="DA1536">
        <v>0.11332468572476186</v>
      </c>
      <c r="DB1536" t="str">
        <v/>
      </c>
    </row>
    <row r="1537" spans="83:106" x14ac:dyDescent="0.2">
      <c r="CE1537"/>
      <c r="CF1537"/>
      <c r="CG1537"/>
      <c r="CH1537"/>
      <c r="CI1537"/>
      <c r="CU1537" s="21">
        <v>1532</v>
      </c>
      <c r="CV1537" s="41">
        <v>4</v>
      </c>
      <c r="CW1537" s="41">
        <v>0.11332468572476186</v>
      </c>
      <c r="CX1537" s="41" t="e">
        <v>#N/A</v>
      </c>
      <c r="CY1537" s="41" t="e">
        <v>#N/A</v>
      </c>
      <c r="CZ1537" s="47" t="e">
        <v>#N/A</v>
      </c>
      <c r="DA1537">
        <v>0.11332468572476186</v>
      </c>
      <c r="DB1537" t="str">
        <v/>
      </c>
    </row>
    <row r="1538" spans="83:106" x14ac:dyDescent="0.2">
      <c r="CE1538"/>
      <c r="CF1538"/>
      <c r="CG1538"/>
      <c r="CH1538"/>
      <c r="CI1538"/>
      <c r="CU1538" s="21">
        <v>1533</v>
      </c>
      <c r="CV1538" s="41">
        <v>4</v>
      </c>
      <c r="CW1538" s="41">
        <v>0.11332468572476186</v>
      </c>
      <c r="CX1538" s="41" t="e">
        <v>#N/A</v>
      </c>
      <c r="CY1538" s="41" t="e">
        <v>#N/A</v>
      </c>
      <c r="CZ1538" s="47" t="e">
        <v>#N/A</v>
      </c>
      <c r="DA1538">
        <v>0.11332468572476186</v>
      </c>
      <c r="DB1538" t="str">
        <v/>
      </c>
    </row>
    <row r="1539" spans="83:106" x14ac:dyDescent="0.2">
      <c r="CE1539"/>
      <c r="CF1539"/>
      <c r="CG1539"/>
      <c r="CH1539"/>
      <c r="CI1539"/>
      <c r="CU1539" s="21">
        <v>1534</v>
      </c>
      <c r="CV1539" s="41">
        <v>4</v>
      </c>
      <c r="CW1539" s="41">
        <v>0.11332468572476186</v>
      </c>
      <c r="CX1539" s="41" t="e">
        <v>#N/A</v>
      </c>
      <c r="CY1539" s="41" t="e">
        <v>#N/A</v>
      </c>
      <c r="CZ1539" s="47" t="e">
        <v>#N/A</v>
      </c>
      <c r="DA1539">
        <v>0.11332468572476186</v>
      </c>
      <c r="DB1539" t="str">
        <v/>
      </c>
    </row>
    <row r="1540" spans="83:106" x14ac:dyDescent="0.2">
      <c r="CE1540"/>
      <c r="CF1540"/>
      <c r="CG1540"/>
      <c r="CH1540"/>
      <c r="CI1540"/>
      <c r="CU1540" s="21">
        <v>1535</v>
      </c>
      <c r="CV1540" s="41">
        <v>4</v>
      </c>
      <c r="CW1540" s="41">
        <v>0.11332468572476186</v>
      </c>
      <c r="CX1540" s="41" t="e">
        <v>#N/A</v>
      </c>
      <c r="CY1540" s="41" t="e">
        <v>#N/A</v>
      </c>
      <c r="CZ1540" s="47" t="e">
        <v>#N/A</v>
      </c>
      <c r="DA1540">
        <v>0.11332468572476186</v>
      </c>
      <c r="DB1540" t="str">
        <v/>
      </c>
    </row>
    <row r="1541" spans="83:106" x14ac:dyDescent="0.2">
      <c r="CE1541"/>
      <c r="CF1541"/>
      <c r="CG1541"/>
      <c r="CH1541"/>
      <c r="CI1541"/>
      <c r="CU1541" s="21">
        <v>1536</v>
      </c>
      <c r="CV1541" s="41">
        <v>4</v>
      </c>
      <c r="CW1541" s="41">
        <v>0.11332468572476186</v>
      </c>
      <c r="CX1541" s="41" t="e">
        <v>#N/A</v>
      </c>
      <c r="CY1541" s="41" t="e">
        <v>#N/A</v>
      </c>
      <c r="CZ1541" s="47" t="e">
        <v>#N/A</v>
      </c>
      <c r="DA1541">
        <v>0.11332468572476186</v>
      </c>
      <c r="DB1541" t="str">
        <v/>
      </c>
    </row>
    <row r="1542" spans="83:106" x14ac:dyDescent="0.2">
      <c r="CE1542"/>
      <c r="CF1542"/>
      <c r="CG1542"/>
      <c r="CH1542"/>
      <c r="CI1542"/>
      <c r="CU1542" s="21">
        <v>1537</v>
      </c>
      <c r="CV1542" s="41">
        <v>4</v>
      </c>
      <c r="CW1542" s="41">
        <v>0.11332468572476186</v>
      </c>
      <c r="CX1542" s="41" t="e">
        <v>#N/A</v>
      </c>
      <c r="CY1542" s="41" t="e">
        <v>#N/A</v>
      </c>
      <c r="CZ1542" s="47" t="e">
        <v>#N/A</v>
      </c>
      <c r="DA1542">
        <v>0.11332468572476186</v>
      </c>
      <c r="DB1542" t="str">
        <v/>
      </c>
    </row>
    <row r="1543" spans="83:106" x14ac:dyDescent="0.2">
      <c r="CE1543"/>
      <c r="CF1543"/>
      <c r="CG1543"/>
      <c r="CH1543"/>
      <c r="CI1543"/>
      <c r="CU1543" s="21">
        <v>1538</v>
      </c>
      <c r="CV1543" s="41">
        <v>4</v>
      </c>
      <c r="CW1543" s="41">
        <v>0.11332468572476186</v>
      </c>
      <c r="CX1543" s="41" t="e">
        <v>#N/A</v>
      </c>
      <c r="CY1543" s="41" t="e">
        <v>#N/A</v>
      </c>
      <c r="CZ1543" s="47" t="e">
        <v>#N/A</v>
      </c>
      <c r="DA1543">
        <v>0.11332468572476186</v>
      </c>
      <c r="DB1543" t="str">
        <v/>
      </c>
    </row>
    <row r="1544" spans="83:106" x14ac:dyDescent="0.2">
      <c r="CE1544"/>
      <c r="CF1544"/>
      <c r="CG1544"/>
      <c r="CH1544"/>
      <c r="CI1544"/>
      <c r="CU1544" s="21">
        <v>1539</v>
      </c>
      <c r="CV1544" s="41">
        <v>4</v>
      </c>
      <c r="CW1544" s="41">
        <v>0.11332468572476186</v>
      </c>
      <c r="CX1544" s="41" t="e">
        <v>#N/A</v>
      </c>
      <c r="CY1544" s="41" t="e">
        <v>#N/A</v>
      </c>
      <c r="CZ1544" s="47" t="e">
        <v>#N/A</v>
      </c>
      <c r="DA1544">
        <v>0.11332468572476186</v>
      </c>
      <c r="DB1544" t="str">
        <v/>
      </c>
    </row>
    <row r="1545" spans="83:106" x14ac:dyDescent="0.2">
      <c r="CE1545"/>
      <c r="CF1545"/>
      <c r="CG1545"/>
      <c r="CH1545"/>
      <c r="CI1545"/>
      <c r="CU1545" s="21">
        <v>1540</v>
      </c>
      <c r="CV1545" s="41">
        <v>4</v>
      </c>
      <c r="CW1545" s="41">
        <v>0.11332468572476186</v>
      </c>
      <c r="CX1545" s="41" t="e">
        <v>#N/A</v>
      </c>
      <c r="CY1545" s="41" t="e">
        <v>#N/A</v>
      </c>
      <c r="CZ1545" s="47" t="e">
        <v>#N/A</v>
      </c>
      <c r="DA1545">
        <v>0.11332468572476186</v>
      </c>
      <c r="DB1545" t="str">
        <v/>
      </c>
    </row>
    <row r="1546" spans="83:106" x14ac:dyDescent="0.2">
      <c r="CE1546"/>
      <c r="CF1546"/>
      <c r="CG1546"/>
      <c r="CH1546"/>
      <c r="CI1546"/>
      <c r="CU1546" s="21">
        <v>1541</v>
      </c>
      <c r="CV1546" s="41">
        <v>4</v>
      </c>
      <c r="CW1546" s="41">
        <v>0.11332468572476186</v>
      </c>
      <c r="CX1546" s="41" t="e">
        <v>#N/A</v>
      </c>
      <c r="CY1546" s="41" t="e">
        <v>#N/A</v>
      </c>
      <c r="CZ1546" s="47" t="e">
        <v>#N/A</v>
      </c>
      <c r="DA1546">
        <v>0.11332468572476186</v>
      </c>
      <c r="DB1546" t="str">
        <v/>
      </c>
    </row>
    <row r="1547" spans="83:106" x14ac:dyDescent="0.2">
      <c r="CE1547"/>
      <c r="CF1547"/>
      <c r="CG1547"/>
      <c r="CH1547"/>
      <c r="CI1547"/>
      <c r="CU1547" s="21">
        <v>1542</v>
      </c>
      <c r="CV1547" s="41">
        <v>4</v>
      </c>
      <c r="CW1547" s="41">
        <v>0.11332468572476186</v>
      </c>
      <c r="CX1547" s="41" t="e">
        <v>#N/A</v>
      </c>
      <c r="CY1547" s="41" t="e">
        <v>#N/A</v>
      </c>
      <c r="CZ1547" s="47" t="e">
        <v>#N/A</v>
      </c>
      <c r="DA1547">
        <v>0.11332468572476186</v>
      </c>
      <c r="DB1547" t="str">
        <v/>
      </c>
    </row>
    <row r="1548" spans="83:106" x14ac:dyDescent="0.2">
      <c r="CE1548"/>
      <c r="CF1548"/>
      <c r="CG1548"/>
      <c r="CH1548"/>
      <c r="CI1548"/>
      <c r="CU1548" s="21">
        <v>1543</v>
      </c>
      <c r="CV1548" s="41">
        <v>4</v>
      </c>
      <c r="CW1548" s="41">
        <v>0.11332468572476186</v>
      </c>
      <c r="CX1548" s="41" t="e">
        <v>#N/A</v>
      </c>
      <c r="CY1548" s="41" t="e">
        <v>#N/A</v>
      </c>
      <c r="CZ1548" s="47" t="e">
        <v>#N/A</v>
      </c>
      <c r="DA1548">
        <v>0.11332468572476186</v>
      </c>
      <c r="DB1548" t="str">
        <v/>
      </c>
    </row>
    <row r="1549" spans="83:106" x14ac:dyDescent="0.2">
      <c r="CE1549"/>
      <c r="CF1549"/>
      <c r="CG1549"/>
      <c r="CH1549"/>
      <c r="CI1549"/>
      <c r="CU1549" s="21">
        <v>1544</v>
      </c>
      <c r="CV1549" s="41">
        <v>4</v>
      </c>
      <c r="CW1549" s="41">
        <v>0.11332468572476186</v>
      </c>
      <c r="CX1549" s="41" t="e">
        <v>#N/A</v>
      </c>
      <c r="CY1549" s="41" t="e">
        <v>#N/A</v>
      </c>
      <c r="CZ1549" s="47" t="e">
        <v>#N/A</v>
      </c>
      <c r="DA1549">
        <v>0.11332468572476186</v>
      </c>
      <c r="DB1549" t="str">
        <v/>
      </c>
    </row>
    <row r="1550" spans="83:106" x14ac:dyDescent="0.2">
      <c r="CE1550"/>
      <c r="CF1550"/>
      <c r="CG1550"/>
      <c r="CH1550"/>
      <c r="CI1550"/>
      <c r="CU1550" s="21">
        <v>1545</v>
      </c>
      <c r="CV1550" s="41">
        <v>4</v>
      </c>
      <c r="CW1550" s="41">
        <v>0.11332468572476186</v>
      </c>
      <c r="CX1550" s="41" t="e">
        <v>#N/A</v>
      </c>
      <c r="CY1550" s="41" t="e">
        <v>#N/A</v>
      </c>
      <c r="CZ1550" s="47" t="e">
        <v>#N/A</v>
      </c>
      <c r="DA1550">
        <v>0.11332468572476186</v>
      </c>
      <c r="DB1550" t="str">
        <v/>
      </c>
    </row>
    <row r="1551" spans="83:106" x14ac:dyDescent="0.2">
      <c r="CE1551"/>
      <c r="CF1551"/>
      <c r="CG1551"/>
      <c r="CH1551"/>
      <c r="CI1551"/>
      <c r="CU1551" s="21">
        <v>1546</v>
      </c>
      <c r="CV1551" s="41">
        <v>4</v>
      </c>
      <c r="CW1551" s="41">
        <v>0.11332468572476186</v>
      </c>
      <c r="CX1551" s="41" t="e">
        <v>#N/A</v>
      </c>
      <c r="CY1551" s="41" t="e">
        <v>#N/A</v>
      </c>
      <c r="CZ1551" s="47" t="e">
        <v>#N/A</v>
      </c>
      <c r="DA1551">
        <v>0.11332468572476186</v>
      </c>
      <c r="DB1551" t="str">
        <v/>
      </c>
    </row>
    <row r="1552" spans="83:106" x14ac:dyDescent="0.2">
      <c r="CE1552"/>
      <c r="CF1552"/>
      <c r="CG1552"/>
      <c r="CH1552"/>
      <c r="CI1552"/>
      <c r="CU1552" s="21">
        <v>1547</v>
      </c>
      <c r="CV1552" s="41">
        <v>4</v>
      </c>
      <c r="CW1552" s="41">
        <v>0.11332468572476186</v>
      </c>
      <c r="CX1552" s="41" t="e">
        <v>#N/A</v>
      </c>
      <c r="CY1552" s="41" t="e">
        <v>#N/A</v>
      </c>
      <c r="CZ1552" s="47" t="e">
        <v>#N/A</v>
      </c>
      <c r="DA1552">
        <v>0.11332468572476186</v>
      </c>
      <c r="DB1552" t="str">
        <v/>
      </c>
    </row>
    <row r="1553" spans="83:106" x14ac:dyDescent="0.2">
      <c r="CE1553"/>
      <c r="CF1553"/>
      <c r="CG1553"/>
      <c r="CH1553"/>
      <c r="CI1553"/>
      <c r="CU1553" s="21">
        <v>1548</v>
      </c>
      <c r="CV1553" s="41">
        <v>4</v>
      </c>
      <c r="CW1553" s="41">
        <v>0.11332468572476186</v>
      </c>
      <c r="CX1553" s="41" t="e">
        <v>#N/A</v>
      </c>
      <c r="CY1553" s="41" t="e">
        <v>#N/A</v>
      </c>
      <c r="CZ1553" s="47" t="e">
        <v>#N/A</v>
      </c>
      <c r="DA1553">
        <v>0.11332468572476186</v>
      </c>
      <c r="DB1553" t="str">
        <v/>
      </c>
    </row>
    <row r="1554" spans="83:106" x14ac:dyDescent="0.2">
      <c r="CE1554"/>
      <c r="CF1554"/>
      <c r="CG1554"/>
      <c r="CH1554"/>
      <c r="CI1554"/>
      <c r="CU1554" s="21">
        <v>1549</v>
      </c>
      <c r="CV1554" s="41">
        <v>4</v>
      </c>
      <c r="CW1554" s="41">
        <v>0.11332468572476186</v>
      </c>
      <c r="CX1554" s="41" t="e">
        <v>#N/A</v>
      </c>
      <c r="CY1554" s="41" t="e">
        <v>#N/A</v>
      </c>
      <c r="CZ1554" s="47" t="e">
        <v>#N/A</v>
      </c>
      <c r="DA1554">
        <v>0.11332468572476186</v>
      </c>
      <c r="DB1554" t="str">
        <v/>
      </c>
    </row>
    <row r="1555" spans="83:106" x14ac:dyDescent="0.2">
      <c r="CE1555"/>
      <c r="CF1555"/>
      <c r="CG1555"/>
      <c r="CH1555"/>
      <c r="CI1555"/>
      <c r="CU1555" s="21">
        <v>1550</v>
      </c>
      <c r="CV1555" s="41">
        <v>4</v>
      </c>
      <c r="CW1555" s="41">
        <v>0.11332468572476186</v>
      </c>
      <c r="CX1555" s="41" t="e">
        <v>#N/A</v>
      </c>
      <c r="CY1555" s="41" t="e">
        <v>#N/A</v>
      </c>
      <c r="CZ1555" s="47" t="e">
        <v>#N/A</v>
      </c>
      <c r="DA1555">
        <v>0.11332468572476186</v>
      </c>
      <c r="DB1555" t="str">
        <v/>
      </c>
    </row>
    <row r="1556" spans="83:106" x14ac:dyDescent="0.2">
      <c r="CE1556"/>
      <c r="CF1556"/>
      <c r="CG1556"/>
      <c r="CH1556"/>
      <c r="CI1556"/>
      <c r="CU1556" s="21">
        <v>1551</v>
      </c>
      <c r="CV1556" s="41">
        <v>4</v>
      </c>
      <c r="CW1556" s="41">
        <v>0.11332468572476186</v>
      </c>
      <c r="CX1556" s="41" t="e">
        <v>#N/A</v>
      </c>
      <c r="CY1556" s="41" t="e">
        <v>#N/A</v>
      </c>
      <c r="CZ1556" s="47" t="e">
        <v>#N/A</v>
      </c>
      <c r="DA1556">
        <v>0.11332468572476186</v>
      </c>
      <c r="DB1556" t="str">
        <v/>
      </c>
    </row>
    <row r="1557" spans="83:106" x14ac:dyDescent="0.2">
      <c r="CE1557"/>
      <c r="CF1557"/>
      <c r="CG1557"/>
      <c r="CH1557"/>
      <c r="CI1557"/>
      <c r="CU1557" s="21">
        <v>1552</v>
      </c>
      <c r="CV1557" s="41">
        <v>4</v>
      </c>
      <c r="CW1557" s="41">
        <v>0.11332468572476186</v>
      </c>
      <c r="CX1557" s="41" t="e">
        <v>#N/A</v>
      </c>
      <c r="CY1557" s="41" t="e">
        <v>#N/A</v>
      </c>
      <c r="CZ1557" s="47" t="e">
        <v>#N/A</v>
      </c>
      <c r="DA1557">
        <v>0.11332468572476186</v>
      </c>
      <c r="DB1557" t="str">
        <v/>
      </c>
    </row>
    <row r="1558" spans="83:106" x14ac:dyDescent="0.2">
      <c r="CE1558"/>
      <c r="CF1558"/>
      <c r="CG1558"/>
      <c r="CH1558"/>
      <c r="CI1558"/>
      <c r="CU1558" s="21">
        <v>1553</v>
      </c>
      <c r="CV1558" s="41">
        <v>4</v>
      </c>
      <c r="CW1558" s="41">
        <v>0.11332468572476186</v>
      </c>
      <c r="CX1558" s="41" t="e">
        <v>#N/A</v>
      </c>
      <c r="CY1558" s="41" t="e">
        <v>#N/A</v>
      </c>
      <c r="CZ1558" s="47" t="e">
        <v>#N/A</v>
      </c>
      <c r="DA1558">
        <v>0.11332468572476186</v>
      </c>
      <c r="DB1558" t="str">
        <v/>
      </c>
    </row>
    <row r="1559" spans="83:106" x14ac:dyDescent="0.2">
      <c r="CE1559"/>
      <c r="CF1559"/>
      <c r="CG1559"/>
      <c r="CH1559"/>
      <c r="CI1559"/>
      <c r="CU1559" s="21">
        <v>1554</v>
      </c>
      <c r="CV1559" s="41">
        <v>4</v>
      </c>
      <c r="CW1559" s="41">
        <v>0.11332468572476186</v>
      </c>
      <c r="CX1559" s="41" t="e">
        <v>#N/A</v>
      </c>
      <c r="CY1559" s="41" t="e">
        <v>#N/A</v>
      </c>
      <c r="CZ1559" s="47" t="e">
        <v>#N/A</v>
      </c>
      <c r="DA1559">
        <v>0.11332468572476186</v>
      </c>
      <c r="DB1559" t="str">
        <v/>
      </c>
    </row>
    <row r="1560" spans="83:106" x14ac:dyDescent="0.2">
      <c r="CE1560"/>
      <c r="CF1560"/>
      <c r="CG1560"/>
      <c r="CH1560"/>
      <c r="CI1560"/>
      <c r="CU1560" s="21">
        <v>1555</v>
      </c>
      <c r="CV1560" s="41">
        <v>4</v>
      </c>
      <c r="CW1560" s="41">
        <v>0.11332468572476186</v>
      </c>
      <c r="CX1560" s="41" t="e">
        <v>#N/A</v>
      </c>
      <c r="CY1560" s="41" t="e">
        <v>#N/A</v>
      </c>
      <c r="CZ1560" s="47" t="e">
        <v>#N/A</v>
      </c>
      <c r="DA1560">
        <v>0.11332468572476186</v>
      </c>
      <c r="DB1560" t="str">
        <v/>
      </c>
    </row>
    <row r="1561" spans="83:106" x14ac:dyDescent="0.2">
      <c r="CE1561"/>
      <c r="CF1561"/>
      <c r="CG1561"/>
      <c r="CH1561"/>
      <c r="CI1561"/>
      <c r="CU1561" s="21">
        <v>1556</v>
      </c>
      <c r="CV1561" s="41">
        <v>4</v>
      </c>
      <c r="CW1561" s="41">
        <v>0.11332468572476186</v>
      </c>
      <c r="CX1561" s="41" t="e">
        <v>#N/A</v>
      </c>
      <c r="CY1561" s="41" t="e">
        <v>#N/A</v>
      </c>
      <c r="CZ1561" s="47" t="e">
        <v>#N/A</v>
      </c>
      <c r="DA1561">
        <v>0.11332468572476186</v>
      </c>
      <c r="DB1561" t="str">
        <v/>
      </c>
    </row>
    <row r="1562" spans="83:106" x14ac:dyDescent="0.2">
      <c r="CE1562"/>
      <c r="CF1562"/>
      <c r="CG1562"/>
      <c r="CH1562"/>
      <c r="CI1562"/>
      <c r="CU1562" s="21">
        <v>1557</v>
      </c>
      <c r="CV1562" s="41">
        <v>4</v>
      </c>
      <c r="CW1562" s="41">
        <v>0.11332468572476186</v>
      </c>
      <c r="CX1562" s="41" t="e">
        <v>#N/A</v>
      </c>
      <c r="CY1562" s="41" t="e">
        <v>#N/A</v>
      </c>
      <c r="CZ1562" s="47" t="e">
        <v>#N/A</v>
      </c>
      <c r="DA1562">
        <v>0.11332468572476186</v>
      </c>
      <c r="DB1562" t="str">
        <v/>
      </c>
    </row>
    <row r="1563" spans="83:106" x14ac:dyDescent="0.2">
      <c r="CE1563"/>
      <c r="CF1563"/>
      <c r="CG1563"/>
      <c r="CH1563"/>
      <c r="CI1563"/>
      <c r="CU1563" s="21">
        <v>1558</v>
      </c>
      <c r="CV1563" s="41">
        <v>4</v>
      </c>
      <c r="CW1563" s="41">
        <v>0.11332468572476186</v>
      </c>
      <c r="CX1563" s="41" t="e">
        <v>#N/A</v>
      </c>
      <c r="CY1563" s="41" t="e">
        <v>#N/A</v>
      </c>
      <c r="CZ1563" s="47" t="e">
        <v>#N/A</v>
      </c>
      <c r="DA1563">
        <v>0.11332468572476186</v>
      </c>
      <c r="DB1563" t="str">
        <v/>
      </c>
    </row>
    <row r="1564" spans="83:106" x14ac:dyDescent="0.2">
      <c r="CE1564"/>
      <c r="CF1564"/>
      <c r="CG1564"/>
      <c r="CH1564"/>
      <c r="CI1564"/>
      <c r="CU1564" s="21">
        <v>1559</v>
      </c>
      <c r="CV1564" s="41">
        <v>4</v>
      </c>
      <c r="CW1564" s="41">
        <v>0.11332468572476186</v>
      </c>
      <c r="CX1564" s="41" t="e">
        <v>#N/A</v>
      </c>
      <c r="CY1564" s="41" t="e">
        <v>#N/A</v>
      </c>
      <c r="CZ1564" s="47" t="e">
        <v>#N/A</v>
      </c>
      <c r="DA1564">
        <v>0.11332468572476186</v>
      </c>
      <c r="DB1564" t="str">
        <v/>
      </c>
    </row>
    <row r="1565" spans="83:106" x14ac:dyDescent="0.2">
      <c r="CE1565"/>
      <c r="CF1565"/>
      <c r="CG1565"/>
      <c r="CH1565"/>
      <c r="CI1565"/>
      <c r="CU1565" s="21">
        <v>1560</v>
      </c>
      <c r="CV1565" s="41">
        <v>4</v>
      </c>
      <c r="CW1565" s="41">
        <v>0.11332468572476186</v>
      </c>
      <c r="CX1565" s="41" t="e">
        <v>#N/A</v>
      </c>
      <c r="CY1565" s="41" t="e">
        <v>#N/A</v>
      </c>
      <c r="CZ1565" s="47" t="e">
        <v>#N/A</v>
      </c>
      <c r="DA1565">
        <v>0.11332468572476186</v>
      </c>
      <c r="DB1565" t="str">
        <v/>
      </c>
    </row>
    <row r="1566" spans="83:106" x14ac:dyDescent="0.2">
      <c r="CE1566"/>
      <c r="CF1566"/>
      <c r="CG1566"/>
      <c r="CH1566"/>
      <c r="CI1566"/>
      <c r="CU1566" s="21">
        <v>1561</v>
      </c>
      <c r="CV1566" s="41">
        <v>4</v>
      </c>
      <c r="CW1566" s="41">
        <v>0.11332468572476186</v>
      </c>
      <c r="CX1566" s="41" t="e">
        <v>#N/A</v>
      </c>
      <c r="CY1566" s="41" t="e">
        <v>#N/A</v>
      </c>
      <c r="CZ1566" s="47" t="e">
        <v>#N/A</v>
      </c>
      <c r="DA1566">
        <v>0.11332468572476186</v>
      </c>
      <c r="DB1566" t="str">
        <v/>
      </c>
    </row>
    <row r="1567" spans="83:106" x14ac:dyDescent="0.2">
      <c r="CE1567"/>
      <c r="CF1567"/>
      <c r="CG1567"/>
      <c r="CH1567"/>
      <c r="CI1567"/>
      <c r="CU1567" s="21">
        <v>1562</v>
      </c>
      <c r="CV1567" s="41">
        <v>4</v>
      </c>
      <c r="CW1567" s="41">
        <v>0.11332468572476186</v>
      </c>
      <c r="CX1567" s="41" t="e">
        <v>#N/A</v>
      </c>
      <c r="CY1567" s="41" t="e">
        <v>#N/A</v>
      </c>
      <c r="CZ1567" s="47" t="e">
        <v>#N/A</v>
      </c>
      <c r="DA1567">
        <v>0.11332468572476186</v>
      </c>
      <c r="DB1567" t="str">
        <v/>
      </c>
    </row>
    <row r="1568" spans="83:106" x14ac:dyDescent="0.2">
      <c r="CE1568"/>
      <c r="CF1568"/>
      <c r="CG1568"/>
      <c r="CH1568"/>
      <c r="CI1568"/>
      <c r="CU1568" s="21">
        <v>1563</v>
      </c>
      <c r="CV1568" s="41">
        <v>4</v>
      </c>
      <c r="CW1568" s="41">
        <v>0.11332468572476186</v>
      </c>
      <c r="CX1568" s="41" t="e">
        <v>#N/A</v>
      </c>
      <c r="CY1568" s="41" t="e">
        <v>#N/A</v>
      </c>
      <c r="CZ1568" s="47" t="e">
        <v>#N/A</v>
      </c>
      <c r="DA1568">
        <v>0.11332468572476186</v>
      </c>
      <c r="DB1568" t="str">
        <v/>
      </c>
    </row>
    <row r="1569" spans="83:106" x14ac:dyDescent="0.2">
      <c r="CE1569"/>
      <c r="CF1569"/>
      <c r="CG1569"/>
      <c r="CH1569"/>
      <c r="CI1569"/>
      <c r="CU1569" s="21">
        <v>1564</v>
      </c>
      <c r="CV1569" s="41">
        <v>4</v>
      </c>
      <c r="CW1569" s="41">
        <v>0.11332468572476186</v>
      </c>
      <c r="CX1569" s="41" t="e">
        <v>#N/A</v>
      </c>
      <c r="CY1569" s="41" t="e">
        <v>#N/A</v>
      </c>
      <c r="CZ1569" s="47" t="e">
        <v>#N/A</v>
      </c>
      <c r="DA1569">
        <v>0.11332468572476186</v>
      </c>
      <c r="DB1569" t="str">
        <v/>
      </c>
    </row>
    <row r="1570" spans="83:106" x14ac:dyDescent="0.2">
      <c r="CE1570"/>
      <c r="CF1570"/>
      <c r="CG1570"/>
      <c r="CH1570"/>
      <c r="CI1570"/>
      <c r="CU1570" s="21">
        <v>1565</v>
      </c>
      <c r="CV1570" s="41">
        <v>4</v>
      </c>
      <c r="CW1570" s="41">
        <v>0.11332468572476186</v>
      </c>
      <c r="CX1570" s="41" t="e">
        <v>#N/A</v>
      </c>
      <c r="CY1570" s="41" t="e">
        <v>#N/A</v>
      </c>
      <c r="CZ1570" s="47" t="e">
        <v>#N/A</v>
      </c>
      <c r="DA1570">
        <v>0.11332468572476186</v>
      </c>
      <c r="DB1570" t="str">
        <v/>
      </c>
    </row>
    <row r="1571" spans="83:106" x14ac:dyDescent="0.2">
      <c r="CE1571"/>
      <c r="CF1571"/>
      <c r="CG1571"/>
      <c r="CH1571"/>
      <c r="CI1571"/>
      <c r="CU1571" s="21">
        <v>1566</v>
      </c>
      <c r="CV1571" s="41">
        <v>4</v>
      </c>
      <c r="CW1571" s="41">
        <v>0.11332468572476186</v>
      </c>
      <c r="CX1571" s="41" t="e">
        <v>#N/A</v>
      </c>
      <c r="CY1571" s="41" t="e">
        <v>#N/A</v>
      </c>
      <c r="CZ1571" s="47" t="e">
        <v>#N/A</v>
      </c>
      <c r="DA1571">
        <v>0.11332468572476186</v>
      </c>
      <c r="DB1571" t="str">
        <v/>
      </c>
    </row>
    <row r="1572" spans="83:106" x14ac:dyDescent="0.2">
      <c r="CE1572"/>
      <c r="CF1572"/>
      <c r="CG1572"/>
      <c r="CH1572"/>
      <c r="CI1572"/>
      <c r="CU1572" s="21">
        <v>1567</v>
      </c>
      <c r="CV1572" s="41">
        <v>4</v>
      </c>
      <c r="CW1572" s="41">
        <v>0.11332468572476186</v>
      </c>
      <c r="CX1572" s="41" t="e">
        <v>#N/A</v>
      </c>
      <c r="CY1572" s="41" t="e">
        <v>#N/A</v>
      </c>
      <c r="CZ1572" s="47" t="e">
        <v>#N/A</v>
      </c>
      <c r="DA1572">
        <v>0.11332468572476186</v>
      </c>
      <c r="DB1572" t="str">
        <v/>
      </c>
    </row>
    <row r="1573" spans="83:106" x14ac:dyDescent="0.2">
      <c r="CE1573"/>
      <c r="CF1573"/>
      <c r="CG1573"/>
      <c r="CH1573"/>
      <c r="CI1573"/>
      <c r="CU1573" s="21">
        <v>1568</v>
      </c>
      <c r="CV1573" s="41">
        <v>4</v>
      </c>
      <c r="CW1573" s="41">
        <v>0.11332468572476186</v>
      </c>
      <c r="CX1573" s="41" t="e">
        <v>#N/A</v>
      </c>
      <c r="CY1573" s="41" t="e">
        <v>#N/A</v>
      </c>
      <c r="CZ1573" s="47" t="e">
        <v>#N/A</v>
      </c>
      <c r="DA1573">
        <v>0.11332468572476186</v>
      </c>
      <c r="DB1573" t="str">
        <v/>
      </c>
    </row>
    <row r="1574" spans="83:106" x14ac:dyDescent="0.2">
      <c r="CE1574"/>
      <c r="CF1574"/>
      <c r="CG1574"/>
      <c r="CH1574"/>
      <c r="CI1574"/>
      <c r="CU1574" s="21">
        <v>1569</v>
      </c>
      <c r="CV1574" s="41">
        <v>4</v>
      </c>
      <c r="CW1574" s="41">
        <v>0.11332468572476186</v>
      </c>
      <c r="CX1574" s="41" t="e">
        <v>#N/A</v>
      </c>
      <c r="CY1574" s="41" t="e">
        <v>#N/A</v>
      </c>
      <c r="CZ1574" s="47" t="e">
        <v>#N/A</v>
      </c>
      <c r="DA1574">
        <v>0.11332468572476186</v>
      </c>
      <c r="DB1574" t="str">
        <v/>
      </c>
    </row>
    <row r="1575" spans="83:106" x14ac:dyDescent="0.2">
      <c r="CE1575"/>
      <c r="CF1575"/>
      <c r="CG1575"/>
      <c r="CH1575"/>
      <c r="CI1575"/>
      <c r="CU1575" s="21">
        <v>1570</v>
      </c>
      <c r="CV1575" s="41">
        <v>4</v>
      </c>
      <c r="CW1575" s="41">
        <v>0.11332468572476186</v>
      </c>
      <c r="CX1575" s="41" t="e">
        <v>#N/A</v>
      </c>
      <c r="CY1575" s="41" t="e">
        <v>#N/A</v>
      </c>
      <c r="CZ1575" s="47" t="e">
        <v>#N/A</v>
      </c>
      <c r="DA1575">
        <v>0.11332468572476186</v>
      </c>
      <c r="DB1575" t="str">
        <v/>
      </c>
    </row>
    <row r="1576" spans="83:106" x14ac:dyDescent="0.2">
      <c r="CE1576"/>
      <c r="CF1576"/>
      <c r="CG1576"/>
      <c r="CH1576"/>
      <c r="CI1576"/>
      <c r="CU1576" s="21">
        <v>1571</v>
      </c>
      <c r="CV1576" s="41">
        <v>4</v>
      </c>
      <c r="CW1576" s="41">
        <v>0.11332468572476186</v>
      </c>
      <c r="CX1576" s="41" t="e">
        <v>#N/A</v>
      </c>
      <c r="CY1576" s="41" t="e">
        <v>#N/A</v>
      </c>
      <c r="CZ1576" s="47" t="e">
        <v>#N/A</v>
      </c>
      <c r="DA1576">
        <v>0.11332468572476186</v>
      </c>
      <c r="DB1576" t="str">
        <v/>
      </c>
    </row>
    <row r="1577" spans="83:106" x14ac:dyDescent="0.2">
      <c r="CE1577"/>
      <c r="CF1577"/>
      <c r="CG1577"/>
      <c r="CH1577"/>
      <c r="CI1577"/>
      <c r="CU1577" s="21">
        <v>1572</v>
      </c>
      <c r="CV1577" s="41">
        <v>4</v>
      </c>
      <c r="CW1577" s="41">
        <v>0.11332468572476186</v>
      </c>
      <c r="CX1577" s="41" t="e">
        <v>#N/A</v>
      </c>
      <c r="CY1577" s="41" t="e">
        <v>#N/A</v>
      </c>
      <c r="CZ1577" s="47" t="e">
        <v>#N/A</v>
      </c>
      <c r="DA1577">
        <v>0.11332468572476186</v>
      </c>
      <c r="DB1577" t="str">
        <v/>
      </c>
    </row>
    <row r="1578" spans="83:106" x14ac:dyDescent="0.2">
      <c r="CE1578"/>
      <c r="CF1578"/>
      <c r="CG1578"/>
      <c r="CH1578"/>
      <c r="CI1578"/>
      <c r="CU1578" s="21">
        <v>1573</v>
      </c>
      <c r="CV1578" s="41">
        <v>4</v>
      </c>
      <c r="CW1578" s="41">
        <v>0.11332468572476186</v>
      </c>
      <c r="CX1578" s="41" t="e">
        <v>#N/A</v>
      </c>
      <c r="CY1578" s="41" t="e">
        <v>#N/A</v>
      </c>
      <c r="CZ1578" s="47" t="e">
        <v>#N/A</v>
      </c>
      <c r="DA1578">
        <v>0.11332468572476186</v>
      </c>
      <c r="DB1578" t="str">
        <v/>
      </c>
    </row>
    <row r="1579" spans="83:106" x14ac:dyDescent="0.2">
      <c r="CE1579"/>
      <c r="CF1579"/>
      <c r="CG1579"/>
      <c r="CH1579"/>
      <c r="CI1579"/>
      <c r="CU1579" s="21">
        <v>1574</v>
      </c>
      <c r="CV1579" s="41">
        <v>4</v>
      </c>
      <c r="CW1579" s="41">
        <v>0.11332468572476186</v>
      </c>
      <c r="CX1579" s="41" t="e">
        <v>#N/A</v>
      </c>
      <c r="CY1579" s="41" t="e">
        <v>#N/A</v>
      </c>
      <c r="CZ1579" s="47" t="e">
        <v>#N/A</v>
      </c>
      <c r="DA1579">
        <v>0.11332468572476186</v>
      </c>
      <c r="DB1579" t="str">
        <v/>
      </c>
    </row>
    <row r="1580" spans="83:106" x14ac:dyDescent="0.2">
      <c r="CE1580"/>
      <c r="CF1580"/>
      <c r="CG1580"/>
      <c r="CH1580"/>
      <c r="CI1580"/>
      <c r="CU1580" s="21">
        <v>1575</v>
      </c>
      <c r="CV1580" s="41">
        <v>4</v>
      </c>
      <c r="CW1580" s="41">
        <v>0.11332468572476186</v>
      </c>
      <c r="CX1580" s="41" t="e">
        <v>#N/A</v>
      </c>
      <c r="CY1580" s="41" t="e">
        <v>#N/A</v>
      </c>
      <c r="CZ1580" s="47" t="e">
        <v>#N/A</v>
      </c>
      <c r="DA1580">
        <v>0.11332468572476186</v>
      </c>
      <c r="DB1580" t="str">
        <v/>
      </c>
    </row>
    <row r="1581" spans="83:106" x14ac:dyDescent="0.2">
      <c r="CE1581"/>
      <c r="CF1581"/>
      <c r="CG1581"/>
      <c r="CH1581"/>
      <c r="CI1581"/>
      <c r="CU1581" s="21">
        <v>1576</v>
      </c>
      <c r="CV1581" s="41">
        <v>4</v>
      </c>
      <c r="CW1581" s="41">
        <v>0.11332468572476186</v>
      </c>
      <c r="CX1581" s="41" t="e">
        <v>#N/A</v>
      </c>
      <c r="CY1581" s="41" t="e">
        <v>#N/A</v>
      </c>
      <c r="CZ1581" s="47" t="e">
        <v>#N/A</v>
      </c>
      <c r="DA1581">
        <v>0.11332468572476186</v>
      </c>
      <c r="DB1581" t="str">
        <v/>
      </c>
    </row>
    <row r="1582" spans="83:106" x14ac:dyDescent="0.2">
      <c r="CE1582"/>
      <c r="CF1582"/>
      <c r="CG1582"/>
      <c r="CH1582"/>
      <c r="CI1582"/>
      <c r="CU1582" s="21">
        <v>1577</v>
      </c>
      <c r="CV1582" s="41">
        <v>4</v>
      </c>
      <c r="CW1582" s="41">
        <v>0.11332468572476186</v>
      </c>
      <c r="CX1582" s="41" t="e">
        <v>#N/A</v>
      </c>
      <c r="CY1582" s="41" t="e">
        <v>#N/A</v>
      </c>
      <c r="CZ1582" s="47" t="e">
        <v>#N/A</v>
      </c>
      <c r="DA1582">
        <v>0.11332468572476186</v>
      </c>
      <c r="DB1582" t="str">
        <v/>
      </c>
    </row>
    <row r="1583" spans="83:106" x14ac:dyDescent="0.2">
      <c r="CE1583"/>
      <c r="CF1583"/>
      <c r="CG1583"/>
      <c r="CH1583"/>
      <c r="CI1583"/>
      <c r="CU1583" s="21">
        <v>1578</v>
      </c>
      <c r="CV1583" s="41">
        <v>4</v>
      </c>
      <c r="CW1583" s="41">
        <v>0.11332468572476186</v>
      </c>
      <c r="CX1583" s="41" t="e">
        <v>#N/A</v>
      </c>
      <c r="CY1583" s="41" t="e">
        <v>#N/A</v>
      </c>
      <c r="CZ1583" s="47" t="e">
        <v>#N/A</v>
      </c>
      <c r="DA1583">
        <v>0.11332468572476186</v>
      </c>
      <c r="DB1583" t="str">
        <v/>
      </c>
    </row>
    <row r="1584" spans="83:106" x14ac:dyDescent="0.2">
      <c r="CE1584"/>
      <c r="CF1584"/>
      <c r="CG1584"/>
      <c r="CH1584"/>
      <c r="CI1584"/>
      <c r="CU1584" s="21">
        <v>1579</v>
      </c>
      <c r="CV1584" s="41">
        <v>4</v>
      </c>
      <c r="CW1584" s="41">
        <v>0.11332468572476186</v>
      </c>
      <c r="CX1584" s="41" t="e">
        <v>#N/A</v>
      </c>
      <c r="CY1584" s="41" t="e">
        <v>#N/A</v>
      </c>
      <c r="CZ1584" s="47" t="e">
        <v>#N/A</v>
      </c>
      <c r="DA1584">
        <v>0.11332468572476186</v>
      </c>
      <c r="DB1584" t="str">
        <v/>
      </c>
    </row>
    <row r="1585" spans="83:106" x14ac:dyDescent="0.2">
      <c r="CE1585"/>
      <c r="CF1585"/>
      <c r="CG1585"/>
      <c r="CH1585"/>
      <c r="CI1585"/>
      <c r="CU1585" s="21">
        <v>1580</v>
      </c>
      <c r="CV1585" s="41">
        <v>4</v>
      </c>
      <c r="CW1585" s="41">
        <v>0.11332468572476186</v>
      </c>
      <c r="CX1585" s="41" t="e">
        <v>#N/A</v>
      </c>
      <c r="CY1585" s="41" t="e">
        <v>#N/A</v>
      </c>
      <c r="CZ1585" s="47" t="e">
        <v>#N/A</v>
      </c>
      <c r="DA1585">
        <v>0.11332468572476186</v>
      </c>
      <c r="DB1585" t="str">
        <v/>
      </c>
    </row>
    <row r="1586" spans="83:106" x14ac:dyDescent="0.2">
      <c r="CE1586"/>
      <c r="CF1586"/>
      <c r="CG1586"/>
      <c r="CH1586"/>
      <c r="CI1586"/>
      <c r="CU1586" s="21">
        <v>1581</v>
      </c>
      <c r="CV1586" s="41">
        <v>4</v>
      </c>
      <c r="CW1586" s="41">
        <v>0.11332468572476186</v>
      </c>
      <c r="CX1586" s="41" t="e">
        <v>#N/A</v>
      </c>
      <c r="CY1586" s="41" t="e">
        <v>#N/A</v>
      </c>
      <c r="CZ1586" s="47" t="e">
        <v>#N/A</v>
      </c>
      <c r="DA1586">
        <v>0.11332468572476186</v>
      </c>
      <c r="DB1586" t="str">
        <v/>
      </c>
    </row>
    <row r="1587" spans="83:106" x14ac:dyDescent="0.2">
      <c r="CE1587"/>
      <c r="CF1587"/>
      <c r="CG1587"/>
      <c r="CH1587"/>
      <c r="CI1587"/>
      <c r="CU1587" s="21">
        <v>1582</v>
      </c>
      <c r="CV1587" s="41">
        <v>4</v>
      </c>
      <c r="CW1587" s="41">
        <v>0.11332468572476186</v>
      </c>
      <c r="CX1587" s="41" t="e">
        <v>#N/A</v>
      </c>
      <c r="CY1587" s="41" t="e">
        <v>#N/A</v>
      </c>
      <c r="CZ1587" s="47" t="e">
        <v>#N/A</v>
      </c>
      <c r="DA1587">
        <v>0.11332468572476186</v>
      </c>
      <c r="DB1587" t="str">
        <v/>
      </c>
    </row>
    <row r="1588" spans="83:106" x14ac:dyDescent="0.2">
      <c r="CE1588"/>
      <c r="CF1588"/>
      <c r="CG1588"/>
      <c r="CH1588"/>
      <c r="CI1588"/>
      <c r="CU1588" s="21">
        <v>1583</v>
      </c>
      <c r="CV1588" s="41">
        <v>4</v>
      </c>
      <c r="CW1588" s="41">
        <v>0.11332468572476186</v>
      </c>
      <c r="CX1588" s="41" t="e">
        <v>#N/A</v>
      </c>
      <c r="CY1588" s="41" t="e">
        <v>#N/A</v>
      </c>
      <c r="CZ1588" s="47" t="e">
        <v>#N/A</v>
      </c>
      <c r="DA1588">
        <v>0.11332468572476186</v>
      </c>
      <c r="DB1588" t="str">
        <v/>
      </c>
    </row>
    <row r="1589" spans="83:106" x14ac:dyDescent="0.2">
      <c r="CE1589"/>
      <c r="CF1589"/>
      <c r="CG1589"/>
      <c r="CH1589"/>
      <c r="CI1589"/>
      <c r="CU1589" s="21">
        <v>1584</v>
      </c>
      <c r="CV1589" s="41">
        <v>4</v>
      </c>
      <c r="CW1589" s="41">
        <v>0.11332468572476186</v>
      </c>
      <c r="CX1589" s="41" t="e">
        <v>#N/A</v>
      </c>
      <c r="CY1589" s="41" t="e">
        <v>#N/A</v>
      </c>
      <c r="CZ1589" s="47" t="e">
        <v>#N/A</v>
      </c>
      <c r="DA1589">
        <v>0.11332468572476186</v>
      </c>
      <c r="DB1589" t="str">
        <v/>
      </c>
    </row>
    <row r="1590" spans="83:106" x14ac:dyDescent="0.2">
      <c r="CE1590"/>
      <c r="CF1590"/>
      <c r="CG1590"/>
      <c r="CH1590"/>
      <c r="CI1590"/>
      <c r="CU1590" s="21">
        <v>1585</v>
      </c>
      <c r="CV1590" s="41">
        <v>4</v>
      </c>
      <c r="CW1590" s="41">
        <v>0.11332468572476186</v>
      </c>
      <c r="CX1590" s="41" t="e">
        <v>#N/A</v>
      </c>
      <c r="CY1590" s="41" t="e">
        <v>#N/A</v>
      </c>
      <c r="CZ1590" s="47" t="e">
        <v>#N/A</v>
      </c>
      <c r="DA1590">
        <v>0.11332468572476186</v>
      </c>
      <c r="DB1590" t="str">
        <v/>
      </c>
    </row>
    <row r="1591" spans="83:106" x14ac:dyDescent="0.2">
      <c r="CE1591"/>
      <c r="CF1591"/>
      <c r="CG1591"/>
      <c r="CH1591"/>
      <c r="CI1591"/>
      <c r="CU1591" s="21">
        <v>1586</v>
      </c>
      <c r="CV1591" s="41">
        <v>4</v>
      </c>
      <c r="CW1591" s="41">
        <v>0.11332468572476186</v>
      </c>
      <c r="CX1591" s="41" t="e">
        <v>#N/A</v>
      </c>
      <c r="CY1591" s="41" t="e">
        <v>#N/A</v>
      </c>
      <c r="CZ1591" s="47" t="e">
        <v>#N/A</v>
      </c>
      <c r="DA1591">
        <v>0.11332468572476186</v>
      </c>
      <c r="DB1591" t="str">
        <v/>
      </c>
    </row>
    <row r="1592" spans="83:106" x14ac:dyDescent="0.2">
      <c r="CE1592"/>
      <c r="CF1592"/>
      <c r="CG1592"/>
      <c r="CH1592"/>
      <c r="CI1592"/>
      <c r="CU1592" s="21">
        <v>1587</v>
      </c>
      <c r="CV1592" s="41">
        <v>4</v>
      </c>
      <c r="CW1592" s="41">
        <v>0.11332468572476186</v>
      </c>
      <c r="CX1592" s="41" t="e">
        <v>#N/A</v>
      </c>
      <c r="CY1592" s="41" t="e">
        <v>#N/A</v>
      </c>
      <c r="CZ1592" s="47" t="e">
        <v>#N/A</v>
      </c>
      <c r="DA1592">
        <v>0.11332468572476186</v>
      </c>
      <c r="DB1592" t="str">
        <v/>
      </c>
    </row>
    <row r="1593" spans="83:106" x14ac:dyDescent="0.2">
      <c r="CE1593"/>
      <c r="CF1593"/>
      <c r="CG1593"/>
      <c r="CH1593"/>
      <c r="CI1593"/>
      <c r="CU1593" s="21">
        <v>1588</v>
      </c>
      <c r="CV1593" s="41">
        <v>4</v>
      </c>
      <c r="CW1593" s="41">
        <v>0.11332468572476186</v>
      </c>
      <c r="CX1593" s="41" t="e">
        <v>#N/A</v>
      </c>
      <c r="CY1593" s="41" t="e">
        <v>#N/A</v>
      </c>
      <c r="CZ1593" s="47" t="e">
        <v>#N/A</v>
      </c>
      <c r="DA1593">
        <v>0.11332468572476186</v>
      </c>
      <c r="DB1593" t="str">
        <v/>
      </c>
    </row>
    <row r="1594" spans="83:106" x14ac:dyDescent="0.2">
      <c r="CE1594"/>
      <c r="CF1594"/>
      <c r="CG1594"/>
      <c r="CH1594"/>
      <c r="CI1594"/>
      <c r="CU1594" s="21">
        <v>1589</v>
      </c>
      <c r="CV1594" s="41">
        <v>4</v>
      </c>
      <c r="CW1594" s="41">
        <v>0.11332468572476186</v>
      </c>
      <c r="CX1594" s="41" t="e">
        <v>#N/A</v>
      </c>
      <c r="CY1594" s="41" t="e">
        <v>#N/A</v>
      </c>
      <c r="CZ1594" s="47" t="e">
        <v>#N/A</v>
      </c>
      <c r="DA1594">
        <v>0.11332468572476186</v>
      </c>
      <c r="DB1594" t="str">
        <v/>
      </c>
    </row>
    <row r="1595" spans="83:106" x14ac:dyDescent="0.2">
      <c r="CE1595"/>
      <c r="CF1595"/>
      <c r="CG1595"/>
      <c r="CH1595"/>
      <c r="CI1595"/>
      <c r="CU1595" s="21">
        <v>1590</v>
      </c>
      <c r="CV1595" s="41">
        <v>4</v>
      </c>
      <c r="CW1595" s="41">
        <v>0.11332468572476186</v>
      </c>
      <c r="CX1595" s="41" t="e">
        <v>#N/A</v>
      </c>
      <c r="CY1595" s="41" t="e">
        <v>#N/A</v>
      </c>
      <c r="CZ1595" s="47" t="e">
        <v>#N/A</v>
      </c>
      <c r="DA1595">
        <v>0.11332468572476186</v>
      </c>
      <c r="DB1595" t="str">
        <v/>
      </c>
    </row>
    <row r="1596" spans="83:106" x14ac:dyDescent="0.2">
      <c r="CE1596"/>
      <c r="CF1596"/>
      <c r="CG1596"/>
      <c r="CH1596"/>
      <c r="CI1596"/>
      <c r="CU1596" s="21">
        <v>1591</v>
      </c>
      <c r="CV1596" s="41">
        <v>4</v>
      </c>
      <c r="CW1596" s="41">
        <v>0.11332468572476186</v>
      </c>
      <c r="CX1596" s="41" t="e">
        <v>#N/A</v>
      </c>
      <c r="CY1596" s="41" t="e">
        <v>#N/A</v>
      </c>
      <c r="CZ1596" s="47" t="e">
        <v>#N/A</v>
      </c>
      <c r="DA1596">
        <v>0.11332468572476186</v>
      </c>
      <c r="DB1596" t="str">
        <v/>
      </c>
    </row>
    <row r="1597" spans="83:106" x14ac:dyDescent="0.2">
      <c r="CE1597"/>
      <c r="CF1597"/>
      <c r="CG1597"/>
      <c r="CH1597"/>
      <c r="CI1597"/>
      <c r="CU1597" s="21">
        <v>1592</v>
      </c>
      <c r="CV1597" s="41">
        <v>4</v>
      </c>
      <c r="CW1597" s="41">
        <v>0.11332468572476186</v>
      </c>
      <c r="CX1597" s="41" t="e">
        <v>#N/A</v>
      </c>
      <c r="CY1597" s="41" t="e">
        <v>#N/A</v>
      </c>
      <c r="CZ1597" s="47" t="e">
        <v>#N/A</v>
      </c>
      <c r="DA1597">
        <v>0.11332468572476186</v>
      </c>
      <c r="DB1597" t="str">
        <v/>
      </c>
    </row>
    <row r="1598" spans="83:106" x14ac:dyDescent="0.2">
      <c r="CE1598"/>
      <c r="CF1598"/>
      <c r="CG1598"/>
      <c r="CH1598"/>
      <c r="CI1598"/>
      <c r="CU1598" s="21">
        <v>1593</v>
      </c>
      <c r="CV1598" s="41">
        <v>4</v>
      </c>
      <c r="CW1598" s="41">
        <v>0.11332468572476186</v>
      </c>
      <c r="CX1598" s="41" t="e">
        <v>#N/A</v>
      </c>
      <c r="CY1598" s="41" t="e">
        <v>#N/A</v>
      </c>
      <c r="CZ1598" s="47" t="e">
        <v>#N/A</v>
      </c>
      <c r="DA1598">
        <v>0.11332468572476186</v>
      </c>
      <c r="DB1598" t="str">
        <v/>
      </c>
    </row>
    <row r="1599" spans="83:106" x14ac:dyDescent="0.2">
      <c r="CE1599"/>
      <c r="CF1599"/>
      <c r="CG1599"/>
      <c r="CH1599"/>
      <c r="CI1599"/>
      <c r="CU1599" s="21">
        <v>1594</v>
      </c>
      <c r="CV1599" s="41">
        <v>4</v>
      </c>
      <c r="CW1599" s="41">
        <v>0.11332468572476186</v>
      </c>
      <c r="CX1599" s="41" t="e">
        <v>#N/A</v>
      </c>
      <c r="CY1599" s="41" t="e">
        <v>#N/A</v>
      </c>
      <c r="CZ1599" s="47" t="e">
        <v>#N/A</v>
      </c>
      <c r="DA1599">
        <v>0.11332468572476186</v>
      </c>
      <c r="DB1599" t="str">
        <v/>
      </c>
    </row>
    <row r="1600" spans="83:106" x14ac:dyDescent="0.2">
      <c r="CE1600"/>
      <c r="CF1600"/>
      <c r="CG1600"/>
      <c r="CH1600"/>
      <c r="CI1600"/>
      <c r="CU1600" s="21">
        <v>1595</v>
      </c>
      <c r="CV1600" s="41">
        <v>4</v>
      </c>
      <c r="CW1600" s="41">
        <v>0.11332468572476186</v>
      </c>
      <c r="CX1600" s="41" t="e">
        <v>#N/A</v>
      </c>
      <c r="CY1600" s="41" t="e">
        <v>#N/A</v>
      </c>
      <c r="CZ1600" s="47" t="e">
        <v>#N/A</v>
      </c>
      <c r="DA1600">
        <v>0.11332468572476186</v>
      </c>
      <c r="DB1600" t="str">
        <v/>
      </c>
    </row>
    <row r="1601" spans="83:106" x14ac:dyDescent="0.2">
      <c r="CE1601"/>
      <c r="CF1601"/>
      <c r="CG1601"/>
      <c r="CH1601"/>
      <c r="CI1601"/>
      <c r="CU1601" s="21">
        <v>1596</v>
      </c>
      <c r="CV1601" s="41">
        <v>4</v>
      </c>
      <c r="CW1601" s="41">
        <v>0.11332468572476186</v>
      </c>
      <c r="CX1601" s="41" t="e">
        <v>#N/A</v>
      </c>
      <c r="CY1601" s="41" t="e">
        <v>#N/A</v>
      </c>
      <c r="CZ1601" s="47" t="e">
        <v>#N/A</v>
      </c>
      <c r="DA1601">
        <v>0.11332468572476186</v>
      </c>
      <c r="DB1601" t="str">
        <v/>
      </c>
    </row>
    <row r="1602" spans="83:106" x14ac:dyDescent="0.2">
      <c r="CE1602"/>
      <c r="CF1602"/>
      <c r="CG1602"/>
      <c r="CH1602"/>
      <c r="CI1602"/>
      <c r="CU1602" s="21">
        <v>1597</v>
      </c>
      <c r="CV1602" s="41">
        <v>4</v>
      </c>
      <c r="CW1602" s="41">
        <v>0.11332468572476186</v>
      </c>
      <c r="CX1602" s="41" t="e">
        <v>#N/A</v>
      </c>
      <c r="CY1602" s="41" t="e">
        <v>#N/A</v>
      </c>
      <c r="CZ1602" s="47" t="e">
        <v>#N/A</v>
      </c>
      <c r="DA1602">
        <v>0.11332468572476186</v>
      </c>
      <c r="DB1602" t="str">
        <v/>
      </c>
    </row>
    <row r="1603" spans="83:106" x14ac:dyDescent="0.2">
      <c r="CE1603"/>
      <c r="CF1603"/>
      <c r="CG1603"/>
      <c r="CH1603"/>
      <c r="CI1603"/>
      <c r="CU1603" s="21">
        <v>1598</v>
      </c>
      <c r="CV1603" s="41">
        <v>4</v>
      </c>
      <c r="CW1603" s="41">
        <v>0.11332468572476186</v>
      </c>
      <c r="CX1603" s="41" t="e">
        <v>#N/A</v>
      </c>
      <c r="CY1603" s="41" t="e">
        <v>#N/A</v>
      </c>
      <c r="CZ1603" s="47" t="e">
        <v>#N/A</v>
      </c>
      <c r="DA1603">
        <v>0.11332468572476186</v>
      </c>
      <c r="DB1603" t="str">
        <v/>
      </c>
    </row>
    <row r="1604" spans="83:106" x14ac:dyDescent="0.2">
      <c r="CE1604"/>
      <c r="CF1604"/>
      <c r="CG1604"/>
      <c r="CH1604"/>
      <c r="CI1604"/>
      <c r="CU1604" s="21">
        <v>1599</v>
      </c>
      <c r="CV1604" s="41">
        <v>4</v>
      </c>
      <c r="CW1604" s="41">
        <v>0.11332468572476186</v>
      </c>
      <c r="CX1604" s="41" t="e">
        <v>#N/A</v>
      </c>
      <c r="CY1604" s="41" t="e">
        <v>#N/A</v>
      </c>
      <c r="CZ1604" s="47" t="e">
        <v>#N/A</v>
      </c>
      <c r="DA1604">
        <v>0.11332468572476186</v>
      </c>
      <c r="DB1604" t="str">
        <v/>
      </c>
    </row>
    <row r="1605" spans="83:106" x14ac:dyDescent="0.2">
      <c r="CE1605"/>
      <c r="CF1605"/>
      <c r="CG1605"/>
      <c r="CH1605"/>
      <c r="CI1605"/>
      <c r="CU1605" s="21">
        <v>1600</v>
      </c>
      <c r="CV1605" s="41">
        <v>4</v>
      </c>
      <c r="CW1605" s="41">
        <v>0.11332468572476186</v>
      </c>
      <c r="CX1605" s="41" t="e">
        <v>#N/A</v>
      </c>
      <c r="CY1605" s="41" t="e">
        <v>#N/A</v>
      </c>
      <c r="CZ1605" s="47" t="e">
        <v>#N/A</v>
      </c>
      <c r="DA1605">
        <v>0.11332468572476186</v>
      </c>
      <c r="DB1605" t="str">
        <v/>
      </c>
    </row>
    <row r="1606" spans="83:106" x14ac:dyDescent="0.2">
      <c r="CE1606"/>
      <c r="CF1606"/>
      <c r="CG1606"/>
      <c r="CH1606"/>
      <c r="CI1606"/>
      <c r="CU1606" s="21">
        <v>1601</v>
      </c>
      <c r="CV1606" s="41">
        <v>4</v>
      </c>
      <c r="CW1606" s="41">
        <v>0.11332468572476186</v>
      </c>
      <c r="CX1606" s="41" t="e">
        <v>#N/A</v>
      </c>
      <c r="CY1606" s="41" t="e">
        <v>#N/A</v>
      </c>
      <c r="CZ1606" s="47" t="e">
        <v>#N/A</v>
      </c>
      <c r="DA1606">
        <v>0.11332468572476186</v>
      </c>
      <c r="DB1606" t="str">
        <v/>
      </c>
    </row>
    <row r="1607" spans="83:106" x14ac:dyDescent="0.2">
      <c r="CE1607"/>
      <c r="CF1607"/>
      <c r="CG1607"/>
      <c r="CH1607"/>
      <c r="CI1607"/>
      <c r="CU1607" s="21">
        <v>1602</v>
      </c>
      <c r="CV1607" s="41">
        <v>4</v>
      </c>
      <c r="CW1607" s="41">
        <v>0.11332468572476186</v>
      </c>
      <c r="CX1607" s="41" t="e">
        <v>#N/A</v>
      </c>
      <c r="CY1607" s="41" t="e">
        <v>#N/A</v>
      </c>
      <c r="CZ1607" s="47" t="e">
        <v>#N/A</v>
      </c>
      <c r="DA1607">
        <v>0.11332468572476186</v>
      </c>
      <c r="DB1607" t="str">
        <v/>
      </c>
    </row>
    <row r="1608" spans="83:106" x14ac:dyDescent="0.2">
      <c r="CE1608"/>
      <c r="CF1608"/>
      <c r="CG1608"/>
      <c r="CH1608"/>
      <c r="CI1608"/>
      <c r="CU1608" s="21">
        <v>1603</v>
      </c>
      <c r="CV1608" s="41">
        <v>4</v>
      </c>
      <c r="CW1608" s="41">
        <v>0.11332468572476186</v>
      </c>
      <c r="CX1608" s="41" t="e">
        <v>#N/A</v>
      </c>
      <c r="CY1608" s="41" t="e">
        <v>#N/A</v>
      </c>
      <c r="CZ1608" s="47" t="e">
        <v>#N/A</v>
      </c>
      <c r="DA1608">
        <v>0.11332468572476186</v>
      </c>
      <c r="DB1608" t="str">
        <v/>
      </c>
    </row>
    <row r="1609" spans="83:106" x14ac:dyDescent="0.2">
      <c r="CE1609"/>
      <c r="CF1609"/>
      <c r="CG1609"/>
      <c r="CH1609"/>
      <c r="CI1609"/>
      <c r="CU1609" s="21">
        <v>1604</v>
      </c>
      <c r="CV1609" s="41">
        <v>4</v>
      </c>
      <c r="CW1609" s="41">
        <v>0.11332468572476186</v>
      </c>
      <c r="CX1609" s="41" t="e">
        <v>#N/A</v>
      </c>
      <c r="CY1609" s="41" t="e">
        <v>#N/A</v>
      </c>
      <c r="CZ1609" s="47" t="e">
        <v>#N/A</v>
      </c>
      <c r="DA1609">
        <v>0.11332468572476186</v>
      </c>
      <c r="DB1609" t="str">
        <v/>
      </c>
    </row>
    <row r="1610" spans="83:106" x14ac:dyDescent="0.2">
      <c r="CE1610"/>
      <c r="CF1610"/>
      <c r="CG1610"/>
      <c r="CH1610"/>
      <c r="CI1610"/>
      <c r="CU1610" s="21">
        <v>1605</v>
      </c>
      <c r="CV1610" s="41">
        <v>4</v>
      </c>
      <c r="CW1610" s="41">
        <v>0.11332468572476186</v>
      </c>
      <c r="CX1610" s="41" t="e">
        <v>#N/A</v>
      </c>
      <c r="CY1610" s="41" t="e">
        <v>#N/A</v>
      </c>
      <c r="CZ1610" s="47" t="e">
        <v>#N/A</v>
      </c>
      <c r="DA1610">
        <v>0.11332468572476186</v>
      </c>
      <c r="DB1610" t="str">
        <v/>
      </c>
    </row>
    <row r="1611" spans="83:106" x14ac:dyDescent="0.2">
      <c r="CE1611"/>
      <c r="CF1611"/>
      <c r="CG1611"/>
      <c r="CH1611"/>
      <c r="CI1611"/>
      <c r="CU1611" s="21">
        <v>1606</v>
      </c>
      <c r="CV1611" s="41">
        <v>4</v>
      </c>
      <c r="CW1611" s="41">
        <v>0.11332468572476186</v>
      </c>
      <c r="CX1611" s="41" t="e">
        <v>#N/A</v>
      </c>
      <c r="CY1611" s="41" t="e">
        <v>#N/A</v>
      </c>
      <c r="CZ1611" s="47" t="e">
        <v>#N/A</v>
      </c>
      <c r="DA1611">
        <v>0.11332468572476186</v>
      </c>
      <c r="DB1611" t="str">
        <v/>
      </c>
    </row>
    <row r="1612" spans="83:106" x14ac:dyDescent="0.2">
      <c r="CE1612"/>
      <c r="CF1612"/>
      <c r="CG1612"/>
      <c r="CH1612"/>
      <c r="CI1612"/>
      <c r="CU1612" s="21">
        <v>1607</v>
      </c>
      <c r="CV1612" s="41">
        <v>4</v>
      </c>
      <c r="CW1612" s="41">
        <v>0.11332468572476186</v>
      </c>
      <c r="CX1612" s="41" t="e">
        <v>#N/A</v>
      </c>
      <c r="CY1612" s="41" t="e">
        <v>#N/A</v>
      </c>
      <c r="CZ1612" s="47" t="e">
        <v>#N/A</v>
      </c>
      <c r="DA1612">
        <v>0.11332468572476186</v>
      </c>
      <c r="DB1612" t="str">
        <v/>
      </c>
    </row>
    <row r="1613" spans="83:106" x14ac:dyDescent="0.2">
      <c r="CE1613"/>
      <c r="CF1613"/>
      <c r="CG1613"/>
      <c r="CH1613"/>
      <c r="CI1613"/>
      <c r="CU1613" s="21">
        <v>1608</v>
      </c>
      <c r="CV1613" s="41">
        <v>4</v>
      </c>
      <c r="CW1613" s="41">
        <v>0.11332468572476186</v>
      </c>
      <c r="CX1613" s="41" t="e">
        <v>#N/A</v>
      </c>
      <c r="CY1613" s="41" t="e">
        <v>#N/A</v>
      </c>
      <c r="CZ1613" s="47" t="e">
        <v>#N/A</v>
      </c>
      <c r="DA1613">
        <v>0.11332468572476186</v>
      </c>
      <c r="DB1613" t="str">
        <v/>
      </c>
    </row>
    <row r="1614" spans="83:106" x14ac:dyDescent="0.2">
      <c r="CE1614"/>
      <c r="CF1614"/>
      <c r="CG1614"/>
      <c r="CH1614"/>
      <c r="CI1614"/>
      <c r="CU1614" s="21">
        <v>1609</v>
      </c>
      <c r="CV1614" s="41">
        <v>4</v>
      </c>
      <c r="CW1614" s="41">
        <v>0.11332468572476186</v>
      </c>
      <c r="CX1614" s="41" t="e">
        <v>#N/A</v>
      </c>
      <c r="CY1614" s="41" t="e">
        <v>#N/A</v>
      </c>
      <c r="CZ1614" s="47" t="e">
        <v>#N/A</v>
      </c>
      <c r="DA1614">
        <v>0.11332468572476186</v>
      </c>
      <c r="DB1614" t="str">
        <v/>
      </c>
    </row>
    <row r="1615" spans="83:106" x14ac:dyDescent="0.2">
      <c r="CE1615"/>
      <c r="CF1615"/>
      <c r="CG1615"/>
      <c r="CH1615"/>
      <c r="CI1615"/>
      <c r="CU1615" s="21">
        <v>1610</v>
      </c>
      <c r="CV1615" s="41">
        <v>4</v>
      </c>
      <c r="CW1615" s="41">
        <v>0.11332468572476186</v>
      </c>
      <c r="CX1615" s="41" t="e">
        <v>#N/A</v>
      </c>
      <c r="CY1615" s="41" t="e">
        <v>#N/A</v>
      </c>
      <c r="CZ1615" s="47" t="e">
        <v>#N/A</v>
      </c>
      <c r="DA1615">
        <v>0.11332468572476186</v>
      </c>
      <c r="DB1615" t="str">
        <v/>
      </c>
    </row>
    <row r="1616" spans="83:106" x14ac:dyDescent="0.2">
      <c r="CE1616"/>
      <c r="CF1616"/>
      <c r="CG1616"/>
      <c r="CH1616"/>
      <c r="CI1616"/>
      <c r="CU1616" s="21">
        <v>1611</v>
      </c>
      <c r="CV1616" s="41">
        <v>4</v>
      </c>
      <c r="CW1616" s="41">
        <v>0.11332468572476186</v>
      </c>
      <c r="CX1616" s="41" t="e">
        <v>#N/A</v>
      </c>
      <c r="CY1616" s="41" t="e">
        <v>#N/A</v>
      </c>
      <c r="CZ1616" s="47" t="e">
        <v>#N/A</v>
      </c>
      <c r="DA1616">
        <v>0.11332468572476186</v>
      </c>
      <c r="DB1616" t="str">
        <v/>
      </c>
    </row>
    <row r="1617" spans="83:106" x14ac:dyDescent="0.2">
      <c r="CE1617"/>
      <c r="CF1617"/>
      <c r="CG1617"/>
      <c r="CH1617"/>
      <c r="CI1617"/>
      <c r="CU1617" s="21">
        <v>1612</v>
      </c>
      <c r="CV1617" s="41">
        <v>4</v>
      </c>
      <c r="CW1617" s="41">
        <v>0.11332468572476186</v>
      </c>
      <c r="CX1617" s="41" t="e">
        <v>#N/A</v>
      </c>
      <c r="CY1617" s="41" t="e">
        <v>#N/A</v>
      </c>
      <c r="CZ1617" s="47" t="e">
        <v>#N/A</v>
      </c>
      <c r="DA1617">
        <v>0.11332468572476186</v>
      </c>
      <c r="DB1617" t="str">
        <v/>
      </c>
    </row>
    <row r="1618" spans="83:106" x14ac:dyDescent="0.2">
      <c r="CE1618"/>
      <c r="CF1618"/>
      <c r="CG1618"/>
      <c r="CH1618"/>
      <c r="CI1618"/>
      <c r="CU1618" s="21">
        <v>1613</v>
      </c>
      <c r="CV1618" s="41">
        <v>4</v>
      </c>
      <c r="CW1618" s="41">
        <v>0.11332468572476186</v>
      </c>
      <c r="CX1618" s="41" t="e">
        <v>#N/A</v>
      </c>
      <c r="CY1618" s="41" t="e">
        <v>#N/A</v>
      </c>
      <c r="CZ1618" s="47" t="e">
        <v>#N/A</v>
      </c>
      <c r="DA1618">
        <v>0.11332468572476186</v>
      </c>
      <c r="DB1618" t="str">
        <v/>
      </c>
    </row>
    <row r="1619" spans="83:106" x14ac:dyDescent="0.2">
      <c r="CE1619"/>
      <c r="CF1619"/>
      <c r="CG1619"/>
      <c r="CH1619"/>
      <c r="CI1619"/>
      <c r="CU1619" s="21">
        <v>1614</v>
      </c>
      <c r="CV1619" s="41">
        <v>4</v>
      </c>
      <c r="CW1619" s="41">
        <v>0.11332468572476186</v>
      </c>
      <c r="CX1619" s="41" t="e">
        <v>#N/A</v>
      </c>
      <c r="CY1619" s="41" t="e">
        <v>#N/A</v>
      </c>
      <c r="CZ1619" s="47" t="e">
        <v>#N/A</v>
      </c>
      <c r="DA1619">
        <v>0.11332468572476186</v>
      </c>
      <c r="DB1619" t="str">
        <v/>
      </c>
    </row>
    <row r="1620" spans="83:106" x14ac:dyDescent="0.2">
      <c r="CE1620"/>
      <c r="CF1620"/>
      <c r="CG1620"/>
      <c r="CH1620"/>
      <c r="CI1620"/>
      <c r="CU1620" s="21">
        <v>1615</v>
      </c>
      <c r="CV1620" s="41">
        <v>4</v>
      </c>
      <c r="CW1620" s="41">
        <v>0.11332468572476186</v>
      </c>
      <c r="CX1620" s="41" t="e">
        <v>#N/A</v>
      </c>
      <c r="CY1620" s="41" t="e">
        <v>#N/A</v>
      </c>
      <c r="CZ1620" s="47" t="e">
        <v>#N/A</v>
      </c>
      <c r="DA1620">
        <v>0.11332468572476186</v>
      </c>
      <c r="DB1620" t="str">
        <v/>
      </c>
    </row>
    <row r="1621" spans="83:106" x14ac:dyDescent="0.2">
      <c r="CE1621"/>
      <c r="CF1621"/>
      <c r="CG1621"/>
      <c r="CH1621"/>
      <c r="CI1621"/>
      <c r="CU1621" s="21">
        <v>1616</v>
      </c>
      <c r="CV1621" s="41">
        <v>4</v>
      </c>
      <c r="CW1621" s="41">
        <v>0.11332468572476186</v>
      </c>
      <c r="CX1621" s="41" t="e">
        <v>#N/A</v>
      </c>
      <c r="CY1621" s="41" t="e">
        <v>#N/A</v>
      </c>
      <c r="CZ1621" s="47" t="e">
        <v>#N/A</v>
      </c>
      <c r="DA1621">
        <v>0.11332468572476186</v>
      </c>
      <c r="DB1621" t="str">
        <v/>
      </c>
    </row>
    <row r="1622" spans="83:106" x14ac:dyDescent="0.2">
      <c r="CE1622"/>
      <c r="CF1622"/>
      <c r="CG1622"/>
      <c r="CH1622"/>
      <c r="CI1622"/>
      <c r="CU1622" s="21">
        <v>1617</v>
      </c>
      <c r="CV1622" s="41">
        <v>4</v>
      </c>
      <c r="CW1622" s="41">
        <v>0.11332468572476186</v>
      </c>
      <c r="CX1622" s="41" t="e">
        <v>#N/A</v>
      </c>
      <c r="CY1622" s="41" t="e">
        <v>#N/A</v>
      </c>
      <c r="CZ1622" s="47" t="e">
        <v>#N/A</v>
      </c>
      <c r="DA1622">
        <v>0.11332468572476186</v>
      </c>
      <c r="DB1622" t="str">
        <v/>
      </c>
    </row>
    <row r="1623" spans="83:106" x14ac:dyDescent="0.2">
      <c r="CE1623"/>
      <c r="CF1623"/>
      <c r="CG1623"/>
      <c r="CH1623"/>
      <c r="CI1623"/>
      <c r="CU1623" s="21">
        <v>1618</v>
      </c>
      <c r="CV1623" s="41">
        <v>4</v>
      </c>
      <c r="CW1623" s="41">
        <v>0.11332468572476186</v>
      </c>
      <c r="CX1623" s="41" t="e">
        <v>#N/A</v>
      </c>
      <c r="CY1623" s="41" t="e">
        <v>#N/A</v>
      </c>
      <c r="CZ1623" s="47" t="e">
        <v>#N/A</v>
      </c>
      <c r="DA1623">
        <v>0.11332468572476186</v>
      </c>
      <c r="DB1623" t="str">
        <v/>
      </c>
    </row>
    <row r="1624" spans="83:106" x14ac:dyDescent="0.2">
      <c r="CE1624"/>
      <c r="CF1624"/>
      <c r="CG1624"/>
      <c r="CH1624"/>
      <c r="CI1624"/>
      <c r="CU1624" s="21">
        <v>1619</v>
      </c>
      <c r="CV1624" s="41">
        <v>4</v>
      </c>
      <c r="CW1624" s="41">
        <v>0.11332468572476186</v>
      </c>
      <c r="CX1624" s="41" t="e">
        <v>#N/A</v>
      </c>
      <c r="CY1624" s="41" t="e">
        <v>#N/A</v>
      </c>
      <c r="CZ1624" s="47" t="e">
        <v>#N/A</v>
      </c>
      <c r="DA1624">
        <v>0.11332468572476186</v>
      </c>
      <c r="DB1624" t="str">
        <v/>
      </c>
    </row>
    <row r="1625" spans="83:106" x14ac:dyDescent="0.2">
      <c r="CE1625"/>
      <c r="CF1625"/>
      <c r="CG1625"/>
      <c r="CH1625"/>
      <c r="CI1625"/>
      <c r="CU1625" s="21">
        <v>1620</v>
      </c>
      <c r="CV1625" s="41">
        <v>4</v>
      </c>
      <c r="CW1625" s="41">
        <v>0.11332468572476186</v>
      </c>
      <c r="CX1625" s="41" t="e">
        <v>#N/A</v>
      </c>
      <c r="CY1625" s="41" t="e">
        <v>#N/A</v>
      </c>
      <c r="CZ1625" s="47" t="e">
        <v>#N/A</v>
      </c>
      <c r="DA1625">
        <v>0.11332468572476186</v>
      </c>
      <c r="DB1625" t="str">
        <v/>
      </c>
    </row>
    <row r="1626" spans="83:106" x14ac:dyDescent="0.2">
      <c r="CE1626"/>
      <c r="CF1626"/>
      <c r="CG1626"/>
      <c r="CH1626"/>
      <c r="CI1626"/>
      <c r="CU1626" s="21">
        <v>1621</v>
      </c>
      <c r="CV1626" s="41">
        <v>4</v>
      </c>
      <c r="CW1626" s="41">
        <v>0.11332468572476186</v>
      </c>
      <c r="CX1626" s="41" t="e">
        <v>#N/A</v>
      </c>
      <c r="CY1626" s="41" t="e">
        <v>#N/A</v>
      </c>
      <c r="CZ1626" s="47" t="e">
        <v>#N/A</v>
      </c>
      <c r="DA1626">
        <v>0.11332468572476186</v>
      </c>
      <c r="DB1626" t="str">
        <v/>
      </c>
    </row>
    <row r="1627" spans="83:106" x14ac:dyDescent="0.2">
      <c r="CE1627"/>
      <c r="CF1627"/>
      <c r="CG1627"/>
      <c r="CH1627"/>
      <c r="CI1627"/>
      <c r="CU1627" s="21">
        <v>1622</v>
      </c>
      <c r="CV1627" s="41">
        <v>4</v>
      </c>
      <c r="CW1627" s="41">
        <v>0.11332468572476186</v>
      </c>
      <c r="CX1627" s="41" t="e">
        <v>#N/A</v>
      </c>
      <c r="CY1627" s="41" t="e">
        <v>#N/A</v>
      </c>
      <c r="CZ1627" s="47" t="e">
        <v>#N/A</v>
      </c>
      <c r="DA1627">
        <v>0.11332468572476186</v>
      </c>
      <c r="DB1627" t="str">
        <v/>
      </c>
    </row>
    <row r="1628" spans="83:106" x14ac:dyDescent="0.2">
      <c r="CE1628"/>
      <c r="CF1628"/>
      <c r="CG1628"/>
      <c r="CH1628"/>
      <c r="CI1628"/>
      <c r="CU1628" s="21">
        <v>1623</v>
      </c>
      <c r="CV1628" s="41">
        <v>4</v>
      </c>
      <c r="CW1628" s="41">
        <v>0.11332468572476186</v>
      </c>
      <c r="CX1628" s="41" t="e">
        <v>#N/A</v>
      </c>
      <c r="CY1628" s="41" t="e">
        <v>#N/A</v>
      </c>
      <c r="CZ1628" s="47" t="e">
        <v>#N/A</v>
      </c>
      <c r="DA1628">
        <v>0.11332468572476186</v>
      </c>
      <c r="DB1628" t="str">
        <v/>
      </c>
    </row>
    <row r="1629" spans="83:106" x14ac:dyDescent="0.2">
      <c r="CE1629"/>
      <c r="CF1629"/>
      <c r="CG1629"/>
      <c r="CH1629"/>
      <c r="CI1629"/>
      <c r="CU1629" s="21">
        <v>1624</v>
      </c>
      <c r="CV1629" s="41">
        <v>4</v>
      </c>
      <c r="CW1629" s="41">
        <v>0.11332468572476186</v>
      </c>
      <c r="CX1629" s="41" t="e">
        <v>#N/A</v>
      </c>
      <c r="CY1629" s="41" t="e">
        <v>#N/A</v>
      </c>
      <c r="CZ1629" s="47" t="e">
        <v>#N/A</v>
      </c>
      <c r="DA1629">
        <v>0.11332468572476186</v>
      </c>
      <c r="DB1629" t="str">
        <v/>
      </c>
    </row>
    <row r="1630" spans="83:106" x14ac:dyDescent="0.2">
      <c r="CE1630"/>
      <c r="CF1630"/>
      <c r="CG1630"/>
      <c r="CH1630"/>
      <c r="CI1630"/>
      <c r="CU1630" s="21">
        <v>1625</v>
      </c>
      <c r="CV1630" s="41">
        <v>4</v>
      </c>
      <c r="CW1630" s="41">
        <v>0.11332468572476186</v>
      </c>
      <c r="CX1630" s="41" t="e">
        <v>#N/A</v>
      </c>
      <c r="CY1630" s="41" t="e">
        <v>#N/A</v>
      </c>
      <c r="CZ1630" s="47" t="e">
        <v>#N/A</v>
      </c>
      <c r="DA1630">
        <v>0.11332468572476186</v>
      </c>
      <c r="DB1630" t="str">
        <v/>
      </c>
    </row>
    <row r="1631" spans="83:106" x14ac:dyDescent="0.2">
      <c r="CE1631"/>
      <c r="CF1631"/>
      <c r="CG1631"/>
      <c r="CH1631"/>
      <c r="CI1631"/>
      <c r="CU1631" s="21">
        <v>1626</v>
      </c>
      <c r="CV1631" s="41">
        <v>4</v>
      </c>
      <c r="CW1631" s="41">
        <v>0.11332468572476186</v>
      </c>
      <c r="CX1631" s="41" t="e">
        <v>#N/A</v>
      </c>
      <c r="CY1631" s="41" t="e">
        <v>#N/A</v>
      </c>
      <c r="CZ1631" s="47" t="e">
        <v>#N/A</v>
      </c>
      <c r="DA1631">
        <v>0.11332468572476186</v>
      </c>
      <c r="DB1631" t="str">
        <v/>
      </c>
    </row>
    <row r="1632" spans="83:106" x14ac:dyDescent="0.2">
      <c r="CE1632"/>
      <c r="CF1632"/>
      <c r="CG1632"/>
      <c r="CH1632"/>
      <c r="CI1632"/>
      <c r="CU1632" s="21">
        <v>1627</v>
      </c>
      <c r="CV1632" s="41">
        <v>4</v>
      </c>
      <c r="CW1632" s="41">
        <v>0.11332468572476186</v>
      </c>
      <c r="CX1632" s="41" t="e">
        <v>#N/A</v>
      </c>
      <c r="CY1632" s="41" t="e">
        <v>#N/A</v>
      </c>
      <c r="CZ1632" s="47" t="e">
        <v>#N/A</v>
      </c>
      <c r="DA1632">
        <v>0.11332468572476186</v>
      </c>
      <c r="DB1632" t="str">
        <v/>
      </c>
    </row>
    <row r="1633" spans="83:106" x14ac:dyDescent="0.2">
      <c r="CE1633"/>
      <c r="CF1633"/>
      <c r="CG1633"/>
      <c r="CH1633"/>
      <c r="CI1633"/>
      <c r="CU1633" s="21">
        <v>1628</v>
      </c>
      <c r="CV1633" s="41">
        <v>4</v>
      </c>
      <c r="CW1633" s="41">
        <v>0.11332468572476186</v>
      </c>
      <c r="CX1633" s="41" t="e">
        <v>#N/A</v>
      </c>
      <c r="CY1633" s="41" t="e">
        <v>#N/A</v>
      </c>
      <c r="CZ1633" s="47" t="e">
        <v>#N/A</v>
      </c>
      <c r="DA1633">
        <v>0.11332468572476186</v>
      </c>
      <c r="DB1633" t="str">
        <v/>
      </c>
    </row>
    <row r="1634" spans="83:106" x14ac:dyDescent="0.2">
      <c r="CE1634"/>
      <c r="CF1634"/>
      <c r="CG1634"/>
      <c r="CH1634"/>
      <c r="CI1634"/>
      <c r="CU1634" s="21">
        <v>1629</v>
      </c>
      <c r="CV1634" s="41">
        <v>4</v>
      </c>
      <c r="CW1634" s="41">
        <v>0.11332468572476186</v>
      </c>
      <c r="CX1634" s="41" t="e">
        <v>#N/A</v>
      </c>
      <c r="CY1634" s="41" t="e">
        <v>#N/A</v>
      </c>
      <c r="CZ1634" s="47" t="e">
        <v>#N/A</v>
      </c>
      <c r="DA1634">
        <v>0.11332468572476186</v>
      </c>
      <c r="DB1634" t="str">
        <v/>
      </c>
    </row>
    <row r="1635" spans="83:106" x14ac:dyDescent="0.2">
      <c r="CE1635"/>
      <c r="CF1635"/>
      <c r="CG1635"/>
      <c r="CH1635"/>
      <c r="CI1635"/>
      <c r="CU1635" s="21">
        <v>1630</v>
      </c>
      <c r="CV1635" s="41">
        <v>4</v>
      </c>
      <c r="CW1635" s="41">
        <v>0.11332468572476186</v>
      </c>
      <c r="CX1635" s="41" t="e">
        <v>#N/A</v>
      </c>
      <c r="CY1635" s="41" t="e">
        <v>#N/A</v>
      </c>
      <c r="CZ1635" s="47" t="e">
        <v>#N/A</v>
      </c>
      <c r="DA1635">
        <v>0.11332468572476186</v>
      </c>
      <c r="DB1635" t="str">
        <v/>
      </c>
    </row>
    <row r="1636" spans="83:106" x14ac:dyDescent="0.2">
      <c r="CE1636"/>
      <c r="CF1636"/>
      <c r="CG1636"/>
      <c r="CH1636"/>
      <c r="CI1636"/>
      <c r="CU1636" s="21">
        <v>1631</v>
      </c>
      <c r="CV1636" s="41">
        <v>4</v>
      </c>
      <c r="CW1636" s="41">
        <v>0.11332468572476186</v>
      </c>
      <c r="CX1636" s="41" t="e">
        <v>#N/A</v>
      </c>
      <c r="CY1636" s="41" t="e">
        <v>#N/A</v>
      </c>
      <c r="CZ1636" s="47" t="e">
        <v>#N/A</v>
      </c>
      <c r="DA1636">
        <v>0.11332468572476186</v>
      </c>
      <c r="DB1636" t="str">
        <v/>
      </c>
    </row>
    <row r="1637" spans="83:106" x14ac:dyDescent="0.2">
      <c r="CE1637"/>
      <c r="CF1637"/>
      <c r="CG1637"/>
      <c r="CH1637"/>
      <c r="CI1637"/>
      <c r="CU1637" s="21">
        <v>1632</v>
      </c>
      <c r="CV1637" s="41">
        <v>4</v>
      </c>
      <c r="CW1637" s="41">
        <v>0.11332468572476186</v>
      </c>
      <c r="CX1637" s="41" t="e">
        <v>#N/A</v>
      </c>
      <c r="CY1637" s="41" t="e">
        <v>#N/A</v>
      </c>
      <c r="CZ1637" s="47" t="e">
        <v>#N/A</v>
      </c>
      <c r="DA1637">
        <v>0.11332468572476186</v>
      </c>
      <c r="DB1637" t="str">
        <v/>
      </c>
    </row>
    <row r="1638" spans="83:106" x14ac:dyDescent="0.2">
      <c r="CE1638"/>
      <c r="CF1638"/>
      <c r="CG1638"/>
      <c r="CH1638"/>
      <c r="CI1638"/>
      <c r="CU1638" s="21">
        <v>1633</v>
      </c>
      <c r="CV1638" s="41">
        <v>4</v>
      </c>
      <c r="CW1638" s="41">
        <v>0.11332468572476186</v>
      </c>
      <c r="CX1638" s="41" t="e">
        <v>#N/A</v>
      </c>
      <c r="CY1638" s="41" t="e">
        <v>#N/A</v>
      </c>
      <c r="CZ1638" s="47" t="e">
        <v>#N/A</v>
      </c>
      <c r="DA1638">
        <v>0.11332468572476186</v>
      </c>
      <c r="DB1638" t="str">
        <v/>
      </c>
    </row>
    <row r="1639" spans="83:106" x14ac:dyDescent="0.2">
      <c r="CE1639"/>
      <c r="CF1639"/>
      <c r="CG1639"/>
      <c r="CH1639"/>
      <c r="CI1639"/>
      <c r="CU1639" s="21">
        <v>1634</v>
      </c>
      <c r="CV1639" s="41">
        <v>4</v>
      </c>
      <c r="CW1639" s="41">
        <v>0.11332468572476186</v>
      </c>
      <c r="CX1639" s="41" t="e">
        <v>#N/A</v>
      </c>
      <c r="CY1639" s="41" t="e">
        <v>#N/A</v>
      </c>
      <c r="CZ1639" s="47" t="e">
        <v>#N/A</v>
      </c>
      <c r="DA1639">
        <v>0.11332468572476186</v>
      </c>
      <c r="DB1639" t="str">
        <v/>
      </c>
    </row>
    <row r="1640" spans="83:106" x14ac:dyDescent="0.2">
      <c r="CE1640"/>
      <c r="CF1640"/>
      <c r="CG1640"/>
      <c r="CH1640"/>
      <c r="CI1640"/>
      <c r="CU1640" s="21">
        <v>1635</v>
      </c>
      <c r="CV1640" s="41">
        <v>4</v>
      </c>
      <c r="CW1640" s="41">
        <v>0.11332468572476186</v>
      </c>
      <c r="CX1640" s="41" t="e">
        <v>#N/A</v>
      </c>
      <c r="CY1640" s="41" t="e">
        <v>#N/A</v>
      </c>
      <c r="CZ1640" s="47" t="e">
        <v>#N/A</v>
      </c>
      <c r="DA1640">
        <v>0.11332468572476186</v>
      </c>
      <c r="DB1640" t="str">
        <v/>
      </c>
    </row>
    <row r="1641" spans="83:106" x14ac:dyDescent="0.2">
      <c r="CE1641"/>
      <c r="CF1641"/>
      <c r="CG1641"/>
      <c r="CH1641"/>
      <c r="CI1641"/>
      <c r="CU1641" s="21">
        <v>1636</v>
      </c>
      <c r="CV1641" s="41">
        <v>4</v>
      </c>
      <c r="CW1641" s="41">
        <v>0.11332468572476186</v>
      </c>
      <c r="CX1641" s="41" t="e">
        <v>#N/A</v>
      </c>
      <c r="CY1641" s="41" t="e">
        <v>#N/A</v>
      </c>
      <c r="CZ1641" s="47" t="e">
        <v>#N/A</v>
      </c>
      <c r="DA1641">
        <v>0.11332468572476186</v>
      </c>
      <c r="DB1641" t="str">
        <v/>
      </c>
    </row>
    <row r="1642" spans="83:106" x14ac:dyDescent="0.2">
      <c r="CE1642"/>
      <c r="CF1642"/>
      <c r="CG1642"/>
      <c r="CH1642"/>
      <c r="CI1642"/>
      <c r="CU1642" s="21">
        <v>1637</v>
      </c>
      <c r="CV1642" s="41">
        <v>4</v>
      </c>
      <c r="CW1642" s="41">
        <v>0.11332468572476186</v>
      </c>
      <c r="CX1642" s="41" t="e">
        <v>#N/A</v>
      </c>
      <c r="CY1642" s="41" t="e">
        <v>#N/A</v>
      </c>
      <c r="CZ1642" s="47" t="e">
        <v>#N/A</v>
      </c>
      <c r="DA1642">
        <v>0.11332468572476186</v>
      </c>
      <c r="DB1642" t="str">
        <v/>
      </c>
    </row>
    <row r="1643" spans="83:106" x14ac:dyDescent="0.2">
      <c r="CE1643"/>
      <c r="CF1643"/>
      <c r="CG1643"/>
      <c r="CH1643"/>
      <c r="CI1643"/>
      <c r="CU1643" s="21">
        <v>1638</v>
      </c>
      <c r="CV1643" s="41">
        <v>4</v>
      </c>
      <c r="CW1643" s="41">
        <v>0.11332468572476186</v>
      </c>
      <c r="CX1643" s="41" t="e">
        <v>#N/A</v>
      </c>
      <c r="CY1643" s="41" t="e">
        <v>#N/A</v>
      </c>
      <c r="CZ1643" s="47" t="e">
        <v>#N/A</v>
      </c>
      <c r="DA1643">
        <v>0.11332468572476186</v>
      </c>
      <c r="DB1643" t="str">
        <v/>
      </c>
    </row>
    <row r="1644" spans="83:106" x14ac:dyDescent="0.2">
      <c r="CE1644"/>
      <c r="CF1644"/>
      <c r="CG1644"/>
      <c r="CH1644"/>
      <c r="CI1644"/>
      <c r="CU1644" s="21">
        <v>1639</v>
      </c>
      <c r="CV1644" s="41">
        <v>4</v>
      </c>
      <c r="CW1644" s="41">
        <v>0.11332468572476186</v>
      </c>
      <c r="CX1644" s="41" t="e">
        <v>#N/A</v>
      </c>
      <c r="CY1644" s="41" t="e">
        <v>#N/A</v>
      </c>
      <c r="CZ1644" s="47" t="e">
        <v>#N/A</v>
      </c>
      <c r="DA1644">
        <v>0.11332468572476186</v>
      </c>
      <c r="DB1644" t="str">
        <v/>
      </c>
    </row>
    <row r="1645" spans="83:106" x14ac:dyDescent="0.2">
      <c r="CE1645"/>
      <c r="CF1645"/>
      <c r="CG1645"/>
      <c r="CH1645"/>
      <c r="CI1645"/>
      <c r="CU1645" s="21">
        <v>1640</v>
      </c>
      <c r="CV1645" s="41">
        <v>4</v>
      </c>
      <c r="CW1645" s="41">
        <v>0.11332468572476186</v>
      </c>
      <c r="CX1645" s="41" t="e">
        <v>#N/A</v>
      </c>
      <c r="CY1645" s="41" t="e">
        <v>#N/A</v>
      </c>
      <c r="CZ1645" s="47" t="e">
        <v>#N/A</v>
      </c>
      <c r="DA1645">
        <v>0.11332468572476186</v>
      </c>
      <c r="DB1645" t="str">
        <v/>
      </c>
    </row>
    <row r="1646" spans="83:106" x14ac:dyDescent="0.2">
      <c r="CE1646"/>
      <c r="CF1646"/>
      <c r="CG1646"/>
      <c r="CH1646"/>
      <c r="CI1646"/>
      <c r="CU1646" s="21">
        <v>1641</v>
      </c>
      <c r="CV1646" s="41">
        <v>4</v>
      </c>
      <c r="CW1646" s="41">
        <v>0.11332468572476186</v>
      </c>
      <c r="CX1646" s="41" t="e">
        <v>#N/A</v>
      </c>
      <c r="CY1646" s="41" t="e">
        <v>#N/A</v>
      </c>
      <c r="CZ1646" s="47" t="e">
        <v>#N/A</v>
      </c>
      <c r="DA1646">
        <v>0.11332468572476186</v>
      </c>
      <c r="DB1646" t="str">
        <v/>
      </c>
    </row>
    <row r="1647" spans="83:106" x14ac:dyDescent="0.2">
      <c r="CE1647"/>
      <c r="CF1647"/>
      <c r="CG1647"/>
      <c r="CH1647"/>
      <c r="CI1647"/>
      <c r="CU1647" s="21">
        <v>1642</v>
      </c>
      <c r="CV1647" s="41">
        <v>4</v>
      </c>
      <c r="CW1647" s="41">
        <v>0.11332468572476186</v>
      </c>
      <c r="CX1647" s="41" t="e">
        <v>#N/A</v>
      </c>
      <c r="CY1647" s="41" t="e">
        <v>#N/A</v>
      </c>
      <c r="CZ1647" s="47" t="e">
        <v>#N/A</v>
      </c>
      <c r="DA1647">
        <v>0.11332468572476186</v>
      </c>
      <c r="DB1647" t="str">
        <v/>
      </c>
    </row>
    <row r="1648" spans="83:106" x14ac:dyDescent="0.2">
      <c r="CE1648"/>
      <c r="CF1648"/>
      <c r="CG1648"/>
      <c r="CH1648"/>
      <c r="CI1648"/>
      <c r="CU1648" s="21">
        <v>1643</v>
      </c>
      <c r="CV1648" s="41">
        <v>4</v>
      </c>
      <c r="CW1648" s="41">
        <v>0.11332468572476186</v>
      </c>
      <c r="CX1648" s="41" t="e">
        <v>#N/A</v>
      </c>
      <c r="CY1648" s="41" t="e">
        <v>#N/A</v>
      </c>
      <c r="CZ1648" s="47" t="e">
        <v>#N/A</v>
      </c>
      <c r="DA1648">
        <v>0.11332468572476186</v>
      </c>
      <c r="DB1648" t="str">
        <v/>
      </c>
    </row>
    <row r="1649" spans="83:106" x14ac:dyDescent="0.2">
      <c r="CE1649"/>
      <c r="CF1649"/>
      <c r="CG1649"/>
      <c r="CH1649"/>
      <c r="CI1649"/>
      <c r="CU1649" s="21">
        <v>1644</v>
      </c>
      <c r="CV1649" s="41">
        <v>4</v>
      </c>
      <c r="CW1649" s="41">
        <v>0.11332468572476186</v>
      </c>
      <c r="CX1649" s="41" t="e">
        <v>#N/A</v>
      </c>
      <c r="CY1649" s="41" t="e">
        <v>#N/A</v>
      </c>
      <c r="CZ1649" s="47" t="e">
        <v>#N/A</v>
      </c>
      <c r="DA1649">
        <v>0.11332468572476186</v>
      </c>
      <c r="DB1649" t="str">
        <v/>
      </c>
    </row>
    <row r="1650" spans="83:106" x14ac:dyDescent="0.2">
      <c r="CE1650"/>
      <c r="CF1650"/>
      <c r="CG1650"/>
      <c r="CH1650"/>
      <c r="CI1650"/>
      <c r="CU1650" s="21">
        <v>1645</v>
      </c>
      <c r="CV1650" s="41">
        <v>4</v>
      </c>
      <c r="CW1650" s="41">
        <v>0.11332468572476186</v>
      </c>
      <c r="CX1650" s="41" t="e">
        <v>#N/A</v>
      </c>
      <c r="CY1650" s="41" t="e">
        <v>#N/A</v>
      </c>
      <c r="CZ1650" s="47" t="e">
        <v>#N/A</v>
      </c>
      <c r="DA1650">
        <v>0.11332468572476186</v>
      </c>
      <c r="DB1650" t="str">
        <v/>
      </c>
    </row>
    <row r="1651" spans="83:106" x14ac:dyDescent="0.2">
      <c r="CE1651"/>
      <c r="CF1651"/>
      <c r="CG1651"/>
      <c r="CH1651"/>
      <c r="CI1651"/>
      <c r="CU1651" s="21">
        <v>1646</v>
      </c>
      <c r="CV1651" s="41">
        <v>4</v>
      </c>
      <c r="CW1651" s="41">
        <v>0.11332468572476186</v>
      </c>
      <c r="CX1651" s="41" t="e">
        <v>#N/A</v>
      </c>
      <c r="CY1651" s="41" t="e">
        <v>#N/A</v>
      </c>
      <c r="CZ1651" s="47" t="e">
        <v>#N/A</v>
      </c>
      <c r="DA1651">
        <v>0.11332468572476186</v>
      </c>
      <c r="DB1651" t="str">
        <v/>
      </c>
    </row>
    <row r="1652" spans="83:106" x14ac:dyDescent="0.2">
      <c r="CE1652"/>
      <c r="CF1652"/>
      <c r="CG1652"/>
      <c r="CH1652"/>
      <c r="CI1652"/>
      <c r="CU1652" s="21">
        <v>1647</v>
      </c>
      <c r="CV1652" s="41">
        <v>4</v>
      </c>
      <c r="CW1652" s="41">
        <v>0.11332468572476186</v>
      </c>
      <c r="CX1652" s="41" t="e">
        <v>#N/A</v>
      </c>
      <c r="CY1652" s="41" t="e">
        <v>#N/A</v>
      </c>
      <c r="CZ1652" s="47" t="e">
        <v>#N/A</v>
      </c>
      <c r="DA1652">
        <v>0.11332468572476186</v>
      </c>
      <c r="DB1652" t="str">
        <v/>
      </c>
    </row>
    <row r="1653" spans="83:106" x14ac:dyDescent="0.2">
      <c r="CE1653"/>
      <c r="CF1653"/>
      <c r="CG1653"/>
      <c r="CH1653"/>
      <c r="CI1653"/>
      <c r="CU1653" s="21">
        <v>1648</v>
      </c>
      <c r="CV1653" s="41">
        <v>4</v>
      </c>
      <c r="CW1653" s="41">
        <v>0.11332468572476186</v>
      </c>
      <c r="CX1653" s="41" t="e">
        <v>#N/A</v>
      </c>
      <c r="CY1653" s="41" t="e">
        <v>#N/A</v>
      </c>
      <c r="CZ1653" s="47" t="e">
        <v>#N/A</v>
      </c>
      <c r="DA1653">
        <v>0.11332468572476186</v>
      </c>
      <c r="DB1653" t="str">
        <v/>
      </c>
    </row>
    <row r="1654" spans="83:106" x14ac:dyDescent="0.2">
      <c r="CE1654"/>
      <c r="CF1654"/>
      <c r="CG1654"/>
      <c r="CH1654"/>
      <c r="CI1654"/>
      <c r="CU1654" s="21">
        <v>1649</v>
      </c>
      <c r="CV1654" s="41">
        <v>4</v>
      </c>
      <c r="CW1654" s="41">
        <v>0.11332468572476186</v>
      </c>
      <c r="CX1654" s="41" t="e">
        <v>#N/A</v>
      </c>
      <c r="CY1654" s="41" t="e">
        <v>#N/A</v>
      </c>
      <c r="CZ1654" s="47" t="e">
        <v>#N/A</v>
      </c>
      <c r="DA1654">
        <v>0.11332468572476186</v>
      </c>
      <c r="DB1654" t="str">
        <v/>
      </c>
    </row>
    <row r="1655" spans="83:106" x14ac:dyDescent="0.2">
      <c r="CE1655"/>
      <c r="CF1655"/>
      <c r="CG1655"/>
      <c r="CH1655"/>
      <c r="CI1655"/>
      <c r="CU1655" s="21">
        <v>1650</v>
      </c>
      <c r="CV1655" s="41">
        <v>4</v>
      </c>
      <c r="CW1655" s="41">
        <v>0.11332468572476186</v>
      </c>
      <c r="CX1655" s="41" t="e">
        <v>#N/A</v>
      </c>
      <c r="CY1655" s="41" t="e">
        <v>#N/A</v>
      </c>
      <c r="CZ1655" s="47" t="e">
        <v>#N/A</v>
      </c>
      <c r="DA1655">
        <v>0.11332468572476186</v>
      </c>
      <c r="DB1655" t="str">
        <v/>
      </c>
    </row>
    <row r="1656" spans="83:106" x14ac:dyDescent="0.2">
      <c r="CE1656"/>
      <c r="CF1656"/>
      <c r="CG1656"/>
      <c r="CH1656"/>
      <c r="CI1656"/>
      <c r="CU1656" s="21">
        <v>1651</v>
      </c>
      <c r="CV1656" s="41">
        <v>4</v>
      </c>
      <c r="CW1656" s="41">
        <v>0.11332468572476186</v>
      </c>
      <c r="CX1656" s="41" t="e">
        <v>#N/A</v>
      </c>
      <c r="CY1656" s="41" t="e">
        <v>#N/A</v>
      </c>
      <c r="CZ1656" s="47" t="e">
        <v>#N/A</v>
      </c>
      <c r="DA1656">
        <v>0.11332468572476186</v>
      </c>
      <c r="DB1656" t="str">
        <v/>
      </c>
    </row>
    <row r="1657" spans="83:106" x14ac:dyDescent="0.2">
      <c r="CE1657"/>
      <c r="CF1657"/>
      <c r="CG1657"/>
      <c r="CH1657"/>
      <c r="CI1657"/>
      <c r="CU1657" s="21">
        <v>1652</v>
      </c>
      <c r="CV1657" s="41">
        <v>4</v>
      </c>
      <c r="CW1657" s="41">
        <v>0.11332468572476186</v>
      </c>
      <c r="CX1657" s="41" t="e">
        <v>#N/A</v>
      </c>
      <c r="CY1657" s="41" t="e">
        <v>#N/A</v>
      </c>
      <c r="CZ1657" s="47" t="e">
        <v>#N/A</v>
      </c>
      <c r="DA1657">
        <v>0.11332468572476186</v>
      </c>
      <c r="DB1657" t="str">
        <v/>
      </c>
    </row>
    <row r="1658" spans="83:106" x14ac:dyDescent="0.2">
      <c r="CE1658"/>
      <c r="CF1658"/>
      <c r="CG1658"/>
      <c r="CH1658"/>
      <c r="CI1658"/>
      <c r="CU1658" s="21">
        <v>1653</v>
      </c>
      <c r="CV1658" s="41">
        <v>4</v>
      </c>
      <c r="CW1658" s="41">
        <v>0.11332468572476186</v>
      </c>
      <c r="CX1658" s="41" t="e">
        <v>#N/A</v>
      </c>
      <c r="CY1658" s="41" t="e">
        <v>#N/A</v>
      </c>
      <c r="CZ1658" s="47" t="e">
        <v>#N/A</v>
      </c>
      <c r="DA1658">
        <v>0.11332468572476186</v>
      </c>
      <c r="DB1658" t="str">
        <v/>
      </c>
    </row>
    <row r="1659" spans="83:106" x14ac:dyDescent="0.2">
      <c r="CE1659"/>
      <c r="CF1659"/>
      <c r="CG1659"/>
      <c r="CH1659"/>
      <c r="CI1659"/>
      <c r="CU1659" s="21">
        <v>1654</v>
      </c>
      <c r="CV1659" s="41">
        <v>4</v>
      </c>
      <c r="CW1659" s="41">
        <v>0.11332468572476186</v>
      </c>
      <c r="CX1659" s="41" t="e">
        <v>#N/A</v>
      </c>
      <c r="CY1659" s="41" t="e">
        <v>#N/A</v>
      </c>
      <c r="CZ1659" s="47" t="e">
        <v>#N/A</v>
      </c>
      <c r="DA1659">
        <v>0.11332468572476186</v>
      </c>
      <c r="DB1659" t="str">
        <v/>
      </c>
    </row>
    <row r="1660" spans="83:106" x14ac:dyDescent="0.2">
      <c r="CE1660"/>
      <c r="CF1660"/>
      <c r="CG1660"/>
      <c r="CH1660"/>
      <c r="CI1660"/>
      <c r="CU1660" s="21">
        <v>1655</v>
      </c>
      <c r="CV1660" s="41">
        <v>4</v>
      </c>
      <c r="CW1660" s="41">
        <v>0.11332468572476186</v>
      </c>
      <c r="CX1660" s="41" t="e">
        <v>#N/A</v>
      </c>
      <c r="CY1660" s="41" t="e">
        <v>#N/A</v>
      </c>
      <c r="CZ1660" s="47" t="e">
        <v>#N/A</v>
      </c>
      <c r="DA1660">
        <v>0.11332468572476186</v>
      </c>
      <c r="DB1660" t="str">
        <v/>
      </c>
    </row>
    <row r="1661" spans="83:106" x14ac:dyDescent="0.2">
      <c r="CE1661"/>
      <c r="CF1661"/>
      <c r="CG1661"/>
      <c r="CH1661"/>
      <c r="CI1661"/>
      <c r="CU1661" s="21">
        <v>1656</v>
      </c>
      <c r="CV1661" s="41">
        <v>4</v>
      </c>
      <c r="CW1661" s="41">
        <v>0.11332468572476186</v>
      </c>
      <c r="CX1661" s="41" t="e">
        <v>#N/A</v>
      </c>
      <c r="CY1661" s="41" t="e">
        <v>#N/A</v>
      </c>
      <c r="CZ1661" s="47" t="e">
        <v>#N/A</v>
      </c>
      <c r="DA1661">
        <v>0.11332468572476186</v>
      </c>
      <c r="DB1661" t="str">
        <v/>
      </c>
    </row>
    <row r="1662" spans="83:106" x14ac:dyDescent="0.2">
      <c r="CE1662"/>
      <c r="CF1662"/>
      <c r="CG1662"/>
      <c r="CH1662"/>
      <c r="CI1662"/>
      <c r="CU1662" s="21">
        <v>1657</v>
      </c>
      <c r="CV1662" s="41">
        <v>4</v>
      </c>
      <c r="CW1662" s="41">
        <v>0.11332468572476186</v>
      </c>
      <c r="CX1662" s="41" t="e">
        <v>#N/A</v>
      </c>
      <c r="CY1662" s="41" t="e">
        <v>#N/A</v>
      </c>
      <c r="CZ1662" s="47" t="e">
        <v>#N/A</v>
      </c>
      <c r="DA1662">
        <v>0.11332468572476186</v>
      </c>
      <c r="DB1662" t="str">
        <v/>
      </c>
    </row>
    <row r="1663" spans="83:106" x14ac:dyDescent="0.2">
      <c r="CE1663"/>
      <c r="CF1663"/>
      <c r="CG1663"/>
      <c r="CH1663"/>
      <c r="CI1663"/>
      <c r="CU1663" s="21">
        <v>1658</v>
      </c>
      <c r="CV1663" s="41">
        <v>4</v>
      </c>
      <c r="CW1663" s="41">
        <v>0.11332468572476186</v>
      </c>
      <c r="CX1663" s="41" t="e">
        <v>#N/A</v>
      </c>
      <c r="CY1663" s="41" t="e">
        <v>#N/A</v>
      </c>
      <c r="CZ1663" s="47" t="e">
        <v>#N/A</v>
      </c>
      <c r="DA1663">
        <v>0.11332468572476186</v>
      </c>
      <c r="DB1663" t="str">
        <v/>
      </c>
    </row>
    <row r="1664" spans="83:106" x14ac:dyDescent="0.2">
      <c r="CE1664"/>
      <c r="CF1664"/>
      <c r="CG1664"/>
      <c r="CH1664"/>
      <c r="CI1664"/>
      <c r="CU1664" s="21">
        <v>1659</v>
      </c>
      <c r="CV1664" s="41">
        <v>4</v>
      </c>
      <c r="CW1664" s="41">
        <v>0.11332468572476186</v>
      </c>
      <c r="CX1664" s="41" t="e">
        <v>#N/A</v>
      </c>
      <c r="CY1664" s="41" t="e">
        <v>#N/A</v>
      </c>
      <c r="CZ1664" s="47" t="e">
        <v>#N/A</v>
      </c>
      <c r="DA1664">
        <v>0.11332468572476186</v>
      </c>
      <c r="DB1664" t="str">
        <v/>
      </c>
    </row>
    <row r="1665" spans="83:106" x14ac:dyDescent="0.2">
      <c r="CE1665"/>
      <c r="CF1665"/>
      <c r="CG1665"/>
      <c r="CH1665"/>
      <c r="CI1665"/>
      <c r="CU1665" s="21">
        <v>1660</v>
      </c>
      <c r="CV1665" s="41">
        <v>4</v>
      </c>
      <c r="CW1665" s="41">
        <v>0.11332468572476186</v>
      </c>
      <c r="CX1665" s="41" t="e">
        <v>#N/A</v>
      </c>
      <c r="CY1665" s="41" t="e">
        <v>#N/A</v>
      </c>
      <c r="CZ1665" s="47" t="e">
        <v>#N/A</v>
      </c>
      <c r="DA1665">
        <v>0.11332468572476186</v>
      </c>
      <c r="DB1665" t="str">
        <v/>
      </c>
    </row>
    <row r="1666" spans="83:106" x14ac:dyDescent="0.2">
      <c r="CE1666"/>
      <c r="CF1666"/>
      <c r="CG1666"/>
      <c r="CH1666"/>
      <c r="CI1666"/>
      <c r="CU1666" s="21">
        <v>1661</v>
      </c>
      <c r="CV1666" s="41">
        <v>4</v>
      </c>
      <c r="CW1666" s="41">
        <v>0.11332468572476186</v>
      </c>
      <c r="CX1666" s="41" t="e">
        <v>#N/A</v>
      </c>
      <c r="CY1666" s="41" t="e">
        <v>#N/A</v>
      </c>
      <c r="CZ1666" s="47" t="e">
        <v>#N/A</v>
      </c>
      <c r="DA1666">
        <v>0.11332468572476186</v>
      </c>
      <c r="DB1666" t="str">
        <v/>
      </c>
    </row>
    <row r="1667" spans="83:106" x14ac:dyDescent="0.2">
      <c r="CE1667"/>
      <c r="CF1667"/>
      <c r="CG1667"/>
      <c r="CH1667"/>
      <c r="CI1667"/>
      <c r="CU1667" s="21">
        <v>1662</v>
      </c>
      <c r="CV1667" s="41">
        <v>4</v>
      </c>
      <c r="CW1667" s="41">
        <v>0.11332468572476186</v>
      </c>
      <c r="CX1667" s="41" t="e">
        <v>#N/A</v>
      </c>
      <c r="CY1667" s="41" t="e">
        <v>#N/A</v>
      </c>
      <c r="CZ1667" s="47" t="e">
        <v>#N/A</v>
      </c>
      <c r="DA1667">
        <v>0.11332468572476186</v>
      </c>
      <c r="DB1667" t="str">
        <v/>
      </c>
    </row>
    <row r="1668" spans="83:106" x14ac:dyDescent="0.2">
      <c r="CE1668"/>
      <c r="CF1668"/>
      <c r="CG1668"/>
      <c r="CH1668"/>
      <c r="CI1668"/>
      <c r="CU1668" s="21">
        <v>1663</v>
      </c>
      <c r="CV1668" s="41">
        <v>4</v>
      </c>
      <c r="CW1668" s="41">
        <v>0.11332468572476186</v>
      </c>
      <c r="CX1668" s="41" t="e">
        <v>#N/A</v>
      </c>
      <c r="CY1668" s="41" t="e">
        <v>#N/A</v>
      </c>
      <c r="CZ1668" s="47" t="e">
        <v>#N/A</v>
      </c>
      <c r="DA1668">
        <v>0.11332468572476186</v>
      </c>
      <c r="DB1668" t="str">
        <v/>
      </c>
    </row>
    <row r="1669" spans="83:106" x14ac:dyDescent="0.2">
      <c r="CE1669"/>
      <c r="CF1669"/>
      <c r="CG1669"/>
      <c r="CH1669"/>
      <c r="CI1669"/>
      <c r="CU1669" s="21">
        <v>1664</v>
      </c>
      <c r="CV1669" s="41">
        <v>4</v>
      </c>
      <c r="CW1669" s="41">
        <v>0.11332468572476186</v>
      </c>
      <c r="CX1669" s="41" t="e">
        <v>#N/A</v>
      </c>
      <c r="CY1669" s="41" t="e">
        <v>#N/A</v>
      </c>
      <c r="CZ1669" s="47" t="e">
        <v>#N/A</v>
      </c>
      <c r="DA1669">
        <v>0.11332468572476186</v>
      </c>
      <c r="DB1669" t="str">
        <v/>
      </c>
    </row>
    <row r="1670" spans="83:106" x14ac:dyDescent="0.2">
      <c r="CE1670"/>
      <c r="CF1670"/>
      <c r="CG1670"/>
      <c r="CH1670"/>
      <c r="CI1670"/>
      <c r="CU1670" s="21">
        <v>1665</v>
      </c>
      <c r="CV1670" s="41">
        <v>4</v>
      </c>
      <c r="CW1670" s="41">
        <v>0.11332468572476186</v>
      </c>
      <c r="CX1670" s="41" t="e">
        <v>#N/A</v>
      </c>
      <c r="CY1670" s="41" t="e">
        <v>#N/A</v>
      </c>
      <c r="CZ1670" s="47" t="e">
        <v>#N/A</v>
      </c>
      <c r="DA1670">
        <v>0.11332468572476186</v>
      </c>
      <c r="DB1670" t="str">
        <v/>
      </c>
    </row>
    <row r="1671" spans="83:106" x14ac:dyDescent="0.2">
      <c r="CE1671"/>
      <c r="CF1671"/>
      <c r="CG1671"/>
      <c r="CH1671"/>
      <c r="CI1671"/>
      <c r="CU1671" s="21">
        <v>1666</v>
      </c>
      <c r="CV1671" s="41">
        <v>4</v>
      </c>
      <c r="CW1671" s="41">
        <v>0.11332468572476186</v>
      </c>
      <c r="CX1671" s="41" t="e">
        <v>#N/A</v>
      </c>
      <c r="CY1671" s="41" t="e">
        <v>#N/A</v>
      </c>
      <c r="CZ1671" s="47" t="e">
        <v>#N/A</v>
      </c>
      <c r="DA1671">
        <v>0.11332468572476186</v>
      </c>
      <c r="DB1671" t="str">
        <v/>
      </c>
    </row>
    <row r="1672" spans="83:106" x14ac:dyDescent="0.2">
      <c r="CE1672"/>
      <c r="CF1672"/>
      <c r="CG1672"/>
      <c r="CH1672"/>
      <c r="CI1672"/>
      <c r="CU1672" s="21">
        <v>1667</v>
      </c>
      <c r="CV1672" s="41">
        <v>4</v>
      </c>
      <c r="CW1672" s="41">
        <v>0.11332468572476186</v>
      </c>
      <c r="CX1672" s="41" t="e">
        <v>#N/A</v>
      </c>
      <c r="CY1672" s="41" t="e">
        <v>#N/A</v>
      </c>
      <c r="CZ1672" s="47" t="e">
        <v>#N/A</v>
      </c>
      <c r="DA1672">
        <v>0.11332468572476186</v>
      </c>
      <c r="DB1672" t="str">
        <v/>
      </c>
    </row>
    <row r="1673" spans="83:106" x14ac:dyDescent="0.2">
      <c r="CE1673"/>
      <c r="CF1673"/>
      <c r="CG1673"/>
      <c r="CH1673"/>
      <c r="CI1673"/>
      <c r="CU1673" s="21">
        <v>1668</v>
      </c>
      <c r="CV1673" s="41">
        <v>4</v>
      </c>
      <c r="CW1673" s="41">
        <v>0.11332468572476186</v>
      </c>
      <c r="CX1673" s="41" t="e">
        <v>#N/A</v>
      </c>
      <c r="CY1673" s="41" t="e">
        <v>#N/A</v>
      </c>
      <c r="CZ1673" s="47" t="e">
        <v>#N/A</v>
      </c>
      <c r="DA1673">
        <v>0.11332468572476186</v>
      </c>
      <c r="DB1673" t="str">
        <v/>
      </c>
    </row>
    <row r="1674" spans="83:106" x14ac:dyDescent="0.2">
      <c r="CE1674"/>
      <c r="CF1674"/>
      <c r="CG1674"/>
      <c r="CH1674"/>
      <c r="CI1674"/>
      <c r="CU1674" s="21">
        <v>1669</v>
      </c>
      <c r="CV1674" s="41">
        <v>4</v>
      </c>
      <c r="CW1674" s="41">
        <v>0.11332468572476186</v>
      </c>
      <c r="CX1674" s="41" t="e">
        <v>#N/A</v>
      </c>
      <c r="CY1674" s="41" t="e">
        <v>#N/A</v>
      </c>
      <c r="CZ1674" s="47" t="e">
        <v>#N/A</v>
      </c>
      <c r="DA1674">
        <v>0.11332468572476186</v>
      </c>
      <c r="DB1674" t="str">
        <v/>
      </c>
    </row>
    <row r="1675" spans="83:106" x14ac:dyDescent="0.2">
      <c r="CE1675"/>
      <c r="CF1675"/>
      <c r="CG1675"/>
      <c r="CH1675"/>
      <c r="CI1675"/>
      <c r="CU1675" s="21">
        <v>1670</v>
      </c>
      <c r="CV1675" s="41">
        <v>4</v>
      </c>
      <c r="CW1675" s="41">
        <v>0.11332468572476186</v>
      </c>
      <c r="CX1675" s="41" t="e">
        <v>#N/A</v>
      </c>
      <c r="CY1675" s="41" t="e">
        <v>#N/A</v>
      </c>
      <c r="CZ1675" s="47" t="e">
        <v>#N/A</v>
      </c>
      <c r="DA1675">
        <v>0.11332468572476186</v>
      </c>
      <c r="DB1675" t="str">
        <v/>
      </c>
    </row>
    <row r="1676" spans="83:106" x14ac:dyDescent="0.2">
      <c r="CE1676"/>
      <c r="CF1676"/>
      <c r="CG1676"/>
      <c r="CH1676"/>
      <c r="CI1676"/>
      <c r="CU1676" s="21">
        <v>1671</v>
      </c>
      <c r="CV1676" s="41">
        <v>4</v>
      </c>
      <c r="CW1676" s="41">
        <v>0.11332468572476186</v>
      </c>
      <c r="CX1676" s="41" t="e">
        <v>#N/A</v>
      </c>
      <c r="CY1676" s="41" t="e">
        <v>#N/A</v>
      </c>
      <c r="CZ1676" s="47" t="e">
        <v>#N/A</v>
      </c>
      <c r="DA1676">
        <v>0.11332468572476186</v>
      </c>
      <c r="DB1676" t="str">
        <v/>
      </c>
    </row>
    <row r="1677" spans="83:106" x14ac:dyDescent="0.2">
      <c r="CE1677"/>
      <c r="CF1677"/>
      <c r="CG1677"/>
      <c r="CH1677"/>
      <c r="CI1677"/>
      <c r="CU1677" s="21">
        <v>1672</v>
      </c>
      <c r="CV1677" s="41">
        <v>4</v>
      </c>
      <c r="CW1677" s="41">
        <v>0.11332468572476186</v>
      </c>
      <c r="CX1677" s="41" t="e">
        <v>#N/A</v>
      </c>
      <c r="CY1677" s="41" t="e">
        <v>#N/A</v>
      </c>
      <c r="CZ1677" s="47" t="e">
        <v>#N/A</v>
      </c>
      <c r="DA1677">
        <v>0.11332468572476186</v>
      </c>
      <c r="DB1677" t="str">
        <v/>
      </c>
    </row>
    <row r="1678" spans="83:106" x14ac:dyDescent="0.2">
      <c r="CE1678"/>
      <c r="CF1678"/>
      <c r="CG1678"/>
      <c r="CH1678"/>
      <c r="CI1678"/>
      <c r="CU1678" s="21">
        <v>1673</v>
      </c>
      <c r="CV1678" s="41">
        <v>4</v>
      </c>
      <c r="CW1678" s="41">
        <v>0.11332468572476186</v>
      </c>
      <c r="CX1678" s="41" t="e">
        <v>#N/A</v>
      </c>
      <c r="CY1678" s="41" t="e">
        <v>#N/A</v>
      </c>
      <c r="CZ1678" s="47" t="e">
        <v>#N/A</v>
      </c>
      <c r="DA1678">
        <v>0.11332468572476186</v>
      </c>
      <c r="DB1678" t="str">
        <v/>
      </c>
    </row>
    <row r="1679" spans="83:106" x14ac:dyDescent="0.2">
      <c r="CE1679"/>
      <c r="CF1679"/>
      <c r="CG1679"/>
      <c r="CH1679"/>
      <c r="CI1679"/>
      <c r="CU1679" s="21">
        <v>1674</v>
      </c>
      <c r="CV1679" s="41">
        <v>4</v>
      </c>
      <c r="CW1679" s="41">
        <v>0.11332468572476186</v>
      </c>
      <c r="CX1679" s="41" t="e">
        <v>#N/A</v>
      </c>
      <c r="CY1679" s="41" t="e">
        <v>#N/A</v>
      </c>
      <c r="CZ1679" s="47" t="e">
        <v>#N/A</v>
      </c>
      <c r="DA1679">
        <v>0.11332468572476186</v>
      </c>
      <c r="DB1679" t="str">
        <v/>
      </c>
    </row>
    <row r="1680" spans="83:106" x14ac:dyDescent="0.2">
      <c r="CE1680"/>
      <c r="CF1680"/>
      <c r="CG1680"/>
      <c r="CH1680"/>
      <c r="CI1680"/>
      <c r="CU1680" s="21">
        <v>1675</v>
      </c>
      <c r="CV1680" s="41">
        <v>4</v>
      </c>
      <c r="CW1680" s="41">
        <v>0.11332468572476186</v>
      </c>
      <c r="CX1680" s="41" t="e">
        <v>#N/A</v>
      </c>
      <c r="CY1680" s="41" t="e">
        <v>#N/A</v>
      </c>
      <c r="CZ1680" s="47" t="e">
        <v>#N/A</v>
      </c>
      <c r="DA1680">
        <v>0.11332468572476186</v>
      </c>
      <c r="DB1680" t="str">
        <v/>
      </c>
    </row>
    <row r="1681" spans="83:106" x14ac:dyDescent="0.2">
      <c r="CE1681"/>
      <c r="CF1681"/>
      <c r="CG1681"/>
      <c r="CH1681"/>
      <c r="CI1681"/>
      <c r="CU1681" s="21">
        <v>1676</v>
      </c>
      <c r="CV1681" s="41">
        <v>4</v>
      </c>
      <c r="CW1681" s="41">
        <v>0.11332468572476186</v>
      </c>
      <c r="CX1681" s="41" t="e">
        <v>#N/A</v>
      </c>
      <c r="CY1681" s="41" t="e">
        <v>#N/A</v>
      </c>
      <c r="CZ1681" s="47" t="e">
        <v>#N/A</v>
      </c>
      <c r="DA1681">
        <v>0.11332468572476186</v>
      </c>
      <c r="DB1681" t="str">
        <v/>
      </c>
    </row>
    <row r="1682" spans="83:106" x14ac:dyDescent="0.2">
      <c r="CE1682"/>
      <c r="CF1682"/>
      <c r="CG1682"/>
      <c r="CH1682"/>
      <c r="CI1682"/>
      <c r="CU1682" s="21">
        <v>1677</v>
      </c>
      <c r="CV1682" s="41">
        <v>4</v>
      </c>
      <c r="CW1682" s="41">
        <v>0.11332468572476186</v>
      </c>
      <c r="CX1682" s="41" t="e">
        <v>#N/A</v>
      </c>
      <c r="CY1682" s="41" t="e">
        <v>#N/A</v>
      </c>
      <c r="CZ1682" s="47" t="e">
        <v>#N/A</v>
      </c>
      <c r="DA1682">
        <v>0.11332468572476186</v>
      </c>
      <c r="DB1682" t="str">
        <v/>
      </c>
    </row>
    <row r="1683" spans="83:106" x14ac:dyDescent="0.2">
      <c r="CE1683"/>
      <c r="CF1683"/>
      <c r="CG1683"/>
      <c r="CH1683"/>
      <c r="CI1683"/>
      <c r="CU1683" s="21">
        <v>1678</v>
      </c>
      <c r="CV1683" s="41">
        <v>4</v>
      </c>
      <c r="CW1683" s="41">
        <v>0.11332468572476186</v>
      </c>
      <c r="CX1683" s="41" t="e">
        <v>#N/A</v>
      </c>
      <c r="CY1683" s="41" t="e">
        <v>#N/A</v>
      </c>
      <c r="CZ1683" s="47" t="e">
        <v>#N/A</v>
      </c>
      <c r="DA1683">
        <v>0.11332468572476186</v>
      </c>
      <c r="DB1683" t="str">
        <v/>
      </c>
    </row>
    <row r="1684" spans="83:106" x14ac:dyDescent="0.2">
      <c r="CE1684"/>
      <c r="CF1684"/>
      <c r="CG1684"/>
      <c r="CH1684"/>
      <c r="CI1684"/>
      <c r="CU1684" s="21">
        <v>1679</v>
      </c>
      <c r="CV1684" s="41">
        <v>4</v>
      </c>
      <c r="CW1684" s="41">
        <v>0.11332468572476186</v>
      </c>
      <c r="CX1684" s="41" t="e">
        <v>#N/A</v>
      </c>
      <c r="CY1684" s="41" t="e">
        <v>#N/A</v>
      </c>
      <c r="CZ1684" s="47" t="e">
        <v>#N/A</v>
      </c>
      <c r="DA1684">
        <v>0.11332468572476186</v>
      </c>
      <c r="DB1684" t="str">
        <v/>
      </c>
    </row>
    <row r="1685" spans="83:106" x14ac:dyDescent="0.2">
      <c r="CE1685"/>
      <c r="CF1685"/>
      <c r="CG1685"/>
      <c r="CH1685"/>
      <c r="CI1685"/>
      <c r="CU1685" s="21">
        <v>1680</v>
      </c>
      <c r="CV1685" s="41">
        <v>4</v>
      </c>
      <c r="CW1685" s="41">
        <v>0.11332468572476186</v>
      </c>
      <c r="CX1685" s="41" t="e">
        <v>#N/A</v>
      </c>
      <c r="CY1685" s="41" t="e">
        <v>#N/A</v>
      </c>
      <c r="CZ1685" s="47" t="e">
        <v>#N/A</v>
      </c>
      <c r="DA1685">
        <v>0.11332468572476186</v>
      </c>
      <c r="DB1685" t="str">
        <v/>
      </c>
    </row>
    <row r="1686" spans="83:106" x14ac:dyDescent="0.2">
      <c r="CE1686"/>
      <c r="CF1686"/>
      <c r="CG1686"/>
      <c r="CH1686"/>
      <c r="CI1686"/>
      <c r="CU1686" s="21">
        <v>1681</v>
      </c>
      <c r="CV1686" s="41">
        <v>4</v>
      </c>
      <c r="CW1686" s="41">
        <v>0.11332468572476186</v>
      </c>
      <c r="CX1686" s="41" t="e">
        <v>#N/A</v>
      </c>
      <c r="CY1686" s="41" t="e">
        <v>#N/A</v>
      </c>
      <c r="CZ1686" s="47" t="e">
        <v>#N/A</v>
      </c>
      <c r="DA1686">
        <v>0.11332468572476186</v>
      </c>
      <c r="DB1686" t="str">
        <v/>
      </c>
    </row>
    <row r="1687" spans="83:106" x14ac:dyDescent="0.2">
      <c r="CE1687"/>
      <c r="CF1687"/>
      <c r="CG1687"/>
      <c r="CH1687"/>
      <c r="CI1687"/>
      <c r="CU1687" s="21">
        <v>1682</v>
      </c>
      <c r="CV1687" s="41">
        <v>4</v>
      </c>
      <c r="CW1687" s="41">
        <v>0.11332468572476186</v>
      </c>
      <c r="CX1687" s="41" t="e">
        <v>#N/A</v>
      </c>
      <c r="CY1687" s="41" t="e">
        <v>#N/A</v>
      </c>
      <c r="CZ1687" s="47" t="e">
        <v>#N/A</v>
      </c>
      <c r="DA1687">
        <v>0.11332468572476186</v>
      </c>
      <c r="DB1687" t="str">
        <v/>
      </c>
    </row>
    <row r="1688" spans="83:106" x14ac:dyDescent="0.2">
      <c r="CE1688"/>
      <c r="CF1688"/>
      <c r="CG1688"/>
      <c r="CH1688"/>
      <c r="CI1688"/>
      <c r="CU1688" s="21">
        <v>1683</v>
      </c>
      <c r="CV1688" s="41">
        <v>4</v>
      </c>
      <c r="CW1688" s="41">
        <v>0.11332468572476186</v>
      </c>
      <c r="CX1688" s="41" t="e">
        <v>#N/A</v>
      </c>
      <c r="CY1688" s="41" t="e">
        <v>#N/A</v>
      </c>
      <c r="CZ1688" s="47" t="e">
        <v>#N/A</v>
      </c>
      <c r="DA1688">
        <v>0.11332468572476186</v>
      </c>
      <c r="DB1688" t="str">
        <v/>
      </c>
    </row>
    <row r="1689" spans="83:106" x14ac:dyDescent="0.2">
      <c r="CE1689"/>
      <c r="CF1689"/>
      <c r="CG1689"/>
      <c r="CH1689"/>
      <c r="CI1689"/>
      <c r="CU1689" s="21">
        <v>1684</v>
      </c>
      <c r="CV1689" s="41">
        <v>4</v>
      </c>
      <c r="CW1689" s="41">
        <v>0.11332468572476186</v>
      </c>
      <c r="CX1689" s="41" t="e">
        <v>#N/A</v>
      </c>
      <c r="CY1689" s="41" t="e">
        <v>#N/A</v>
      </c>
      <c r="CZ1689" s="47" t="e">
        <v>#N/A</v>
      </c>
      <c r="DA1689">
        <v>0.11332468572476186</v>
      </c>
      <c r="DB1689" t="str">
        <v/>
      </c>
    </row>
    <row r="1690" spans="83:106" x14ac:dyDescent="0.2">
      <c r="CE1690"/>
      <c r="CF1690"/>
      <c r="CG1690"/>
      <c r="CH1690"/>
      <c r="CI1690"/>
      <c r="CU1690" s="21">
        <v>1685</v>
      </c>
      <c r="CV1690" s="41">
        <v>4</v>
      </c>
      <c r="CW1690" s="41">
        <v>0.11332468572476186</v>
      </c>
      <c r="CX1690" s="41" t="e">
        <v>#N/A</v>
      </c>
      <c r="CY1690" s="41" t="e">
        <v>#N/A</v>
      </c>
      <c r="CZ1690" s="47" t="e">
        <v>#N/A</v>
      </c>
      <c r="DA1690">
        <v>0.11332468572476186</v>
      </c>
      <c r="DB1690" t="str">
        <v/>
      </c>
    </row>
    <row r="1691" spans="83:106" x14ac:dyDescent="0.2">
      <c r="CE1691"/>
      <c r="CF1691"/>
      <c r="CG1691"/>
      <c r="CH1691"/>
      <c r="CI1691"/>
      <c r="CU1691" s="21">
        <v>1686</v>
      </c>
      <c r="CV1691" s="41">
        <v>4</v>
      </c>
      <c r="CW1691" s="41">
        <v>0.11332468572476186</v>
      </c>
      <c r="CX1691" s="41" t="e">
        <v>#N/A</v>
      </c>
      <c r="CY1691" s="41" t="e">
        <v>#N/A</v>
      </c>
      <c r="CZ1691" s="47" t="e">
        <v>#N/A</v>
      </c>
      <c r="DA1691">
        <v>0.11332468572476186</v>
      </c>
      <c r="DB1691" t="str">
        <v/>
      </c>
    </row>
    <row r="1692" spans="83:106" x14ac:dyDescent="0.2">
      <c r="CE1692"/>
      <c r="CF1692"/>
      <c r="CG1692"/>
      <c r="CH1692"/>
      <c r="CI1692"/>
      <c r="CU1692" s="21">
        <v>1687</v>
      </c>
      <c r="CV1692" s="41">
        <v>4</v>
      </c>
      <c r="CW1692" s="41">
        <v>0.11332468572476186</v>
      </c>
      <c r="CX1692" s="41" t="e">
        <v>#N/A</v>
      </c>
      <c r="CY1692" s="41" t="e">
        <v>#N/A</v>
      </c>
      <c r="CZ1692" s="47" t="e">
        <v>#N/A</v>
      </c>
      <c r="DA1692">
        <v>0.11332468572476186</v>
      </c>
      <c r="DB1692" t="str">
        <v/>
      </c>
    </row>
    <row r="1693" spans="83:106" x14ac:dyDescent="0.2">
      <c r="CE1693"/>
      <c r="CF1693"/>
      <c r="CG1693"/>
      <c r="CH1693"/>
      <c r="CI1693"/>
      <c r="CU1693" s="21">
        <v>1688</v>
      </c>
      <c r="CV1693" s="41">
        <v>4</v>
      </c>
      <c r="CW1693" s="41">
        <v>0.11332468572476186</v>
      </c>
      <c r="CX1693" s="41" t="e">
        <v>#N/A</v>
      </c>
      <c r="CY1693" s="41" t="e">
        <v>#N/A</v>
      </c>
      <c r="CZ1693" s="47" t="e">
        <v>#N/A</v>
      </c>
      <c r="DA1693">
        <v>0.11332468572476186</v>
      </c>
      <c r="DB1693" t="str">
        <v/>
      </c>
    </row>
    <row r="1694" spans="83:106" x14ac:dyDescent="0.2">
      <c r="CE1694"/>
      <c r="CF1694"/>
      <c r="CG1694"/>
      <c r="CH1694"/>
      <c r="CI1694"/>
      <c r="CU1694" s="21">
        <v>1689</v>
      </c>
      <c r="CV1694" s="41">
        <v>4</v>
      </c>
      <c r="CW1694" s="41">
        <v>0.11332468572476186</v>
      </c>
      <c r="CX1694" s="41" t="e">
        <v>#N/A</v>
      </c>
      <c r="CY1694" s="41" t="e">
        <v>#N/A</v>
      </c>
      <c r="CZ1694" s="47" t="e">
        <v>#N/A</v>
      </c>
      <c r="DA1694">
        <v>0.11332468572476186</v>
      </c>
      <c r="DB1694" t="str">
        <v/>
      </c>
    </row>
    <row r="1695" spans="83:106" x14ac:dyDescent="0.2">
      <c r="CE1695"/>
      <c r="CF1695"/>
      <c r="CG1695"/>
      <c r="CH1695"/>
      <c r="CI1695"/>
      <c r="CU1695" s="21">
        <v>1690</v>
      </c>
      <c r="CV1695" s="41">
        <v>4</v>
      </c>
      <c r="CW1695" s="41">
        <v>0.11332468572476186</v>
      </c>
      <c r="CX1695" s="41" t="e">
        <v>#N/A</v>
      </c>
      <c r="CY1695" s="41" t="e">
        <v>#N/A</v>
      </c>
      <c r="CZ1695" s="47" t="e">
        <v>#N/A</v>
      </c>
      <c r="DA1695">
        <v>0.11332468572476186</v>
      </c>
      <c r="DB1695" t="str">
        <v/>
      </c>
    </row>
    <row r="1696" spans="83:106" x14ac:dyDescent="0.2">
      <c r="CE1696"/>
      <c r="CF1696"/>
      <c r="CG1696"/>
      <c r="CH1696"/>
      <c r="CI1696"/>
      <c r="CU1696" s="21">
        <v>1691</v>
      </c>
      <c r="CV1696" s="41">
        <v>4</v>
      </c>
      <c r="CW1696" s="41">
        <v>0.11332468572476186</v>
      </c>
      <c r="CX1696" s="41" t="e">
        <v>#N/A</v>
      </c>
      <c r="CY1696" s="41" t="e">
        <v>#N/A</v>
      </c>
      <c r="CZ1696" s="47" t="e">
        <v>#N/A</v>
      </c>
      <c r="DA1696">
        <v>0.11332468572476186</v>
      </c>
      <c r="DB1696" t="str">
        <v/>
      </c>
    </row>
    <row r="1697" spans="83:106" x14ac:dyDescent="0.2">
      <c r="CE1697"/>
      <c r="CF1697"/>
      <c r="CG1697"/>
      <c r="CH1697"/>
      <c r="CI1697"/>
      <c r="CU1697" s="21">
        <v>1692</v>
      </c>
      <c r="CV1697" s="41">
        <v>4</v>
      </c>
      <c r="CW1697" s="41">
        <v>0.11332468572476186</v>
      </c>
      <c r="CX1697" s="41" t="e">
        <v>#N/A</v>
      </c>
      <c r="CY1697" s="41" t="e">
        <v>#N/A</v>
      </c>
      <c r="CZ1697" s="47" t="e">
        <v>#N/A</v>
      </c>
      <c r="DA1697">
        <v>0.11332468572476186</v>
      </c>
      <c r="DB1697" t="str">
        <v/>
      </c>
    </row>
    <row r="1698" spans="83:106" x14ac:dyDescent="0.2">
      <c r="CE1698"/>
      <c r="CF1698"/>
      <c r="CG1698"/>
      <c r="CH1698"/>
      <c r="CI1698"/>
      <c r="CU1698" s="21">
        <v>1693</v>
      </c>
      <c r="CV1698" s="41">
        <v>4</v>
      </c>
      <c r="CW1698" s="41">
        <v>0.11332468572476186</v>
      </c>
      <c r="CX1698" s="41" t="e">
        <v>#N/A</v>
      </c>
      <c r="CY1698" s="41" t="e">
        <v>#N/A</v>
      </c>
      <c r="CZ1698" s="47" t="e">
        <v>#N/A</v>
      </c>
      <c r="DA1698">
        <v>0.11332468572476186</v>
      </c>
      <c r="DB1698" t="str">
        <v/>
      </c>
    </row>
    <row r="1699" spans="83:106" x14ac:dyDescent="0.2">
      <c r="CE1699"/>
      <c r="CF1699"/>
      <c r="CG1699"/>
      <c r="CH1699"/>
      <c r="CI1699"/>
      <c r="CU1699" s="21">
        <v>1694</v>
      </c>
      <c r="CV1699" s="41">
        <v>4</v>
      </c>
      <c r="CW1699" s="41">
        <v>0.11332468572476186</v>
      </c>
      <c r="CX1699" s="41" t="e">
        <v>#N/A</v>
      </c>
      <c r="CY1699" s="41" t="e">
        <v>#N/A</v>
      </c>
      <c r="CZ1699" s="47" t="e">
        <v>#N/A</v>
      </c>
      <c r="DA1699">
        <v>0.11332468572476186</v>
      </c>
      <c r="DB1699" t="str">
        <v/>
      </c>
    </row>
    <row r="1700" spans="83:106" x14ac:dyDescent="0.2">
      <c r="CE1700"/>
      <c r="CF1700"/>
      <c r="CG1700"/>
      <c r="CH1700"/>
      <c r="CI1700"/>
      <c r="CU1700" s="21">
        <v>1695</v>
      </c>
      <c r="CV1700" s="41">
        <v>4</v>
      </c>
      <c r="CW1700" s="41">
        <v>0.11332468572476186</v>
      </c>
      <c r="CX1700" s="41" t="e">
        <v>#N/A</v>
      </c>
      <c r="CY1700" s="41" t="e">
        <v>#N/A</v>
      </c>
      <c r="CZ1700" s="47" t="e">
        <v>#N/A</v>
      </c>
      <c r="DA1700">
        <v>0.11332468572476186</v>
      </c>
      <c r="DB1700" t="str">
        <v/>
      </c>
    </row>
    <row r="1701" spans="83:106" x14ac:dyDescent="0.2">
      <c r="CE1701"/>
      <c r="CF1701"/>
      <c r="CG1701"/>
      <c r="CH1701"/>
      <c r="CI1701"/>
      <c r="CU1701" s="21">
        <v>1696</v>
      </c>
      <c r="CV1701" s="41">
        <v>4</v>
      </c>
      <c r="CW1701" s="41">
        <v>0.11332468572476186</v>
      </c>
      <c r="CX1701" s="41" t="e">
        <v>#N/A</v>
      </c>
      <c r="CY1701" s="41" t="e">
        <v>#N/A</v>
      </c>
      <c r="CZ1701" s="47" t="e">
        <v>#N/A</v>
      </c>
      <c r="DA1701">
        <v>0.11332468572476186</v>
      </c>
      <c r="DB1701" t="str">
        <v/>
      </c>
    </row>
    <row r="1702" spans="83:106" x14ac:dyDescent="0.2">
      <c r="CE1702"/>
      <c r="CF1702"/>
      <c r="CG1702"/>
      <c r="CH1702"/>
      <c r="CI1702"/>
      <c r="CU1702" s="21">
        <v>1697</v>
      </c>
      <c r="CV1702" s="41">
        <v>4</v>
      </c>
      <c r="CW1702" s="41">
        <v>0.11332468572476186</v>
      </c>
      <c r="CX1702" s="41" t="e">
        <v>#N/A</v>
      </c>
      <c r="CY1702" s="41" t="e">
        <v>#N/A</v>
      </c>
      <c r="CZ1702" s="47" t="e">
        <v>#N/A</v>
      </c>
      <c r="DA1702">
        <v>0.11332468572476186</v>
      </c>
      <c r="DB1702" t="str">
        <v/>
      </c>
    </row>
    <row r="1703" spans="83:106" x14ac:dyDescent="0.2">
      <c r="CE1703"/>
      <c r="CF1703"/>
      <c r="CG1703"/>
      <c r="CH1703"/>
      <c r="CI1703"/>
      <c r="CU1703" s="21">
        <v>1698</v>
      </c>
      <c r="CV1703" s="41">
        <v>4</v>
      </c>
      <c r="CW1703" s="41">
        <v>0.11332468572476186</v>
      </c>
      <c r="CX1703" s="41" t="e">
        <v>#N/A</v>
      </c>
      <c r="CY1703" s="41" t="e">
        <v>#N/A</v>
      </c>
      <c r="CZ1703" s="47" t="e">
        <v>#N/A</v>
      </c>
      <c r="DA1703">
        <v>0.11332468572476186</v>
      </c>
      <c r="DB1703" t="str">
        <v/>
      </c>
    </row>
    <row r="1704" spans="83:106" x14ac:dyDescent="0.2">
      <c r="CE1704"/>
      <c r="CF1704"/>
      <c r="CG1704"/>
      <c r="CH1704"/>
      <c r="CI1704"/>
      <c r="CU1704" s="21">
        <v>1699</v>
      </c>
      <c r="CV1704" s="41">
        <v>4</v>
      </c>
      <c r="CW1704" s="41">
        <v>0.11332468572476186</v>
      </c>
      <c r="CX1704" s="41" t="e">
        <v>#N/A</v>
      </c>
      <c r="CY1704" s="41" t="e">
        <v>#N/A</v>
      </c>
      <c r="CZ1704" s="47" t="e">
        <v>#N/A</v>
      </c>
      <c r="DA1704">
        <v>0.11332468572476186</v>
      </c>
      <c r="DB1704" t="str">
        <v/>
      </c>
    </row>
    <row r="1705" spans="83:106" x14ac:dyDescent="0.2">
      <c r="CE1705"/>
      <c r="CF1705"/>
      <c r="CG1705"/>
      <c r="CH1705"/>
      <c r="CI1705"/>
      <c r="CU1705" s="21">
        <v>1700</v>
      </c>
      <c r="CV1705" s="41">
        <v>4</v>
      </c>
      <c r="CW1705" s="41">
        <v>0.11332468572476186</v>
      </c>
      <c r="CX1705" s="41" t="e">
        <v>#N/A</v>
      </c>
      <c r="CY1705" s="41" t="e">
        <v>#N/A</v>
      </c>
      <c r="CZ1705" s="47" t="e">
        <v>#N/A</v>
      </c>
      <c r="DA1705">
        <v>0.11332468572476186</v>
      </c>
      <c r="DB1705" t="str">
        <v/>
      </c>
    </row>
    <row r="1706" spans="83:106" x14ac:dyDescent="0.2">
      <c r="CE1706"/>
      <c r="CF1706"/>
      <c r="CG1706"/>
      <c r="CH1706"/>
      <c r="CI1706"/>
      <c r="CU1706" s="21">
        <v>1701</v>
      </c>
      <c r="CV1706" s="41">
        <v>4</v>
      </c>
      <c r="CW1706" s="41">
        <v>0.11332468572476186</v>
      </c>
      <c r="CX1706" s="41" t="e">
        <v>#N/A</v>
      </c>
      <c r="CY1706" s="41" t="e">
        <v>#N/A</v>
      </c>
      <c r="CZ1706" s="47" t="e">
        <v>#N/A</v>
      </c>
      <c r="DA1706">
        <v>0.11332468572476186</v>
      </c>
      <c r="DB1706" t="str">
        <v/>
      </c>
    </row>
    <row r="1707" spans="83:106" x14ac:dyDescent="0.2">
      <c r="CE1707"/>
      <c r="CF1707"/>
      <c r="CG1707"/>
      <c r="CH1707"/>
      <c r="CI1707"/>
      <c r="CU1707" s="21">
        <v>1702</v>
      </c>
      <c r="CV1707" s="41">
        <v>4</v>
      </c>
      <c r="CW1707" s="41">
        <v>0.11332468572476186</v>
      </c>
      <c r="CX1707" s="41" t="e">
        <v>#N/A</v>
      </c>
      <c r="CY1707" s="41" t="e">
        <v>#N/A</v>
      </c>
      <c r="CZ1707" s="47" t="e">
        <v>#N/A</v>
      </c>
      <c r="DA1707">
        <v>0.11332468572476186</v>
      </c>
      <c r="DB1707" t="str">
        <v/>
      </c>
    </row>
    <row r="1708" spans="83:106" x14ac:dyDescent="0.2">
      <c r="CE1708"/>
      <c r="CF1708"/>
      <c r="CG1708"/>
      <c r="CH1708"/>
      <c r="CI1708"/>
      <c r="CU1708" s="21">
        <v>1703</v>
      </c>
      <c r="CV1708" s="41">
        <v>4</v>
      </c>
      <c r="CW1708" s="41">
        <v>0.11332468572476186</v>
      </c>
      <c r="CX1708" s="41" t="e">
        <v>#N/A</v>
      </c>
      <c r="CY1708" s="41" t="e">
        <v>#N/A</v>
      </c>
      <c r="CZ1708" s="47" t="e">
        <v>#N/A</v>
      </c>
      <c r="DA1708">
        <v>0.11332468572476186</v>
      </c>
      <c r="DB1708" t="str">
        <v/>
      </c>
    </row>
    <row r="1709" spans="83:106" x14ac:dyDescent="0.2">
      <c r="CE1709"/>
      <c r="CF1709"/>
      <c r="CG1709"/>
      <c r="CH1709"/>
      <c r="CI1709"/>
      <c r="CU1709" s="21">
        <v>1704</v>
      </c>
      <c r="CV1709" s="41">
        <v>4</v>
      </c>
      <c r="CW1709" s="41">
        <v>0.11332468572476186</v>
      </c>
      <c r="CX1709" s="41" t="e">
        <v>#N/A</v>
      </c>
      <c r="CY1709" s="41" t="e">
        <v>#N/A</v>
      </c>
      <c r="CZ1709" s="47" t="e">
        <v>#N/A</v>
      </c>
      <c r="DA1709">
        <v>0.11332468572476186</v>
      </c>
      <c r="DB1709" t="str">
        <v/>
      </c>
    </row>
    <row r="1710" spans="83:106" x14ac:dyDescent="0.2">
      <c r="CE1710"/>
      <c r="CF1710"/>
      <c r="CG1710"/>
      <c r="CH1710"/>
      <c r="CI1710"/>
      <c r="CU1710" s="21">
        <v>1705</v>
      </c>
      <c r="CV1710" s="41">
        <v>4</v>
      </c>
      <c r="CW1710" s="41">
        <v>0.11332468572476186</v>
      </c>
      <c r="CX1710" s="41" t="e">
        <v>#N/A</v>
      </c>
      <c r="CY1710" s="41" t="e">
        <v>#N/A</v>
      </c>
      <c r="CZ1710" s="47" t="e">
        <v>#N/A</v>
      </c>
      <c r="DA1710">
        <v>0.11332468572476186</v>
      </c>
      <c r="DB1710" t="str">
        <v/>
      </c>
    </row>
    <row r="1711" spans="83:106" x14ac:dyDescent="0.2">
      <c r="CE1711"/>
      <c r="CF1711"/>
      <c r="CG1711"/>
      <c r="CH1711"/>
      <c r="CI1711"/>
      <c r="CU1711" s="21">
        <v>1706</v>
      </c>
      <c r="CV1711" s="41">
        <v>4</v>
      </c>
      <c r="CW1711" s="41">
        <v>0.11332468572476186</v>
      </c>
      <c r="CX1711" s="41" t="e">
        <v>#N/A</v>
      </c>
      <c r="CY1711" s="41" t="e">
        <v>#N/A</v>
      </c>
      <c r="CZ1711" s="47" t="e">
        <v>#N/A</v>
      </c>
      <c r="DA1711">
        <v>0.11332468572476186</v>
      </c>
      <c r="DB1711" t="str">
        <v/>
      </c>
    </row>
    <row r="1712" spans="83:106" x14ac:dyDescent="0.2">
      <c r="CE1712"/>
      <c r="CF1712"/>
      <c r="CG1712"/>
      <c r="CH1712"/>
      <c r="CI1712"/>
      <c r="CU1712" s="21">
        <v>1707</v>
      </c>
      <c r="CV1712" s="41">
        <v>4</v>
      </c>
      <c r="CW1712" s="41">
        <v>0.11332468572476186</v>
      </c>
      <c r="CX1712" s="41" t="e">
        <v>#N/A</v>
      </c>
      <c r="CY1712" s="41" t="e">
        <v>#N/A</v>
      </c>
      <c r="CZ1712" s="47" t="e">
        <v>#N/A</v>
      </c>
      <c r="DA1712">
        <v>0.11332468572476186</v>
      </c>
      <c r="DB1712" t="str">
        <v/>
      </c>
    </row>
    <row r="1713" spans="83:106" x14ac:dyDescent="0.2">
      <c r="CE1713"/>
      <c r="CF1713"/>
      <c r="CG1713"/>
      <c r="CH1713"/>
      <c r="CI1713"/>
      <c r="CU1713" s="21">
        <v>1708</v>
      </c>
      <c r="CV1713" s="41">
        <v>4</v>
      </c>
      <c r="CW1713" s="41">
        <v>0.11332468572476186</v>
      </c>
      <c r="CX1713" s="41" t="e">
        <v>#N/A</v>
      </c>
      <c r="CY1713" s="41" t="e">
        <v>#N/A</v>
      </c>
      <c r="CZ1713" s="47" t="e">
        <v>#N/A</v>
      </c>
      <c r="DA1713">
        <v>0.11332468572476186</v>
      </c>
      <c r="DB1713" t="str">
        <v/>
      </c>
    </row>
    <row r="1714" spans="83:106" x14ac:dyDescent="0.2">
      <c r="CE1714"/>
      <c r="CF1714"/>
      <c r="CG1714"/>
      <c r="CH1714"/>
      <c r="CI1714"/>
      <c r="CU1714" s="21">
        <v>1709</v>
      </c>
      <c r="CV1714" s="41">
        <v>4</v>
      </c>
      <c r="CW1714" s="41">
        <v>0.11332468572476186</v>
      </c>
      <c r="CX1714" s="41" t="e">
        <v>#N/A</v>
      </c>
      <c r="CY1714" s="41" t="e">
        <v>#N/A</v>
      </c>
      <c r="CZ1714" s="47" t="e">
        <v>#N/A</v>
      </c>
      <c r="DA1714">
        <v>0.11332468572476186</v>
      </c>
      <c r="DB1714" t="str">
        <v/>
      </c>
    </row>
    <row r="1715" spans="83:106" x14ac:dyDescent="0.2">
      <c r="CE1715"/>
      <c r="CF1715"/>
      <c r="CG1715"/>
      <c r="CH1715"/>
      <c r="CI1715"/>
      <c r="CU1715" s="21">
        <v>1710</v>
      </c>
      <c r="CV1715" s="41">
        <v>4</v>
      </c>
      <c r="CW1715" s="41">
        <v>0.11332468572476186</v>
      </c>
      <c r="CX1715" s="41" t="e">
        <v>#N/A</v>
      </c>
      <c r="CY1715" s="41" t="e">
        <v>#N/A</v>
      </c>
      <c r="CZ1715" s="47" t="e">
        <v>#N/A</v>
      </c>
      <c r="DA1715">
        <v>0.11332468572476186</v>
      </c>
      <c r="DB1715" t="str">
        <v/>
      </c>
    </row>
    <row r="1716" spans="83:106" x14ac:dyDescent="0.2">
      <c r="CE1716"/>
      <c r="CF1716"/>
      <c r="CG1716"/>
      <c r="CH1716"/>
      <c r="CI1716"/>
      <c r="CU1716" s="21">
        <v>1711</v>
      </c>
      <c r="CV1716" s="41">
        <v>4</v>
      </c>
      <c r="CW1716" s="41">
        <v>0.11332468572476186</v>
      </c>
      <c r="CX1716" s="41" t="e">
        <v>#N/A</v>
      </c>
      <c r="CY1716" s="41" t="e">
        <v>#N/A</v>
      </c>
      <c r="CZ1716" s="47" t="e">
        <v>#N/A</v>
      </c>
      <c r="DA1716">
        <v>0.11332468572476186</v>
      </c>
      <c r="DB1716" t="str">
        <v/>
      </c>
    </row>
    <row r="1717" spans="83:106" x14ac:dyDescent="0.2">
      <c r="CE1717"/>
      <c r="CF1717"/>
      <c r="CG1717"/>
      <c r="CH1717"/>
      <c r="CI1717"/>
      <c r="CU1717" s="21">
        <v>1712</v>
      </c>
      <c r="CV1717" s="41">
        <v>4</v>
      </c>
      <c r="CW1717" s="41">
        <v>0.11332468572476186</v>
      </c>
      <c r="CX1717" s="41" t="e">
        <v>#N/A</v>
      </c>
      <c r="CY1717" s="41" t="e">
        <v>#N/A</v>
      </c>
      <c r="CZ1717" s="47" t="e">
        <v>#N/A</v>
      </c>
      <c r="DA1717">
        <v>0.11332468572476186</v>
      </c>
      <c r="DB1717" t="str">
        <v/>
      </c>
    </row>
    <row r="1718" spans="83:106" x14ac:dyDescent="0.2">
      <c r="CE1718"/>
      <c r="CF1718"/>
      <c r="CG1718"/>
      <c r="CH1718"/>
      <c r="CI1718"/>
      <c r="CU1718" s="21">
        <v>1713</v>
      </c>
      <c r="CV1718" s="41">
        <v>4</v>
      </c>
      <c r="CW1718" s="41">
        <v>0.11332468572476186</v>
      </c>
      <c r="CX1718" s="41" t="e">
        <v>#N/A</v>
      </c>
      <c r="CY1718" s="41" t="e">
        <v>#N/A</v>
      </c>
      <c r="CZ1718" s="47" t="e">
        <v>#N/A</v>
      </c>
      <c r="DA1718">
        <v>0.11332468572476186</v>
      </c>
      <c r="DB1718" t="str">
        <v/>
      </c>
    </row>
    <row r="1719" spans="83:106" x14ac:dyDescent="0.2">
      <c r="CE1719"/>
      <c r="CF1719"/>
      <c r="CG1719"/>
      <c r="CH1719"/>
      <c r="CI1719"/>
      <c r="CU1719" s="21">
        <v>1714</v>
      </c>
      <c r="CV1719" s="41">
        <v>4</v>
      </c>
      <c r="CW1719" s="41">
        <v>0.11332468572476186</v>
      </c>
      <c r="CX1719" s="41" t="e">
        <v>#N/A</v>
      </c>
      <c r="CY1719" s="41" t="e">
        <v>#N/A</v>
      </c>
      <c r="CZ1719" s="47" t="e">
        <v>#N/A</v>
      </c>
      <c r="DA1719">
        <v>0.11332468572476186</v>
      </c>
      <c r="DB1719" t="str">
        <v/>
      </c>
    </row>
    <row r="1720" spans="83:106" x14ac:dyDescent="0.2">
      <c r="CE1720"/>
      <c r="CF1720"/>
      <c r="CG1720"/>
      <c r="CH1720"/>
      <c r="CI1720"/>
      <c r="CU1720" s="21">
        <v>1715</v>
      </c>
      <c r="CV1720" s="41">
        <v>4</v>
      </c>
      <c r="CW1720" s="41">
        <v>0.11332468572476186</v>
      </c>
      <c r="CX1720" s="41" t="e">
        <v>#N/A</v>
      </c>
      <c r="CY1720" s="41" t="e">
        <v>#N/A</v>
      </c>
      <c r="CZ1720" s="47" t="e">
        <v>#N/A</v>
      </c>
      <c r="DA1720">
        <v>0.11332468572476186</v>
      </c>
      <c r="DB1720" t="str">
        <v/>
      </c>
    </row>
    <row r="1721" spans="83:106" x14ac:dyDescent="0.2">
      <c r="CE1721"/>
      <c r="CF1721"/>
      <c r="CG1721"/>
      <c r="CH1721"/>
      <c r="CI1721"/>
      <c r="CU1721" s="21">
        <v>1716</v>
      </c>
      <c r="CV1721" s="41">
        <v>4</v>
      </c>
      <c r="CW1721" s="41">
        <v>0.11332468572476186</v>
      </c>
      <c r="CX1721" s="41" t="e">
        <v>#N/A</v>
      </c>
      <c r="CY1721" s="41" t="e">
        <v>#N/A</v>
      </c>
      <c r="CZ1721" s="47" t="e">
        <v>#N/A</v>
      </c>
      <c r="DA1721">
        <v>0.11332468572476186</v>
      </c>
      <c r="DB1721" t="str">
        <v/>
      </c>
    </row>
    <row r="1722" spans="83:106" x14ac:dyDescent="0.2">
      <c r="CE1722"/>
      <c r="CF1722"/>
      <c r="CG1722"/>
      <c r="CH1722"/>
      <c r="CI1722"/>
      <c r="CU1722" s="21">
        <v>1717</v>
      </c>
      <c r="CV1722" s="41">
        <v>4</v>
      </c>
      <c r="CW1722" s="41">
        <v>0.11332468572476186</v>
      </c>
      <c r="CX1722" s="41" t="e">
        <v>#N/A</v>
      </c>
      <c r="CY1722" s="41" t="e">
        <v>#N/A</v>
      </c>
      <c r="CZ1722" s="47" t="e">
        <v>#N/A</v>
      </c>
      <c r="DA1722">
        <v>0.11332468572476186</v>
      </c>
      <c r="DB1722" t="str">
        <v/>
      </c>
    </row>
    <row r="1723" spans="83:106" x14ac:dyDescent="0.2">
      <c r="CE1723"/>
      <c r="CF1723"/>
      <c r="CG1723"/>
      <c r="CH1723"/>
      <c r="CI1723"/>
      <c r="CU1723" s="21">
        <v>1718</v>
      </c>
      <c r="CV1723" s="41">
        <v>4</v>
      </c>
      <c r="CW1723" s="41">
        <v>0.11332468572476186</v>
      </c>
      <c r="CX1723" s="41" t="e">
        <v>#N/A</v>
      </c>
      <c r="CY1723" s="41" t="e">
        <v>#N/A</v>
      </c>
      <c r="CZ1723" s="47" t="e">
        <v>#N/A</v>
      </c>
      <c r="DA1723">
        <v>0.11332468572476186</v>
      </c>
      <c r="DB1723" t="str">
        <v/>
      </c>
    </row>
    <row r="1724" spans="83:106" x14ac:dyDescent="0.2">
      <c r="CE1724"/>
      <c r="CF1724"/>
      <c r="CG1724"/>
      <c r="CH1724"/>
      <c r="CI1724"/>
      <c r="CU1724" s="21">
        <v>1719</v>
      </c>
      <c r="CV1724" s="41">
        <v>4</v>
      </c>
      <c r="CW1724" s="41">
        <v>0.11332468572476186</v>
      </c>
      <c r="CX1724" s="41" t="e">
        <v>#N/A</v>
      </c>
      <c r="CY1724" s="41" t="e">
        <v>#N/A</v>
      </c>
      <c r="CZ1724" s="47" t="e">
        <v>#N/A</v>
      </c>
      <c r="DA1724">
        <v>0.11332468572476186</v>
      </c>
      <c r="DB1724" t="str">
        <v/>
      </c>
    </row>
    <row r="1725" spans="83:106" x14ac:dyDescent="0.2">
      <c r="CE1725"/>
      <c r="CF1725"/>
      <c r="CG1725"/>
      <c r="CH1725"/>
      <c r="CI1725"/>
      <c r="CU1725" s="21">
        <v>1720</v>
      </c>
      <c r="CV1725" s="41">
        <v>4</v>
      </c>
      <c r="CW1725" s="41">
        <v>0.11332468572476186</v>
      </c>
      <c r="CX1725" s="41" t="e">
        <v>#N/A</v>
      </c>
      <c r="CY1725" s="41" t="e">
        <v>#N/A</v>
      </c>
      <c r="CZ1725" s="47" t="e">
        <v>#N/A</v>
      </c>
      <c r="DA1725">
        <v>0.11332468572476186</v>
      </c>
      <c r="DB1725" t="str">
        <v/>
      </c>
    </row>
    <row r="1726" spans="83:106" x14ac:dyDescent="0.2">
      <c r="CE1726"/>
      <c r="CF1726"/>
      <c r="CG1726"/>
      <c r="CH1726"/>
      <c r="CI1726"/>
      <c r="CU1726" s="21">
        <v>1721</v>
      </c>
      <c r="CV1726" s="41">
        <v>4</v>
      </c>
      <c r="CW1726" s="41">
        <v>0.11332468572476186</v>
      </c>
      <c r="CX1726" s="41" t="e">
        <v>#N/A</v>
      </c>
      <c r="CY1726" s="41" t="e">
        <v>#N/A</v>
      </c>
      <c r="CZ1726" s="47" t="e">
        <v>#N/A</v>
      </c>
      <c r="DA1726">
        <v>0.11332468572476186</v>
      </c>
      <c r="DB1726" t="str">
        <v/>
      </c>
    </row>
    <row r="1727" spans="83:106" x14ac:dyDescent="0.2">
      <c r="CE1727"/>
      <c r="CF1727"/>
      <c r="CG1727"/>
      <c r="CH1727"/>
      <c r="CI1727"/>
      <c r="CU1727" s="21">
        <v>1722</v>
      </c>
      <c r="CV1727" s="41">
        <v>4</v>
      </c>
      <c r="CW1727" s="41">
        <v>0.11332468572476186</v>
      </c>
      <c r="CX1727" s="41" t="e">
        <v>#N/A</v>
      </c>
      <c r="CY1727" s="41" t="e">
        <v>#N/A</v>
      </c>
      <c r="CZ1727" s="47" t="e">
        <v>#N/A</v>
      </c>
      <c r="DA1727">
        <v>0.11332468572476186</v>
      </c>
      <c r="DB1727" t="str">
        <v/>
      </c>
    </row>
    <row r="1728" spans="83:106" x14ac:dyDescent="0.2">
      <c r="CE1728"/>
      <c r="CF1728"/>
      <c r="CG1728"/>
      <c r="CH1728"/>
      <c r="CI1728"/>
      <c r="CU1728" s="21">
        <v>1723</v>
      </c>
      <c r="CV1728" s="41">
        <v>4</v>
      </c>
      <c r="CW1728" s="41">
        <v>0.11332468572476186</v>
      </c>
      <c r="CX1728" s="41" t="e">
        <v>#N/A</v>
      </c>
      <c r="CY1728" s="41" t="e">
        <v>#N/A</v>
      </c>
      <c r="CZ1728" s="47" t="e">
        <v>#N/A</v>
      </c>
      <c r="DA1728">
        <v>0.11332468572476186</v>
      </c>
      <c r="DB1728" t="str">
        <v/>
      </c>
    </row>
    <row r="1729" spans="83:106" x14ac:dyDescent="0.2">
      <c r="CE1729"/>
      <c r="CF1729"/>
      <c r="CG1729"/>
      <c r="CH1729"/>
      <c r="CI1729"/>
      <c r="CU1729" s="21">
        <v>1724</v>
      </c>
      <c r="CV1729" s="41">
        <v>4</v>
      </c>
      <c r="CW1729" s="41">
        <v>0.11332468572476186</v>
      </c>
      <c r="CX1729" s="41" t="e">
        <v>#N/A</v>
      </c>
      <c r="CY1729" s="41" t="e">
        <v>#N/A</v>
      </c>
      <c r="CZ1729" s="47" t="e">
        <v>#N/A</v>
      </c>
      <c r="DA1729">
        <v>0.11332468572476186</v>
      </c>
      <c r="DB1729" t="str">
        <v/>
      </c>
    </row>
    <row r="1730" spans="83:106" x14ac:dyDescent="0.2">
      <c r="CE1730"/>
      <c r="CF1730"/>
      <c r="CG1730"/>
      <c r="CH1730"/>
      <c r="CI1730"/>
      <c r="CU1730" s="21">
        <v>1725</v>
      </c>
      <c r="CV1730" s="41">
        <v>4</v>
      </c>
      <c r="CW1730" s="41">
        <v>0.11332468572476186</v>
      </c>
      <c r="CX1730" s="41" t="e">
        <v>#N/A</v>
      </c>
      <c r="CY1730" s="41" t="e">
        <v>#N/A</v>
      </c>
      <c r="CZ1730" s="47" t="e">
        <v>#N/A</v>
      </c>
      <c r="DA1730">
        <v>0.11332468572476186</v>
      </c>
      <c r="DB1730" t="str">
        <v/>
      </c>
    </row>
    <row r="1731" spans="83:106" x14ac:dyDescent="0.2">
      <c r="CE1731"/>
      <c r="CF1731"/>
      <c r="CG1731"/>
      <c r="CH1731"/>
      <c r="CI1731"/>
      <c r="CU1731" s="21">
        <v>1726</v>
      </c>
      <c r="CV1731" s="41">
        <v>4</v>
      </c>
      <c r="CW1731" s="41">
        <v>0.11332468572476186</v>
      </c>
      <c r="CX1731" s="41" t="e">
        <v>#N/A</v>
      </c>
      <c r="CY1731" s="41" t="e">
        <v>#N/A</v>
      </c>
      <c r="CZ1731" s="47" t="e">
        <v>#N/A</v>
      </c>
      <c r="DA1731">
        <v>0.11332468572476186</v>
      </c>
      <c r="DB1731" t="str">
        <v/>
      </c>
    </row>
    <row r="1732" spans="83:106" x14ac:dyDescent="0.2">
      <c r="CE1732"/>
      <c r="CF1732"/>
      <c r="CG1732"/>
      <c r="CH1732"/>
      <c r="CI1732"/>
      <c r="CU1732" s="21">
        <v>1727</v>
      </c>
      <c r="CV1732" s="41">
        <v>4</v>
      </c>
      <c r="CW1732" s="41">
        <v>0.11332468572476186</v>
      </c>
      <c r="CX1732" s="41" t="e">
        <v>#N/A</v>
      </c>
      <c r="CY1732" s="41" t="e">
        <v>#N/A</v>
      </c>
      <c r="CZ1732" s="47" t="e">
        <v>#N/A</v>
      </c>
      <c r="DA1732">
        <v>0.11332468572476186</v>
      </c>
      <c r="DB1732" t="str">
        <v/>
      </c>
    </row>
    <row r="1733" spans="83:106" x14ac:dyDescent="0.2">
      <c r="CE1733"/>
      <c r="CF1733"/>
      <c r="CG1733"/>
      <c r="CH1733"/>
      <c r="CI1733"/>
      <c r="CU1733" s="21">
        <v>1728</v>
      </c>
      <c r="CV1733" s="41">
        <v>4</v>
      </c>
      <c r="CW1733" s="41">
        <v>0.11332468572476186</v>
      </c>
      <c r="CX1733" s="41" t="e">
        <v>#N/A</v>
      </c>
      <c r="CY1733" s="41" t="e">
        <v>#N/A</v>
      </c>
      <c r="CZ1733" s="47" t="e">
        <v>#N/A</v>
      </c>
      <c r="DA1733">
        <v>0.11332468572476186</v>
      </c>
      <c r="DB1733" t="str">
        <v/>
      </c>
    </row>
    <row r="1734" spans="83:106" x14ac:dyDescent="0.2">
      <c r="CE1734"/>
      <c r="CF1734"/>
      <c r="CG1734"/>
      <c r="CH1734"/>
      <c r="CI1734"/>
      <c r="CU1734" s="21">
        <v>1729</v>
      </c>
      <c r="CV1734" s="41">
        <v>4</v>
      </c>
      <c r="CW1734" s="41">
        <v>0.11332468572476186</v>
      </c>
      <c r="CX1734" s="41" t="e">
        <v>#N/A</v>
      </c>
      <c r="CY1734" s="41" t="e">
        <v>#N/A</v>
      </c>
      <c r="CZ1734" s="47" t="e">
        <v>#N/A</v>
      </c>
      <c r="DA1734">
        <v>0.11332468572476186</v>
      </c>
      <c r="DB1734" t="str">
        <v/>
      </c>
    </row>
    <row r="1735" spans="83:106" x14ac:dyDescent="0.2">
      <c r="CE1735"/>
      <c r="CF1735"/>
      <c r="CG1735"/>
      <c r="CH1735"/>
      <c r="CI1735"/>
      <c r="CU1735" s="21">
        <v>1730</v>
      </c>
      <c r="CV1735" s="41">
        <v>4</v>
      </c>
      <c r="CW1735" s="41">
        <v>0.11332468572476186</v>
      </c>
      <c r="CX1735" s="41" t="e">
        <v>#N/A</v>
      </c>
      <c r="CY1735" s="41" t="e">
        <v>#N/A</v>
      </c>
      <c r="CZ1735" s="47" t="e">
        <v>#N/A</v>
      </c>
      <c r="DA1735">
        <v>0.11332468572476186</v>
      </c>
      <c r="DB1735" t="str">
        <v/>
      </c>
    </row>
    <row r="1736" spans="83:106" x14ac:dyDescent="0.2">
      <c r="CE1736"/>
      <c r="CF1736"/>
      <c r="CG1736"/>
      <c r="CH1736"/>
      <c r="CI1736"/>
      <c r="CU1736" s="21">
        <v>1731</v>
      </c>
      <c r="CV1736" s="41">
        <v>4</v>
      </c>
      <c r="CW1736" s="41">
        <v>0.11332468572476186</v>
      </c>
      <c r="CX1736" s="41" t="e">
        <v>#N/A</v>
      </c>
      <c r="CY1736" s="41" t="e">
        <v>#N/A</v>
      </c>
      <c r="CZ1736" s="47" t="e">
        <v>#N/A</v>
      </c>
      <c r="DA1736">
        <v>0.11332468572476186</v>
      </c>
      <c r="DB1736" t="str">
        <v/>
      </c>
    </row>
    <row r="1737" spans="83:106" x14ac:dyDescent="0.2">
      <c r="CE1737"/>
      <c r="CF1737"/>
      <c r="CG1737"/>
      <c r="CH1737"/>
      <c r="CI1737"/>
      <c r="CU1737" s="21">
        <v>1732</v>
      </c>
      <c r="CV1737" s="41">
        <v>4</v>
      </c>
      <c r="CW1737" s="41">
        <v>0.11332468572476186</v>
      </c>
      <c r="CX1737" s="41" t="e">
        <v>#N/A</v>
      </c>
      <c r="CY1737" s="41" t="e">
        <v>#N/A</v>
      </c>
      <c r="CZ1737" s="47" t="e">
        <v>#N/A</v>
      </c>
      <c r="DA1737">
        <v>0.11332468572476186</v>
      </c>
      <c r="DB1737" t="str">
        <v/>
      </c>
    </row>
    <row r="1738" spans="83:106" x14ac:dyDescent="0.2">
      <c r="CE1738"/>
      <c r="CF1738"/>
      <c r="CG1738"/>
      <c r="CH1738"/>
      <c r="CI1738"/>
      <c r="CU1738" s="21">
        <v>1733</v>
      </c>
      <c r="CV1738" s="41">
        <v>4</v>
      </c>
      <c r="CW1738" s="41">
        <v>0.11332468572476186</v>
      </c>
      <c r="CX1738" s="41" t="e">
        <v>#N/A</v>
      </c>
      <c r="CY1738" s="41" t="e">
        <v>#N/A</v>
      </c>
      <c r="CZ1738" s="47" t="e">
        <v>#N/A</v>
      </c>
      <c r="DA1738">
        <v>0.11332468572476186</v>
      </c>
      <c r="DB1738" t="str">
        <v/>
      </c>
    </row>
    <row r="1739" spans="83:106" x14ac:dyDescent="0.2">
      <c r="CE1739"/>
      <c r="CF1739"/>
      <c r="CG1739"/>
      <c r="CH1739"/>
      <c r="CI1739"/>
      <c r="CU1739" s="21">
        <v>1734</v>
      </c>
      <c r="CV1739" s="41">
        <v>4</v>
      </c>
      <c r="CW1739" s="41">
        <v>0.11332468572476186</v>
      </c>
      <c r="CX1739" s="41" t="e">
        <v>#N/A</v>
      </c>
      <c r="CY1739" s="41" t="e">
        <v>#N/A</v>
      </c>
      <c r="CZ1739" s="47" t="e">
        <v>#N/A</v>
      </c>
      <c r="DA1739">
        <v>0.11332468572476186</v>
      </c>
      <c r="DB1739" t="str">
        <v/>
      </c>
    </row>
    <row r="1740" spans="83:106" x14ac:dyDescent="0.2">
      <c r="CE1740"/>
      <c r="CF1740"/>
      <c r="CG1740"/>
      <c r="CH1740"/>
      <c r="CI1740"/>
      <c r="CU1740" s="21">
        <v>1735</v>
      </c>
      <c r="CV1740" s="41">
        <v>4</v>
      </c>
      <c r="CW1740" s="41">
        <v>0.11332468572476186</v>
      </c>
      <c r="CX1740" s="41" t="e">
        <v>#N/A</v>
      </c>
      <c r="CY1740" s="41" t="e">
        <v>#N/A</v>
      </c>
      <c r="CZ1740" s="47" t="e">
        <v>#N/A</v>
      </c>
      <c r="DA1740">
        <v>0.11332468572476186</v>
      </c>
      <c r="DB1740" t="str">
        <v/>
      </c>
    </row>
    <row r="1741" spans="83:106" x14ac:dyDescent="0.2">
      <c r="CE1741"/>
      <c r="CF1741"/>
      <c r="CG1741"/>
      <c r="CH1741"/>
      <c r="CI1741"/>
      <c r="CU1741" s="21">
        <v>1736</v>
      </c>
      <c r="CV1741" s="41">
        <v>4</v>
      </c>
      <c r="CW1741" s="41">
        <v>0.11332468572476186</v>
      </c>
      <c r="CX1741" s="41" t="e">
        <v>#N/A</v>
      </c>
      <c r="CY1741" s="41" t="e">
        <v>#N/A</v>
      </c>
      <c r="CZ1741" s="47" t="e">
        <v>#N/A</v>
      </c>
      <c r="DA1741">
        <v>0.11332468572476186</v>
      </c>
      <c r="DB1741" t="str">
        <v/>
      </c>
    </row>
    <row r="1742" spans="83:106" x14ac:dyDescent="0.2">
      <c r="CE1742"/>
      <c r="CF1742"/>
      <c r="CG1742"/>
      <c r="CH1742"/>
      <c r="CI1742"/>
      <c r="CU1742" s="21">
        <v>1737</v>
      </c>
      <c r="CV1742" s="41">
        <v>4</v>
      </c>
      <c r="CW1742" s="41">
        <v>0.11332468572476186</v>
      </c>
      <c r="CX1742" s="41" t="e">
        <v>#N/A</v>
      </c>
      <c r="CY1742" s="41" t="e">
        <v>#N/A</v>
      </c>
      <c r="CZ1742" s="47" t="e">
        <v>#N/A</v>
      </c>
      <c r="DA1742">
        <v>0.11332468572476186</v>
      </c>
      <c r="DB1742" t="str">
        <v/>
      </c>
    </row>
    <row r="1743" spans="83:106" x14ac:dyDescent="0.2">
      <c r="CE1743"/>
      <c r="CF1743"/>
      <c r="CG1743"/>
      <c r="CH1743"/>
      <c r="CI1743"/>
      <c r="CU1743" s="21">
        <v>1738</v>
      </c>
      <c r="CV1743" s="41">
        <v>4</v>
      </c>
      <c r="CW1743" s="41">
        <v>0.11332468572476186</v>
      </c>
      <c r="CX1743" s="41" t="e">
        <v>#N/A</v>
      </c>
      <c r="CY1743" s="41" t="e">
        <v>#N/A</v>
      </c>
      <c r="CZ1743" s="47" t="e">
        <v>#N/A</v>
      </c>
      <c r="DA1743">
        <v>0.11332468572476186</v>
      </c>
      <c r="DB1743" t="str">
        <v/>
      </c>
    </row>
    <row r="1744" spans="83:106" x14ac:dyDescent="0.2">
      <c r="CE1744"/>
      <c r="CF1744"/>
      <c r="CG1744"/>
      <c r="CH1744"/>
      <c r="CI1744"/>
      <c r="CU1744" s="21">
        <v>1739</v>
      </c>
      <c r="CV1744" s="41">
        <v>4</v>
      </c>
      <c r="CW1744" s="41">
        <v>0.11332468572476186</v>
      </c>
      <c r="CX1744" s="41" t="e">
        <v>#N/A</v>
      </c>
      <c r="CY1744" s="41" t="e">
        <v>#N/A</v>
      </c>
      <c r="CZ1744" s="47" t="e">
        <v>#N/A</v>
      </c>
      <c r="DA1744">
        <v>0.11332468572476186</v>
      </c>
      <c r="DB1744" t="str">
        <v/>
      </c>
    </row>
    <row r="1745" spans="83:106" x14ac:dyDescent="0.2">
      <c r="CE1745"/>
      <c r="CF1745"/>
      <c r="CG1745"/>
      <c r="CH1745"/>
      <c r="CI1745"/>
      <c r="CU1745" s="21">
        <v>1740</v>
      </c>
      <c r="CV1745" s="41">
        <v>4</v>
      </c>
      <c r="CW1745" s="41">
        <v>0.11332468572476186</v>
      </c>
      <c r="CX1745" s="41" t="e">
        <v>#N/A</v>
      </c>
      <c r="CY1745" s="41" t="e">
        <v>#N/A</v>
      </c>
      <c r="CZ1745" s="47" t="e">
        <v>#N/A</v>
      </c>
      <c r="DA1745">
        <v>0.11332468572476186</v>
      </c>
      <c r="DB1745" t="str">
        <v/>
      </c>
    </row>
    <row r="1746" spans="83:106" x14ac:dyDescent="0.2">
      <c r="CE1746"/>
      <c r="CF1746"/>
      <c r="CG1746"/>
      <c r="CH1746"/>
      <c r="CI1746"/>
      <c r="CU1746" s="21">
        <v>1741</v>
      </c>
      <c r="CV1746" s="41">
        <v>4</v>
      </c>
      <c r="CW1746" s="41">
        <v>0.11332468572476186</v>
      </c>
      <c r="CX1746" s="41" t="e">
        <v>#N/A</v>
      </c>
      <c r="CY1746" s="41" t="e">
        <v>#N/A</v>
      </c>
      <c r="CZ1746" s="47" t="e">
        <v>#N/A</v>
      </c>
      <c r="DA1746">
        <v>0.11332468572476186</v>
      </c>
      <c r="DB1746" t="str">
        <v/>
      </c>
    </row>
    <row r="1747" spans="83:106" x14ac:dyDescent="0.2">
      <c r="CE1747"/>
      <c r="CF1747"/>
      <c r="CG1747"/>
      <c r="CH1747"/>
      <c r="CI1747"/>
      <c r="CU1747" s="21">
        <v>1742</v>
      </c>
      <c r="CV1747" s="41">
        <v>4</v>
      </c>
      <c r="CW1747" s="41">
        <v>0.11332468572476186</v>
      </c>
      <c r="CX1747" s="41" t="e">
        <v>#N/A</v>
      </c>
      <c r="CY1747" s="41" t="e">
        <v>#N/A</v>
      </c>
      <c r="CZ1747" s="47" t="e">
        <v>#N/A</v>
      </c>
      <c r="DA1747">
        <v>0.11332468572476186</v>
      </c>
      <c r="DB1747" t="str">
        <v/>
      </c>
    </row>
    <row r="1748" spans="83:106" x14ac:dyDescent="0.2">
      <c r="CE1748"/>
      <c r="CF1748"/>
      <c r="CG1748"/>
      <c r="CH1748"/>
      <c r="CI1748"/>
      <c r="CU1748" s="21">
        <v>1743</v>
      </c>
      <c r="CV1748" s="41">
        <v>4</v>
      </c>
      <c r="CW1748" s="41">
        <v>0.11332468572476186</v>
      </c>
      <c r="CX1748" s="41" t="e">
        <v>#N/A</v>
      </c>
      <c r="CY1748" s="41" t="e">
        <v>#N/A</v>
      </c>
      <c r="CZ1748" s="47" t="e">
        <v>#N/A</v>
      </c>
      <c r="DA1748">
        <v>0.11332468572476186</v>
      </c>
      <c r="DB1748" t="str">
        <v/>
      </c>
    </row>
    <row r="1749" spans="83:106" x14ac:dyDescent="0.2">
      <c r="CE1749"/>
      <c r="CF1749"/>
      <c r="CG1749"/>
      <c r="CH1749"/>
      <c r="CI1749"/>
      <c r="CU1749" s="21">
        <v>1744</v>
      </c>
      <c r="CV1749" s="41">
        <v>4</v>
      </c>
      <c r="CW1749" s="41">
        <v>0.11332468572476186</v>
      </c>
      <c r="CX1749" s="41" t="e">
        <v>#N/A</v>
      </c>
      <c r="CY1749" s="41" t="e">
        <v>#N/A</v>
      </c>
      <c r="CZ1749" s="47" t="e">
        <v>#N/A</v>
      </c>
      <c r="DA1749">
        <v>0.11332468572476186</v>
      </c>
      <c r="DB1749" t="str">
        <v/>
      </c>
    </row>
    <row r="1750" spans="83:106" x14ac:dyDescent="0.2">
      <c r="CE1750"/>
      <c r="CF1750"/>
      <c r="CG1750"/>
      <c r="CH1750"/>
      <c r="CI1750"/>
      <c r="CU1750" s="21">
        <v>1745</v>
      </c>
      <c r="CV1750" s="41">
        <v>4</v>
      </c>
      <c r="CW1750" s="41">
        <v>0.11332468572476186</v>
      </c>
      <c r="CX1750" s="41" t="e">
        <v>#N/A</v>
      </c>
      <c r="CY1750" s="41" t="e">
        <v>#N/A</v>
      </c>
      <c r="CZ1750" s="47" t="e">
        <v>#N/A</v>
      </c>
      <c r="DA1750">
        <v>0.11332468572476186</v>
      </c>
      <c r="DB1750" t="str">
        <v/>
      </c>
    </row>
    <row r="1751" spans="83:106" x14ac:dyDescent="0.2">
      <c r="CE1751"/>
      <c r="CF1751"/>
      <c r="CG1751"/>
      <c r="CH1751"/>
      <c r="CI1751"/>
      <c r="CU1751" s="21">
        <v>1746</v>
      </c>
      <c r="CV1751" s="41">
        <v>4</v>
      </c>
      <c r="CW1751" s="41">
        <v>0.11332468572476186</v>
      </c>
      <c r="CX1751" s="41" t="e">
        <v>#N/A</v>
      </c>
      <c r="CY1751" s="41" t="e">
        <v>#N/A</v>
      </c>
      <c r="CZ1751" s="47" t="e">
        <v>#N/A</v>
      </c>
      <c r="DA1751">
        <v>0.11332468572476186</v>
      </c>
      <c r="DB1751" t="str">
        <v/>
      </c>
    </row>
    <row r="1752" spans="83:106" x14ac:dyDescent="0.2">
      <c r="CE1752"/>
      <c r="CF1752"/>
      <c r="CG1752"/>
      <c r="CH1752"/>
      <c r="CI1752"/>
      <c r="CU1752" s="21">
        <v>1747</v>
      </c>
      <c r="CV1752" s="41">
        <v>4</v>
      </c>
      <c r="CW1752" s="41">
        <v>0.11332468572476186</v>
      </c>
      <c r="CX1752" s="41" t="e">
        <v>#N/A</v>
      </c>
      <c r="CY1752" s="41" t="e">
        <v>#N/A</v>
      </c>
      <c r="CZ1752" s="47" t="e">
        <v>#N/A</v>
      </c>
      <c r="DA1752">
        <v>0.11332468572476186</v>
      </c>
      <c r="DB1752" t="str">
        <v/>
      </c>
    </row>
    <row r="1753" spans="83:106" x14ac:dyDescent="0.2">
      <c r="CE1753"/>
      <c r="CF1753"/>
      <c r="CG1753"/>
      <c r="CH1753"/>
      <c r="CI1753"/>
      <c r="CU1753" s="21">
        <v>1748</v>
      </c>
      <c r="CV1753" s="41">
        <v>4</v>
      </c>
      <c r="CW1753" s="41">
        <v>0.11332468572476186</v>
      </c>
      <c r="CX1753" s="41" t="e">
        <v>#N/A</v>
      </c>
      <c r="CY1753" s="41" t="e">
        <v>#N/A</v>
      </c>
      <c r="CZ1753" s="47" t="e">
        <v>#N/A</v>
      </c>
      <c r="DA1753">
        <v>0.11332468572476186</v>
      </c>
      <c r="DB1753" t="str">
        <v/>
      </c>
    </row>
    <row r="1754" spans="83:106" x14ac:dyDescent="0.2">
      <c r="CE1754"/>
      <c r="CF1754"/>
      <c r="CG1754"/>
      <c r="CH1754"/>
      <c r="CI1754"/>
      <c r="CU1754" s="21">
        <v>1749</v>
      </c>
      <c r="CV1754" s="41">
        <v>4</v>
      </c>
      <c r="CW1754" s="41">
        <v>0.11332468572476186</v>
      </c>
      <c r="CX1754" s="41" t="e">
        <v>#N/A</v>
      </c>
      <c r="CY1754" s="41" t="e">
        <v>#N/A</v>
      </c>
      <c r="CZ1754" s="47" t="e">
        <v>#N/A</v>
      </c>
      <c r="DA1754">
        <v>0.11332468572476186</v>
      </c>
      <c r="DB1754" t="str">
        <v/>
      </c>
    </row>
    <row r="1755" spans="83:106" x14ac:dyDescent="0.2">
      <c r="CE1755"/>
      <c r="CF1755"/>
      <c r="CG1755"/>
      <c r="CH1755"/>
      <c r="CI1755"/>
      <c r="CU1755" s="21">
        <v>1750</v>
      </c>
      <c r="CV1755" s="41">
        <v>4</v>
      </c>
      <c r="CW1755" s="41">
        <v>0.11332468572476186</v>
      </c>
      <c r="CX1755" s="41" t="e">
        <v>#N/A</v>
      </c>
      <c r="CY1755" s="41" t="e">
        <v>#N/A</v>
      </c>
      <c r="CZ1755" s="47" t="e">
        <v>#N/A</v>
      </c>
      <c r="DA1755">
        <v>0.11332468572476186</v>
      </c>
      <c r="DB1755" t="str">
        <v/>
      </c>
    </row>
    <row r="1756" spans="83:106" x14ac:dyDescent="0.2">
      <c r="CE1756"/>
      <c r="CF1756"/>
      <c r="CG1756"/>
      <c r="CH1756"/>
      <c r="CI1756"/>
      <c r="CU1756" s="21">
        <v>1751</v>
      </c>
      <c r="CV1756" s="41">
        <v>4</v>
      </c>
      <c r="CW1756" s="41">
        <v>0.11332468572476186</v>
      </c>
      <c r="CX1756" s="41" t="e">
        <v>#N/A</v>
      </c>
      <c r="CY1756" s="41" t="e">
        <v>#N/A</v>
      </c>
      <c r="CZ1756" s="47" t="e">
        <v>#N/A</v>
      </c>
      <c r="DA1756">
        <v>0.11332468572476186</v>
      </c>
      <c r="DB1756" t="str">
        <v/>
      </c>
    </row>
    <row r="1757" spans="83:106" x14ac:dyDescent="0.2">
      <c r="CE1757"/>
      <c r="CF1757"/>
      <c r="CG1757"/>
      <c r="CH1757"/>
      <c r="CI1757"/>
      <c r="CU1757" s="21">
        <v>1752</v>
      </c>
      <c r="CV1757" s="41">
        <v>4</v>
      </c>
      <c r="CW1757" s="41">
        <v>0.11332468572476186</v>
      </c>
      <c r="CX1757" s="41" t="e">
        <v>#N/A</v>
      </c>
      <c r="CY1757" s="41" t="e">
        <v>#N/A</v>
      </c>
      <c r="CZ1757" s="47" t="e">
        <v>#N/A</v>
      </c>
      <c r="DA1757">
        <v>0.11332468572476186</v>
      </c>
      <c r="DB1757" t="str">
        <v/>
      </c>
    </row>
    <row r="1758" spans="83:106" x14ac:dyDescent="0.2">
      <c r="CE1758"/>
      <c r="CF1758"/>
      <c r="CG1758"/>
      <c r="CH1758"/>
      <c r="CI1758"/>
      <c r="CU1758" s="21">
        <v>1753</v>
      </c>
      <c r="CV1758" s="41">
        <v>4</v>
      </c>
      <c r="CW1758" s="41">
        <v>0.11332468572476186</v>
      </c>
      <c r="CX1758" s="41" t="e">
        <v>#N/A</v>
      </c>
      <c r="CY1758" s="41" t="e">
        <v>#N/A</v>
      </c>
      <c r="CZ1758" s="47" t="e">
        <v>#N/A</v>
      </c>
      <c r="DA1758">
        <v>0.11332468572476186</v>
      </c>
      <c r="DB1758" t="str">
        <v/>
      </c>
    </row>
    <row r="1759" spans="83:106" x14ac:dyDescent="0.2">
      <c r="CE1759"/>
      <c r="CF1759"/>
      <c r="CG1759"/>
      <c r="CH1759"/>
      <c r="CI1759"/>
      <c r="CU1759" s="21">
        <v>1754</v>
      </c>
      <c r="CV1759" s="41">
        <v>4</v>
      </c>
      <c r="CW1759" s="41">
        <v>0.11332468572476186</v>
      </c>
      <c r="CX1759" s="41" t="e">
        <v>#N/A</v>
      </c>
      <c r="CY1759" s="41" t="e">
        <v>#N/A</v>
      </c>
      <c r="CZ1759" s="47" t="e">
        <v>#N/A</v>
      </c>
      <c r="DA1759">
        <v>0.11332468572476186</v>
      </c>
      <c r="DB1759" t="str">
        <v/>
      </c>
    </row>
    <row r="1760" spans="83:106" x14ac:dyDescent="0.2">
      <c r="CE1760"/>
      <c r="CF1760"/>
      <c r="CG1760"/>
      <c r="CH1760"/>
      <c r="CI1760"/>
      <c r="CU1760" s="21">
        <v>1755</v>
      </c>
      <c r="CV1760" s="41">
        <v>4</v>
      </c>
      <c r="CW1760" s="41">
        <v>0.11332468572476186</v>
      </c>
      <c r="CX1760" s="41" t="e">
        <v>#N/A</v>
      </c>
      <c r="CY1760" s="41" t="e">
        <v>#N/A</v>
      </c>
      <c r="CZ1760" s="47" t="e">
        <v>#N/A</v>
      </c>
      <c r="DA1760">
        <v>0.11332468572476186</v>
      </c>
      <c r="DB1760" t="str">
        <v/>
      </c>
    </row>
    <row r="1761" spans="83:106" x14ac:dyDescent="0.2">
      <c r="CE1761"/>
      <c r="CF1761"/>
      <c r="CG1761"/>
      <c r="CH1761"/>
      <c r="CI1761"/>
      <c r="CU1761" s="21">
        <v>1756</v>
      </c>
      <c r="CV1761" s="41">
        <v>4</v>
      </c>
      <c r="CW1761" s="41">
        <v>0.11332468572476186</v>
      </c>
      <c r="CX1761" s="41" t="e">
        <v>#N/A</v>
      </c>
      <c r="CY1761" s="41" t="e">
        <v>#N/A</v>
      </c>
      <c r="CZ1761" s="47" t="e">
        <v>#N/A</v>
      </c>
      <c r="DA1761">
        <v>0.11332468572476186</v>
      </c>
      <c r="DB1761" t="str">
        <v/>
      </c>
    </row>
    <row r="1762" spans="83:106" x14ac:dyDescent="0.2">
      <c r="CE1762"/>
      <c r="CF1762"/>
      <c r="CG1762"/>
      <c r="CH1762"/>
      <c r="CI1762"/>
      <c r="CU1762" s="21">
        <v>1757</v>
      </c>
      <c r="CV1762" s="41">
        <v>4</v>
      </c>
      <c r="CW1762" s="41">
        <v>0.11332468572476186</v>
      </c>
      <c r="CX1762" s="41" t="e">
        <v>#N/A</v>
      </c>
      <c r="CY1762" s="41" t="e">
        <v>#N/A</v>
      </c>
      <c r="CZ1762" s="47" t="e">
        <v>#N/A</v>
      </c>
      <c r="DA1762">
        <v>0.11332468572476186</v>
      </c>
      <c r="DB1762" t="str">
        <v/>
      </c>
    </row>
    <row r="1763" spans="83:106" x14ac:dyDescent="0.2">
      <c r="CE1763"/>
      <c r="CF1763"/>
      <c r="CG1763"/>
      <c r="CH1763"/>
      <c r="CI1763"/>
      <c r="CU1763" s="21">
        <v>1758</v>
      </c>
      <c r="CV1763" s="41">
        <v>4</v>
      </c>
      <c r="CW1763" s="41">
        <v>0.11332468572476186</v>
      </c>
      <c r="CX1763" s="41" t="e">
        <v>#N/A</v>
      </c>
      <c r="CY1763" s="41" t="e">
        <v>#N/A</v>
      </c>
      <c r="CZ1763" s="47" t="e">
        <v>#N/A</v>
      </c>
      <c r="DA1763">
        <v>0.11332468572476186</v>
      </c>
      <c r="DB1763" t="str">
        <v/>
      </c>
    </row>
    <row r="1764" spans="83:106" x14ac:dyDescent="0.2">
      <c r="CE1764"/>
      <c r="CF1764"/>
      <c r="CG1764"/>
      <c r="CH1764"/>
      <c r="CI1764"/>
      <c r="CU1764" s="21">
        <v>1759</v>
      </c>
      <c r="CV1764" s="41">
        <v>4</v>
      </c>
      <c r="CW1764" s="41">
        <v>0.11332468572476186</v>
      </c>
      <c r="CX1764" s="41" t="e">
        <v>#N/A</v>
      </c>
      <c r="CY1764" s="41" t="e">
        <v>#N/A</v>
      </c>
      <c r="CZ1764" s="47" t="e">
        <v>#N/A</v>
      </c>
      <c r="DA1764">
        <v>0.11332468572476186</v>
      </c>
      <c r="DB1764" t="str">
        <v/>
      </c>
    </row>
    <row r="1765" spans="83:106" x14ac:dyDescent="0.2">
      <c r="CE1765"/>
      <c r="CF1765"/>
      <c r="CG1765"/>
      <c r="CH1765"/>
      <c r="CI1765"/>
      <c r="CU1765" s="21">
        <v>1760</v>
      </c>
      <c r="CV1765" s="41">
        <v>4</v>
      </c>
      <c r="CW1765" s="41">
        <v>0.11332468572476186</v>
      </c>
      <c r="CX1765" s="41" t="e">
        <v>#N/A</v>
      </c>
      <c r="CY1765" s="41" t="e">
        <v>#N/A</v>
      </c>
      <c r="CZ1765" s="47" t="e">
        <v>#N/A</v>
      </c>
      <c r="DA1765">
        <v>0.11332468572476186</v>
      </c>
      <c r="DB1765" t="str">
        <v/>
      </c>
    </row>
    <row r="1766" spans="83:106" x14ac:dyDescent="0.2">
      <c r="CE1766"/>
      <c r="CF1766"/>
      <c r="CG1766"/>
      <c r="CH1766"/>
      <c r="CI1766"/>
      <c r="CU1766" s="21">
        <v>1761</v>
      </c>
      <c r="CV1766" s="41">
        <v>4</v>
      </c>
      <c r="CW1766" s="41">
        <v>0.11332468572476186</v>
      </c>
      <c r="CX1766" s="41" t="e">
        <v>#N/A</v>
      </c>
      <c r="CY1766" s="41" t="e">
        <v>#N/A</v>
      </c>
      <c r="CZ1766" s="47" t="e">
        <v>#N/A</v>
      </c>
      <c r="DA1766">
        <v>0.11332468572476186</v>
      </c>
      <c r="DB1766" t="str">
        <v/>
      </c>
    </row>
    <row r="1767" spans="83:106" x14ac:dyDescent="0.2">
      <c r="CE1767"/>
      <c r="CF1767"/>
      <c r="CG1767"/>
      <c r="CH1767"/>
      <c r="CI1767"/>
      <c r="CU1767" s="21">
        <v>1762</v>
      </c>
      <c r="CV1767" s="41">
        <v>4</v>
      </c>
      <c r="CW1767" s="41">
        <v>0.11332468572476186</v>
      </c>
      <c r="CX1767" s="41" t="e">
        <v>#N/A</v>
      </c>
      <c r="CY1767" s="41" t="e">
        <v>#N/A</v>
      </c>
      <c r="CZ1767" s="47" t="e">
        <v>#N/A</v>
      </c>
      <c r="DA1767">
        <v>0.11332468572476186</v>
      </c>
      <c r="DB1767" t="str">
        <v/>
      </c>
    </row>
    <row r="1768" spans="83:106" x14ac:dyDescent="0.2">
      <c r="CE1768"/>
      <c r="CF1768"/>
      <c r="CG1768"/>
      <c r="CH1768"/>
      <c r="CI1768"/>
      <c r="CU1768" s="21">
        <v>1763</v>
      </c>
      <c r="CV1768" s="41">
        <v>4</v>
      </c>
      <c r="CW1768" s="41">
        <v>0.11332468572476186</v>
      </c>
      <c r="CX1768" s="41" t="e">
        <v>#N/A</v>
      </c>
      <c r="CY1768" s="41" t="e">
        <v>#N/A</v>
      </c>
      <c r="CZ1768" s="47" t="e">
        <v>#N/A</v>
      </c>
      <c r="DA1768">
        <v>0.11332468572476186</v>
      </c>
      <c r="DB1768" t="str">
        <v/>
      </c>
    </row>
    <row r="1769" spans="83:106" x14ac:dyDescent="0.2">
      <c r="CE1769"/>
      <c r="CF1769"/>
      <c r="CG1769"/>
      <c r="CH1769"/>
      <c r="CI1769"/>
      <c r="CU1769" s="21">
        <v>1764</v>
      </c>
      <c r="CV1769" s="41">
        <v>4</v>
      </c>
      <c r="CW1769" s="41">
        <v>0.11332468572476186</v>
      </c>
      <c r="CX1769" s="41" t="e">
        <v>#N/A</v>
      </c>
      <c r="CY1769" s="41" t="e">
        <v>#N/A</v>
      </c>
      <c r="CZ1769" s="47" t="e">
        <v>#N/A</v>
      </c>
      <c r="DA1769">
        <v>0.11332468572476186</v>
      </c>
      <c r="DB1769" t="str">
        <v/>
      </c>
    </row>
    <row r="1770" spans="83:106" x14ac:dyDescent="0.2">
      <c r="CE1770"/>
      <c r="CF1770"/>
      <c r="CG1770"/>
      <c r="CH1770"/>
      <c r="CI1770"/>
      <c r="CU1770" s="21">
        <v>1765</v>
      </c>
      <c r="CV1770" s="41">
        <v>4</v>
      </c>
      <c r="CW1770" s="41">
        <v>0.11332468572476186</v>
      </c>
      <c r="CX1770" s="41" t="e">
        <v>#N/A</v>
      </c>
      <c r="CY1770" s="41" t="e">
        <v>#N/A</v>
      </c>
      <c r="CZ1770" s="47" t="e">
        <v>#N/A</v>
      </c>
      <c r="DA1770">
        <v>0.11332468572476186</v>
      </c>
      <c r="DB1770" t="str">
        <v/>
      </c>
    </row>
    <row r="1771" spans="83:106" x14ac:dyDescent="0.2">
      <c r="CE1771"/>
      <c r="CF1771"/>
      <c r="CG1771"/>
      <c r="CH1771"/>
      <c r="CI1771"/>
      <c r="CU1771" s="21">
        <v>1766</v>
      </c>
      <c r="CV1771" s="41">
        <v>4</v>
      </c>
      <c r="CW1771" s="41">
        <v>0.11332468572476186</v>
      </c>
      <c r="CX1771" s="41" t="e">
        <v>#N/A</v>
      </c>
      <c r="CY1771" s="41" t="e">
        <v>#N/A</v>
      </c>
      <c r="CZ1771" s="47" t="e">
        <v>#N/A</v>
      </c>
      <c r="DA1771">
        <v>0.11332468572476186</v>
      </c>
      <c r="DB1771" t="str">
        <v/>
      </c>
    </row>
    <row r="1772" spans="83:106" x14ac:dyDescent="0.2">
      <c r="CE1772"/>
      <c r="CF1772"/>
      <c r="CG1772"/>
      <c r="CH1772"/>
      <c r="CI1772"/>
      <c r="CU1772" s="21">
        <v>1767</v>
      </c>
      <c r="CV1772" s="41">
        <v>4</v>
      </c>
      <c r="CW1772" s="41">
        <v>0.11332468572476186</v>
      </c>
      <c r="CX1772" s="41" t="e">
        <v>#N/A</v>
      </c>
      <c r="CY1772" s="41" t="e">
        <v>#N/A</v>
      </c>
      <c r="CZ1772" s="47" t="e">
        <v>#N/A</v>
      </c>
      <c r="DA1772">
        <v>0.11332468572476186</v>
      </c>
      <c r="DB1772" t="str">
        <v/>
      </c>
    </row>
    <row r="1773" spans="83:106" x14ac:dyDescent="0.2">
      <c r="CE1773"/>
      <c r="CF1773"/>
      <c r="CG1773"/>
      <c r="CH1773"/>
      <c r="CI1773"/>
      <c r="CU1773" s="21">
        <v>1768</v>
      </c>
      <c r="CV1773" s="41">
        <v>4</v>
      </c>
      <c r="CW1773" s="41">
        <v>0.11332468572476186</v>
      </c>
      <c r="CX1773" s="41" t="e">
        <v>#N/A</v>
      </c>
      <c r="CY1773" s="41" t="e">
        <v>#N/A</v>
      </c>
      <c r="CZ1773" s="47" t="e">
        <v>#N/A</v>
      </c>
      <c r="DA1773">
        <v>0.11332468572476186</v>
      </c>
      <c r="DB1773" t="str">
        <v/>
      </c>
    </row>
    <row r="1774" spans="83:106" x14ac:dyDescent="0.2">
      <c r="CE1774"/>
      <c r="CF1774"/>
      <c r="CG1774"/>
      <c r="CH1774"/>
      <c r="CI1774"/>
      <c r="CU1774" s="21">
        <v>1769</v>
      </c>
      <c r="CV1774" s="41">
        <v>4</v>
      </c>
      <c r="CW1774" s="41">
        <v>0.11332468572476186</v>
      </c>
      <c r="CX1774" s="41" t="e">
        <v>#N/A</v>
      </c>
      <c r="CY1774" s="41" t="e">
        <v>#N/A</v>
      </c>
      <c r="CZ1774" s="47" t="e">
        <v>#N/A</v>
      </c>
      <c r="DA1774">
        <v>0.11332468572476186</v>
      </c>
      <c r="DB1774" t="str">
        <v/>
      </c>
    </row>
    <row r="1775" spans="83:106" x14ac:dyDescent="0.2">
      <c r="CE1775"/>
      <c r="CF1775"/>
      <c r="CG1775"/>
      <c r="CH1775"/>
      <c r="CI1775"/>
      <c r="CU1775" s="21">
        <v>1770</v>
      </c>
      <c r="CV1775" s="41">
        <v>4</v>
      </c>
      <c r="CW1775" s="41">
        <v>0.11332468572476186</v>
      </c>
      <c r="CX1775" s="41" t="e">
        <v>#N/A</v>
      </c>
      <c r="CY1775" s="41" t="e">
        <v>#N/A</v>
      </c>
      <c r="CZ1775" s="47" t="e">
        <v>#N/A</v>
      </c>
      <c r="DA1775">
        <v>0.11332468572476186</v>
      </c>
      <c r="DB1775" t="str">
        <v/>
      </c>
    </row>
    <row r="1776" spans="83:106" x14ac:dyDescent="0.2">
      <c r="CE1776"/>
      <c r="CF1776"/>
      <c r="CG1776"/>
      <c r="CH1776"/>
      <c r="CI1776"/>
      <c r="CU1776" s="21">
        <v>1771</v>
      </c>
      <c r="CV1776" s="41">
        <v>4</v>
      </c>
      <c r="CW1776" s="41">
        <v>0.11332468572476186</v>
      </c>
      <c r="CX1776" s="41" t="e">
        <v>#N/A</v>
      </c>
      <c r="CY1776" s="41" t="e">
        <v>#N/A</v>
      </c>
      <c r="CZ1776" s="47" t="e">
        <v>#N/A</v>
      </c>
      <c r="DA1776">
        <v>0.11332468572476186</v>
      </c>
      <c r="DB1776" t="str">
        <v/>
      </c>
    </row>
    <row r="1777" spans="83:106" x14ac:dyDescent="0.2">
      <c r="CE1777"/>
      <c r="CF1777"/>
      <c r="CG1777"/>
      <c r="CH1777"/>
      <c r="CI1777"/>
      <c r="CU1777" s="21">
        <v>1772</v>
      </c>
      <c r="CV1777" s="41">
        <v>4</v>
      </c>
      <c r="CW1777" s="41">
        <v>0.11332468572476186</v>
      </c>
      <c r="CX1777" s="41" t="e">
        <v>#N/A</v>
      </c>
      <c r="CY1777" s="41" t="e">
        <v>#N/A</v>
      </c>
      <c r="CZ1777" s="47" t="e">
        <v>#N/A</v>
      </c>
      <c r="DA1777">
        <v>0.11332468572476186</v>
      </c>
      <c r="DB1777" t="str">
        <v/>
      </c>
    </row>
    <row r="1778" spans="83:106" x14ac:dyDescent="0.2">
      <c r="CE1778"/>
      <c r="CF1778"/>
      <c r="CG1778"/>
      <c r="CH1778"/>
      <c r="CI1778"/>
      <c r="CU1778" s="21">
        <v>1773</v>
      </c>
      <c r="CV1778" s="41">
        <v>4</v>
      </c>
      <c r="CW1778" s="41">
        <v>0.11332468572476186</v>
      </c>
      <c r="CX1778" s="41" t="e">
        <v>#N/A</v>
      </c>
      <c r="CY1778" s="41" t="e">
        <v>#N/A</v>
      </c>
      <c r="CZ1778" s="47" t="e">
        <v>#N/A</v>
      </c>
      <c r="DA1778">
        <v>0.11332468572476186</v>
      </c>
      <c r="DB1778" t="str">
        <v/>
      </c>
    </row>
    <row r="1779" spans="83:106" x14ac:dyDescent="0.2">
      <c r="CE1779"/>
      <c r="CF1779"/>
      <c r="CG1779"/>
      <c r="CH1779"/>
      <c r="CI1779"/>
      <c r="CU1779" s="21">
        <v>1774</v>
      </c>
      <c r="CV1779" s="41">
        <v>4</v>
      </c>
      <c r="CW1779" s="41">
        <v>0.11332468572476186</v>
      </c>
      <c r="CX1779" s="41" t="e">
        <v>#N/A</v>
      </c>
      <c r="CY1779" s="41" t="e">
        <v>#N/A</v>
      </c>
      <c r="CZ1779" s="47" t="e">
        <v>#N/A</v>
      </c>
      <c r="DA1779">
        <v>0.11332468572476186</v>
      </c>
      <c r="DB1779" t="str">
        <v/>
      </c>
    </row>
    <row r="1780" spans="83:106" x14ac:dyDescent="0.2">
      <c r="CE1780"/>
      <c r="CF1780"/>
      <c r="CG1780"/>
      <c r="CH1780"/>
      <c r="CI1780"/>
      <c r="CU1780" s="21">
        <v>1775</v>
      </c>
      <c r="CV1780" s="41">
        <v>4</v>
      </c>
      <c r="CW1780" s="41">
        <v>0.11332468572476186</v>
      </c>
      <c r="CX1780" s="41" t="e">
        <v>#N/A</v>
      </c>
      <c r="CY1780" s="41" t="e">
        <v>#N/A</v>
      </c>
      <c r="CZ1780" s="47" t="e">
        <v>#N/A</v>
      </c>
      <c r="DA1780">
        <v>0.11332468572476186</v>
      </c>
      <c r="DB1780" t="str">
        <v/>
      </c>
    </row>
    <row r="1781" spans="83:106" x14ac:dyDescent="0.2">
      <c r="CE1781"/>
      <c r="CF1781"/>
      <c r="CG1781"/>
      <c r="CH1781"/>
      <c r="CI1781"/>
      <c r="CU1781" s="21">
        <v>1776</v>
      </c>
      <c r="CV1781" s="41">
        <v>4</v>
      </c>
      <c r="CW1781" s="41">
        <v>0.11332468572476186</v>
      </c>
      <c r="CX1781" s="41" t="e">
        <v>#N/A</v>
      </c>
      <c r="CY1781" s="41" t="e">
        <v>#N/A</v>
      </c>
      <c r="CZ1781" s="47" t="e">
        <v>#N/A</v>
      </c>
      <c r="DA1781">
        <v>0.11332468572476186</v>
      </c>
      <c r="DB1781" t="str">
        <v/>
      </c>
    </row>
    <row r="1782" spans="83:106" x14ac:dyDescent="0.2">
      <c r="CE1782"/>
      <c r="CF1782"/>
      <c r="CG1782"/>
      <c r="CH1782"/>
      <c r="CI1782"/>
      <c r="CU1782" s="21">
        <v>1777</v>
      </c>
      <c r="CV1782" s="41">
        <v>4</v>
      </c>
      <c r="CW1782" s="41">
        <v>0.11332468572476186</v>
      </c>
      <c r="CX1782" s="41" t="e">
        <v>#N/A</v>
      </c>
      <c r="CY1782" s="41" t="e">
        <v>#N/A</v>
      </c>
      <c r="CZ1782" s="47" t="e">
        <v>#N/A</v>
      </c>
      <c r="DA1782">
        <v>0.11332468572476186</v>
      </c>
      <c r="DB1782" t="str">
        <v/>
      </c>
    </row>
    <row r="1783" spans="83:106" x14ac:dyDescent="0.2">
      <c r="CE1783"/>
      <c r="CF1783"/>
      <c r="CG1783"/>
      <c r="CH1783"/>
      <c r="CI1783"/>
      <c r="CU1783" s="21">
        <v>1778</v>
      </c>
      <c r="CV1783" s="41">
        <v>4</v>
      </c>
      <c r="CW1783" s="41">
        <v>0.11332468572476186</v>
      </c>
      <c r="CX1783" s="41" t="e">
        <v>#N/A</v>
      </c>
      <c r="CY1783" s="41" t="e">
        <v>#N/A</v>
      </c>
      <c r="CZ1783" s="47" t="e">
        <v>#N/A</v>
      </c>
      <c r="DA1783">
        <v>0.11332468572476186</v>
      </c>
      <c r="DB1783" t="str">
        <v/>
      </c>
    </row>
    <row r="1784" spans="83:106" x14ac:dyDescent="0.2">
      <c r="CE1784"/>
      <c r="CF1784"/>
      <c r="CG1784"/>
      <c r="CH1784"/>
      <c r="CI1784"/>
      <c r="CU1784" s="21">
        <v>1779</v>
      </c>
      <c r="CV1784" s="41">
        <v>4</v>
      </c>
      <c r="CW1784" s="41">
        <v>0.11332468572476186</v>
      </c>
      <c r="CX1784" s="41" t="e">
        <v>#N/A</v>
      </c>
      <c r="CY1784" s="41" t="e">
        <v>#N/A</v>
      </c>
      <c r="CZ1784" s="47" t="e">
        <v>#N/A</v>
      </c>
      <c r="DA1784">
        <v>0.11332468572476186</v>
      </c>
      <c r="DB1784" t="str">
        <v/>
      </c>
    </row>
    <row r="1785" spans="83:106" x14ac:dyDescent="0.2">
      <c r="CE1785"/>
      <c r="CF1785"/>
      <c r="CG1785"/>
      <c r="CH1785"/>
      <c r="CI1785"/>
      <c r="CU1785" s="21">
        <v>1780</v>
      </c>
      <c r="CV1785" s="41">
        <v>4</v>
      </c>
      <c r="CW1785" s="41">
        <v>0.11332468572476186</v>
      </c>
      <c r="CX1785" s="41" t="e">
        <v>#N/A</v>
      </c>
      <c r="CY1785" s="41" t="e">
        <v>#N/A</v>
      </c>
      <c r="CZ1785" s="47" t="e">
        <v>#N/A</v>
      </c>
      <c r="DA1785">
        <v>0.11332468572476186</v>
      </c>
      <c r="DB1785" t="str">
        <v/>
      </c>
    </row>
    <row r="1786" spans="83:106" x14ac:dyDescent="0.2">
      <c r="CE1786"/>
      <c r="CF1786"/>
      <c r="CG1786"/>
      <c r="CH1786"/>
      <c r="CI1786"/>
      <c r="CU1786" s="21">
        <v>1781</v>
      </c>
      <c r="CV1786" s="41">
        <v>4</v>
      </c>
      <c r="CW1786" s="41">
        <v>0.11332468572476186</v>
      </c>
      <c r="CX1786" s="41" t="e">
        <v>#N/A</v>
      </c>
      <c r="CY1786" s="41" t="e">
        <v>#N/A</v>
      </c>
      <c r="CZ1786" s="47" t="e">
        <v>#N/A</v>
      </c>
      <c r="DA1786">
        <v>0.11332468572476186</v>
      </c>
      <c r="DB1786" t="str">
        <v/>
      </c>
    </row>
    <row r="1787" spans="83:106" x14ac:dyDescent="0.2">
      <c r="CE1787"/>
      <c r="CF1787"/>
      <c r="CG1787"/>
      <c r="CH1787"/>
      <c r="CI1787"/>
      <c r="CU1787" s="21">
        <v>1782</v>
      </c>
      <c r="CV1787" s="41">
        <v>4</v>
      </c>
      <c r="CW1787" s="41">
        <v>0.11332468572476186</v>
      </c>
      <c r="CX1787" s="41" t="e">
        <v>#N/A</v>
      </c>
      <c r="CY1787" s="41" t="e">
        <v>#N/A</v>
      </c>
      <c r="CZ1787" s="47" t="e">
        <v>#N/A</v>
      </c>
      <c r="DA1787">
        <v>0.11332468572476186</v>
      </c>
      <c r="DB1787" t="str">
        <v/>
      </c>
    </row>
    <row r="1788" spans="83:106" x14ac:dyDescent="0.2">
      <c r="CE1788"/>
      <c r="CF1788"/>
      <c r="CG1788"/>
      <c r="CH1788"/>
      <c r="CI1788"/>
      <c r="CU1788" s="21">
        <v>1783</v>
      </c>
      <c r="CV1788" s="41">
        <v>4</v>
      </c>
      <c r="CW1788" s="41">
        <v>0.11332468572476186</v>
      </c>
      <c r="CX1788" s="41" t="e">
        <v>#N/A</v>
      </c>
      <c r="CY1788" s="41" t="e">
        <v>#N/A</v>
      </c>
      <c r="CZ1788" s="47" t="e">
        <v>#N/A</v>
      </c>
      <c r="DA1788">
        <v>0.11332468572476186</v>
      </c>
      <c r="DB1788" t="str">
        <v/>
      </c>
    </row>
    <row r="1789" spans="83:106" x14ac:dyDescent="0.2">
      <c r="CE1789"/>
      <c r="CF1789"/>
      <c r="CG1789"/>
      <c r="CH1789"/>
      <c r="CI1789"/>
      <c r="CU1789" s="21">
        <v>1784</v>
      </c>
      <c r="CV1789" s="41">
        <v>4</v>
      </c>
      <c r="CW1789" s="41">
        <v>0.11332468572476186</v>
      </c>
      <c r="CX1789" s="41" t="e">
        <v>#N/A</v>
      </c>
      <c r="CY1789" s="41" t="e">
        <v>#N/A</v>
      </c>
      <c r="CZ1789" s="47" t="e">
        <v>#N/A</v>
      </c>
      <c r="DA1789">
        <v>0.11332468572476186</v>
      </c>
      <c r="DB1789" t="str">
        <v/>
      </c>
    </row>
    <row r="1790" spans="83:106" x14ac:dyDescent="0.2">
      <c r="CE1790"/>
      <c r="CF1790"/>
      <c r="CG1790"/>
      <c r="CH1790"/>
      <c r="CI1790"/>
      <c r="CU1790" s="21">
        <v>1785</v>
      </c>
      <c r="CV1790" s="41">
        <v>4</v>
      </c>
      <c r="CW1790" s="41">
        <v>0.11332468572476186</v>
      </c>
      <c r="CX1790" s="41" t="e">
        <v>#N/A</v>
      </c>
      <c r="CY1790" s="41" t="e">
        <v>#N/A</v>
      </c>
      <c r="CZ1790" s="47" t="e">
        <v>#N/A</v>
      </c>
      <c r="DA1790">
        <v>0.11332468572476186</v>
      </c>
      <c r="DB1790" t="str">
        <v/>
      </c>
    </row>
    <row r="1791" spans="83:106" x14ac:dyDescent="0.2">
      <c r="CE1791"/>
      <c r="CF1791"/>
      <c r="CG1791"/>
      <c r="CH1791"/>
      <c r="CI1791"/>
      <c r="CU1791" s="21">
        <v>1786</v>
      </c>
      <c r="CV1791" s="41">
        <v>4</v>
      </c>
      <c r="CW1791" s="41">
        <v>0.11332468572476186</v>
      </c>
      <c r="CX1791" s="41" t="e">
        <v>#N/A</v>
      </c>
      <c r="CY1791" s="41" t="e">
        <v>#N/A</v>
      </c>
      <c r="CZ1791" s="47" t="e">
        <v>#N/A</v>
      </c>
      <c r="DA1791">
        <v>0.11332468572476186</v>
      </c>
      <c r="DB1791" t="str">
        <v/>
      </c>
    </row>
    <row r="1792" spans="83:106" x14ac:dyDescent="0.2">
      <c r="CE1792"/>
      <c r="CF1792"/>
      <c r="CG1792"/>
      <c r="CH1792"/>
      <c r="CI1792"/>
      <c r="CU1792" s="21">
        <v>1787</v>
      </c>
      <c r="CV1792" s="41">
        <v>4</v>
      </c>
      <c r="CW1792" s="41">
        <v>0.11332468572476186</v>
      </c>
      <c r="CX1792" s="41" t="e">
        <v>#N/A</v>
      </c>
      <c r="CY1792" s="41" t="e">
        <v>#N/A</v>
      </c>
      <c r="CZ1792" s="47" t="e">
        <v>#N/A</v>
      </c>
      <c r="DA1792">
        <v>0.11332468572476186</v>
      </c>
      <c r="DB1792" t="str">
        <v/>
      </c>
    </row>
    <row r="1793" spans="83:106" x14ac:dyDescent="0.2">
      <c r="CE1793"/>
      <c r="CF1793"/>
      <c r="CG1793"/>
      <c r="CH1793"/>
      <c r="CI1793"/>
      <c r="CU1793" s="21">
        <v>1788</v>
      </c>
      <c r="CV1793" s="41">
        <v>4</v>
      </c>
      <c r="CW1793" s="41">
        <v>0.11332468572476186</v>
      </c>
      <c r="CX1793" s="41" t="e">
        <v>#N/A</v>
      </c>
      <c r="CY1793" s="41" t="e">
        <v>#N/A</v>
      </c>
      <c r="CZ1793" s="47" t="e">
        <v>#N/A</v>
      </c>
      <c r="DA1793">
        <v>0.11332468572476186</v>
      </c>
      <c r="DB1793" t="str">
        <v/>
      </c>
    </row>
    <row r="1794" spans="83:106" x14ac:dyDescent="0.2">
      <c r="CE1794"/>
      <c r="CF1794"/>
      <c r="CG1794"/>
      <c r="CH1794"/>
      <c r="CI1794"/>
      <c r="CU1794" s="21">
        <v>1789</v>
      </c>
      <c r="CV1794" s="41">
        <v>4</v>
      </c>
      <c r="CW1794" s="41">
        <v>0.11332468572476186</v>
      </c>
      <c r="CX1794" s="41" t="e">
        <v>#N/A</v>
      </c>
      <c r="CY1794" s="41" t="e">
        <v>#N/A</v>
      </c>
      <c r="CZ1794" s="47" t="e">
        <v>#N/A</v>
      </c>
      <c r="DA1794">
        <v>0.11332468572476186</v>
      </c>
      <c r="DB1794" t="str">
        <v/>
      </c>
    </row>
    <row r="1795" spans="83:106" x14ac:dyDescent="0.2">
      <c r="CE1795"/>
      <c r="CF1795"/>
      <c r="CG1795"/>
      <c r="CH1795"/>
      <c r="CI1795"/>
      <c r="CU1795" s="21">
        <v>1790</v>
      </c>
      <c r="CV1795" s="41">
        <v>4</v>
      </c>
      <c r="CW1795" s="41">
        <v>0.11332468572476186</v>
      </c>
      <c r="CX1795" s="41" t="e">
        <v>#N/A</v>
      </c>
      <c r="CY1795" s="41" t="e">
        <v>#N/A</v>
      </c>
      <c r="CZ1795" s="47" t="e">
        <v>#N/A</v>
      </c>
      <c r="DA1795">
        <v>0.11332468572476186</v>
      </c>
      <c r="DB1795" t="str">
        <v/>
      </c>
    </row>
    <row r="1796" spans="83:106" x14ac:dyDescent="0.2">
      <c r="CE1796"/>
      <c r="CF1796"/>
      <c r="CG1796"/>
      <c r="CH1796"/>
      <c r="CI1796"/>
      <c r="CU1796" s="21">
        <v>1791</v>
      </c>
      <c r="CV1796" s="41">
        <v>4</v>
      </c>
      <c r="CW1796" s="41">
        <v>0.11332468572476186</v>
      </c>
      <c r="CX1796" s="41" t="e">
        <v>#N/A</v>
      </c>
      <c r="CY1796" s="41" t="e">
        <v>#N/A</v>
      </c>
      <c r="CZ1796" s="47" t="e">
        <v>#N/A</v>
      </c>
      <c r="DA1796">
        <v>0.11332468572476186</v>
      </c>
      <c r="DB1796" t="str">
        <v/>
      </c>
    </row>
    <row r="1797" spans="83:106" x14ac:dyDescent="0.2">
      <c r="CE1797"/>
      <c r="CF1797"/>
      <c r="CG1797"/>
      <c r="CH1797"/>
      <c r="CI1797"/>
      <c r="CU1797" s="21">
        <v>1792</v>
      </c>
      <c r="CV1797" s="41">
        <v>4</v>
      </c>
      <c r="CW1797" s="41">
        <v>0.11332468572476186</v>
      </c>
      <c r="CX1797" s="41" t="e">
        <v>#N/A</v>
      </c>
      <c r="CY1797" s="41" t="e">
        <v>#N/A</v>
      </c>
      <c r="CZ1797" s="47" t="e">
        <v>#N/A</v>
      </c>
      <c r="DA1797">
        <v>0.11332468572476186</v>
      </c>
      <c r="DB1797" t="str">
        <v/>
      </c>
    </row>
    <row r="1798" spans="83:106" x14ac:dyDescent="0.2">
      <c r="CE1798"/>
      <c r="CF1798"/>
      <c r="CG1798"/>
      <c r="CH1798"/>
      <c r="CI1798"/>
      <c r="CU1798" s="21">
        <v>1793</v>
      </c>
      <c r="CV1798" s="41">
        <v>4</v>
      </c>
      <c r="CW1798" s="41">
        <v>0.11332468572476186</v>
      </c>
      <c r="CX1798" s="41" t="e">
        <v>#N/A</v>
      </c>
      <c r="CY1798" s="41" t="e">
        <v>#N/A</v>
      </c>
      <c r="CZ1798" s="47" t="e">
        <v>#N/A</v>
      </c>
      <c r="DA1798">
        <v>0.11332468572476186</v>
      </c>
      <c r="DB1798" t="str">
        <v/>
      </c>
    </row>
    <row r="1799" spans="83:106" x14ac:dyDescent="0.2">
      <c r="CE1799"/>
      <c r="CF1799"/>
      <c r="CG1799"/>
      <c r="CH1799"/>
      <c r="CI1799"/>
      <c r="CU1799" s="21">
        <v>1794</v>
      </c>
      <c r="CV1799" s="41">
        <v>4</v>
      </c>
      <c r="CW1799" s="41">
        <v>0.11332468572476186</v>
      </c>
      <c r="CX1799" s="41" t="e">
        <v>#N/A</v>
      </c>
      <c r="CY1799" s="41" t="e">
        <v>#N/A</v>
      </c>
      <c r="CZ1799" s="47" t="e">
        <v>#N/A</v>
      </c>
      <c r="DA1799">
        <v>0.11332468572476186</v>
      </c>
      <c r="DB1799" t="str">
        <v/>
      </c>
    </row>
    <row r="1800" spans="83:106" x14ac:dyDescent="0.2">
      <c r="CE1800"/>
      <c r="CF1800"/>
      <c r="CG1800"/>
      <c r="CH1800"/>
      <c r="CI1800"/>
      <c r="CU1800" s="21">
        <v>1795</v>
      </c>
      <c r="CV1800" s="41">
        <v>4</v>
      </c>
      <c r="CW1800" s="41">
        <v>0.11332468572476186</v>
      </c>
      <c r="CX1800" s="41" t="e">
        <v>#N/A</v>
      </c>
      <c r="CY1800" s="41" t="e">
        <v>#N/A</v>
      </c>
      <c r="CZ1800" s="47" t="e">
        <v>#N/A</v>
      </c>
      <c r="DA1800">
        <v>0.11332468572476186</v>
      </c>
      <c r="DB1800" t="str">
        <v/>
      </c>
    </row>
    <row r="1801" spans="83:106" x14ac:dyDescent="0.2">
      <c r="CE1801"/>
      <c r="CF1801"/>
      <c r="CG1801"/>
      <c r="CH1801"/>
      <c r="CI1801"/>
      <c r="CU1801" s="21">
        <v>1796</v>
      </c>
      <c r="CV1801" s="41">
        <v>4</v>
      </c>
      <c r="CW1801" s="41">
        <v>0.11332468572476186</v>
      </c>
      <c r="CX1801" s="41" t="e">
        <v>#N/A</v>
      </c>
      <c r="CY1801" s="41" t="e">
        <v>#N/A</v>
      </c>
      <c r="CZ1801" s="47" t="e">
        <v>#N/A</v>
      </c>
      <c r="DA1801">
        <v>0.11332468572476186</v>
      </c>
      <c r="DB1801" t="str">
        <v/>
      </c>
    </row>
    <row r="1802" spans="83:106" x14ac:dyDescent="0.2">
      <c r="CE1802"/>
      <c r="CF1802"/>
      <c r="CG1802"/>
      <c r="CH1802"/>
      <c r="CI1802"/>
      <c r="CU1802" s="21">
        <v>1797</v>
      </c>
      <c r="CV1802" s="41">
        <v>4</v>
      </c>
      <c r="CW1802" s="41">
        <v>0.11332468572476186</v>
      </c>
      <c r="CX1802" s="41" t="e">
        <v>#N/A</v>
      </c>
      <c r="CY1802" s="41" t="e">
        <v>#N/A</v>
      </c>
      <c r="CZ1802" s="47" t="e">
        <v>#N/A</v>
      </c>
      <c r="DA1802">
        <v>0.11332468572476186</v>
      </c>
      <c r="DB1802" t="str">
        <v/>
      </c>
    </row>
    <row r="1803" spans="83:106" x14ac:dyDescent="0.2">
      <c r="CE1803"/>
      <c r="CF1803"/>
      <c r="CG1803"/>
      <c r="CH1803"/>
      <c r="CI1803"/>
      <c r="CU1803" s="21">
        <v>1798</v>
      </c>
      <c r="CV1803" s="41">
        <v>4</v>
      </c>
      <c r="CW1803" s="41">
        <v>0.11332468572476186</v>
      </c>
      <c r="CX1803" s="41" t="e">
        <v>#N/A</v>
      </c>
      <c r="CY1803" s="41" t="e">
        <v>#N/A</v>
      </c>
      <c r="CZ1803" s="47" t="e">
        <v>#N/A</v>
      </c>
      <c r="DA1803">
        <v>0.11332468572476186</v>
      </c>
      <c r="DB1803" t="str">
        <v/>
      </c>
    </row>
    <row r="1804" spans="83:106" x14ac:dyDescent="0.2">
      <c r="CE1804"/>
      <c r="CF1804"/>
      <c r="CG1804"/>
      <c r="CH1804"/>
      <c r="CI1804"/>
      <c r="CU1804" s="21">
        <v>1799</v>
      </c>
      <c r="CV1804" s="41">
        <v>4</v>
      </c>
      <c r="CW1804" s="41">
        <v>0.11332468572476186</v>
      </c>
      <c r="CX1804" s="41" t="e">
        <v>#N/A</v>
      </c>
      <c r="CY1804" s="41" t="e">
        <v>#N/A</v>
      </c>
      <c r="CZ1804" s="47" t="e">
        <v>#N/A</v>
      </c>
      <c r="DA1804">
        <v>0.11332468572476186</v>
      </c>
      <c r="DB1804" t="str">
        <v/>
      </c>
    </row>
    <row r="1805" spans="83:106" x14ac:dyDescent="0.2">
      <c r="CE1805"/>
      <c r="CF1805"/>
      <c r="CG1805"/>
      <c r="CH1805"/>
      <c r="CI1805"/>
      <c r="CU1805" s="21">
        <v>1800</v>
      </c>
      <c r="CV1805" s="41">
        <v>4</v>
      </c>
      <c r="CW1805" s="41">
        <v>0.11332468572476186</v>
      </c>
      <c r="CX1805" s="41" t="e">
        <v>#N/A</v>
      </c>
      <c r="CY1805" s="41" t="e">
        <v>#N/A</v>
      </c>
      <c r="CZ1805" s="47" t="e">
        <v>#N/A</v>
      </c>
      <c r="DA1805">
        <v>0.11332468572476186</v>
      </c>
      <c r="DB1805" t="str">
        <v/>
      </c>
    </row>
    <row r="1806" spans="83:106" x14ac:dyDescent="0.2">
      <c r="CE1806"/>
      <c r="CF1806"/>
      <c r="CG1806"/>
      <c r="CH1806"/>
      <c r="CI1806"/>
      <c r="CU1806" s="21">
        <v>1801</v>
      </c>
      <c r="CV1806" s="41">
        <v>4</v>
      </c>
      <c r="CW1806" s="41">
        <v>0.11332468572476186</v>
      </c>
      <c r="CX1806" s="41" t="e">
        <v>#N/A</v>
      </c>
      <c r="CY1806" s="41" t="e">
        <v>#N/A</v>
      </c>
      <c r="CZ1806" s="47" t="e">
        <v>#N/A</v>
      </c>
      <c r="DA1806">
        <v>0.11332468572476186</v>
      </c>
      <c r="DB1806" t="str">
        <v/>
      </c>
    </row>
    <row r="1807" spans="83:106" x14ac:dyDescent="0.2">
      <c r="CE1807"/>
      <c r="CF1807"/>
      <c r="CG1807"/>
      <c r="CH1807"/>
      <c r="CI1807"/>
      <c r="CU1807" s="21">
        <v>1802</v>
      </c>
      <c r="CV1807" s="41">
        <v>4</v>
      </c>
      <c r="CW1807" s="41">
        <v>0.11332468572476186</v>
      </c>
      <c r="CX1807" s="41" t="e">
        <v>#N/A</v>
      </c>
      <c r="CY1807" s="41" t="e">
        <v>#N/A</v>
      </c>
      <c r="CZ1807" s="47" t="e">
        <v>#N/A</v>
      </c>
      <c r="DA1807">
        <v>0.11332468572476186</v>
      </c>
      <c r="DB1807" t="str">
        <v/>
      </c>
    </row>
    <row r="1808" spans="83:106" x14ac:dyDescent="0.2">
      <c r="CE1808"/>
      <c r="CF1808"/>
      <c r="CG1808"/>
      <c r="CH1808"/>
      <c r="CI1808"/>
      <c r="CU1808" s="21">
        <v>1803</v>
      </c>
      <c r="CV1808" s="41">
        <v>4</v>
      </c>
      <c r="CW1808" s="41">
        <v>0.11332468572476186</v>
      </c>
      <c r="CX1808" s="41" t="e">
        <v>#N/A</v>
      </c>
      <c r="CY1808" s="41" t="e">
        <v>#N/A</v>
      </c>
      <c r="CZ1808" s="47" t="e">
        <v>#N/A</v>
      </c>
      <c r="DA1808">
        <v>0.11332468572476186</v>
      </c>
      <c r="DB1808" t="str">
        <v/>
      </c>
    </row>
    <row r="1809" spans="83:106" x14ac:dyDescent="0.2">
      <c r="CE1809"/>
      <c r="CF1809"/>
      <c r="CG1809"/>
      <c r="CH1809"/>
      <c r="CI1809"/>
      <c r="CU1809" s="21">
        <v>1804</v>
      </c>
      <c r="CV1809" s="41">
        <v>4</v>
      </c>
      <c r="CW1809" s="41">
        <v>0.11332468572476186</v>
      </c>
      <c r="CX1809" s="41" t="e">
        <v>#N/A</v>
      </c>
      <c r="CY1809" s="41" t="e">
        <v>#N/A</v>
      </c>
      <c r="CZ1809" s="47" t="e">
        <v>#N/A</v>
      </c>
      <c r="DA1809">
        <v>0.11332468572476186</v>
      </c>
      <c r="DB1809" t="str">
        <v/>
      </c>
    </row>
    <row r="1810" spans="83:106" x14ac:dyDescent="0.2">
      <c r="CE1810"/>
      <c r="CF1810"/>
      <c r="CG1810"/>
      <c r="CH1810"/>
      <c r="CI1810"/>
      <c r="CU1810" s="21">
        <v>1805</v>
      </c>
      <c r="CV1810" s="41">
        <v>4</v>
      </c>
      <c r="CW1810" s="41">
        <v>0.11332468572476186</v>
      </c>
      <c r="CX1810" s="41" t="e">
        <v>#N/A</v>
      </c>
      <c r="CY1810" s="41" t="e">
        <v>#N/A</v>
      </c>
      <c r="CZ1810" s="47" t="e">
        <v>#N/A</v>
      </c>
      <c r="DA1810">
        <v>0.11332468572476186</v>
      </c>
      <c r="DB1810" t="str">
        <v/>
      </c>
    </row>
    <row r="1811" spans="83:106" x14ac:dyDescent="0.2">
      <c r="CE1811"/>
      <c r="CF1811"/>
      <c r="CG1811"/>
      <c r="CH1811"/>
      <c r="CI1811"/>
      <c r="CU1811" s="21">
        <v>1806</v>
      </c>
      <c r="CV1811" s="41">
        <v>4</v>
      </c>
      <c r="CW1811" s="41">
        <v>0.11332468572476186</v>
      </c>
      <c r="CX1811" s="41" t="e">
        <v>#N/A</v>
      </c>
      <c r="CY1811" s="41" t="e">
        <v>#N/A</v>
      </c>
      <c r="CZ1811" s="47" t="e">
        <v>#N/A</v>
      </c>
      <c r="DA1811">
        <v>0.11332468572476186</v>
      </c>
      <c r="DB1811" t="str">
        <v/>
      </c>
    </row>
    <row r="1812" spans="83:106" x14ac:dyDescent="0.2">
      <c r="CE1812"/>
      <c r="CF1812"/>
      <c r="CG1812"/>
      <c r="CH1812"/>
      <c r="CI1812"/>
      <c r="CU1812" s="21">
        <v>1807</v>
      </c>
      <c r="CV1812" s="41">
        <v>4</v>
      </c>
      <c r="CW1812" s="41">
        <v>0.11332468572476186</v>
      </c>
      <c r="CX1812" s="41" t="e">
        <v>#N/A</v>
      </c>
      <c r="CY1812" s="41" t="e">
        <v>#N/A</v>
      </c>
      <c r="CZ1812" s="47" t="e">
        <v>#N/A</v>
      </c>
      <c r="DA1812">
        <v>0.11332468572476186</v>
      </c>
      <c r="DB1812" t="str">
        <v/>
      </c>
    </row>
    <row r="1813" spans="83:106" x14ac:dyDescent="0.2">
      <c r="CE1813"/>
      <c r="CF1813"/>
      <c r="CG1813"/>
      <c r="CH1813"/>
      <c r="CI1813"/>
      <c r="CU1813" s="21">
        <v>1808</v>
      </c>
      <c r="CV1813" s="41">
        <v>4</v>
      </c>
      <c r="CW1813" s="41">
        <v>0.11332468572476186</v>
      </c>
      <c r="CX1813" s="41" t="e">
        <v>#N/A</v>
      </c>
      <c r="CY1813" s="41" t="e">
        <v>#N/A</v>
      </c>
      <c r="CZ1813" s="47" t="e">
        <v>#N/A</v>
      </c>
      <c r="DA1813">
        <v>0.11332468572476186</v>
      </c>
      <c r="DB1813" t="str">
        <v/>
      </c>
    </row>
    <row r="1814" spans="83:106" x14ac:dyDescent="0.2">
      <c r="CE1814"/>
      <c r="CF1814"/>
      <c r="CG1814"/>
      <c r="CH1814"/>
      <c r="CI1814"/>
      <c r="CU1814" s="21">
        <v>1809</v>
      </c>
      <c r="CV1814" s="41">
        <v>4</v>
      </c>
      <c r="CW1814" s="41">
        <v>0.11332468572476186</v>
      </c>
      <c r="CX1814" s="41" t="e">
        <v>#N/A</v>
      </c>
      <c r="CY1814" s="41" t="e">
        <v>#N/A</v>
      </c>
      <c r="CZ1814" s="47" t="e">
        <v>#N/A</v>
      </c>
      <c r="DA1814">
        <v>0.11332468572476186</v>
      </c>
      <c r="DB1814" t="str">
        <v/>
      </c>
    </row>
    <row r="1815" spans="83:106" x14ac:dyDescent="0.2">
      <c r="CE1815"/>
      <c r="CF1815"/>
      <c r="CG1815"/>
      <c r="CH1815"/>
      <c r="CI1815"/>
      <c r="CU1815" s="21">
        <v>1810</v>
      </c>
      <c r="CV1815" s="41">
        <v>4</v>
      </c>
      <c r="CW1815" s="41">
        <v>0.11332468572476186</v>
      </c>
      <c r="CX1815" s="41" t="e">
        <v>#N/A</v>
      </c>
      <c r="CY1815" s="41" t="e">
        <v>#N/A</v>
      </c>
      <c r="CZ1815" s="47" t="e">
        <v>#N/A</v>
      </c>
      <c r="DA1815">
        <v>0.11332468572476186</v>
      </c>
      <c r="DB1815" t="str">
        <v/>
      </c>
    </row>
    <row r="1816" spans="83:106" x14ac:dyDescent="0.2">
      <c r="CE1816"/>
      <c r="CF1816"/>
      <c r="CG1816"/>
      <c r="CH1816"/>
      <c r="CI1816"/>
      <c r="CU1816" s="21">
        <v>1811</v>
      </c>
      <c r="CV1816" s="41">
        <v>4</v>
      </c>
      <c r="CW1816" s="41">
        <v>0.11332468572476186</v>
      </c>
      <c r="CX1816" s="41" t="e">
        <v>#N/A</v>
      </c>
      <c r="CY1816" s="41" t="e">
        <v>#N/A</v>
      </c>
      <c r="CZ1816" s="47" t="e">
        <v>#N/A</v>
      </c>
      <c r="DA1816">
        <v>0.11332468572476186</v>
      </c>
      <c r="DB1816" t="str">
        <v/>
      </c>
    </row>
    <row r="1817" spans="83:106" x14ac:dyDescent="0.2">
      <c r="CE1817"/>
      <c r="CF1817"/>
      <c r="CG1817"/>
      <c r="CH1817"/>
      <c r="CI1817"/>
      <c r="CU1817" s="21">
        <v>1812</v>
      </c>
      <c r="CV1817" s="41">
        <v>4</v>
      </c>
      <c r="CW1817" s="41">
        <v>0.11332468572476186</v>
      </c>
      <c r="CX1817" s="41" t="e">
        <v>#N/A</v>
      </c>
      <c r="CY1817" s="41" t="e">
        <v>#N/A</v>
      </c>
      <c r="CZ1817" s="47" t="e">
        <v>#N/A</v>
      </c>
      <c r="DA1817">
        <v>0.11332468572476186</v>
      </c>
      <c r="DB1817" t="str">
        <v/>
      </c>
    </row>
    <row r="1818" spans="83:106" x14ac:dyDescent="0.2">
      <c r="CE1818"/>
      <c r="CF1818"/>
      <c r="CG1818"/>
      <c r="CH1818"/>
      <c r="CI1818"/>
      <c r="CU1818" s="21">
        <v>1813</v>
      </c>
      <c r="CV1818" s="41">
        <v>4</v>
      </c>
      <c r="CW1818" s="41">
        <v>0.11332468572476186</v>
      </c>
      <c r="CX1818" s="41" t="e">
        <v>#N/A</v>
      </c>
      <c r="CY1818" s="41" t="e">
        <v>#N/A</v>
      </c>
      <c r="CZ1818" s="47" t="e">
        <v>#N/A</v>
      </c>
      <c r="DA1818">
        <v>0.11332468572476186</v>
      </c>
      <c r="DB1818" t="str">
        <v/>
      </c>
    </row>
    <row r="1819" spans="83:106" x14ac:dyDescent="0.2">
      <c r="CE1819"/>
      <c r="CF1819"/>
      <c r="CG1819"/>
      <c r="CH1819"/>
      <c r="CI1819"/>
      <c r="CU1819" s="21">
        <v>1814</v>
      </c>
      <c r="CV1819" s="41">
        <v>4</v>
      </c>
      <c r="CW1819" s="41">
        <v>0.11332468572476186</v>
      </c>
      <c r="CX1819" s="41" t="e">
        <v>#N/A</v>
      </c>
      <c r="CY1819" s="41" t="e">
        <v>#N/A</v>
      </c>
      <c r="CZ1819" s="47" t="e">
        <v>#N/A</v>
      </c>
      <c r="DA1819">
        <v>0.11332468572476186</v>
      </c>
      <c r="DB1819" t="str">
        <v/>
      </c>
    </row>
    <row r="1820" spans="83:106" x14ac:dyDescent="0.2">
      <c r="CE1820"/>
      <c r="CF1820"/>
      <c r="CG1820"/>
      <c r="CH1820"/>
      <c r="CI1820"/>
      <c r="CU1820" s="21">
        <v>1815</v>
      </c>
      <c r="CV1820" s="41">
        <v>4</v>
      </c>
      <c r="CW1820" s="41">
        <v>0.11332468572476186</v>
      </c>
      <c r="CX1820" s="41" t="e">
        <v>#N/A</v>
      </c>
      <c r="CY1820" s="41" t="e">
        <v>#N/A</v>
      </c>
      <c r="CZ1820" s="47" t="e">
        <v>#N/A</v>
      </c>
      <c r="DA1820">
        <v>0.11332468572476186</v>
      </c>
      <c r="DB1820" t="str">
        <v/>
      </c>
    </row>
    <row r="1821" spans="83:106" x14ac:dyDescent="0.2">
      <c r="CE1821"/>
      <c r="CF1821"/>
      <c r="CG1821"/>
      <c r="CH1821"/>
      <c r="CI1821"/>
      <c r="CU1821" s="21">
        <v>1816</v>
      </c>
      <c r="CV1821" s="41">
        <v>4</v>
      </c>
      <c r="CW1821" s="41">
        <v>0.11332468572476186</v>
      </c>
      <c r="CX1821" s="41" t="e">
        <v>#N/A</v>
      </c>
      <c r="CY1821" s="41" t="e">
        <v>#N/A</v>
      </c>
      <c r="CZ1821" s="47" t="e">
        <v>#N/A</v>
      </c>
      <c r="DA1821">
        <v>0.11332468572476186</v>
      </c>
      <c r="DB1821" t="str">
        <v/>
      </c>
    </row>
    <row r="1822" spans="83:106" x14ac:dyDescent="0.2">
      <c r="CE1822"/>
      <c r="CF1822"/>
      <c r="CG1822"/>
      <c r="CH1822"/>
      <c r="CI1822"/>
      <c r="CU1822" s="21">
        <v>1817</v>
      </c>
      <c r="CV1822" s="41">
        <v>4</v>
      </c>
      <c r="CW1822" s="41">
        <v>0.11332468572476186</v>
      </c>
      <c r="CX1822" s="41" t="e">
        <v>#N/A</v>
      </c>
      <c r="CY1822" s="41" t="e">
        <v>#N/A</v>
      </c>
      <c r="CZ1822" s="47" t="e">
        <v>#N/A</v>
      </c>
      <c r="DA1822">
        <v>0.11332468572476186</v>
      </c>
      <c r="DB1822" t="str">
        <v/>
      </c>
    </row>
    <row r="1823" spans="83:106" x14ac:dyDescent="0.2">
      <c r="CE1823"/>
      <c r="CF1823"/>
      <c r="CG1823"/>
      <c r="CH1823"/>
      <c r="CI1823"/>
      <c r="CU1823" s="21">
        <v>1818</v>
      </c>
      <c r="CV1823" s="41">
        <v>4</v>
      </c>
      <c r="CW1823" s="41">
        <v>0.11332468572476186</v>
      </c>
      <c r="CX1823" s="41" t="e">
        <v>#N/A</v>
      </c>
      <c r="CY1823" s="41" t="e">
        <v>#N/A</v>
      </c>
      <c r="CZ1823" s="47" t="e">
        <v>#N/A</v>
      </c>
      <c r="DA1823">
        <v>0.11332468572476186</v>
      </c>
      <c r="DB1823" t="str">
        <v/>
      </c>
    </row>
    <row r="1824" spans="83:106" x14ac:dyDescent="0.2">
      <c r="CE1824"/>
      <c r="CF1824"/>
      <c r="CG1824"/>
      <c r="CH1824"/>
      <c r="CI1824"/>
      <c r="CU1824" s="21">
        <v>1819</v>
      </c>
      <c r="CV1824" s="41">
        <v>4</v>
      </c>
      <c r="CW1824" s="41">
        <v>0.11332468572476186</v>
      </c>
      <c r="CX1824" s="41" t="e">
        <v>#N/A</v>
      </c>
      <c r="CY1824" s="41" t="e">
        <v>#N/A</v>
      </c>
      <c r="CZ1824" s="47" t="e">
        <v>#N/A</v>
      </c>
      <c r="DA1824">
        <v>0.11332468572476186</v>
      </c>
      <c r="DB1824" t="str">
        <v/>
      </c>
    </row>
    <row r="1825" spans="83:106" x14ac:dyDescent="0.2">
      <c r="CE1825"/>
      <c r="CF1825"/>
      <c r="CG1825"/>
      <c r="CH1825"/>
      <c r="CI1825"/>
      <c r="CU1825" s="21">
        <v>1820</v>
      </c>
      <c r="CV1825" s="41">
        <v>4</v>
      </c>
      <c r="CW1825" s="41">
        <v>0.11332468572476186</v>
      </c>
      <c r="CX1825" s="41" t="e">
        <v>#N/A</v>
      </c>
      <c r="CY1825" s="41" t="e">
        <v>#N/A</v>
      </c>
      <c r="CZ1825" s="47" t="e">
        <v>#N/A</v>
      </c>
      <c r="DA1825">
        <v>0.11332468572476186</v>
      </c>
      <c r="DB1825" t="str">
        <v/>
      </c>
    </row>
    <row r="1826" spans="83:106" x14ac:dyDescent="0.2">
      <c r="CE1826"/>
      <c r="CF1826"/>
      <c r="CG1826"/>
      <c r="CH1826"/>
      <c r="CI1826"/>
      <c r="CU1826" s="21">
        <v>1821</v>
      </c>
      <c r="CV1826" s="41">
        <v>4</v>
      </c>
      <c r="CW1826" s="41">
        <v>0.11332468572476186</v>
      </c>
      <c r="CX1826" s="41" t="e">
        <v>#N/A</v>
      </c>
      <c r="CY1826" s="41" t="e">
        <v>#N/A</v>
      </c>
      <c r="CZ1826" s="47" t="e">
        <v>#N/A</v>
      </c>
      <c r="DA1826">
        <v>0.11332468572476186</v>
      </c>
      <c r="DB1826" t="str">
        <v/>
      </c>
    </row>
    <row r="1827" spans="83:106" x14ac:dyDescent="0.2">
      <c r="CE1827"/>
      <c r="CF1827"/>
      <c r="CG1827"/>
      <c r="CH1827"/>
      <c r="CI1827"/>
      <c r="CU1827" s="21">
        <v>1822</v>
      </c>
      <c r="CV1827" s="41">
        <v>4</v>
      </c>
      <c r="CW1827" s="41">
        <v>0.11332468572476186</v>
      </c>
      <c r="CX1827" s="41" t="e">
        <v>#N/A</v>
      </c>
      <c r="CY1827" s="41" t="e">
        <v>#N/A</v>
      </c>
      <c r="CZ1827" s="47" t="e">
        <v>#N/A</v>
      </c>
      <c r="DA1827">
        <v>0.11332468572476186</v>
      </c>
      <c r="DB1827" t="str">
        <v/>
      </c>
    </row>
    <row r="1828" spans="83:106" x14ac:dyDescent="0.2">
      <c r="CE1828"/>
      <c r="CF1828"/>
      <c r="CG1828"/>
      <c r="CH1828"/>
      <c r="CI1828"/>
      <c r="CU1828" s="21">
        <v>1823</v>
      </c>
      <c r="CV1828" s="41">
        <v>4</v>
      </c>
      <c r="CW1828" s="41">
        <v>0.11332468572476186</v>
      </c>
      <c r="CX1828" s="41" t="e">
        <v>#N/A</v>
      </c>
      <c r="CY1828" s="41" t="e">
        <v>#N/A</v>
      </c>
      <c r="CZ1828" s="47" t="e">
        <v>#N/A</v>
      </c>
      <c r="DA1828">
        <v>0.11332468572476186</v>
      </c>
      <c r="DB1828" t="str">
        <v/>
      </c>
    </row>
    <row r="1829" spans="83:106" x14ac:dyDescent="0.2">
      <c r="CE1829"/>
      <c r="CF1829"/>
      <c r="CG1829"/>
      <c r="CH1829"/>
      <c r="CI1829"/>
      <c r="CU1829" s="21">
        <v>1824</v>
      </c>
      <c r="CV1829" s="41">
        <v>4</v>
      </c>
      <c r="CW1829" s="41">
        <v>0.11332468572476186</v>
      </c>
      <c r="CX1829" s="41" t="e">
        <v>#N/A</v>
      </c>
      <c r="CY1829" s="41" t="e">
        <v>#N/A</v>
      </c>
      <c r="CZ1829" s="47" t="e">
        <v>#N/A</v>
      </c>
      <c r="DA1829">
        <v>0.11332468572476186</v>
      </c>
      <c r="DB1829" t="str">
        <v/>
      </c>
    </row>
    <row r="1830" spans="83:106" x14ac:dyDescent="0.2">
      <c r="CE1830"/>
      <c r="CF1830"/>
      <c r="CG1830"/>
      <c r="CH1830"/>
      <c r="CI1830"/>
      <c r="CU1830" s="21">
        <v>1825</v>
      </c>
      <c r="CV1830" s="41">
        <v>4</v>
      </c>
      <c r="CW1830" s="41">
        <v>0.11332468572476186</v>
      </c>
      <c r="CX1830" s="41" t="e">
        <v>#N/A</v>
      </c>
      <c r="CY1830" s="41" t="e">
        <v>#N/A</v>
      </c>
      <c r="CZ1830" s="47" t="e">
        <v>#N/A</v>
      </c>
      <c r="DA1830">
        <v>0.11332468572476186</v>
      </c>
      <c r="DB1830" t="str">
        <v/>
      </c>
    </row>
    <row r="1831" spans="83:106" x14ac:dyDescent="0.2">
      <c r="CE1831"/>
      <c r="CF1831"/>
      <c r="CG1831"/>
      <c r="CH1831"/>
      <c r="CI1831"/>
      <c r="CU1831" s="21">
        <v>1826</v>
      </c>
      <c r="CV1831" s="41">
        <v>4</v>
      </c>
      <c r="CW1831" s="41">
        <v>0.11332468572476186</v>
      </c>
      <c r="CX1831" s="41" t="e">
        <v>#N/A</v>
      </c>
      <c r="CY1831" s="41" t="e">
        <v>#N/A</v>
      </c>
      <c r="CZ1831" s="47" t="e">
        <v>#N/A</v>
      </c>
      <c r="DA1831">
        <v>0.11332468572476186</v>
      </c>
      <c r="DB1831" t="str">
        <v/>
      </c>
    </row>
    <row r="1832" spans="83:106" x14ac:dyDescent="0.2">
      <c r="CE1832"/>
      <c r="CF1832"/>
      <c r="CG1832"/>
      <c r="CH1832"/>
      <c r="CI1832"/>
      <c r="CU1832" s="21">
        <v>1827</v>
      </c>
      <c r="CV1832" s="41">
        <v>4</v>
      </c>
      <c r="CW1832" s="41">
        <v>0.11332468572476186</v>
      </c>
      <c r="CX1832" s="41" t="e">
        <v>#N/A</v>
      </c>
      <c r="CY1832" s="41" t="e">
        <v>#N/A</v>
      </c>
      <c r="CZ1832" s="47" t="e">
        <v>#N/A</v>
      </c>
      <c r="DA1832">
        <v>0.11332468572476186</v>
      </c>
      <c r="DB1832" t="str">
        <v/>
      </c>
    </row>
    <row r="1833" spans="83:106" x14ac:dyDescent="0.2">
      <c r="CE1833"/>
      <c r="CF1833"/>
      <c r="CG1833"/>
      <c r="CH1833"/>
      <c r="CI1833"/>
      <c r="CU1833" s="21">
        <v>1828</v>
      </c>
      <c r="CV1833" s="41">
        <v>4</v>
      </c>
      <c r="CW1833" s="41">
        <v>0.11332468572476186</v>
      </c>
      <c r="CX1833" s="41" t="e">
        <v>#N/A</v>
      </c>
      <c r="CY1833" s="41" t="e">
        <v>#N/A</v>
      </c>
      <c r="CZ1833" s="47" t="e">
        <v>#N/A</v>
      </c>
      <c r="DA1833">
        <v>0.11332468572476186</v>
      </c>
      <c r="DB1833" t="str">
        <v/>
      </c>
    </row>
    <row r="1834" spans="83:106" x14ac:dyDescent="0.2">
      <c r="CE1834"/>
      <c r="CF1834"/>
      <c r="CG1834"/>
      <c r="CH1834"/>
      <c r="CI1834"/>
      <c r="CU1834" s="21">
        <v>1829</v>
      </c>
      <c r="CV1834" s="41">
        <v>4</v>
      </c>
      <c r="CW1834" s="41">
        <v>0.11332468572476186</v>
      </c>
      <c r="CX1834" s="41" t="e">
        <v>#N/A</v>
      </c>
      <c r="CY1834" s="41" t="e">
        <v>#N/A</v>
      </c>
      <c r="CZ1834" s="47" t="e">
        <v>#N/A</v>
      </c>
      <c r="DA1834">
        <v>0.11332468572476186</v>
      </c>
      <c r="DB1834" t="str">
        <v/>
      </c>
    </row>
    <row r="1835" spans="83:106" x14ac:dyDescent="0.2">
      <c r="CE1835"/>
      <c r="CF1835"/>
      <c r="CG1835"/>
      <c r="CH1835"/>
      <c r="CI1835"/>
      <c r="CU1835" s="21">
        <v>1830</v>
      </c>
      <c r="CV1835" s="41">
        <v>4</v>
      </c>
      <c r="CW1835" s="41">
        <v>0.11332468572476186</v>
      </c>
      <c r="CX1835" s="41" t="e">
        <v>#N/A</v>
      </c>
      <c r="CY1835" s="41" t="e">
        <v>#N/A</v>
      </c>
      <c r="CZ1835" s="47" t="e">
        <v>#N/A</v>
      </c>
      <c r="DA1835">
        <v>0.11332468572476186</v>
      </c>
      <c r="DB1835" t="str">
        <v/>
      </c>
    </row>
    <row r="1836" spans="83:106" x14ac:dyDescent="0.2">
      <c r="CE1836"/>
      <c r="CF1836"/>
      <c r="CG1836"/>
      <c r="CH1836"/>
      <c r="CI1836"/>
      <c r="CU1836" s="21">
        <v>1831</v>
      </c>
      <c r="CV1836" s="41">
        <v>4</v>
      </c>
      <c r="CW1836" s="41">
        <v>0.11332468572476186</v>
      </c>
      <c r="CX1836" s="41" t="e">
        <v>#N/A</v>
      </c>
      <c r="CY1836" s="41" t="e">
        <v>#N/A</v>
      </c>
      <c r="CZ1836" s="47" t="e">
        <v>#N/A</v>
      </c>
      <c r="DA1836">
        <v>0.11332468572476186</v>
      </c>
      <c r="DB1836" t="str">
        <v/>
      </c>
    </row>
    <row r="1837" spans="83:106" x14ac:dyDescent="0.2">
      <c r="CE1837"/>
      <c r="CF1837"/>
      <c r="CG1837"/>
      <c r="CH1837"/>
      <c r="CI1837"/>
      <c r="CU1837" s="21">
        <v>1832</v>
      </c>
      <c r="CV1837" s="41">
        <v>4</v>
      </c>
      <c r="CW1837" s="41">
        <v>0.11332468572476186</v>
      </c>
      <c r="CX1837" s="41" t="e">
        <v>#N/A</v>
      </c>
      <c r="CY1837" s="41" t="e">
        <v>#N/A</v>
      </c>
      <c r="CZ1837" s="47" t="e">
        <v>#N/A</v>
      </c>
      <c r="DA1837">
        <v>0.11332468572476186</v>
      </c>
      <c r="DB1837" t="str">
        <v/>
      </c>
    </row>
    <row r="1838" spans="83:106" x14ac:dyDescent="0.2">
      <c r="CE1838"/>
      <c r="CF1838"/>
      <c r="CG1838"/>
      <c r="CH1838"/>
      <c r="CI1838"/>
      <c r="CU1838" s="21">
        <v>1833</v>
      </c>
      <c r="CV1838" s="41">
        <v>4</v>
      </c>
      <c r="CW1838" s="41">
        <v>0.11332468572476186</v>
      </c>
      <c r="CX1838" s="41" t="e">
        <v>#N/A</v>
      </c>
      <c r="CY1838" s="41" t="e">
        <v>#N/A</v>
      </c>
      <c r="CZ1838" s="47" t="e">
        <v>#N/A</v>
      </c>
      <c r="DA1838">
        <v>0.11332468572476186</v>
      </c>
      <c r="DB1838" t="str">
        <v/>
      </c>
    </row>
    <row r="1839" spans="83:106" x14ac:dyDescent="0.2">
      <c r="CE1839"/>
      <c r="CF1839"/>
      <c r="CG1839"/>
      <c r="CH1839"/>
      <c r="CI1839"/>
      <c r="CU1839" s="21">
        <v>1834</v>
      </c>
      <c r="CV1839" s="41">
        <v>4</v>
      </c>
      <c r="CW1839" s="41">
        <v>0.11332468572476186</v>
      </c>
      <c r="CX1839" s="41" t="e">
        <v>#N/A</v>
      </c>
      <c r="CY1839" s="41" t="e">
        <v>#N/A</v>
      </c>
      <c r="CZ1839" s="47" t="e">
        <v>#N/A</v>
      </c>
      <c r="DA1839">
        <v>0.11332468572476186</v>
      </c>
      <c r="DB1839" t="str">
        <v/>
      </c>
    </row>
    <row r="1840" spans="83:106" x14ac:dyDescent="0.2">
      <c r="CE1840"/>
      <c r="CF1840"/>
      <c r="CG1840"/>
      <c r="CH1840"/>
      <c r="CI1840"/>
      <c r="CU1840" s="21">
        <v>1835</v>
      </c>
      <c r="CV1840" s="41">
        <v>4</v>
      </c>
      <c r="CW1840" s="41">
        <v>0.11332468572476186</v>
      </c>
      <c r="CX1840" s="41" t="e">
        <v>#N/A</v>
      </c>
      <c r="CY1840" s="41" t="e">
        <v>#N/A</v>
      </c>
      <c r="CZ1840" s="47" t="e">
        <v>#N/A</v>
      </c>
      <c r="DA1840">
        <v>0.11332468572476186</v>
      </c>
      <c r="DB1840" t="str">
        <v/>
      </c>
    </row>
    <row r="1841" spans="83:106" x14ac:dyDescent="0.2">
      <c r="CE1841"/>
      <c r="CF1841"/>
      <c r="CG1841"/>
      <c r="CH1841"/>
      <c r="CI1841"/>
      <c r="CU1841" s="21">
        <v>1836</v>
      </c>
      <c r="CV1841" s="41">
        <v>4</v>
      </c>
      <c r="CW1841" s="41">
        <v>0.11332468572476186</v>
      </c>
      <c r="CX1841" s="41" t="e">
        <v>#N/A</v>
      </c>
      <c r="CY1841" s="41" t="e">
        <v>#N/A</v>
      </c>
      <c r="CZ1841" s="47" t="e">
        <v>#N/A</v>
      </c>
      <c r="DA1841">
        <v>0.11332468572476186</v>
      </c>
      <c r="DB1841" t="str">
        <v/>
      </c>
    </row>
    <row r="1842" spans="83:106" x14ac:dyDescent="0.2">
      <c r="CE1842"/>
      <c r="CF1842"/>
      <c r="CG1842"/>
      <c r="CH1842"/>
      <c r="CI1842"/>
      <c r="CU1842" s="21">
        <v>1837</v>
      </c>
      <c r="CV1842" s="41">
        <v>4</v>
      </c>
      <c r="CW1842" s="41">
        <v>0.11332468572476186</v>
      </c>
      <c r="CX1842" s="41" t="e">
        <v>#N/A</v>
      </c>
      <c r="CY1842" s="41" t="e">
        <v>#N/A</v>
      </c>
      <c r="CZ1842" s="47" t="e">
        <v>#N/A</v>
      </c>
      <c r="DA1842">
        <v>0.11332468572476186</v>
      </c>
      <c r="DB1842" t="str">
        <v/>
      </c>
    </row>
    <row r="1843" spans="83:106" x14ac:dyDescent="0.2">
      <c r="CE1843"/>
      <c r="CF1843"/>
      <c r="CG1843"/>
      <c r="CH1843"/>
      <c r="CI1843"/>
      <c r="CU1843" s="21">
        <v>1838</v>
      </c>
      <c r="CV1843" s="41">
        <v>4</v>
      </c>
      <c r="CW1843" s="41">
        <v>0.11332468572476186</v>
      </c>
      <c r="CX1843" s="41" t="e">
        <v>#N/A</v>
      </c>
      <c r="CY1843" s="41" t="e">
        <v>#N/A</v>
      </c>
      <c r="CZ1843" s="47" t="e">
        <v>#N/A</v>
      </c>
      <c r="DA1843">
        <v>0.11332468572476186</v>
      </c>
      <c r="DB1843" t="str">
        <v/>
      </c>
    </row>
    <row r="1844" spans="83:106" x14ac:dyDescent="0.2">
      <c r="CE1844"/>
      <c r="CF1844"/>
      <c r="CG1844"/>
      <c r="CH1844"/>
      <c r="CI1844"/>
      <c r="CU1844" s="21">
        <v>1839</v>
      </c>
      <c r="CV1844" s="41">
        <v>4</v>
      </c>
      <c r="CW1844" s="41">
        <v>0.11332468572476186</v>
      </c>
      <c r="CX1844" s="41" t="e">
        <v>#N/A</v>
      </c>
      <c r="CY1844" s="41" t="e">
        <v>#N/A</v>
      </c>
      <c r="CZ1844" s="47" t="e">
        <v>#N/A</v>
      </c>
      <c r="DA1844">
        <v>0.11332468572476186</v>
      </c>
      <c r="DB1844" t="str">
        <v/>
      </c>
    </row>
    <row r="1845" spans="83:106" x14ac:dyDescent="0.2">
      <c r="CE1845"/>
      <c r="CF1845"/>
      <c r="CG1845"/>
      <c r="CH1845"/>
      <c r="CI1845"/>
      <c r="CU1845" s="21">
        <v>1840</v>
      </c>
      <c r="CV1845" s="41">
        <v>4</v>
      </c>
      <c r="CW1845" s="41">
        <v>0.11332468572476186</v>
      </c>
      <c r="CX1845" s="41" t="e">
        <v>#N/A</v>
      </c>
      <c r="CY1845" s="41" t="e">
        <v>#N/A</v>
      </c>
      <c r="CZ1845" s="47" t="e">
        <v>#N/A</v>
      </c>
      <c r="DA1845">
        <v>0.11332468572476186</v>
      </c>
      <c r="DB1845" t="str">
        <v/>
      </c>
    </row>
    <row r="1846" spans="83:106" x14ac:dyDescent="0.2">
      <c r="CE1846"/>
      <c r="CF1846"/>
      <c r="CG1846"/>
      <c r="CH1846"/>
      <c r="CI1846"/>
      <c r="CU1846" s="21">
        <v>1841</v>
      </c>
      <c r="CV1846" s="41">
        <v>4</v>
      </c>
      <c r="CW1846" s="41">
        <v>0.11332468572476186</v>
      </c>
      <c r="CX1846" s="41" t="e">
        <v>#N/A</v>
      </c>
      <c r="CY1846" s="41" t="e">
        <v>#N/A</v>
      </c>
      <c r="CZ1846" s="47" t="e">
        <v>#N/A</v>
      </c>
      <c r="DA1846">
        <v>0.11332468572476186</v>
      </c>
      <c r="DB1846" t="str">
        <v/>
      </c>
    </row>
    <row r="1847" spans="83:106" x14ac:dyDescent="0.2">
      <c r="CE1847"/>
      <c r="CF1847"/>
      <c r="CG1847"/>
      <c r="CH1847"/>
      <c r="CI1847"/>
      <c r="CU1847" s="21">
        <v>1842</v>
      </c>
      <c r="CV1847" s="41">
        <v>4</v>
      </c>
      <c r="CW1847" s="41">
        <v>0.11332468572476186</v>
      </c>
      <c r="CX1847" s="41" t="e">
        <v>#N/A</v>
      </c>
      <c r="CY1847" s="41" t="e">
        <v>#N/A</v>
      </c>
      <c r="CZ1847" s="47" t="e">
        <v>#N/A</v>
      </c>
      <c r="DA1847">
        <v>0.11332468572476186</v>
      </c>
      <c r="DB1847" t="str">
        <v/>
      </c>
    </row>
    <row r="1848" spans="83:106" x14ac:dyDescent="0.2">
      <c r="CE1848"/>
      <c r="CF1848"/>
      <c r="CG1848"/>
      <c r="CH1848"/>
      <c r="CI1848"/>
      <c r="CU1848" s="21">
        <v>1843</v>
      </c>
      <c r="CV1848" s="41">
        <v>4</v>
      </c>
      <c r="CW1848" s="41">
        <v>0.11332468572476186</v>
      </c>
      <c r="CX1848" s="41" t="e">
        <v>#N/A</v>
      </c>
      <c r="CY1848" s="41" t="e">
        <v>#N/A</v>
      </c>
      <c r="CZ1848" s="47" t="e">
        <v>#N/A</v>
      </c>
      <c r="DA1848">
        <v>0.11332468572476186</v>
      </c>
      <c r="DB1848" t="str">
        <v/>
      </c>
    </row>
    <row r="1849" spans="83:106" x14ac:dyDescent="0.2">
      <c r="CE1849"/>
      <c r="CF1849"/>
      <c r="CG1849"/>
      <c r="CH1849"/>
      <c r="CI1849"/>
      <c r="CU1849" s="21">
        <v>1844</v>
      </c>
      <c r="CV1849" s="41">
        <v>4</v>
      </c>
      <c r="CW1849" s="41">
        <v>0.11332468572476186</v>
      </c>
      <c r="CX1849" s="41" t="e">
        <v>#N/A</v>
      </c>
      <c r="CY1849" s="41" t="e">
        <v>#N/A</v>
      </c>
      <c r="CZ1849" s="47" t="e">
        <v>#N/A</v>
      </c>
      <c r="DA1849">
        <v>0.11332468572476186</v>
      </c>
      <c r="DB1849" t="str">
        <v/>
      </c>
    </row>
    <row r="1850" spans="83:106" x14ac:dyDescent="0.2">
      <c r="CE1850"/>
      <c r="CF1850"/>
      <c r="CG1850"/>
      <c r="CH1850"/>
      <c r="CI1850"/>
      <c r="CU1850" s="21">
        <v>1845</v>
      </c>
      <c r="CV1850" s="41">
        <v>4</v>
      </c>
      <c r="CW1850" s="41">
        <v>0.11332468572476186</v>
      </c>
      <c r="CX1850" s="41" t="e">
        <v>#N/A</v>
      </c>
      <c r="CY1850" s="41" t="e">
        <v>#N/A</v>
      </c>
      <c r="CZ1850" s="47" t="e">
        <v>#N/A</v>
      </c>
      <c r="DA1850">
        <v>0.11332468572476186</v>
      </c>
      <c r="DB1850" t="str">
        <v/>
      </c>
    </row>
    <row r="1851" spans="83:106" x14ac:dyDescent="0.2">
      <c r="CE1851"/>
      <c r="CF1851"/>
      <c r="CG1851"/>
      <c r="CH1851"/>
      <c r="CI1851"/>
      <c r="CU1851" s="21">
        <v>1846</v>
      </c>
      <c r="CV1851" s="41">
        <v>4</v>
      </c>
      <c r="CW1851" s="41">
        <v>0.11332468572476186</v>
      </c>
      <c r="CX1851" s="41" t="e">
        <v>#N/A</v>
      </c>
      <c r="CY1851" s="41" t="e">
        <v>#N/A</v>
      </c>
      <c r="CZ1851" s="47" t="e">
        <v>#N/A</v>
      </c>
      <c r="DA1851">
        <v>0.11332468572476186</v>
      </c>
      <c r="DB1851" t="str">
        <v/>
      </c>
    </row>
    <row r="1852" spans="83:106" x14ac:dyDescent="0.2">
      <c r="CE1852"/>
      <c r="CF1852"/>
      <c r="CG1852"/>
      <c r="CH1852"/>
      <c r="CI1852"/>
      <c r="CU1852" s="21">
        <v>1847</v>
      </c>
      <c r="CV1852" s="41">
        <v>4</v>
      </c>
      <c r="CW1852" s="41">
        <v>0.11332468572476186</v>
      </c>
      <c r="CX1852" s="41" t="e">
        <v>#N/A</v>
      </c>
      <c r="CY1852" s="41" t="e">
        <v>#N/A</v>
      </c>
      <c r="CZ1852" s="47" t="e">
        <v>#N/A</v>
      </c>
      <c r="DA1852">
        <v>0.11332468572476186</v>
      </c>
      <c r="DB1852" t="str">
        <v/>
      </c>
    </row>
    <row r="1853" spans="83:106" x14ac:dyDescent="0.2">
      <c r="CE1853"/>
      <c r="CF1853"/>
      <c r="CG1853"/>
      <c r="CH1853"/>
      <c r="CI1853"/>
      <c r="CU1853" s="21">
        <v>1848</v>
      </c>
      <c r="CV1853" s="41">
        <v>4</v>
      </c>
      <c r="CW1853" s="41">
        <v>0.11332468572476186</v>
      </c>
      <c r="CX1853" s="41" t="e">
        <v>#N/A</v>
      </c>
      <c r="CY1853" s="41" t="e">
        <v>#N/A</v>
      </c>
      <c r="CZ1853" s="47" t="e">
        <v>#N/A</v>
      </c>
      <c r="DA1853">
        <v>0.11332468572476186</v>
      </c>
      <c r="DB1853" t="str">
        <v/>
      </c>
    </row>
    <row r="1854" spans="83:106" x14ac:dyDescent="0.2">
      <c r="CE1854"/>
      <c r="CF1854"/>
      <c r="CG1854"/>
      <c r="CH1854"/>
      <c r="CI1854"/>
      <c r="CU1854" s="21">
        <v>1849</v>
      </c>
      <c r="CV1854" s="41">
        <v>4</v>
      </c>
      <c r="CW1854" s="41">
        <v>0.11332468572476186</v>
      </c>
      <c r="CX1854" s="41" t="e">
        <v>#N/A</v>
      </c>
      <c r="CY1854" s="41" t="e">
        <v>#N/A</v>
      </c>
      <c r="CZ1854" s="47" t="e">
        <v>#N/A</v>
      </c>
      <c r="DA1854">
        <v>0.11332468572476186</v>
      </c>
      <c r="DB1854" t="str">
        <v/>
      </c>
    </row>
    <row r="1855" spans="83:106" x14ac:dyDescent="0.2">
      <c r="CE1855"/>
      <c r="CF1855"/>
      <c r="CG1855"/>
      <c r="CH1855"/>
      <c r="CI1855"/>
      <c r="CU1855" s="21">
        <v>1850</v>
      </c>
      <c r="CV1855" s="41">
        <v>4</v>
      </c>
      <c r="CW1855" s="41">
        <v>0.11332468572476186</v>
      </c>
      <c r="CX1855" s="41" t="e">
        <v>#N/A</v>
      </c>
      <c r="CY1855" s="41" t="e">
        <v>#N/A</v>
      </c>
      <c r="CZ1855" s="47" t="e">
        <v>#N/A</v>
      </c>
      <c r="DA1855">
        <v>0.11332468572476186</v>
      </c>
      <c r="DB1855" t="str">
        <v/>
      </c>
    </row>
    <row r="1856" spans="83:106" x14ac:dyDescent="0.2">
      <c r="CE1856"/>
      <c r="CF1856"/>
      <c r="CG1856"/>
      <c r="CH1856"/>
      <c r="CI1856"/>
      <c r="CU1856" s="21">
        <v>1851</v>
      </c>
      <c r="CV1856" s="41">
        <v>4</v>
      </c>
      <c r="CW1856" s="41">
        <v>0.11332468572476186</v>
      </c>
      <c r="CX1856" s="41" t="e">
        <v>#N/A</v>
      </c>
      <c r="CY1856" s="41" t="e">
        <v>#N/A</v>
      </c>
      <c r="CZ1856" s="47" t="e">
        <v>#N/A</v>
      </c>
      <c r="DA1856">
        <v>0.11332468572476186</v>
      </c>
      <c r="DB1856" t="str">
        <v/>
      </c>
    </row>
    <row r="1857" spans="83:106" x14ac:dyDescent="0.2">
      <c r="CE1857"/>
      <c r="CF1857"/>
      <c r="CG1857"/>
      <c r="CH1857"/>
      <c r="CI1857"/>
      <c r="CU1857" s="21">
        <v>1852</v>
      </c>
      <c r="CV1857" s="41">
        <v>4</v>
      </c>
      <c r="CW1857" s="41">
        <v>0.11332468572476186</v>
      </c>
      <c r="CX1857" s="41" t="e">
        <v>#N/A</v>
      </c>
      <c r="CY1857" s="41" t="e">
        <v>#N/A</v>
      </c>
      <c r="CZ1857" s="47" t="e">
        <v>#N/A</v>
      </c>
      <c r="DA1857">
        <v>0.11332468572476186</v>
      </c>
      <c r="DB1857" t="str">
        <v/>
      </c>
    </row>
    <row r="1858" spans="83:106" x14ac:dyDescent="0.2">
      <c r="CE1858"/>
      <c r="CF1858"/>
      <c r="CG1858"/>
      <c r="CH1858"/>
      <c r="CI1858"/>
      <c r="CU1858" s="21">
        <v>1853</v>
      </c>
      <c r="CV1858" s="41">
        <v>4</v>
      </c>
      <c r="CW1858" s="41">
        <v>0.11332468572476186</v>
      </c>
      <c r="CX1858" s="41" t="e">
        <v>#N/A</v>
      </c>
      <c r="CY1858" s="41" t="e">
        <v>#N/A</v>
      </c>
      <c r="CZ1858" s="47" t="e">
        <v>#N/A</v>
      </c>
      <c r="DA1858">
        <v>0.11332468572476186</v>
      </c>
      <c r="DB1858" t="str">
        <v/>
      </c>
    </row>
    <row r="1859" spans="83:106" x14ac:dyDescent="0.2">
      <c r="CE1859"/>
      <c r="CF1859"/>
      <c r="CG1859"/>
      <c r="CH1859"/>
      <c r="CI1859"/>
      <c r="CU1859" s="21">
        <v>1854</v>
      </c>
      <c r="CV1859" s="41">
        <v>4</v>
      </c>
      <c r="CW1859" s="41">
        <v>0.11332468572476186</v>
      </c>
      <c r="CX1859" s="41" t="e">
        <v>#N/A</v>
      </c>
      <c r="CY1859" s="41" t="e">
        <v>#N/A</v>
      </c>
      <c r="CZ1859" s="47" t="e">
        <v>#N/A</v>
      </c>
      <c r="DA1859">
        <v>0.11332468572476186</v>
      </c>
      <c r="DB1859" t="str">
        <v/>
      </c>
    </row>
    <row r="1860" spans="83:106" x14ac:dyDescent="0.2">
      <c r="CE1860"/>
      <c r="CF1860"/>
      <c r="CG1860"/>
      <c r="CH1860"/>
      <c r="CI1860"/>
      <c r="CU1860" s="21">
        <v>1855</v>
      </c>
      <c r="CV1860" s="41">
        <v>4</v>
      </c>
      <c r="CW1860" s="41">
        <v>0.11332468572476186</v>
      </c>
      <c r="CX1860" s="41" t="e">
        <v>#N/A</v>
      </c>
      <c r="CY1860" s="41" t="e">
        <v>#N/A</v>
      </c>
      <c r="CZ1860" s="47" t="e">
        <v>#N/A</v>
      </c>
      <c r="DA1860">
        <v>0.11332468572476186</v>
      </c>
      <c r="DB1860" t="str">
        <v/>
      </c>
    </row>
    <row r="1861" spans="83:106" x14ac:dyDescent="0.2">
      <c r="CE1861"/>
      <c r="CF1861"/>
      <c r="CG1861"/>
      <c r="CH1861"/>
      <c r="CI1861"/>
      <c r="CU1861" s="21">
        <v>1856</v>
      </c>
      <c r="CV1861" s="41">
        <v>4</v>
      </c>
      <c r="CW1861" s="41">
        <v>0.11332468572476186</v>
      </c>
      <c r="CX1861" s="41" t="e">
        <v>#N/A</v>
      </c>
      <c r="CY1861" s="41" t="e">
        <v>#N/A</v>
      </c>
      <c r="CZ1861" s="47" t="e">
        <v>#N/A</v>
      </c>
      <c r="DA1861">
        <v>0.11332468572476186</v>
      </c>
      <c r="DB1861" t="str">
        <v/>
      </c>
    </row>
    <row r="1862" spans="83:106" x14ac:dyDescent="0.2">
      <c r="CE1862"/>
      <c r="CF1862"/>
      <c r="CG1862"/>
      <c r="CH1862"/>
      <c r="CI1862"/>
      <c r="CU1862" s="21">
        <v>1857</v>
      </c>
      <c r="CV1862" s="41">
        <v>4</v>
      </c>
      <c r="CW1862" s="41">
        <v>0.11332468572476186</v>
      </c>
      <c r="CX1862" s="41" t="e">
        <v>#N/A</v>
      </c>
      <c r="CY1862" s="41" t="e">
        <v>#N/A</v>
      </c>
      <c r="CZ1862" s="47" t="e">
        <v>#N/A</v>
      </c>
      <c r="DA1862">
        <v>0.11332468572476186</v>
      </c>
      <c r="DB1862" t="str">
        <v/>
      </c>
    </row>
    <row r="1863" spans="83:106" x14ac:dyDescent="0.2">
      <c r="CE1863"/>
      <c r="CF1863"/>
      <c r="CG1863"/>
      <c r="CH1863"/>
      <c r="CI1863"/>
      <c r="CU1863" s="21">
        <v>1858</v>
      </c>
      <c r="CV1863" s="41">
        <v>4</v>
      </c>
      <c r="CW1863" s="41">
        <v>0.11332468572476186</v>
      </c>
      <c r="CX1863" s="41" t="e">
        <v>#N/A</v>
      </c>
      <c r="CY1863" s="41" t="e">
        <v>#N/A</v>
      </c>
      <c r="CZ1863" s="47" t="e">
        <v>#N/A</v>
      </c>
      <c r="DA1863">
        <v>0.11332468572476186</v>
      </c>
      <c r="DB1863" t="str">
        <v/>
      </c>
    </row>
    <row r="1864" spans="83:106" x14ac:dyDescent="0.2">
      <c r="CE1864"/>
      <c r="CF1864"/>
      <c r="CG1864"/>
      <c r="CH1864"/>
      <c r="CI1864"/>
      <c r="CU1864" s="21">
        <v>1859</v>
      </c>
      <c r="CV1864" s="41">
        <v>4</v>
      </c>
      <c r="CW1864" s="41">
        <v>0.11332468572476186</v>
      </c>
      <c r="CX1864" s="41" t="e">
        <v>#N/A</v>
      </c>
      <c r="CY1864" s="41" t="e">
        <v>#N/A</v>
      </c>
      <c r="CZ1864" s="47" t="e">
        <v>#N/A</v>
      </c>
      <c r="DA1864">
        <v>0.11332468572476186</v>
      </c>
      <c r="DB1864" t="str">
        <v/>
      </c>
    </row>
    <row r="1865" spans="83:106" x14ac:dyDescent="0.2">
      <c r="CE1865"/>
      <c r="CF1865"/>
      <c r="CG1865"/>
      <c r="CH1865"/>
      <c r="CI1865"/>
      <c r="CU1865" s="21">
        <v>1860</v>
      </c>
      <c r="CV1865" s="41">
        <v>4</v>
      </c>
      <c r="CW1865" s="41">
        <v>0.11332468572476186</v>
      </c>
      <c r="CX1865" s="41" t="e">
        <v>#N/A</v>
      </c>
      <c r="CY1865" s="41" t="e">
        <v>#N/A</v>
      </c>
      <c r="CZ1865" s="47" t="e">
        <v>#N/A</v>
      </c>
      <c r="DA1865">
        <v>0.11332468572476186</v>
      </c>
      <c r="DB1865" t="str">
        <v/>
      </c>
    </row>
    <row r="1866" spans="83:106" x14ac:dyDescent="0.2">
      <c r="CE1866"/>
      <c r="CF1866"/>
      <c r="CG1866"/>
      <c r="CH1866"/>
      <c r="CI1866"/>
      <c r="CU1866" s="21">
        <v>1861</v>
      </c>
      <c r="CV1866" s="41">
        <v>4</v>
      </c>
      <c r="CW1866" s="41">
        <v>0.11332468572476186</v>
      </c>
      <c r="CX1866" s="41" t="e">
        <v>#N/A</v>
      </c>
      <c r="CY1866" s="41" t="e">
        <v>#N/A</v>
      </c>
      <c r="CZ1866" s="47" t="e">
        <v>#N/A</v>
      </c>
      <c r="DA1866">
        <v>0.11332468572476186</v>
      </c>
      <c r="DB1866" t="str">
        <v/>
      </c>
    </row>
    <row r="1867" spans="83:106" x14ac:dyDescent="0.2">
      <c r="CE1867"/>
      <c r="CF1867"/>
      <c r="CG1867"/>
      <c r="CH1867"/>
      <c r="CI1867"/>
      <c r="CU1867" s="21">
        <v>1862</v>
      </c>
      <c r="CV1867" s="41">
        <v>4</v>
      </c>
      <c r="CW1867" s="41">
        <v>0.11332468572476186</v>
      </c>
      <c r="CX1867" s="41" t="e">
        <v>#N/A</v>
      </c>
      <c r="CY1867" s="41" t="e">
        <v>#N/A</v>
      </c>
      <c r="CZ1867" s="47" t="e">
        <v>#N/A</v>
      </c>
      <c r="DA1867">
        <v>0.11332468572476186</v>
      </c>
      <c r="DB1867" t="str">
        <v/>
      </c>
    </row>
    <row r="1868" spans="83:106" x14ac:dyDescent="0.2">
      <c r="CE1868"/>
      <c r="CF1868"/>
      <c r="CG1868"/>
      <c r="CH1868"/>
      <c r="CI1868"/>
      <c r="CU1868" s="21">
        <v>1863</v>
      </c>
      <c r="CV1868" s="41">
        <v>4</v>
      </c>
      <c r="CW1868" s="41">
        <v>0.11332468572476186</v>
      </c>
      <c r="CX1868" s="41" t="e">
        <v>#N/A</v>
      </c>
      <c r="CY1868" s="41" t="e">
        <v>#N/A</v>
      </c>
      <c r="CZ1868" s="47" t="e">
        <v>#N/A</v>
      </c>
      <c r="DA1868">
        <v>0.11332468572476186</v>
      </c>
      <c r="DB1868" t="str">
        <v/>
      </c>
    </row>
    <row r="1869" spans="83:106" x14ac:dyDescent="0.2">
      <c r="CE1869"/>
      <c r="CF1869"/>
      <c r="CG1869"/>
      <c r="CH1869"/>
      <c r="CI1869"/>
      <c r="CU1869" s="21">
        <v>1864</v>
      </c>
      <c r="CV1869" s="41">
        <v>4</v>
      </c>
      <c r="CW1869" s="41">
        <v>0.11332468572476186</v>
      </c>
      <c r="CX1869" s="41" t="e">
        <v>#N/A</v>
      </c>
      <c r="CY1869" s="41" t="e">
        <v>#N/A</v>
      </c>
      <c r="CZ1869" s="47" t="e">
        <v>#N/A</v>
      </c>
      <c r="DA1869">
        <v>0.11332468572476186</v>
      </c>
      <c r="DB1869" t="str">
        <v/>
      </c>
    </row>
    <row r="1870" spans="83:106" x14ac:dyDescent="0.2">
      <c r="CE1870"/>
      <c r="CF1870"/>
      <c r="CG1870"/>
      <c r="CH1870"/>
      <c r="CI1870"/>
      <c r="CU1870" s="21">
        <v>1865</v>
      </c>
      <c r="CV1870" s="41">
        <v>4</v>
      </c>
      <c r="CW1870" s="41">
        <v>0.11332468572476186</v>
      </c>
      <c r="CX1870" s="41" t="e">
        <v>#N/A</v>
      </c>
      <c r="CY1870" s="41" t="e">
        <v>#N/A</v>
      </c>
      <c r="CZ1870" s="47" t="e">
        <v>#N/A</v>
      </c>
      <c r="DA1870">
        <v>0.11332468572476186</v>
      </c>
      <c r="DB1870" t="str">
        <v/>
      </c>
    </row>
    <row r="1871" spans="83:106" x14ac:dyDescent="0.2">
      <c r="CE1871"/>
      <c r="CF1871"/>
      <c r="CG1871"/>
      <c r="CH1871"/>
      <c r="CI1871"/>
      <c r="CU1871" s="21">
        <v>1866</v>
      </c>
      <c r="CV1871" s="41">
        <v>4</v>
      </c>
      <c r="CW1871" s="41">
        <v>0.11332468572476186</v>
      </c>
      <c r="CX1871" s="41" t="e">
        <v>#N/A</v>
      </c>
      <c r="CY1871" s="41" t="e">
        <v>#N/A</v>
      </c>
      <c r="CZ1871" s="47" t="e">
        <v>#N/A</v>
      </c>
      <c r="DA1871">
        <v>0.11332468572476186</v>
      </c>
      <c r="DB1871" t="str">
        <v/>
      </c>
    </row>
    <row r="1872" spans="83:106" x14ac:dyDescent="0.2">
      <c r="CE1872"/>
      <c r="CF1872"/>
      <c r="CG1872"/>
      <c r="CH1872"/>
      <c r="CI1872"/>
      <c r="CU1872" s="21">
        <v>1867</v>
      </c>
      <c r="CV1872" s="41">
        <v>4</v>
      </c>
      <c r="CW1872" s="41">
        <v>0.11332468572476186</v>
      </c>
      <c r="CX1872" s="41" t="e">
        <v>#N/A</v>
      </c>
      <c r="CY1872" s="41" t="e">
        <v>#N/A</v>
      </c>
      <c r="CZ1872" s="47" t="e">
        <v>#N/A</v>
      </c>
      <c r="DA1872">
        <v>0.11332468572476186</v>
      </c>
      <c r="DB1872" t="str">
        <v/>
      </c>
    </row>
    <row r="1873" spans="83:106" x14ac:dyDescent="0.2">
      <c r="CE1873"/>
      <c r="CF1873"/>
      <c r="CG1873"/>
      <c r="CH1873"/>
      <c r="CI1873"/>
      <c r="CU1873" s="21">
        <v>1868</v>
      </c>
      <c r="CV1873" s="41">
        <v>4</v>
      </c>
      <c r="CW1873" s="41">
        <v>0.11332468572476186</v>
      </c>
      <c r="CX1873" s="41" t="e">
        <v>#N/A</v>
      </c>
      <c r="CY1873" s="41" t="e">
        <v>#N/A</v>
      </c>
      <c r="CZ1873" s="47" t="e">
        <v>#N/A</v>
      </c>
      <c r="DA1873">
        <v>0.11332468572476186</v>
      </c>
      <c r="DB1873" t="str">
        <v/>
      </c>
    </row>
    <row r="1874" spans="83:106" x14ac:dyDescent="0.2">
      <c r="CE1874"/>
      <c r="CF1874"/>
      <c r="CG1874"/>
      <c r="CH1874"/>
      <c r="CI1874"/>
      <c r="CU1874" s="21">
        <v>1869</v>
      </c>
      <c r="CV1874" s="41">
        <v>4</v>
      </c>
      <c r="CW1874" s="41">
        <v>0.11332468572476186</v>
      </c>
      <c r="CX1874" s="41" t="e">
        <v>#N/A</v>
      </c>
      <c r="CY1874" s="41" t="e">
        <v>#N/A</v>
      </c>
      <c r="CZ1874" s="47" t="e">
        <v>#N/A</v>
      </c>
      <c r="DA1874">
        <v>0.11332468572476186</v>
      </c>
      <c r="DB1874" t="str">
        <v/>
      </c>
    </row>
    <row r="1875" spans="83:106" x14ac:dyDescent="0.2">
      <c r="CE1875"/>
      <c r="CF1875"/>
      <c r="CG1875"/>
      <c r="CH1875"/>
      <c r="CI1875"/>
      <c r="CU1875" s="21">
        <v>1870</v>
      </c>
      <c r="CV1875" s="41">
        <v>4</v>
      </c>
      <c r="CW1875" s="41">
        <v>0.11332468572476186</v>
      </c>
      <c r="CX1875" s="41" t="e">
        <v>#N/A</v>
      </c>
      <c r="CY1875" s="41" t="e">
        <v>#N/A</v>
      </c>
      <c r="CZ1875" s="47" t="e">
        <v>#N/A</v>
      </c>
      <c r="DA1875">
        <v>0.11332468572476186</v>
      </c>
      <c r="DB1875" t="str">
        <v/>
      </c>
    </row>
    <row r="1876" spans="83:106" x14ac:dyDescent="0.2">
      <c r="CE1876"/>
      <c r="CF1876"/>
      <c r="CG1876"/>
      <c r="CH1876"/>
      <c r="CI1876"/>
      <c r="CU1876" s="21">
        <v>1871</v>
      </c>
      <c r="CV1876" s="41">
        <v>4</v>
      </c>
      <c r="CW1876" s="41">
        <v>0.11332468572476186</v>
      </c>
      <c r="CX1876" s="41" t="e">
        <v>#N/A</v>
      </c>
      <c r="CY1876" s="41" t="e">
        <v>#N/A</v>
      </c>
      <c r="CZ1876" s="47" t="e">
        <v>#N/A</v>
      </c>
      <c r="DA1876">
        <v>0.11332468572476186</v>
      </c>
      <c r="DB1876" t="str">
        <v/>
      </c>
    </row>
    <row r="1877" spans="83:106" x14ac:dyDescent="0.2">
      <c r="CE1877"/>
      <c r="CF1877"/>
      <c r="CG1877"/>
      <c r="CH1877"/>
      <c r="CI1877"/>
      <c r="CU1877" s="21">
        <v>1872</v>
      </c>
      <c r="CV1877" s="41">
        <v>4</v>
      </c>
      <c r="CW1877" s="41">
        <v>0.11332468572476186</v>
      </c>
      <c r="CX1877" s="41" t="e">
        <v>#N/A</v>
      </c>
      <c r="CY1877" s="41" t="e">
        <v>#N/A</v>
      </c>
      <c r="CZ1877" s="47" t="e">
        <v>#N/A</v>
      </c>
      <c r="DA1877">
        <v>0.11332468572476186</v>
      </c>
      <c r="DB1877" t="str">
        <v/>
      </c>
    </row>
    <row r="1878" spans="83:106" x14ac:dyDescent="0.2">
      <c r="CE1878"/>
      <c r="CF1878"/>
      <c r="CG1878"/>
      <c r="CH1878"/>
      <c r="CI1878"/>
      <c r="CU1878" s="21">
        <v>1873</v>
      </c>
      <c r="CV1878" s="41">
        <v>4</v>
      </c>
      <c r="CW1878" s="41">
        <v>0.11332468572476186</v>
      </c>
      <c r="CX1878" s="41" t="e">
        <v>#N/A</v>
      </c>
      <c r="CY1878" s="41" t="e">
        <v>#N/A</v>
      </c>
      <c r="CZ1878" s="47" t="e">
        <v>#N/A</v>
      </c>
      <c r="DA1878">
        <v>0.11332468572476186</v>
      </c>
      <c r="DB1878" t="str">
        <v/>
      </c>
    </row>
    <row r="1879" spans="83:106" x14ac:dyDescent="0.2">
      <c r="CE1879"/>
      <c r="CF1879"/>
      <c r="CG1879"/>
      <c r="CH1879"/>
      <c r="CI1879"/>
      <c r="CU1879" s="21">
        <v>1874</v>
      </c>
      <c r="CV1879" s="41">
        <v>4</v>
      </c>
      <c r="CW1879" s="41">
        <v>0.11332468572476186</v>
      </c>
      <c r="CX1879" s="41" t="e">
        <v>#N/A</v>
      </c>
      <c r="CY1879" s="41" t="e">
        <v>#N/A</v>
      </c>
      <c r="CZ1879" s="47" t="e">
        <v>#N/A</v>
      </c>
      <c r="DA1879">
        <v>0.11332468572476186</v>
      </c>
      <c r="DB1879" t="str">
        <v/>
      </c>
    </row>
    <row r="1880" spans="83:106" x14ac:dyDescent="0.2">
      <c r="CE1880"/>
      <c r="CF1880"/>
      <c r="CG1880"/>
      <c r="CH1880"/>
      <c r="CI1880"/>
      <c r="CU1880" s="21">
        <v>1875</v>
      </c>
      <c r="CV1880" s="41">
        <v>4</v>
      </c>
      <c r="CW1880" s="41">
        <v>0.11332468572476186</v>
      </c>
      <c r="CX1880" s="41" t="e">
        <v>#N/A</v>
      </c>
      <c r="CY1880" s="41" t="e">
        <v>#N/A</v>
      </c>
      <c r="CZ1880" s="47" t="e">
        <v>#N/A</v>
      </c>
      <c r="DA1880">
        <v>0.11332468572476186</v>
      </c>
      <c r="DB1880" t="str">
        <v/>
      </c>
    </row>
    <row r="1881" spans="83:106" x14ac:dyDescent="0.2">
      <c r="CE1881"/>
      <c r="CF1881"/>
      <c r="CG1881"/>
      <c r="CH1881"/>
      <c r="CI1881"/>
      <c r="CU1881" s="21">
        <v>1876</v>
      </c>
      <c r="CV1881" s="41">
        <v>4</v>
      </c>
      <c r="CW1881" s="41">
        <v>0.11332468572476186</v>
      </c>
      <c r="CX1881" s="41" t="e">
        <v>#N/A</v>
      </c>
      <c r="CY1881" s="41" t="e">
        <v>#N/A</v>
      </c>
      <c r="CZ1881" s="47" t="e">
        <v>#N/A</v>
      </c>
      <c r="DA1881">
        <v>0.11332468572476186</v>
      </c>
      <c r="DB1881" t="str">
        <v/>
      </c>
    </row>
    <row r="1882" spans="83:106" x14ac:dyDescent="0.2">
      <c r="CE1882"/>
      <c r="CF1882"/>
      <c r="CG1882"/>
      <c r="CH1882"/>
      <c r="CI1882"/>
      <c r="CU1882" s="21">
        <v>1877</v>
      </c>
      <c r="CV1882" s="41">
        <v>4</v>
      </c>
      <c r="CW1882" s="41">
        <v>0.11332468572476186</v>
      </c>
      <c r="CX1882" s="41" t="e">
        <v>#N/A</v>
      </c>
      <c r="CY1882" s="41" t="e">
        <v>#N/A</v>
      </c>
      <c r="CZ1882" s="47" t="e">
        <v>#N/A</v>
      </c>
      <c r="DA1882">
        <v>0.11332468572476186</v>
      </c>
      <c r="DB1882" t="str">
        <v/>
      </c>
    </row>
    <row r="1883" spans="83:106" x14ac:dyDescent="0.2">
      <c r="CE1883"/>
      <c r="CF1883"/>
      <c r="CG1883"/>
      <c r="CH1883"/>
      <c r="CI1883"/>
      <c r="CU1883" s="21">
        <v>1878</v>
      </c>
      <c r="CV1883" s="41">
        <v>4</v>
      </c>
      <c r="CW1883" s="41">
        <v>0.11332468572476186</v>
      </c>
      <c r="CX1883" s="41" t="e">
        <v>#N/A</v>
      </c>
      <c r="CY1883" s="41" t="e">
        <v>#N/A</v>
      </c>
      <c r="CZ1883" s="47" t="e">
        <v>#N/A</v>
      </c>
      <c r="DA1883">
        <v>0.11332468572476186</v>
      </c>
      <c r="DB1883" t="str">
        <v/>
      </c>
    </row>
    <row r="1884" spans="83:106" x14ac:dyDescent="0.2">
      <c r="CE1884"/>
      <c r="CF1884"/>
      <c r="CG1884"/>
      <c r="CH1884"/>
      <c r="CI1884"/>
      <c r="CU1884" s="21">
        <v>1879</v>
      </c>
      <c r="CV1884" s="41">
        <v>4</v>
      </c>
      <c r="CW1884" s="41">
        <v>0.11332468572476186</v>
      </c>
      <c r="CX1884" s="41" t="e">
        <v>#N/A</v>
      </c>
      <c r="CY1884" s="41" t="e">
        <v>#N/A</v>
      </c>
      <c r="CZ1884" s="47" t="e">
        <v>#N/A</v>
      </c>
      <c r="DA1884">
        <v>0.11332468572476186</v>
      </c>
      <c r="DB1884" t="str">
        <v/>
      </c>
    </row>
    <row r="1885" spans="83:106" x14ac:dyDescent="0.2">
      <c r="CE1885"/>
      <c r="CF1885"/>
      <c r="CG1885"/>
      <c r="CH1885"/>
      <c r="CI1885"/>
      <c r="CU1885" s="21">
        <v>1880</v>
      </c>
      <c r="CV1885" s="41">
        <v>4</v>
      </c>
      <c r="CW1885" s="41">
        <v>0.11332468572476186</v>
      </c>
      <c r="CX1885" s="41" t="e">
        <v>#N/A</v>
      </c>
      <c r="CY1885" s="41" t="e">
        <v>#N/A</v>
      </c>
      <c r="CZ1885" s="47" t="e">
        <v>#N/A</v>
      </c>
      <c r="DA1885">
        <v>0.11332468572476186</v>
      </c>
      <c r="DB1885" t="str">
        <v/>
      </c>
    </row>
    <row r="1886" spans="83:106" x14ac:dyDescent="0.2">
      <c r="CE1886"/>
      <c r="CF1886"/>
      <c r="CG1886"/>
      <c r="CH1886"/>
      <c r="CI1886"/>
      <c r="CU1886" s="21">
        <v>1881</v>
      </c>
      <c r="CV1886" s="41">
        <v>4</v>
      </c>
      <c r="CW1886" s="41">
        <v>0.11332468572476186</v>
      </c>
      <c r="CX1886" s="41" t="e">
        <v>#N/A</v>
      </c>
      <c r="CY1886" s="41" t="e">
        <v>#N/A</v>
      </c>
      <c r="CZ1886" s="47" t="e">
        <v>#N/A</v>
      </c>
      <c r="DA1886">
        <v>0.11332468572476186</v>
      </c>
      <c r="DB1886" t="str">
        <v/>
      </c>
    </row>
    <row r="1887" spans="83:106" x14ac:dyDescent="0.2">
      <c r="CE1887"/>
      <c r="CF1887"/>
      <c r="CG1887"/>
      <c r="CH1887"/>
      <c r="CI1887"/>
      <c r="CU1887" s="21">
        <v>1882</v>
      </c>
      <c r="CV1887" s="41">
        <v>4</v>
      </c>
      <c r="CW1887" s="41">
        <v>0.11332468572476186</v>
      </c>
      <c r="CX1887" s="41" t="e">
        <v>#N/A</v>
      </c>
      <c r="CY1887" s="41" t="e">
        <v>#N/A</v>
      </c>
      <c r="CZ1887" s="47" t="e">
        <v>#N/A</v>
      </c>
      <c r="DA1887">
        <v>0.11332468572476186</v>
      </c>
      <c r="DB1887" t="str">
        <v/>
      </c>
    </row>
    <row r="1888" spans="83:106" x14ac:dyDescent="0.2">
      <c r="CE1888"/>
      <c r="CF1888"/>
      <c r="CG1888"/>
      <c r="CH1888"/>
      <c r="CI1888"/>
      <c r="CU1888" s="21">
        <v>1883</v>
      </c>
      <c r="CV1888" s="41">
        <v>4</v>
      </c>
      <c r="CW1888" s="41">
        <v>0.11332468572476186</v>
      </c>
      <c r="CX1888" s="41" t="e">
        <v>#N/A</v>
      </c>
      <c r="CY1888" s="41" t="e">
        <v>#N/A</v>
      </c>
      <c r="CZ1888" s="47" t="e">
        <v>#N/A</v>
      </c>
      <c r="DA1888">
        <v>0.11332468572476186</v>
      </c>
      <c r="DB1888" t="str">
        <v/>
      </c>
    </row>
    <row r="1889" spans="83:106" x14ac:dyDescent="0.2">
      <c r="CE1889"/>
      <c r="CF1889"/>
      <c r="CG1889"/>
      <c r="CH1889"/>
      <c r="CI1889"/>
      <c r="CU1889" s="21">
        <v>1884</v>
      </c>
      <c r="CV1889" s="41">
        <v>4</v>
      </c>
      <c r="CW1889" s="41">
        <v>0.11332468572476186</v>
      </c>
      <c r="CX1889" s="41" t="e">
        <v>#N/A</v>
      </c>
      <c r="CY1889" s="41" t="e">
        <v>#N/A</v>
      </c>
      <c r="CZ1889" s="47" t="e">
        <v>#N/A</v>
      </c>
      <c r="DA1889">
        <v>0.11332468572476186</v>
      </c>
      <c r="DB1889" t="str">
        <v/>
      </c>
    </row>
    <row r="1890" spans="83:106" x14ac:dyDescent="0.2">
      <c r="CE1890"/>
      <c r="CF1890"/>
      <c r="CG1890"/>
      <c r="CH1890"/>
      <c r="CI1890"/>
      <c r="CU1890" s="21">
        <v>1885</v>
      </c>
      <c r="CV1890" s="41">
        <v>4</v>
      </c>
      <c r="CW1890" s="41">
        <v>0.11332468572476186</v>
      </c>
      <c r="CX1890" s="41" t="e">
        <v>#N/A</v>
      </c>
      <c r="CY1890" s="41" t="e">
        <v>#N/A</v>
      </c>
      <c r="CZ1890" s="47" t="e">
        <v>#N/A</v>
      </c>
      <c r="DA1890">
        <v>0.11332468572476186</v>
      </c>
      <c r="DB1890" t="str">
        <v/>
      </c>
    </row>
    <row r="1891" spans="83:106" x14ac:dyDescent="0.2">
      <c r="CE1891"/>
      <c r="CF1891"/>
      <c r="CG1891"/>
      <c r="CH1891"/>
      <c r="CI1891"/>
      <c r="CU1891" s="21">
        <v>1886</v>
      </c>
      <c r="CV1891" s="41">
        <v>4</v>
      </c>
      <c r="CW1891" s="41">
        <v>0.11332468572476186</v>
      </c>
      <c r="CX1891" s="41" t="e">
        <v>#N/A</v>
      </c>
      <c r="CY1891" s="41" t="e">
        <v>#N/A</v>
      </c>
      <c r="CZ1891" s="47" t="e">
        <v>#N/A</v>
      </c>
      <c r="DA1891">
        <v>0.11332468572476186</v>
      </c>
      <c r="DB1891" t="str">
        <v/>
      </c>
    </row>
    <row r="1892" spans="83:106" x14ac:dyDescent="0.2">
      <c r="CE1892"/>
      <c r="CF1892"/>
      <c r="CG1892"/>
      <c r="CH1892"/>
      <c r="CI1892"/>
      <c r="CU1892" s="21">
        <v>1887</v>
      </c>
      <c r="CV1892" s="41">
        <v>4</v>
      </c>
      <c r="CW1892" s="41">
        <v>0.11332468572476186</v>
      </c>
      <c r="CX1892" s="41" t="e">
        <v>#N/A</v>
      </c>
      <c r="CY1892" s="41" t="e">
        <v>#N/A</v>
      </c>
      <c r="CZ1892" s="47" t="e">
        <v>#N/A</v>
      </c>
      <c r="DA1892">
        <v>0.11332468572476186</v>
      </c>
      <c r="DB1892" t="str">
        <v/>
      </c>
    </row>
    <row r="1893" spans="83:106" x14ac:dyDescent="0.2">
      <c r="CE1893"/>
      <c r="CF1893"/>
      <c r="CG1893"/>
      <c r="CH1893"/>
      <c r="CI1893"/>
      <c r="CU1893" s="21">
        <v>1888</v>
      </c>
      <c r="CV1893" s="41">
        <v>4</v>
      </c>
      <c r="CW1893" s="41">
        <v>0.11332468572476186</v>
      </c>
      <c r="CX1893" s="41" t="e">
        <v>#N/A</v>
      </c>
      <c r="CY1893" s="41" t="e">
        <v>#N/A</v>
      </c>
      <c r="CZ1893" s="47" t="e">
        <v>#N/A</v>
      </c>
      <c r="DA1893">
        <v>0.11332468572476186</v>
      </c>
      <c r="DB1893" t="str">
        <v/>
      </c>
    </row>
    <row r="1894" spans="83:106" x14ac:dyDescent="0.2">
      <c r="CE1894"/>
      <c r="CF1894"/>
      <c r="CG1894"/>
      <c r="CH1894"/>
      <c r="CI1894"/>
      <c r="CU1894" s="21">
        <v>1889</v>
      </c>
      <c r="CV1894" s="41">
        <v>4</v>
      </c>
      <c r="CW1894" s="41">
        <v>0.11332468572476186</v>
      </c>
      <c r="CX1894" s="41" t="e">
        <v>#N/A</v>
      </c>
      <c r="CY1894" s="41" t="e">
        <v>#N/A</v>
      </c>
      <c r="CZ1894" s="47" t="e">
        <v>#N/A</v>
      </c>
      <c r="DA1894">
        <v>0.11332468572476186</v>
      </c>
      <c r="DB1894" t="str">
        <v/>
      </c>
    </row>
    <row r="1895" spans="83:106" x14ac:dyDescent="0.2">
      <c r="CE1895"/>
      <c r="CF1895"/>
      <c r="CG1895"/>
      <c r="CH1895"/>
      <c r="CI1895"/>
      <c r="CU1895" s="21">
        <v>1890</v>
      </c>
      <c r="CV1895" s="41">
        <v>4</v>
      </c>
      <c r="CW1895" s="41">
        <v>0.11332468572476186</v>
      </c>
      <c r="CX1895" s="41" t="e">
        <v>#N/A</v>
      </c>
      <c r="CY1895" s="41" t="e">
        <v>#N/A</v>
      </c>
      <c r="CZ1895" s="47" t="e">
        <v>#N/A</v>
      </c>
      <c r="DA1895">
        <v>0.11332468572476186</v>
      </c>
      <c r="DB1895" t="str">
        <v/>
      </c>
    </row>
    <row r="1896" spans="83:106" x14ac:dyDescent="0.2">
      <c r="CE1896"/>
      <c r="CF1896"/>
      <c r="CG1896"/>
      <c r="CH1896"/>
      <c r="CI1896"/>
      <c r="CU1896" s="21">
        <v>1891</v>
      </c>
      <c r="CV1896" s="41">
        <v>4</v>
      </c>
      <c r="CW1896" s="41">
        <v>0.11332468572476186</v>
      </c>
      <c r="CX1896" s="41" t="e">
        <v>#N/A</v>
      </c>
      <c r="CY1896" s="41" t="e">
        <v>#N/A</v>
      </c>
      <c r="CZ1896" s="47" t="e">
        <v>#N/A</v>
      </c>
      <c r="DA1896">
        <v>0.11332468572476186</v>
      </c>
      <c r="DB1896" t="str">
        <v/>
      </c>
    </row>
    <row r="1897" spans="83:106" x14ac:dyDescent="0.2">
      <c r="CE1897"/>
      <c r="CF1897"/>
      <c r="CG1897"/>
      <c r="CH1897"/>
      <c r="CI1897"/>
      <c r="CU1897" s="21">
        <v>1892</v>
      </c>
      <c r="CV1897" s="41">
        <v>4</v>
      </c>
      <c r="CW1897" s="41">
        <v>0.11332468572476186</v>
      </c>
      <c r="CX1897" s="41" t="e">
        <v>#N/A</v>
      </c>
      <c r="CY1897" s="41" t="e">
        <v>#N/A</v>
      </c>
      <c r="CZ1897" s="47" t="e">
        <v>#N/A</v>
      </c>
      <c r="DA1897">
        <v>0.11332468572476186</v>
      </c>
      <c r="DB1897" t="str">
        <v/>
      </c>
    </row>
    <row r="1898" spans="83:106" x14ac:dyDescent="0.2">
      <c r="CE1898"/>
      <c r="CF1898"/>
      <c r="CG1898"/>
      <c r="CH1898"/>
      <c r="CI1898"/>
      <c r="CU1898" s="21">
        <v>1893</v>
      </c>
      <c r="CV1898" s="41">
        <v>4</v>
      </c>
      <c r="CW1898" s="41">
        <v>0.11332468572476186</v>
      </c>
      <c r="CX1898" s="41" t="e">
        <v>#N/A</v>
      </c>
      <c r="CY1898" s="41" t="e">
        <v>#N/A</v>
      </c>
      <c r="CZ1898" s="47" t="e">
        <v>#N/A</v>
      </c>
      <c r="DA1898">
        <v>0.11332468572476186</v>
      </c>
      <c r="DB1898" t="str">
        <v/>
      </c>
    </row>
    <row r="1899" spans="83:106" x14ac:dyDescent="0.2">
      <c r="CE1899"/>
      <c r="CF1899"/>
      <c r="CG1899"/>
      <c r="CH1899"/>
      <c r="CI1899"/>
      <c r="CU1899" s="21">
        <v>1894</v>
      </c>
      <c r="CV1899" s="41">
        <v>4</v>
      </c>
      <c r="CW1899" s="41">
        <v>0.11332468572476186</v>
      </c>
      <c r="CX1899" s="41" t="e">
        <v>#N/A</v>
      </c>
      <c r="CY1899" s="41" t="e">
        <v>#N/A</v>
      </c>
      <c r="CZ1899" s="47" t="e">
        <v>#N/A</v>
      </c>
      <c r="DA1899">
        <v>0.11332468572476186</v>
      </c>
      <c r="DB1899" t="str">
        <v/>
      </c>
    </row>
    <row r="1900" spans="83:106" x14ac:dyDescent="0.2">
      <c r="CE1900"/>
      <c r="CF1900"/>
      <c r="CG1900"/>
      <c r="CH1900"/>
      <c r="CI1900"/>
      <c r="CU1900" s="21">
        <v>1895</v>
      </c>
      <c r="CV1900" s="41">
        <v>4</v>
      </c>
      <c r="CW1900" s="41">
        <v>0.11332468572476186</v>
      </c>
      <c r="CX1900" s="41" t="e">
        <v>#N/A</v>
      </c>
      <c r="CY1900" s="41" t="e">
        <v>#N/A</v>
      </c>
      <c r="CZ1900" s="47" t="e">
        <v>#N/A</v>
      </c>
      <c r="DA1900">
        <v>0.11332468572476186</v>
      </c>
      <c r="DB1900" t="str">
        <v/>
      </c>
    </row>
    <row r="1901" spans="83:106" x14ac:dyDescent="0.2">
      <c r="CE1901"/>
      <c r="CF1901"/>
      <c r="CG1901"/>
      <c r="CH1901"/>
      <c r="CI1901"/>
      <c r="CU1901" s="21">
        <v>1896</v>
      </c>
      <c r="CV1901" s="41">
        <v>4</v>
      </c>
      <c r="CW1901" s="41">
        <v>0.11332468572476186</v>
      </c>
      <c r="CX1901" s="41" t="e">
        <v>#N/A</v>
      </c>
      <c r="CY1901" s="41" t="e">
        <v>#N/A</v>
      </c>
      <c r="CZ1901" s="47" t="e">
        <v>#N/A</v>
      </c>
      <c r="DA1901">
        <v>0.11332468572476186</v>
      </c>
      <c r="DB1901" t="str">
        <v/>
      </c>
    </row>
    <row r="1902" spans="83:106" x14ac:dyDescent="0.2">
      <c r="CE1902"/>
      <c r="CF1902"/>
      <c r="CG1902"/>
      <c r="CH1902"/>
      <c r="CI1902"/>
      <c r="CU1902" s="21">
        <v>1897</v>
      </c>
      <c r="CV1902" s="41">
        <v>4</v>
      </c>
      <c r="CW1902" s="41">
        <v>0.11332468572476186</v>
      </c>
      <c r="CX1902" s="41" t="e">
        <v>#N/A</v>
      </c>
      <c r="CY1902" s="41" t="e">
        <v>#N/A</v>
      </c>
      <c r="CZ1902" s="47" t="e">
        <v>#N/A</v>
      </c>
      <c r="DA1902">
        <v>0.11332468572476186</v>
      </c>
      <c r="DB1902" t="str">
        <v/>
      </c>
    </row>
    <row r="1903" spans="83:106" x14ac:dyDescent="0.2">
      <c r="CE1903"/>
      <c r="CF1903"/>
      <c r="CG1903"/>
      <c r="CH1903"/>
      <c r="CI1903"/>
      <c r="CU1903" s="21">
        <v>1898</v>
      </c>
      <c r="CV1903" s="41">
        <v>4</v>
      </c>
      <c r="CW1903" s="41">
        <v>0.11332468572476186</v>
      </c>
      <c r="CX1903" s="41" t="e">
        <v>#N/A</v>
      </c>
      <c r="CY1903" s="41" t="e">
        <v>#N/A</v>
      </c>
      <c r="CZ1903" s="47" t="e">
        <v>#N/A</v>
      </c>
      <c r="DA1903">
        <v>0.11332468572476186</v>
      </c>
      <c r="DB1903" t="str">
        <v/>
      </c>
    </row>
    <row r="1904" spans="83:106" x14ac:dyDescent="0.2">
      <c r="CE1904"/>
      <c r="CF1904"/>
      <c r="CG1904"/>
      <c r="CH1904"/>
      <c r="CI1904"/>
      <c r="CU1904" s="21">
        <v>1899</v>
      </c>
      <c r="CV1904" s="41">
        <v>4</v>
      </c>
      <c r="CW1904" s="41">
        <v>0.11332468572476186</v>
      </c>
      <c r="CX1904" s="41" t="e">
        <v>#N/A</v>
      </c>
      <c r="CY1904" s="41" t="e">
        <v>#N/A</v>
      </c>
      <c r="CZ1904" s="47" t="e">
        <v>#N/A</v>
      </c>
      <c r="DA1904">
        <v>0.11332468572476186</v>
      </c>
      <c r="DB1904" t="str">
        <v/>
      </c>
    </row>
    <row r="1905" spans="83:106" x14ac:dyDescent="0.2">
      <c r="CE1905"/>
      <c r="CF1905"/>
      <c r="CG1905"/>
      <c r="CH1905"/>
      <c r="CI1905"/>
      <c r="CU1905" s="21">
        <v>1900</v>
      </c>
      <c r="CV1905" s="41">
        <v>4</v>
      </c>
      <c r="CW1905" s="41">
        <v>0.11332468572476186</v>
      </c>
      <c r="CX1905" s="41" t="e">
        <v>#N/A</v>
      </c>
      <c r="CY1905" s="41" t="e">
        <v>#N/A</v>
      </c>
      <c r="CZ1905" s="47" t="e">
        <v>#N/A</v>
      </c>
      <c r="DA1905">
        <v>0.11332468572476186</v>
      </c>
      <c r="DB1905" t="str">
        <v/>
      </c>
    </row>
    <row r="1906" spans="83:106" x14ac:dyDescent="0.2">
      <c r="CE1906"/>
      <c r="CF1906"/>
      <c r="CG1906"/>
      <c r="CH1906"/>
      <c r="CI1906"/>
      <c r="CU1906" s="21">
        <v>1901</v>
      </c>
      <c r="CV1906" s="41">
        <v>4</v>
      </c>
      <c r="CW1906" s="41">
        <v>0.11332468572476186</v>
      </c>
      <c r="CX1906" s="41" t="e">
        <v>#N/A</v>
      </c>
      <c r="CY1906" s="41" t="e">
        <v>#N/A</v>
      </c>
      <c r="CZ1906" s="47" t="e">
        <v>#N/A</v>
      </c>
      <c r="DA1906">
        <v>0.11332468572476186</v>
      </c>
      <c r="DB1906" t="str">
        <v/>
      </c>
    </row>
    <row r="1907" spans="83:106" x14ac:dyDescent="0.2">
      <c r="CE1907"/>
      <c r="CF1907"/>
      <c r="CG1907"/>
      <c r="CH1907"/>
      <c r="CI1907"/>
      <c r="CU1907" s="21">
        <v>1902</v>
      </c>
      <c r="CV1907" s="41">
        <v>4</v>
      </c>
      <c r="CW1907" s="41">
        <v>0.11332468572476186</v>
      </c>
      <c r="CX1907" s="41" t="e">
        <v>#N/A</v>
      </c>
      <c r="CY1907" s="41" t="e">
        <v>#N/A</v>
      </c>
      <c r="CZ1907" s="47" t="e">
        <v>#N/A</v>
      </c>
      <c r="DA1907">
        <v>0.11332468572476186</v>
      </c>
      <c r="DB1907" t="str">
        <v/>
      </c>
    </row>
    <row r="1908" spans="83:106" x14ac:dyDescent="0.2">
      <c r="CE1908"/>
      <c r="CF1908"/>
      <c r="CG1908"/>
      <c r="CH1908"/>
      <c r="CI1908"/>
      <c r="CU1908" s="21">
        <v>1903</v>
      </c>
      <c r="CV1908" s="41">
        <v>4</v>
      </c>
      <c r="CW1908" s="41">
        <v>0.11332468572476186</v>
      </c>
      <c r="CX1908" s="41" t="e">
        <v>#N/A</v>
      </c>
      <c r="CY1908" s="41" t="e">
        <v>#N/A</v>
      </c>
      <c r="CZ1908" s="47" t="e">
        <v>#N/A</v>
      </c>
      <c r="DA1908">
        <v>0.11332468572476186</v>
      </c>
      <c r="DB1908" t="str">
        <v/>
      </c>
    </row>
    <row r="1909" spans="83:106" x14ac:dyDescent="0.2">
      <c r="CE1909"/>
      <c r="CF1909"/>
      <c r="CG1909"/>
      <c r="CH1909"/>
      <c r="CI1909"/>
      <c r="CU1909" s="21">
        <v>1904</v>
      </c>
      <c r="CV1909" s="41">
        <v>4</v>
      </c>
      <c r="CW1909" s="41">
        <v>0.11332468572476186</v>
      </c>
      <c r="CX1909" s="41" t="e">
        <v>#N/A</v>
      </c>
      <c r="CY1909" s="41" t="e">
        <v>#N/A</v>
      </c>
      <c r="CZ1909" s="47" t="e">
        <v>#N/A</v>
      </c>
      <c r="DA1909">
        <v>0.11332468572476186</v>
      </c>
      <c r="DB1909" t="str">
        <v/>
      </c>
    </row>
    <row r="1910" spans="83:106" x14ac:dyDescent="0.2">
      <c r="CE1910"/>
      <c r="CF1910"/>
      <c r="CG1910"/>
      <c r="CH1910"/>
      <c r="CI1910"/>
      <c r="CU1910" s="21">
        <v>1905</v>
      </c>
      <c r="CV1910" s="41">
        <v>4</v>
      </c>
      <c r="CW1910" s="41">
        <v>0.11332468572476186</v>
      </c>
      <c r="CX1910" s="41" t="e">
        <v>#N/A</v>
      </c>
      <c r="CY1910" s="41" t="e">
        <v>#N/A</v>
      </c>
      <c r="CZ1910" s="47" t="e">
        <v>#N/A</v>
      </c>
      <c r="DA1910">
        <v>0.11332468572476186</v>
      </c>
      <c r="DB1910" t="str">
        <v/>
      </c>
    </row>
    <row r="1911" spans="83:106" x14ac:dyDescent="0.2">
      <c r="CE1911"/>
      <c r="CF1911"/>
      <c r="CG1911"/>
      <c r="CH1911"/>
      <c r="CI1911"/>
      <c r="CU1911" s="21">
        <v>1906</v>
      </c>
      <c r="CV1911" s="41">
        <v>4</v>
      </c>
      <c r="CW1911" s="41">
        <v>0.11332468572476186</v>
      </c>
      <c r="CX1911" s="41" t="e">
        <v>#N/A</v>
      </c>
      <c r="CY1911" s="41" t="e">
        <v>#N/A</v>
      </c>
      <c r="CZ1911" s="47" t="e">
        <v>#N/A</v>
      </c>
      <c r="DA1911">
        <v>0.11332468572476186</v>
      </c>
      <c r="DB1911" t="str">
        <v/>
      </c>
    </row>
    <row r="1912" spans="83:106" x14ac:dyDescent="0.2">
      <c r="CE1912"/>
      <c r="CF1912"/>
      <c r="CG1912"/>
      <c r="CH1912"/>
      <c r="CI1912"/>
      <c r="CU1912" s="21">
        <v>1907</v>
      </c>
      <c r="CV1912" s="41">
        <v>4</v>
      </c>
      <c r="CW1912" s="41">
        <v>0.11332468572476186</v>
      </c>
      <c r="CX1912" s="41" t="e">
        <v>#N/A</v>
      </c>
      <c r="CY1912" s="41" t="e">
        <v>#N/A</v>
      </c>
      <c r="CZ1912" s="47" t="e">
        <v>#N/A</v>
      </c>
      <c r="DA1912">
        <v>0.11332468572476186</v>
      </c>
      <c r="DB1912" t="str">
        <v/>
      </c>
    </row>
    <row r="1913" spans="83:106" x14ac:dyDescent="0.2">
      <c r="CE1913"/>
      <c r="CF1913"/>
      <c r="CG1913"/>
      <c r="CH1913"/>
      <c r="CI1913"/>
      <c r="CU1913" s="21">
        <v>1908</v>
      </c>
      <c r="CV1913" s="41">
        <v>4</v>
      </c>
      <c r="CW1913" s="41">
        <v>0.11332468572476186</v>
      </c>
      <c r="CX1913" s="41" t="e">
        <v>#N/A</v>
      </c>
      <c r="CY1913" s="41" t="e">
        <v>#N/A</v>
      </c>
      <c r="CZ1913" s="47" t="e">
        <v>#N/A</v>
      </c>
      <c r="DA1913">
        <v>0.11332468572476186</v>
      </c>
      <c r="DB1913" t="str">
        <v/>
      </c>
    </row>
    <row r="1914" spans="83:106" x14ac:dyDescent="0.2">
      <c r="CE1914"/>
      <c r="CF1914"/>
      <c r="CG1914"/>
      <c r="CH1914"/>
      <c r="CI1914"/>
      <c r="CU1914" s="21">
        <v>1909</v>
      </c>
      <c r="CV1914" s="41">
        <v>4</v>
      </c>
      <c r="CW1914" s="41">
        <v>0.11332468572476186</v>
      </c>
      <c r="CX1914" s="41" t="e">
        <v>#N/A</v>
      </c>
      <c r="CY1914" s="41" t="e">
        <v>#N/A</v>
      </c>
      <c r="CZ1914" s="47" t="e">
        <v>#N/A</v>
      </c>
      <c r="DA1914">
        <v>0.11332468572476186</v>
      </c>
      <c r="DB1914" t="str">
        <v/>
      </c>
    </row>
    <row r="1915" spans="83:106" x14ac:dyDescent="0.2">
      <c r="CE1915"/>
      <c r="CF1915"/>
      <c r="CG1915"/>
      <c r="CH1915"/>
      <c r="CI1915"/>
      <c r="CU1915" s="21">
        <v>1910</v>
      </c>
      <c r="CV1915" s="41">
        <v>4</v>
      </c>
      <c r="CW1915" s="41">
        <v>0.11332468572476186</v>
      </c>
      <c r="CX1915" s="41" t="e">
        <v>#N/A</v>
      </c>
      <c r="CY1915" s="41" t="e">
        <v>#N/A</v>
      </c>
      <c r="CZ1915" s="47" t="e">
        <v>#N/A</v>
      </c>
      <c r="DA1915">
        <v>0.11332468572476186</v>
      </c>
      <c r="DB1915" t="str">
        <v/>
      </c>
    </row>
    <row r="1916" spans="83:106" x14ac:dyDescent="0.2">
      <c r="CE1916"/>
      <c r="CF1916"/>
      <c r="CG1916"/>
      <c r="CH1916"/>
      <c r="CI1916"/>
      <c r="CU1916" s="21">
        <v>1911</v>
      </c>
      <c r="CV1916" s="41">
        <v>4</v>
      </c>
      <c r="CW1916" s="41">
        <v>0.11332468572476186</v>
      </c>
      <c r="CX1916" s="41" t="e">
        <v>#N/A</v>
      </c>
      <c r="CY1916" s="41" t="e">
        <v>#N/A</v>
      </c>
      <c r="CZ1916" s="47" t="e">
        <v>#N/A</v>
      </c>
      <c r="DA1916">
        <v>0.11332468572476186</v>
      </c>
      <c r="DB1916" t="str">
        <v/>
      </c>
    </row>
    <row r="1917" spans="83:106" x14ac:dyDescent="0.2">
      <c r="CE1917"/>
      <c r="CF1917"/>
      <c r="CG1917"/>
      <c r="CH1917"/>
      <c r="CI1917"/>
      <c r="CU1917" s="21">
        <v>1912</v>
      </c>
      <c r="CV1917" s="41">
        <v>4</v>
      </c>
      <c r="CW1917" s="41">
        <v>0.11332468572476186</v>
      </c>
      <c r="CX1917" s="41" t="e">
        <v>#N/A</v>
      </c>
      <c r="CY1917" s="41" t="e">
        <v>#N/A</v>
      </c>
      <c r="CZ1917" s="47" t="e">
        <v>#N/A</v>
      </c>
      <c r="DA1917">
        <v>0.11332468572476186</v>
      </c>
      <c r="DB1917" t="str">
        <v/>
      </c>
    </row>
    <row r="1918" spans="83:106" x14ac:dyDescent="0.2">
      <c r="CE1918"/>
      <c r="CF1918"/>
      <c r="CG1918"/>
      <c r="CH1918"/>
      <c r="CI1918"/>
      <c r="CU1918" s="21">
        <v>1913</v>
      </c>
      <c r="CV1918" s="41">
        <v>4</v>
      </c>
      <c r="CW1918" s="41">
        <v>0.11332468572476186</v>
      </c>
      <c r="CX1918" s="41" t="e">
        <v>#N/A</v>
      </c>
      <c r="CY1918" s="41" t="e">
        <v>#N/A</v>
      </c>
      <c r="CZ1918" s="47" t="e">
        <v>#N/A</v>
      </c>
      <c r="DA1918">
        <v>0.11332468572476186</v>
      </c>
      <c r="DB1918" t="str">
        <v/>
      </c>
    </row>
    <row r="1919" spans="83:106" x14ac:dyDescent="0.2">
      <c r="CE1919"/>
      <c r="CF1919"/>
      <c r="CG1919"/>
      <c r="CH1919"/>
      <c r="CI1919"/>
      <c r="CU1919" s="21">
        <v>1914</v>
      </c>
      <c r="CV1919" s="41">
        <v>4</v>
      </c>
      <c r="CW1919" s="41">
        <v>0.11332468572476186</v>
      </c>
      <c r="CX1919" s="41" t="e">
        <v>#N/A</v>
      </c>
      <c r="CY1919" s="41" t="e">
        <v>#N/A</v>
      </c>
      <c r="CZ1919" s="47" t="e">
        <v>#N/A</v>
      </c>
      <c r="DA1919">
        <v>0.11332468572476186</v>
      </c>
      <c r="DB1919" t="str">
        <v/>
      </c>
    </row>
    <row r="1920" spans="83:106" x14ac:dyDescent="0.2">
      <c r="CE1920"/>
      <c r="CF1920"/>
      <c r="CG1920"/>
      <c r="CH1920"/>
      <c r="CI1920"/>
      <c r="CU1920" s="21">
        <v>1915</v>
      </c>
      <c r="CV1920" s="41">
        <v>4</v>
      </c>
      <c r="CW1920" s="41">
        <v>0.11332468572476186</v>
      </c>
      <c r="CX1920" s="41" t="e">
        <v>#N/A</v>
      </c>
      <c r="CY1920" s="41" t="e">
        <v>#N/A</v>
      </c>
      <c r="CZ1920" s="47" t="e">
        <v>#N/A</v>
      </c>
      <c r="DA1920">
        <v>0.11332468572476186</v>
      </c>
      <c r="DB1920" t="str">
        <v/>
      </c>
    </row>
    <row r="1921" spans="83:106" x14ac:dyDescent="0.2">
      <c r="CE1921"/>
      <c r="CF1921"/>
      <c r="CG1921"/>
      <c r="CH1921"/>
      <c r="CI1921"/>
      <c r="CU1921" s="21">
        <v>1916</v>
      </c>
      <c r="CV1921" s="41">
        <v>4</v>
      </c>
      <c r="CW1921" s="41">
        <v>0.11332468572476186</v>
      </c>
      <c r="CX1921" s="41" t="e">
        <v>#N/A</v>
      </c>
      <c r="CY1921" s="41" t="e">
        <v>#N/A</v>
      </c>
      <c r="CZ1921" s="47" t="e">
        <v>#N/A</v>
      </c>
      <c r="DA1921">
        <v>0.11332468572476186</v>
      </c>
      <c r="DB1921" t="str">
        <v/>
      </c>
    </row>
    <row r="1922" spans="83:106" x14ac:dyDescent="0.2">
      <c r="CE1922"/>
      <c r="CF1922"/>
      <c r="CG1922"/>
      <c r="CH1922"/>
      <c r="CI1922"/>
      <c r="CU1922" s="21">
        <v>1917</v>
      </c>
      <c r="CV1922" s="41">
        <v>4</v>
      </c>
      <c r="CW1922" s="41">
        <v>0.11332468572476186</v>
      </c>
      <c r="CX1922" s="41" t="e">
        <v>#N/A</v>
      </c>
      <c r="CY1922" s="41" t="e">
        <v>#N/A</v>
      </c>
      <c r="CZ1922" s="47" t="e">
        <v>#N/A</v>
      </c>
      <c r="DA1922">
        <v>0.11332468572476186</v>
      </c>
      <c r="DB1922" t="str">
        <v/>
      </c>
    </row>
    <row r="1923" spans="83:106" x14ac:dyDescent="0.2">
      <c r="CE1923"/>
      <c r="CF1923"/>
      <c r="CG1923"/>
      <c r="CH1923"/>
      <c r="CI1923"/>
      <c r="CU1923" s="21">
        <v>1918</v>
      </c>
      <c r="CV1923" s="41">
        <v>4</v>
      </c>
      <c r="CW1923" s="41">
        <v>0.11332468572476186</v>
      </c>
      <c r="CX1923" s="41" t="e">
        <v>#N/A</v>
      </c>
      <c r="CY1923" s="41" t="e">
        <v>#N/A</v>
      </c>
      <c r="CZ1923" s="47" t="e">
        <v>#N/A</v>
      </c>
      <c r="DA1923">
        <v>0.11332468572476186</v>
      </c>
      <c r="DB1923" t="str">
        <v/>
      </c>
    </row>
    <row r="1924" spans="83:106" x14ac:dyDescent="0.2">
      <c r="CE1924"/>
      <c r="CF1924"/>
      <c r="CG1924"/>
      <c r="CH1924"/>
      <c r="CI1924"/>
      <c r="CU1924" s="21">
        <v>1919</v>
      </c>
      <c r="CV1924" s="41">
        <v>4</v>
      </c>
      <c r="CW1924" s="41">
        <v>0.11332468572476186</v>
      </c>
      <c r="CX1924" s="41" t="e">
        <v>#N/A</v>
      </c>
      <c r="CY1924" s="41" t="e">
        <v>#N/A</v>
      </c>
      <c r="CZ1924" s="47" t="e">
        <v>#N/A</v>
      </c>
      <c r="DA1924">
        <v>0.11332468572476186</v>
      </c>
      <c r="DB1924" t="str">
        <v/>
      </c>
    </row>
    <row r="1925" spans="83:106" x14ac:dyDescent="0.2">
      <c r="CE1925"/>
      <c r="CF1925"/>
      <c r="CG1925"/>
      <c r="CH1925"/>
      <c r="CI1925"/>
      <c r="CU1925" s="21">
        <v>1920</v>
      </c>
      <c r="CV1925" s="41">
        <v>4</v>
      </c>
      <c r="CW1925" s="41">
        <v>0.11332468572476186</v>
      </c>
      <c r="CX1925" s="41" t="e">
        <v>#N/A</v>
      </c>
      <c r="CY1925" s="41" t="e">
        <v>#N/A</v>
      </c>
      <c r="CZ1925" s="47" t="e">
        <v>#N/A</v>
      </c>
      <c r="DA1925">
        <v>0.11332468572476186</v>
      </c>
      <c r="DB1925" t="str">
        <v/>
      </c>
    </row>
    <row r="1926" spans="83:106" x14ac:dyDescent="0.2">
      <c r="CE1926"/>
      <c r="CF1926"/>
      <c r="CG1926"/>
      <c r="CH1926"/>
      <c r="CI1926"/>
      <c r="CU1926" s="21">
        <v>1921</v>
      </c>
      <c r="CV1926" s="41">
        <v>4</v>
      </c>
      <c r="CW1926" s="41">
        <v>0.11332468572476186</v>
      </c>
      <c r="CX1926" s="41" t="e">
        <v>#N/A</v>
      </c>
      <c r="CY1926" s="41" t="e">
        <v>#N/A</v>
      </c>
      <c r="CZ1926" s="47" t="e">
        <v>#N/A</v>
      </c>
      <c r="DA1926">
        <v>0.11332468572476186</v>
      </c>
      <c r="DB1926" t="str">
        <v/>
      </c>
    </row>
    <row r="1927" spans="83:106" x14ac:dyDescent="0.2">
      <c r="CE1927"/>
      <c r="CF1927"/>
      <c r="CG1927"/>
      <c r="CH1927"/>
      <c r="CI1927"/>
      <c r="CU1927" s="21">
        <v>1922</v>
      </c>
      <c r="CV1927" s="41">
        <v>4</v>
      </c>
      <c r="CW1927" s="41">
        <v>0.11332468572476186</v>
      </c>
      <c r="CX1927" s="41" t="e">
        <v>#N/A</v>
      </c>
      <c r="CY1927" s="41" t="e">
        <v>#N/A</v>
      </c>
      <c r="CZ1927" s="47" t="e">
        <v>#N/A</v>
      </c>
      <c r="DA1927">
        <v>0.11332468572476186</v>
      </c>
      <c r="DB1927" t="str">
        <v/>
      </c>
    </row>
    <row r="1928" spans="83:106" x14ac:dyDescent="0.2">
      <c r="CE1928"/>
      <c r="CF1928"/>
      <c r="CG1928"/>
      <c r="CH1928"/>
      <c r="CI1928"/>
      <c r="CU1928" s="21">
        <v>1923</v>
      </c>
      <c r="CV1928" s="41">
        <v>4</v>
      </c>
      <c r="CW1928" s="41">
        <v>0.11332468572476186</v>
      </c>
      <c r="CX1928" s="41" t="e">
        <v>#N/A</v>
      </c>
      <c r="CY1928" s="41" t="e">
        <v>#N/A</v>
      </c>
      <c r="CZ1928" s="47" t="e">
        <v>#N/A</v>
      </c>
      <c r="DA1928">
        <v>0.11332468572476186</v>
      </c>
      <c r="DB1928" t="str">
        <v/>
      </c>
    </row>
    <row r="1929" spans="83:106" x14ac:dyDescent="0.2">
      <c r="CE1929"/>
      <c r="CF1929"/>
      <c r="CG1929"/>
      <c r="CH1929"/>
      <c r="CI1929"/>
      <c r="CU1929" s="21">
        <v>1924</v>
      </c>
      <c r="CV1929" s="41">
        <v>4</v>
      </c>
      <c r="CW1929" s="41">
        <v>0.11332468572476186</v>
      </c>
      <c r="CX1929" s="41" t="e">
        <v>#N/A</v>
      </c>
      <c r="CY1929" s="41" t="e">
        <v>#N/A</v>
      </c>
      <c r="CZ1929" s="47" t="e">
        <v>#N/A</v>
      </c>
      <c r="DA1929">
        <v>0.11332468572476186</v>
      </c>
      <c r="DB1929" t="str">
        <v/>
      </c>
    </row>
    <row r="1930" spans="83:106" x14ac:dyDescent="0.2">
      <c r="CE1930"/>
      <c r="CF1930"/>
      <c r="CG1930"/>
      <c r="CH1930"/>
      <c r="CI1930"/>
      <c r="CU1930" s="21">
        <v>1925</v>
      </c>
      <c r="CV1930" s="41">
        <v>4</v>
      </c>
      <c r="CW1930" s="41">
        <v>0.11332468572476186</v>
      </c>
      <c r="CX1930" s="41" t="e">
        <v>#N/A</v>
      </c>
      <c r="CY1930" s="41" t="e">
        <v>#N/A</v>
      </c>
      <c r="CZ1930" s="47" t="e">
        <v>#N/A</v>
      </c>
      <c r="DA1930">
        <v>0.11332468572476186</v>
      </c>
      <c r="DB1930" t="str">
        <v/>
      </c>
    </row>
    <row r="1931" spans="83:106" x14ac:dyDescent="0.2">
      <c r="CE1931"/>
      <c r="CF1931"/>
      <c r="CG1931"/>
      <c r="CH1931"/>
      <c r="CI1931"/>
      <c r="CU1931" s="21">
        <v>1926</v>
      </c>
      <c r="CV1931" s="41">
        <v>4</v>
      </c>
      <c r="CW1931" s="41">
        <v>0.11332468572476186</v>
      </c>
      <c r="CX1931" s="41" t="e">
        <v>#N/A</v>
      </c>
      <c r="CY1931" s="41" t="e">
        <v>#N/A</v>
      </c>
      <c r="CZ1931" s="47" t="e">
        <v>#N/A</v>
      </c>
      <c r="DA1931">
        <v>0.11332468572476186</v>
      </c>
      <c r="DB1931" t="str">
        <v/>
      </c>
    </row>
    <row r="1932" spans="83:106" x14ac:dyDescent="0.2">
      <c r="CE1932"/>
      <c r="CF1932"/>
      <c r="CG1932"/>
      <c r="CH1932"/>
      <c r="CI1932"/>
      <c r="CU1932" s="21">
        <v>1927</v>
      </c>
      <c r="CV1932" s="41">
        <v>4</v>
      </c>
      <c r="CW1932" s="41">
        <v>0.11332468572476186</v>
      </c>
      <c r="CX1932" s="41" t="e">
        <v>#N/A</v>
      </c>
      <c r="CY1932" s="41" t="e">
        <v>#N/A</v>
      </c>
      <c r="CZ1932" s="47" t="e">
        <v>#N/A</v>
      </c>
      <c r="DA1932">
        <v>0.11332468572476186</v>
      </c>
      <c r="DB1932" t="str">
        <v/>
      </c>
    </row>
    <row r="1933" spans="83:106" x14ac:dyDescent="0.2">
      <c r="CE1933"/>
      <c r="CF1933"/>
      <c r="CG1933"/>
      <c r="CH1933"/>
      <c r="CI1933"/>
      <c r="CU1933" s="21">
        <v>1928</v>
      </c>
      <c r="CV1933" s="41">
        <v>4</v>
      </c>
      <c r="CW1933" s="41">
        <v>0.11332468572476186</v>
      </c>
      <c r="CX1933" s="41" t="e">
        <v>#N/A</v>
      </c>
      <c r="CY1933" s="41" t="e">
        <v>#N/A</v>
      </c>
      <c r="CZ1933" s="47" t="e">
        <v>#N/A</v>
      </c>
      <c r="DA1933">
        <v>0.11332468572476186</v>
      </c>
      <c r="DB1933" t="str">
        <v/>
      </c>
    </row>
    <row r="1934" spans="83:106" x14ac:dyDescent="0.2">
      <c r="CE1934"/>
      <c r="CF1934"/>
      <c r="CG1934"/>
      <c r="CH1934"/>
      <c r="CI1934"/>
      <c r="CU1934" s="21">
        <v>1929</v>
      </c>
      <c r="CV1934" s="41">
        <v>4</v>
      </c>
      <c r="CW1934" s="41">
        <v>0.11332468572476186</v>
      </c>
      <c r="CX1934" s="41" t="e">
        <v>#N/A</v>
      </c>
      <c r="CY1934" s="41" t="e">
        <v>#N/A</v>
      </c>
      <c r="CZ1934" s="47" t="e">
        <v>#N/A</v>
      </c>
      <c r="DA1934">
        <v>0.11332468572476186</v>
      </c>
      <c r="DB1934" t="str">
        <v/>
      </c>
    </row>
    <row r="1935" spans="83:106" x14ac:dyDescent="0.2">
      <c r="CE1935"/>
      <c r="CF1935"/>
      <c r="CG1935"/>
      <c r="CH1935"/>
      <c r="CI1935"/>
      <c r="CU1935" s="21">
        <v>1930</v>
      </c>
      <c r="CV1935" s="41">
        <v>4</v>
      </c>
      <c r="CW1935" s="41">
        <v>0.11332468572476186</v>
      </c>
      <c r="CX1935" s="41" t="e">
        <v>#N/A</v>
      </c>
      <c r="CY1935" s="41" t="e">
        <v>#N/A</v>
      </c>
      <c r="CZ1935" s="47" t="e">
        <v>#N/A</v>
      </c>
      <c r="DA1935">
        <v>0.11332468572476186</v>
      </c>
      <c r="DB1935" t="str">
        <v/>
      </c>
    </row>
    <row r="1936" spans="83:106" x14ac:dyDescent="0.2">
      <c r="CE1936"/>
      <c r="CF1936"/>
      <c r="CG1936"/>
      <c r="CH1936"/>
      <c r="CI1936"/>
      <c r="CU1936" s="21">
        <v>1931</v>
      </c>
      <c r="CV1936" s="41">
        <v>4</v>
      </c>
      <c r="CW1936" s="41">
        <v>0.11332468572476186</v>
      </c>
      <c r="CX1936" s="41" t="e">
        <v>#N/A</v>
      </c>
      <c r="CY1936" s="41" t="e">
        <v>#N/A</v>
      </c>
      <c r="CZ1936" s="47" t="e">
        <v>#N/A</v>
      </c>
      <c r="DA1936">
        <v>0.11332468572476186</v>
      </c>
      <c r="DB1936" t="str">
        <v/>
      </c>
    </row>
    <row r="1937" spans="83:106" x14ac:dyDescent="0.2">
      <c r="CE1937"/>
      <c r="CF1937"/>
      <c r="CG1937"/>
      <c r="CH1937"/>
      <c r="CI1937"/>
      <c r="CU1937" s="21">
        <v>1932</v>
      </c>
      <c r="CV1937" s="41">
        <v>4</v>
      </c>
      <c r="CW1937" s="41">
        <v>0.11332468572476186</v>
      </c>
      <c r="CX1937" s="41" t="e">
        <v>#N/A</v>
      </c>
      <c r="CY1937" s="41" t="e">
        <v>#N/A</v>
      </c>
      <c r="CZ1937" s="47" t="e">
        <v>#N/A</v>
      </c>
      <c r="DA1937">
        <v>0.11332468572476186</v>
      </c>
      <c r="DB1937" t="str">
        <v/>
      </c>
    </row>
    <row r="1938" spans="83:106" x14ac:dyDescent="0.2">
      <c r="CE1938"/>
      <c r="CF1938"/>
      <c r="CG1938"/>
      <c r="CH1938"/>
      <c r="CI1938"/>
      <c r="CU1938" s="21">
        <v>1933</v>
      </c>
      <c r="CV1938" s="41">
        <v>4</v>
      </c>
      <c r="CW1938" s="41">
        <v>0.11332468572476186</v>
      </c>
      <c r="CX1938" s="41" t="e">
        <v>#N/A</v>
      </c>
      <c r="CY1938" s="41" t="e">
        <v>#N/A</v>
      </c>
      <c r="CZ1938" s="47" t="e">
        <v>#N/A</v>
      </c>
      <c r="DA1938">
        <v>0.11332468572476186</v>
      </c>
      <c r="DB1938" t="str">
        <v/>
      </c>
    </row>
    <row r="1939" spans="83:106" x14ac:dyDescent="0.2">
      <c r="CE1939"/>
      <c r="CF1939"/>
      <c r="CG1939"/>
      <c r="CH1939"/>
      <c r="CI1939"/>
      <c r="CU1939" s="21">
        <v>1934</v>
      </c>
      <c r="CV1939" s="41">
        <v>4</v>
      </c>
      <c r="CW1939" s="41">
        <v>0.11332468572476186</v>
      </c>
      <c r="CX1939" s="41" t="e">
        <v>#N/A</v>
      </c>
      <c r="CY1939" s="41" t="e">
        <v>#N/A</v>
      </c>
      <c r="CZ1939" s="47" t="e">
        <v>#N/A</v>
      </c>
      <c r="DA1939">
        <v>0.11332468572476186</v>
      </c>
      <c r="DB1939" t="str">
        <v/>
      </c>
    </row>
    <row r="1940" spans="83:106" x14ac:dyDescent="0.2">
      <c r="CE1940"/>
      <c r="CF1940"/>
      <c r="CG1940"/>
      <c r="CH1940"/>
      <c r="CI1940"/>
      <c r="CU1940" s="21">
        <v>1935</v>
      </c>
      <c r="CV1940" s="41">
        <v>4</v>
      </c>
      <c r="CW1940" s="41">
        <v>0.11332468572476186</v>
      </c>
      <c r="CX1940" s="41" t="e">
        <v>#N/A</v>
      </c>
      <c r="CY1940" s="41" t="e">
        <v>#N/A</v>
      </c>
      <c r="CZ1940" s="47" t="e">
        <v>#N/A</v>
      </c>
      <c r="DA1940">
        <v>0.11332468572476186</v>
      </c>
      <c r="DB1940" t="str">
        <v/>
      </c>
    </row>
    <row r="1941" spans="83:106" x14ac:dyDescent="0.2">
      <c r="CE1941"/>
      <c r="CF1941"/>
      <c r="CG1941"/>
      <c r="CH1941"/>
      <c r="CI1941"/>
      <c r="CU1941" s="21">
        <v>1936</v>
      </c>
      <c r="CV1941" s="41">
        <v>4</v>
      </c>
      <c r="CW1941" s="41">
        <v>0.11332468572476186</v>
      </c>
      <c r="CX1941" s="41" t="e">
        <v>#N/A</v>
      </c>
      <c r="CY1941" s="41" t="e">
        <v>#N/A</v>
      </c>
      <c r="CZ1941" s="47" t="e">
        <v>#N/A</v>
      </c>
      <c r="DA1941">
        <v>0.11332468572476186</v>
      </c>
      <c r="DB1941" t="str">
        <v/>
      </c>
    </row>
    <row r="1942" spans="83:106" x14ac:dyDescent="0.2">
      <c r="CE1942"/>
      <c r="CF1942"/>
      <c r="CG1942"/>
      <c r="CH1942"/>
      <c r="CI1942"/>
      <c r="CU1942" s="21">
        <v>1937</v>
      </c>
      <c r="CV1942" s="41">
        <v>4</v>
      </c>
      <c r="CW1942" s="41">
        <v>0.11332468572476186</v>
      </c>
      <c r="CX1942" s="41" t="e">
        <v>#N/A</v>
      </c>
      <c r="CY1942" s="41" t="e">
        <v>#N/A</v>
      </c>
      <c r="CZ1942" s="47" t="e">
        <v>#N/A</v>
      </c>
      <c r="DA1942">
        <v>0.11332468572476186</v>
      </c>
      <c r="DB1942" t="str">
        <v/>
      </c>
    </row>
    <row r="1943" spans="83:106" x14ac:dyDescent="0.2">
      <c r="CE1943"/>
      <c r="CF1943"/>
      <c r="CG1943"/>
      <c r="CH1943"/>
      <c r="CI1943"/>
      <c r="CU1943" s="21">
        <v>1938</v>
      </c>
      <c r="CV1943" s="41">
        <v>4</v>
      </c>
      <c r="CW1943" s="41">
        <v>0.11332468572476186</v>
      </c>
      <c r="CX1943" s="41" t="e">
        <v>#N/A</v>
      </c>
      <c r="CY1943" s="41" t="e">
        <v>#N/A</v>
      </c>
      <c r="CZ1943" s="47" t="e">
        <v>#N/A</v>
      </c>
      <c r="DA1943">
        <v>0.11332468572476186</v>
      </c>
      <c r="DB1943" t="str">
        <v/>
      </c>
    </row>
    <row r="1944" spans="83:106" x14ac:dyDescent="0.2">
      <c r="CE1944"/>
      <c r="CF1944"/>
      <c r="CG1944"/>
      <c r="CH1944"/>
      <c r="CI1944"/>
      <c r="CU1944" s="21">
        <v>1939</v>
      </c>
      <c r="CV1944" s="41">
        <v>4</v>
      </c>
      <c r="CW1944" s="41">
        <v>0.11332468572476186</v>
      </c>
      <c r="CX1944" s="41" t="e">
        <v>#N/A</v>
      </c>
      <c r="CY1944" s="41" t="e">
        <v>#N/A</v>
      </c>
      <c r="CZ1944" s="47" t="e">
        <v>#N/A</v>
      </c>
      <c r="DA1944">
        <v>0.11332468572476186</v>
      </c>
      <c r="DB1944" t="str">
        <v/>
      </c>
    </row>
    <row r="1945" spans="83:106" x14ac:dyDescent="0.2">
      <c r="CE1945"/>
      <c r="CF1945"/>
      <c r="CG1945"/>
      <c r="CH1945"/>
      <c r="CI1945"/>
      <c r="CU1945" s="21">
        <v>1940</v>
      </c>
      <c r="CV1945" s="41">
        <v>4</v>
      </c>
      <c r="CW1945" s="41">
        <v>0.11332468572476186</v>
      </c>
      <c r="CX1945" s="41" t="e">
        <v>#N/A</v>
      </c>
      <c r="CY1945" s="41" t="e">
        <v>#N/A</v>
      </c>
      <c r="CZ1945" s="47" t="e">
        <v>#N/A</v>
      </c>
      <c r="DA1945">
        <v>0.11332468572476186</v>
      </c>
      <c r="DB1945" t="str">
        <v/>
      </c>
    </row>
    <row r="1946" spans="83:106" x14ac:dyDescent="0.2">
      <c r="CE1946"/>
      <c r="CF1946"/>
      <c r="CG1946"/>
      <c r="CH1946"/>
      <c r="CI1946"/>
      <c r="CU1946" s="21">
        <v>1941</v>
      </c>
      <c r="CV1946" s="41">
        <v>4</v>
      </c>
      <c r="CW1946" s="41">
        <v>0.11332468572476186</v>
      </c>
      <c r="CX1946" s="41" t="e">
        <v>#N/A</v>
      </c>
      <c r="CY1946" s="41" t="e">
        <v>#N/A</v>
      </c>
      <c r="CZ1946" s="47" t="e">
        <v>#N/A</v>
      </c>
      <c r="DA1946">
        <v>0.11332468572476186</v>
      </c>
      <c r="DB1946" t="str">
        <v/>
      </c>
    </row>
    <row r="1947" spans="83:106" x14ac:dyDescent="0.2">
      <c r="CE1947"/>
      <c r="CF1947"/>
      <c r="CG1947"/>
      <c r="CH1947"/>
      <c r="CI1947"/>
      <c r="CU1947" s="21">
        <v>1942</v>
      </c>
      <c r="CV1947" s="41">
        <v>4</v>
      </c>
      <c r="CW1947" s="41">
        <v>0.11332468572476186</v>
      </c>
      <c r="CX1947" s="41" t="e">
        <v>#N/A</v>
      </c>
      <c r="CY1947" s="41" t="e">
        <v>#N/A</v>
      </c>
      <c r="CZ1947" s="47" t="e">
        <v>#N/A</v>
      </c>
      <c r="DA1947">
        <v>0.11332468572476186</v>
      </c>
      <c r="DB1947" t="str">
        <v/>
      </c>
    </row>
    <row r="1948" spans="83:106" x14ac:dyDescent="0.2">
      <c r="CE1948"/>
      <c r="CF1948"/>
      <c r="CG1948"/>
      <c r="CH1948"/>
      <c r="CI1948"/>
      <c r="CU1948" s="21">
        <v>1943</v>
      </c>
      <c r="CV1948" s="41">
        <v>4</v>
      </c>
      <c r="CW1948" s="41">
        <v>0.11332468572476186</v>
      </c>
      <c r="CX1948" s="41" t="e">
        <v>#N/A</v>
      </c>
      <c r="CY1948" s="41" t="e">
        <v>#N/A</v>
      </c>
      <c r="CZ1948" s="47" t="e">
        <v>#N/A</v>
      </c>
      <c r="DA1948">
        <v>0.11332468572476186</v>
      </c>
      <c r="DB1948" t="str">
        <v/>
      </c>
    </row>
    <row r="1949" spans="83:106" x14ac:dyDescent="0.2">
      <c r="CE1949"/>
      <c r="CF1949"/>
      <c r="CG1949"/>
      <c r="CH1949"/>
      <c r="CI1949"/>
      <c r="CU1949" s="21">
        <v>1944</v>
      </c>
      <c r="CV1949" s="41">
        <v>4</v>
      </c>
      <c r="CW1949" s="41">
        <v>0.11332468572476186</v>
      </c>
      <c r="CX1949" s="41" t="e">
        <v>#N/A</v>
      </c>
      <c r="CY1949" s="41" t="e">
        <v>#N/A</v>
      </c>
      <c r="CZ1949" s="47" t="e">
        <v>#N/A</v>
      </c>
      <c r="DA1949">
        <v>0.11332468572476186</v>
      </c>
      <c r="DB1949" t="str">
        <v/>
      </c>
    </row>
    <row r="1950" spans="83:106" x14ac:dyDescent="0.2">
      <c r="CE1950"/>
      <c r="CF1950"/>
      <c r="CG1950"/>
      <c r="CH1950"/>
      <c r="CI1950"/>
      <c r="CU1950" s="21">
        <v>1945</v>
      </c>
      <c r="CV1950" s="41">
        <v>4</v>
      </c>
      <c r="CW1950" s="41">
        <v>0.11332468572476186</v>
      </c>
      <c r="CX1950" s="41" t="e">
        <v>#N/A</v>
      </c>
      <c r="CY1950" s="41" t="e">
        <v>#N/A</v>
      </c>
      <c r="CZ1950" s="47" t="e">
        <v>#N/A</v>
      </c>
      <c r="DA1950">
        <v>0.11332468572476186</v>
      </c>
      <c r="DB1950" t="str">
        <v/>
      </c>
    </row>
    <row r="1951" spans="83:106" x14ac:dyDescent="0.2">
      <c r="CE1951"/>
      <c r="CF1951"/>
      <c r="CG1951"/>
      <c r="CH1951"/>
      <c r="CI1951"/>
      <c r="CU1951" s="21">
        <v>1946</v>
      </c>
      <c r="CV1951" s="41">
        <v>4</v>
      </c>
      <c r="CW1951" s="41">
        <v>0.11332468572476186</v>
      </c>
      <c r="CX1951" s="41" t="e">
        <v>#N/A</v>
      </c>
      <c r="CY1951" s="41" t="e">
        <v>#N/A</v>
      </c>
      <c r="CZ1951" s="47" t="e">
        <v>#N/A</v>
      </c>
      <c r="DA1951">
        <v>0.11332468572476186</v>
      </c>
      <c r="DB1951" t="str">
        <v/>
      </c>
    </row>
    <row r="1952" spans="83:106" x14ac:dyDescent="0.2">
      <c r="CE1952"/>
      <c r="CF1952"/>
      <c r="CG1952"/>
      <c r="CH1952"/>
      <c r="CI1952"/>
      <c r="CU1952" s="21">
        <v>1947</v>
      </c>
      <c r="CV1952" s="41">
        <v>4</v>
      </c>
      <c r="CW1952" s="41">
        <v>0.11332468572476186</v>
      </c>
      <c r="CX1952" s="41" t="e">
        <v>#N/A</v>
      </c>
      <c r="CY1952" s="41" t="e">
        <v>#N/A</v>
      </c>
      <c r="CZ1952" s="47" t="e">
        <v>#N/A</v>
      </c>
      <c r="DA1952">
        <v>0.11332468572476186</v>
      </c>
      <c r="DB1952" t="str">
        <v/>
      </c>
    </row>
    <row r="1953" spans="83:106" x14ac:dyDescent="0.2">
      <c r="CE1953"/>
      <c r="CF1953"/>
      <c r="CG1953"/>
      <c r="CH1953"/>
      <c r="CI1953"/>
      <c r="CU1953" s="21">
        <v>1948</v>
      </c>
      <c r="CV1953" s="41">
        <v>4</v>
      </c>
      <c r="CW1953" s="41">
        <v>0.11332468572476186</v>
      </c>
      <c r="CX1953" s="41" t="e">
        <v>#N/A</v>
      </c>
      <c r="CY1953" s="41" t="e">
        <v>#N/A</v>
      </c>
      <c r="CZ1953" s="47" t="e">
        <v>#N/A</v>
      </c>
      <c r="DA1953">
        <v>0.11332468572476186</v>
      </c>
      <c r="DB1953" t="str">
        <v/>
      </c>
    </row>
    <row r="1954" spans="83:106" x14ac:dyDescent="0.2">
      <c r="CE1954"/>
      <c r="CF1954"/>
      <c r="CG1954"/>
      <c r="CH1954"/>
      <c r="CI1954"/>
      <c r="CU1954" s="21">
        <v>1949</v>
      </c>
      <c r="CV1954" s="41">
        <v>4</v>
      </c>
      <c r="CW1954" s="41">
        <v>0.11332468572476186</v>
      </c>
      <c r="CX1954" s="41" t="e">
        <v>#N/A</v>
      </c>
      <c r="CY1954" s="41" t="e">
        <v>#N/A</v>
      </c>
      <c r="CZ1954" s="47" t="e">
        <v>#N/A</v>
      </c>
      <c r="DA1954">
        <v>0.11332468572476186</v>
      </c>
      <c r="DB1954" t="str">
        <v/>
      </c>
    </row>
    <row r="1955" spans="83:106" x14ac:dyDescent="0.2">
      <c r="CE1955"/>
      <c r="CF1955"/>
      <c r="CG1955"/>
      <c r="CH1955"/>
      <c r="CI1955"/>
      <c r="CU1955" s="21">
        <v>1950</v>
      </c>
      <c r="CV1955" s="41">
        <v>4</v>
      </c>
      <c r="CW1955" s="41">
        <v>0.11332468572476186</v>
      </c>
      <c r="CX1955" s="41" t="e">
        <v>#N/A</v>
      </c>
      <c r="CY1955" s="41" t="e">
        <v>#N/A</v>
      </c>
      <c r="CZ1955" s="47" t="e">
        <v>#N/A</v>
      </c>
      <c r="DA1955">
        <v>0.11332468572476186</v>
      </c>
      <c r="DB1955" t="str">
        <v/>
      </c>
    </row>
    <row r="1956" spans="83:106" x14ac:dyDescent="0.2">
      <c r="CE1956"/>
      <c r="CF1956"/>
      <c r="CG1956"/>
      <c r="CH1956"/>
      <c r="CI1956"/>
      <c r="CU1956" s="21">
        <v>1951</v>
      </c>
      <c r="CV1956" s="41">
        <v>4</v>
      </c>
      <c r="CW1956" s="41">
        <v>0.11332468572476186</v>
      </c>
      <c r="CX1956" s="41" t="e">
        <v>#N/A</v>
      </c>
      <c r="CY1956" s="41" t="e">
        <v>#N/A</v>
      </c>
      <c r="CZ1956" s="47" t="e">
        <v>#N/A</v>
      </c>
      <c r="DA1956">
        <v>0.11332468572476186</v>
      </c>
      <c r="DB1956" t="str">
        <v/>
      </c>
    </row>
    <row r="1957" spans="83:106" x14ac:dyDescent="0.2">
      <c r="CE1957"/>
      <c r="CF1957"/>
      <c r="CG1957"/>
      <c r="CH1957"/>
      <c r="CI1957"/>
      <c r="CU1957" s="21">
        <v>1952</v>
      </c>
      <c r="CV1957" s="41">
        <v>4</v>
      </c>
      <c r="CW1957" s="41">
        <v>0.11332468572476186</v>
      </c>
      <c r="CX1957" s="41" t="e">
        <v>#N/A</v>
      </c>
      <c r="CY1957" s="41" t="e">
        <v>#N/A</v>
      </c>
      <c r="CZ1957" s="47" t="e">
        <v>#N/A</v>
      </c>
      <c r="DA1957">
        <v>0.11332468572476186</v>
      </c>
      <c r="DB1957" t="str">
        <v/>
      </c>
    </row>
    <row r="1958" spans="83:106" x14ac:dyDescent="0.2">
      <c r="CE1958"/>
      <c r="CF1958"/>
      <c r="CG1958"/>
      <c r="CH1958"/>
      <c r="CI1958"/>
      <c r="CU1958" s="21">
        <v>1953</v>
      </c>
      <c r="CV1958" s="41">
        <v>4</v>
      </c>
      <c r="CW1958" s="41">
        <v>0.11332468572476186</v>
      </c>
      <c r="CX1958" s="41" t="e">
        <v>#N/A</v>
      </c>
      <c r="CY1958" s="41" t="e">
        <v>#N/A</v>
      </c>
      <c r="CZ1958" s="47" t="e">
        <v>#N/A</v>
      </c>
      <c r="DA1958">
        <v>0.11332468572476186</v>
      </c>
      <c r="DB1958" t="str">
        <v/>
      </c>
    </row>
    <row r="1959" spans="83:106" x14ac:dyDescent="0.2">
      <c r="CE1959"/>
      <c r="CF1959"/>
      <c r="CG1959"/>
      <c r="CH1959"/>
      <c r="CI1959"/>
      <c r="CU1959" s="21">
        <v>1954</v>
      </c>
      <c r="CV1959" s="41">
        <v>4</v>
      </c>
      <c r="CW1959" s="41">
        <v>0.11332468572476186</v>
      </c>
      <c r="CX1959" s="41" t="e">
        <v>#N/A</v>
      </c>
      <c r="CY1959" s="41" t="e">
        <v>#N/A</v>
      </c>
      <c r="CZ1959" s="47" t="e">
        <v>#N/A</v>
      </c>
      <c r="DA1959">
        <v>0.11332468572476186</v>
      </c>
      <c r="DB1959" t="str">
        <v/>
      </c>
    </row>
    <row r="1960" spans="83:106" x14ac:dyDescent="0.2">
      <c r="CE1960"/>
      <c r="CF1960"/>
      <c r="CG1960"/>
      <c r="CH1960"/>
      <c r="CI1960"/>
      <c r="CU1960" s="21">
        <v>1955</v>
      </c>
      <c r="CV1960" s="41">
        <v>4</v>
      </c>
      <c r="CW1960" s="41">
        <v>0.11332468572476186</v>
      </c>
      <c r="CX1960" s="41" t="e">
        <v>#N/A</v>
      </c>
      <c r="CY1960" s="41" t="e">
        <v>#N/A</v>
      </c>
      <c r="CZ1960" s="47" t="e">
        <v>#N/A</v>
      </c>
      <c r="DA1960">
        <v>0.11332468572476186</v>
      </c>
      <c r="DB1960" t="str">
        <v/>
      </c>
    </row>
    <row r="1961" spans="83:106" x14ac:dyDescent="0.2">
      <c r="CE1961"/>
      <c r="CF1961"/>
      <c r="CG1961"/>
      <c r="CH1961"/>
      <c r="CI1961"/>
      <c r="CU1961" s="21">
        <v>1956</v>
      </c>
      <c r="CV1961" s="41">
        <v>4</v>
      </c>
      <c r="CW1961" s="41">
        <v>0.11332468572476186</v>
      </c>
      <c r="CX1961" s="41" t="e">
        <v>#N/A</v>
      </c>
      <c r="CY1961" s="41" t="e">
        <v>#N/A</v>
      </c>
      <c r="CZ1961" s="47" t="e">
        <v>#N/A</v>
      </c>
      <c r="DA1961">
        <v>0.11332468572476186</v>
      </c>
      <c r="DB1961" t="str">
        <v/>
      </c>
    </row>
    <row r="1962" spans="83:106" x14ac:dyDescent="0.2">
      <c r="CE1962"/>
      <c r="CF1962"/>
      <c r="CG1962"/>
      <c r="CH1962"/>
      <c r="CI1962"/>
      <c r="CU1962" s="21">
        <v>1957</v>
      </c>
      <c r="CV1962" s="41">
        <v>4</v>
      </c>
      <c r="CW1962" s="41">
        <v>0.11332468572476186</v>
      </c>
      <c r="CX1962" s="41" t="e">
        <v>#N/A</v>
      </c>
      <c r="CY1962" s="41" t="e">
        <v>#N/A</v>
      </c>
      <c r="CZ1962" s="47" t="e">
        <v>#N/A</v>
      </c>
      <c r="DA1962">
        <v>0.11332468572476186</v>
      </c>
      <c r="DB1962" t="str">
        <v/>
      </c>
    </row>
    <row r="1963" spans="83:106" x14ac:dyDescent="0.2">
      <c r="CE1963"/>
      <c r="CF1963"/>
      <c r="CG1963"/>
      <c r="CH1963"/>
      <c r="CI1963"/>
      <c r="CU1963" s="21">
        <v>1958</v>
      </c>
      <c r="CV1963" s="41">
        <v>4</v>
      </c>
      <c r="CW1963" s="41">
        <v>0.11332468572476186</v>
      </c>
      <c r="CX1963" s="41" t="e">
        <v>#N/A</v>
      </c>
      <c r="CY1963" s="41" t="e">
        <v>#N/A</v>
      </c>
      <c r="CZ1963" s="47" t="e">
        <v>#N/A</v>
      </c>
      <c r="DA1963">
        <v>0.11332468572476186</v>
      </c>
      <c r="DB1963" t="str">
        <v/>
      </c>
    </row>
    <row r="1964" spans="83:106" x14ac:dyDescent="0.2">
      <c r="CE1964"/>
      <c r="CF1964"/>
      <c r="CG1964"/>
      <c r="CH1964"/>
      <c r="CI1964"/>
      <c r="CU1964" s="21">
        <v>1959</v>
      </c>
      <c r="CV1964" s="41">
        <v>4</v>
      </c>
      <c r="CW1964" s="41">
        <v>0.11332468572476186</v>
      </c>
      <c r="CX1964" s="41" t="e">
        <v>#N/A</v>
      </c>
      <c r="CY1964" s="41" t="e">
        <v>#N/A</v>
      </c>
      <c r="CZ1964" s="47" t="e">
        <v>#N/A</v>
      </c>
      <c r="DA1964">
        <v>0.11332468572476186</v>
      </c>
      <c r="DB1964" t="str">
        <v/>
      </c>
    </row>
    <row r="1965" spans="83:106" x14ac:dyDescent="0.2">
      <c r="CE1965"/>
      <c r="CF1965"/>
      <c r="CG1965"/>
      <c r="CH1965"/>
      <c r="CI1965"/>
      <c r="CU1965" s="21">
        <v>1960</v>
      </c>
      <c r="CV1965" s="41">
        <v>4</v>
      </c>
      <c r="CW1965" s="41">
        <v>0.11332468572476186</v>
      </c>
      <c r="CX1965" s="41" t="e">
        <v>#N/A</v>
      </c>
      <c r="CY1965" s="41" t="e">
        <v>#N/A</v>
      </c>
      <c r="CZ1965" s="47" t="e">
        <v>#N/A</v>
      </c>
      <c r="DA1965">
        <v>0.11332468572476186</v>
      </c>
      <c r="DB1965" t="str">
        <v/>
      </c>
    </row>
    <row r="1966" spans="83:106" x14ac:dyDescent="0.2">
      <c r="CE1966"/>
      <c r="CF1966"/>
      <c r="CG1966"/>
      <c r="CH1966"/>
      <c r="CI1966"/>
      <c r="CU1966" s="21">
        <v>1961</v>
      </c>
      <c r="CV1966" s="41">
        <v>4</v>
      </c>
      <c r="CW1966" s="41">
        <v>0.11332468572476186</v>
      </c>
      <c r="CX1966" s="41" t="e">
        <v>#N/A</v>
      </c>
      <c r="CY1966" s="41" t="e">
        <v>#N/A</v>
      </c>
      <c r="CZ1966" s="47" t="e">
        <v>#N/A</v>
      </c>
      <c r="DA1966">
        <v>0.11332468572476186</v>
      </c>
      <c r="DB1966" t="str">
        <v/>
      </c>
    </row>
    <row r="1967" spans="83:106" x14ac:dyDescent="0.2">
      <c r="CE1967"/>
      <c r="CF1967"/>
      <c r="CG1967"/>
      <c r="CH1967"/>
      <c r="CI1967"/>
      <c r="CU1967" s="21">
        <v>1962</v>
      </c>
      <c r="CV1967" s="41">
        <v>4</v>
      </c>
      <c r="CW1967" s="41">
        <v>0.11332468572476186</v>
      </c>
      <c r="CX1967" s="41" t="e">
        <v>#N/A</v>
      </c>
      <c r="CY1967" s="41" t="e">
        <v>#N/A</v>
      </c>
      <c r="CZ1967" s="47" t="e">
        <v>#N/A</v>
      </c>
      <c r="DA1967">
        <v>0.11332468572476186</v>
      </c>
      <c r="DB1967" t="str">
        <v/>
      </c>
    </row>
    <row r="1968" spans="83:106" x14ac:dyDescent="0.2">
      <c r="CE1968"/>
      <c r="CF1968"/>
      <c r="CG1968"/>
      <c r="CH1968"/>
      <c r="CI1968"/>
      <c r="CU1968" s="21">
        <v>1963</v>
      </c>
      <c r="CV1968" s="41">
        <v>4</v>
      </c>
      <c r="CW1968" s="41">
        <v>0.11332468572476186</v>
      </c>
      <c r="CX1968" s="41" t="e">
        <v>#N/A</v>
      </c>
      <c r="CY1968" s="41" t="e">
        <v>#N/A</v>
      </c>
      <c r="CZ1968" s="47" t="e">
        <v>#N/A</v>
      </c>
      <c r="DA1968">
        <v>0.11332468572476186</v>
      </c>
      <c r="DB1968" t="str">
        <v/>
      </c>
    </row>
    <row r="1969" spans="83:106" x14ac:dyDescent="0.2">
      <c r="CE1969"/>
      <c r="CF1969"/>
      <c r="CG1969"/>
      <c r="CH1969"/>
      <c r="CI1969"/>
      <c r="CU1969" s="21">
        <v>1964</v>
      </c>
      <c r="CV1969" s="41">
        <v>4</v>
      </c>
      <c r="CW1969" s="41">
        <v>0.11332468572476186</v>
      </c>
      <c r="CX1969" s="41" t="e">
        <v>#N/A</v>
      </c>
      <c r="CY1969" s="41" t="e">
        <v>#N/A</v>
      </c>
      <c r="CZ1969" s="47" t="e">
        <v>#N/A</v>
      </c>
      <c r="DA1969">
        <v>0.11332468572476186</v>
      </c>
      <c r="DB1969" t="str">
        <v/>
      </c>
    </row>
    <row r="1970" spans="83:106" x14ac:dyDescent="0.2">
      <c r="CE1970"/>
      <c r="CF1970"/>
      <c r="CG1970"/>
      <c r="CH1970"/>
      <c r="CI1970"/>
      <c r="CU1970" s="21">
        <v>1965</v>
      </c>
      <c r="CV1970" s="41">
        <v>4</v>
      </c>
      <c r="CW1970" s="41">
        <v>0.11332468572476186</v>
      </c>
      <c r="CX1970" s="41" t="e">
        <v>#N/A</v>
      </c>
      <c r="CY1970" s="41" t="e">
        <v>#N/A</v>
      </c>
      <c r="CZ1970" s="47" t="e">
        <v>#N/A</v>
      </c>
      <c r="DA1970">
        <v>0.11332468572476186</v>
      </c>
      <c r="DB1970" t="str">
        <v/>
      </c>
    </row>
    <row r="1971" spans="83:106" x14ac:dyDescent="0.2">
      <c r="CE1971"/>
      <c r="CF1971"/>
      <c r="CG1971"/>
      <c r="CH1971"/>
      <c r="CI1971"/>
      <c r="CU1971" s="21">
        <v>1966</v>
      </c>
      <c r="CV1971" s="41">
        <v>4</v>
      </c>
      <c r="CW1971" s="41">
        <v>0.11332468572476186</v>
      </c>
      <c r="CX1971" s="41" t="e">
        <v>#N/A</v>
      </c>
      <c r="CY1971" s="41" t="e">
        <v>#N/A</v>
      </c>
      <c r="CZ1971" s="47" t="e">
        <v>#N/A</v>
      </c>
      <c r="DA1971">
        <v>0.11332468572476186</v>
      </c>
      <c r="DB1971" t="str">
        <v/>
      </c>
    </row>
    <row r="1972" spans="83:106" x14ac:dyDescent="0.2">
      <c r="CE1972"/>
      <c r="CF1972"/>
      <c r="CG1972"/>
      <c r="CH1972"/>
      <c r="CI1972"/>
      <c r="CU1972" s="21">
        <v>1967</v>
      </c>
      <c r="CV1972" s="41">
        <v>4</v>
      </c>
      <c r="CW1972" s="41">
        <v>0.11332468572476186</v>
      </c>
      <c r="CX1972" s="41" t="e">
        <v>#N/A</v>
      </c>
      <c r="CY1972" s="41" t="e">
        <v>#N/A</v>
      </c>
      <c r="CZ1972" s="47" t="e">
        <v>#N/A</v>
      </c>
      <c r="DA1972">
        <v>0.11332468572476186</v>
      </c>
      <c r="DB1972" t="str">
        <v/>
      </c>
    </row>
    <row r="1973" spans="83:106" x14ac:dyDescent="0.2">
      <c r="CE1973"/>
      <c r="CF1973"/>
      <c r="CG1973"/>
      <c r="CH1973"/>
      <c r="CI1973"/>
      <c r="CU1973" s="21">
        <v>1968</v>
      </c>
      <c r="CV1973" s="41">
        <v>4</v>
      </c>
      <c r="CW1973" s="41">
        <v>0.11332468572476186</v>
      </c>
      <c r="CX1973" s="41" t="e">
        <v>#N/A</v>
      </c>
      <c r="CY1973" s="41" t="e">
        <v>#N/A</v>
      </c>
      <c r="CZ1973" s="47" t="e">
        <v>#N/A</v>
      </c>
      <c r="DA1973">
        <v>0.11332468572476186</v>
      </c>
      <c r="DB1973" t="str">
        <v/>
      </c>
    </row>
    <row r="1974" spans="83:106" x14ac:dyDescent="0.2">
      <c r="CE1974"/>
      <c r="CF1974"/>
      <c r="CG1974"/>
      <c r="CH1974"/>
      <c r="CI1974"/>
      <c r="CU1974" s="21">
        <v>1969</v>
      </c>
      <c r="CV1974" s="41">
        <v>4</v>
      </c>
      <c r="CW1974" s="41">
        <v>0.11332468572476186</v>
      </c>
      <c r="CX1974" s="41" t="e">
        <v>#N/A</v>
      </c>
      <c r="CY1974" s="41" t="e">
        <v>#N/A</v>
      </c>
      <c r="CZ1974" s="47" t="e">
        <v>#N/A</v>
      </c>
      <c r="DA1974">
        <v>0.11332468572476186</v>
      </c>
      <c r="DB1974" t="str">
        <v/>
      </c>
    </row>
    <row r="1975" spans="83:106" x14ac:dyDescent="0.2">
      <c r="CE1975"/>
      <c r="CF1975"/>
      <c r="CG1975"/>
      <c r="CH1975"/>
      <c r="CI1975"/>
      <c r="CU1975" s="21">
        <v>1970</v>
      </c>
      <c r="CV1975" s="41">
        <v>4</v>
      </c>
      <c r="CW1975" s="41">
        <v>0.11332468572476186</v>
      </c>
      <c r="CX1975" s="41" t="e">
        <v>#N/A</v>
      </c>
      <c r="CY1975" s="41" t="e">
        <v>#N/A</v>
      </c>
      <c r="CZ1975" s="47" t="e">
        <v>#N/A</v>
      </c>
      <c r="DA1975">
        <v>0.11332468572476186</v>
      </c>
      <c r="DB1975" t="str">
        <v/>
      </c>
    </row>
    <row r="1976" spans="83:106" x14ac:dyDescent="0.2">
      <c r="CE1976"/>
      <c r="CF1976"/>
      <c r="CG1976"/>
      <c r="CH1976"/>
      <c r="CI1976"/>
      <c r="CU1976" s="21">
        <v>1971</v>
      </c>
      <c r="CV1976" s="41">
        <v>4</v>
      </c>
      <c r="CW1976" s="41">
        <v>0.11332468572476186</v>
      </c>
      <c r="CX1976" s="41" t="e">
        <v>#N/A</v>
      </c>
      <c r="CY1976" s="41" t="e">
        <v>#N/A</v>
      </c>
      <c r="CZ1976" s="47" t="e">
        <v>#N/A</v>
      </c>
      <c r="DA1976">
        <v>0.11332468572476186</v>
      </c>
      <c r="DB1976" t="str">
        <v/>
      </c>
    </row>
    <row r="1977" spans="83:106" x14ac:dyDescent="0.2">
      <c r="CE1977"/>
      <c r="CF1977"/>
      <c r="CG1977"/>
      <c r="CH1977"/>
      <c r="CI1977"/>
      <c r="CU1977" s="21">
        <v>1972</v>
      </c>
      <c r="CV1977" s="41">
        <v>4</v>
      </c>
      <c r="CW1977" s="41">
        <v>0.11332468572476186</v>
      </c>
      <c r="CX1977" s="41" t="e">
        <v>#N/A</v>
      </c>
      <c r="CY1977" s="41" t="e">
        <v>#N/A</v>
      </c>
      <c r="CZ1977" s="47" t="e">
        <v>#N/A</v>
      </c>
      <c r="DA1977">
        <v>0.11332468572476186</v>
      </c>
      <c r="DB1977" t="str">
        <v/>
      </c>
    </row>
    <row r="1978" spans="83:106" x14ac:dyDescent="0.2">
      <c r="CE1978"/>
      <c r="CF1978"/>
      <c r="CG1978"/>
      <c r="CH1978"/>
      <c r="CI1978"/>
      <c r="CU1978" s="21">
        <v>1973</v>
      </c>
      <c r="CV1978" s="41">
        <v>4</v>
      </c>
      <c r="CW1978" s="41">
        <v>0.11332468572476186</v>
      </c>
      <c r="CX1978" s="41" t="e">
        <v>#N/A</v>
      </c>
      <c r="CY1978" s="41" t="e">
        <v>#N/A</v>
      </c>
      <c r="CZ1978" s="47" t="e">
        <v>#N/A</v>
      </c>
      <c r="DA1978">
        <v>0.11332468572476186</v>
      </c>
      <c r="DB1978" t="str">
        <v/>
      </c>
    </row>
    <row r="1979" spans="83:106" x14ac:dyDescent="0.2">
      <c r="CE1979"/>
      <c r="CF1979"/>
      <c r="CG1979"/>
      <c r="CH1979"/>
      <c r="CI1979"/>
      <c r="CU1979" s="21">
        <v>1974</v>
      </c>
      <c r="CV1979" s="41">
        <v>4</v>
      </c>
      <c r="CW1979" s="41">
        <v>0.11332468572476186</v>
      </c>
      <c r="CX1979" s="41" t="e">
        <v>#N/A</v>
      </c>
      <c r="CY1979" s="41" t="e">
        <v>#N/A</v>
      </c>
      <c r="CZ1979" s="47" t="e">
        <v>#N/A</v>
      </c>
      <c r="DA1979">
        <v>0.11332468572476186</v>
      </c>
      <c r="DB1979" t="str">
        <v/>
      </c>
    </row>
    <row r="1980" spans="83:106" x14ac:dyDescent="0.2">
      <c r="CE1980"/>
      <c r="CF1980"/>
      <c r="CG1980"/>
      <c r="CH1980"/>
      <c r="CI1980"/>
      <c r="CU1980" s="21">
        <v>1975</v>
      </c>
      <c r="CV1980" s="41">
        <v>4</v>
      </c>
      <c r="CW1980" s="41">
        <v>0.11332468572476186</v>
      </c>
      <c r="CX1980" s="41" t="e">
        <v>#N/A</v>
      </c>
      <c r="CY1980" s="41" t="e">
        <v>#N/A</v>
      </c>
      <c r="CZ1980" s="47" t="e">
        <v>#N/A</v>
      </c>
      <c r="DA1980">
        <v>0.11332468572476186</v>
      </c>
      <c r="DB1980" t="str">
        <v/>
      </c>
    </row>
    <row r="1981" spans="83:106" x14ac:dyDescent="0.2">
      <c r="CE1981"/>
      <c r="CF1981"/>
      <c r="CG1981"/>
      <c r="CH1981"/>
      <c r="CI1981"/>
      <c r="CU1981" s="21">
        <v>1976</v>
      </c>
      <c r="CV1981" s="41">
        <v>4</v>
      </c>
      <c r="CW1981" s="41">
        <v>0.11332468572476186</v>
      </c>
      <c r="CX1981" s="41" t="e">
        <v>#N/A</v>
      </c>
      <c r="CY1981" s="41" t="e">
        <v>#N/A</v>
      </c>
      <c r="CZ1981" s="47" t="e">
        <v>#N/A</v>
      </c>
      <c r="DA1981">
        <v>0.11332468572476186</v>
      </c>
      <c r="DB1981" t="str">
        <v/>
      </c>
    </row>
    <row r="1982" spans="83:106" x14ac:dyDescent="0.2">
      <c r="CE1982"/>
      <c r="CF1982"/>
      <c r="CG1982"/>
      <c r="CH1982"/>
      <c r="CI1982"/>
      <c r="CU1982" s="21">
        <v>1977</v>
      </c>
      <c r="CV1982" s="41">
        <v>4</v>
      </c>
      <c r="CW1982" s="41">
        <v>0.11332468572476186</v>
      </c>
      <c r="CX1982" s="41" t="e">
        <v>#N/A</v>
      </c>
      <c r="CY1982" s="41" t="e">
        <v>#N/A</v>
      </c>
      <c r="CZ1982" s="47" t="e">
        <v>#N/A</v>
      </c>
      <c r="DA1982">
        <v>0.11332468572476186</v>
      </c>
      <c r="DB1982" t="str">
        <v/>
      </c>
    </row>
    <row r="1983" spans="83:106" x14ac:dyDescent="0.2">
      <c r="CE1983"/>
      <c r="CF1983"/>
      <c r="CG1983"/>
      <c r="CH1983"/>
      <c r="CI1983"/>
      <c r="CU1983" s="21">
        <v>1978</v>
      </c>
      <c r="CV1983" s="41">
        <v>4</v>
      </c>
      <c r="CW1983" s="41">
        <v>0.11332468572476186</v>
      </c>
      <c r="CX1983" s="41" t="e">
        <v>#N/A</v>
      </c>
      <c r="CY1983" s="41" t="e">
        <v>#N/A</v>
      </c>
      <c r="CZ1983" s="47" t="e">
        <v>#N/A</v>
      </c>
      <c r="DA1983">
        <v>0.11332468572476186</v>
      </c>
      <c r="DB1983" t="str">
        <v/>
      </c>
    </row>
    <row r="1984" spans="83:106" x14ac:dyDescent="0.2">
      <c r="CE1984"/>
      <c r="CF1984"/>
      <c r="CG1984"/>
      <c r="CH1984"/>
      <c r="CI1984"/>
      <c r="CU1984" s="21">
        <v>1979</v>
      </c>
      <c r="CV1984" s="41">
        <v>4</v>
      </c>
      <c r="CW1984" s="41">
        <v>0.11332468572476186</v>
      </c>
      <c r="CX1984" s="41" t="e">
        <v>#N/A</v>
      </c>
      <c r="CY1984" s="41" t="e">
        <v>#N/A</v>
      </c>
      <c r="CZ1984" s="47" t="e">
        <v>#N/A</v>
      </c>
      <c r="DA1984">
        <v>0.11332468572476186</v>
      </c>
      <c r="DB1984" t="str">
        <v/>
      </c>
    </row>
    <row r="1985" spans="83:106" x14ac:dyDescent="0.2">
      <c r="CE1985"/>
      <c r="CF1985"/>
      <c r="CG1985"/>
      <c r="CH1985"/>
      <c r="CI1985"/>
      <c r="CU1985" s="21">
        <v>1980</v>
      </c>
      <c r="CV1985" s="41">
        <v>4</v>
      </c>
      <c r="CW1985" s="41">
        <v>0.11332468572476186</v>
      </c>
      <c r="CX1985" s="41" t="e">
        <v>#N/A</v>
      </c>
      <c r="CY1985" s="41" t="e">
        <v>#N/A</v>
      </c>
      <c r="CZ1985" s="47" t="e">
        <v>#N/A</v>
      </c>
      <c r="DA1985">
        <v>0.11332468572476186</v>
      </c>
      <c r="DB1985" t="str">
        <v/>
      </c>
    </row>
    <row r="1986" spans="83:106" x14ac:dyDescent="0.2">
      <c r="CE1986"/>
      <c r="CF1986"/>
      <c r="CG1986"/>
      <c r="CH1986"/>
      <c r="CI1986"/>
      <c r="CU1986" s="21">
        <v>1981</v>
      </c>
      <c r="CV1986" s="41">
        <v>4</v>
      </c>
      <c r="CW1986" s="41">
        <v>0.11332468572476186</v>
      </c>
      <c r="CX1986" s="41" t="e">
        <v>#N/A</v>
      </c>
      <c r="CY1986" s="41" t="e">
        <v>#N/A</v>
      </c>
      <c r="CZ1986" s="47" t="e">
        <v>#N/A</v>
      </c>
      <c r="DA1986">
        <v>0.11332468572476186</v>
      </c>
      <c r="DB1986" t="str">
        <v/>
      </c>
    </row>
    <row r="1987" spans="83:106" x14ac:dyDescent="0.2">
      <c r="CE1987"/>
      <c r="CF1987"/>
      <c r="CG1987"/>
      <c r="CH1987"/>
      <c r="CI1987"/>
      <c r="CU1987" s="21">
        <v>1982</v>
      </c>
      <c r="CV1987" s="41">
        <v>4</v>
      </c>
      <c r="CW1987" s="41">
        <v>0.11332468572476186</v>
      </c>
      <c r="CX1987" s="41" t="e">
        <v>#N/A</v>
      </c>
      <c r="CY1987" s="41" t="e">
        <v>#N/A</v>
      </c>
      <c r="CZ1987" s="47" t="e">
        <v>#N/A</v>
      </c>
      <c r="DA1987">
        <v>0.11332468572476186</v>
      </c>
      <c r="DB1987" t="str">
        <v/>
      </c>
    </row>
    <row r="1988" spans="83:106" x14ac:dyDescent="0.2">
      <c r="CE1988"/>
      <c r="CF1988"/>
      <c r="CG1988"/>
      <c r="CH1988"/>
      <c r="CI1988"/>
      <c r="CU1988" s="21">
        <v>1983</v>
      </c>
      <c r="CV1988" s="41">
        <v>4</v>
      </c>
      <c r="CW1988" s="41">
        <v>0.11332468572476186</v>
      </c>
      <c r="CX1988" s="41" t="e">
        <v>#N/A</v>
      </c>
      <c r="CY1988" s="41" t="e">
        <v>#N/A</v>
      </c>
      <c r="CZ1988" s="47" t="e">
        <v>#N/A</v>
      </c>
      <c r="DA1988">
        <v>0.11332468572476186</v>
      </c>
      <c r="DB1988" t="str">
        <v/>
      </c>
    </row>
    <row r="1989" spans="83:106" x14ac:dyDescent="0.2">
      <c r="CE1989"/>
      <c r="CF1989"/>
      <c r="CG1989"/>
      <c r="CH1989"/>
      <c r="CI1989"/>
      <c r="CU1989" s="21">
        <v>1984</v>
      </c>
      <c r="CV1989" s="41">
        <v>4</v>
      </c>
      <c r="CW1989" s="41">
        <v>0.11332468572476186</v>
      </c>
      <c r="CX1989" s="41" t="e">
        <v>#N/A</v>
      </c>
      <c r="CY1989" s="41" t="e">
        <v>#N/A</v>
      </c>
      <c r="CZ1989" s="47" t="e">
        <v>#N/A</v>
      </c>
      <c r="DA1989">
        <v>0.11332468572476186</v>
      </c>
      <c r="DB1989" t="str">
        <v/>
      </c>
    </row>
    <row r="1990" spans="83:106" x14ac:dyDescent="0.2">
      <c r="CE1990"/>
      <c r="CF1990"/>
      <c r="CG1990"/>
      <c r="CH1990"/>
      <c r="CI1990"/>
      <c r="CU1990" s="21">
        <v>1985</v>
      </c>
      <c r="CV1990" s="41">
        <v>4</v>
      </c>
      <c r="CW1990" s="41">
        <v>0.11332468572476186</v>
      </c>
      <c r="CX1990" s="41" t="e">
        <v>#N/A</v>
      </c>
      <c r="CY1990" s="41" t="e">
        <v>#N/A</v>
      </c>
      <c r="CZ1990" s="47" t="e">
        <v>#N/A</v>
      </c>
      <c r="DA1990">
        <v>0.11332468572476186</v>
      </c>
      <c r="DB1990" t="str">
        <v/>
      </c>
    </row>
    <row r="1991" spans="83:106" x14ac:dyDescent="0.2">
      <c r="CE1991"/>
      <c r="CF1991"/>
      <c r="CG1991"/>
      <c r="CH1991"/>
      <c r="CI1991"/>
      <c r="CU1991" s="21">
        <v>1986</v>
      </c>
      <c r="CV1991" s="41">
        <v>4</v>
      </c>
      <c r="CW1991" s="41">
        <v>0.11332468572476186</v>
      </c>
      <c r="CX1991" s="41" t="e">
        <v>#N/A</v>
      </c>
      <c r="CY1991" s="41" t="e">
        <v>#N/A</v>
      </c>
      <c r="CZ1991" s="47" t="e">
        <v>#N/A</v>
      </c>
      <c r="DA1991">
        <v>0.11332468572476186</v>
      </c>
      <c r="DB1991" t="str">
        <v/>
      </c>
    </row>
    <row r="1992" spans="83:106" x14ac:dyDescent="0.2">
      <c r="CE1992"/>
      <c r="CF1992"/>
      <c r="CG1992"/>
      <c r="CH1992"/>
      <c r="CI1992"/>
      <c r="CU1992" s="21">
        <v>1987</v>
      </c>
      <c r="CV1992" s="41">
        <v>4</v>
      </c>
      <c r="CW1992" s="41">
        <v>0.11332468572476186</v>
      </c>
      <c r="CX1992" s="41" t="e">
        <v>#N/A</v>
      </c>
      <c r="CY1992" s="41" t="e">
        <v>#N/A</v>
      </c>
      <c r="CZ1992" s="47" t="e">
        <v>#N/A</v>
      </c>
      <c r="DA1992">
        <v>0.11332468572476186</v>
      </c>
      <c r="DB1992" t="str">
        <v/>
      </c>
    </row>
    <row r="1993" spans="83:106" x14ac:dyDescent="0.2">
      <c r="CE1993"/>
      <c r="CF1993"/>
      <c r="CG1993"/>
      <c r="CH1993"/>
      <c r="CI1993"/>
      <c r="CU1993" s="21">
        <v>1988</v>
      </c>
      <c r="CV1993" s="41">
        <v>4</v>
      </c>
      <c r="CW1993" s="41">
        <v>0.11332468572476186</v>
      </c>
      <c r="CX1993" s="41" t="e">
        <v>#N/A</v>
      </c>
      <c r="CY1993" s="41" t="e">
        <v>#N/A</v>
      </c>
      <c r="CZ1993" s="47" t="e">
        <v>#N/A</v>
      </c>
      <c r="DA1993">
        <v>0.11332468572476186</v>
      </c>
      <c r="DB1993" t="str">
        <v/>
      </c>
    </row>
    <row r="1994" spans="83:106" x14ac:dyDescent="0.2">
      <c r="CE1994"/>
      <c r="CF1994"/>
      <c r="CG1994"/>
      <c r="CH1994"/>
      <c r="CI1994"/>
      <c r="CU1994" s="21">
        <v>1989</v>
      </c>
      <c r="CV1994" s="41">
        <v>4</v>
      </c>
      <c r="CW1994" s="41">
        <v>0.11332468572476186</v>
      </c>
      <c r="CX1994" s="41" t="e">
        <v>#N/A</v>
      </c>
      <c r="CY1994" s="41" t="e">
        <v>#N/A</v>
      </c>
      <c r="CZ1994" s="47" t="e">
        <v>#N/A</v>
      </c>
      <c r="DA1994">
        <v>0.11332468572476186</v>
      </c>
      <c r="DB1994" t="str">
        <v/>
      </c>
    </row>
    <row r="1995" spans="83:106" x14ac:dyDescent="0.2">
      <c r="CE1995"/>
      <c r="CF1995"/>
      <c r="CG1995"/>
      <c r="CH1995"/>
      <c r="CI1995"/>
      <c r="CU1995" s="21">
        <v>1990</v>
      </c>
      <c r="CV1995" s="41">
        <v>4</v>
      </c>
      <c r="CW1995" s="41">
        <v>0.11332468572476186</v>
      </c>
      <c r="CX1995" s="41" t="e">
        <v>#N/A</v>
      </c>
      <c r="CY1995" s="41" t="e">
        <v>#N/A</v>
      </c>
      <c r="CZ1995" s="47" t="e">
        <v>#N/A</v>
      </c>
      <c r="DA1995">
        <v>0.11332468572476186</v>
      </c>
      <c r="DB1995" t="str">
        <v/>
      </c>
    </row>
    <row r="1996" spans="83:106" x14ac:dyDescent="0.2">
      <c r="CE1996"/>
      <c r="CF1996"/>
      <c r="CG1996"/>
      <c r="CH1996"/>
      <c r="CI1996"/>
      <c r="CU1996" s="21">
        <v>1991</v>
      </c>
      <c r="CV1996" s="41">
        <v>4</v>
      </c>
      <c r="CW1996" s="41">
        <v>0.11332468572476186</v>
      </c>
      <c r="CX1996" s="41" t="e">
        <v>#N/A</v>
      </c>
      <c r="CY1996" s="41" t="e">
        <v>#N/A</v>
      </c>
      <c r="CZ1996" s="47" t="e">
        <v>#N/A</v>
      </c>
      <c r="DA1996">
        <v>0.11332468572476186</v>
      </c>
      <c r="DB1996" t="str">
        <v/>
      </c>
    </row>
    <row r="1997" spans="83:106" x14ac:dyDescent="0.2">
      <c r="CE1997"/>
      <c r="CF1997"/>
      <c r="CG1997"/>
      <c r="CH1997"/>
      <c r="CI1997"/>
      <c r="CU1997" s="21">
        <v>1992</v>
      </c>
      <c r="CV1997" s="41">
        <v>4</v>
      </c>
      <c r="CW1997" s="41">
        <v>0.11332468572476186</v>
      </c>
      <c r="CX1997" s="41" t="e">
        <v>#N/A</v>
      </c>
      <c r="CY1997" s="41" t="e">
        <v>#N/A</v>
      </c>
      <c r="CZ1997" s="47" t="e">
        <v>#N/A</v>
      </c>
      <c r="DA1997">
        <v>0.11332468572476186</v>
      </c>
      <c r="DB1997" t="str">
        <v/>
      </c>
    </row>
    <row r="1998" spans="83:106" x14ac:dyDescent="0.2">
      <c r="CE1998"/>
      <c r="CF1998"/>
      <c r="CG1998"/>
      <c r="CH1998"/>
      <c r="CI1998"/>
      <c r="CU1998" s="21">
        <v>1993</v>
      </c>
      <c r="CV1998" s="41">
        <v>4</v>
      </c>
      <c r="CW1998" s="41">
        <v>0.11332468572476186</v>
      </c>
      <c r="CX1998" s="41" t="e">
        <v>#N/A</v>
      </c>
      <c r="CY1998" s="41" t="e">
        <v>#N/A</v>
      </c>
      <c r="CZ1998" s="47" t="e">
        <v>#N/A</v>
      </c>
      <c r="DA1998">
        <v>0.11332468572476186</v>
      </c>
      <c r="DB1998" t="str">
        <v/>
      </c>
    </row>
    <row r="1999" spans="83:106" x14ac:dyDescent="0.2">
      <c r="CE1999"/>
      <c r="CF1999"/>
      <c r="CG1999"/>
      <c r="CH1999"/>
      <c r="CI1999"/>
      <c r="CU1999" s="21">
        <v>1994</v>
      </c>
      <c r="CV1999" s="41">
        <v>4</v>
      </c>
      <c r="CW1999" s="41">
        <v>0.11332468572476186</v>
      </c>
      <c r="CX1999" s="41" t="e">
        <v>#N/A</v>
      </c>
      <c r="CY1999" s="41" t="e">
        <v>#N/A</v>
      </c>
      <c r="CZ1999" s="47" t="e">
        <v>#N/A</v>
      </c>
      <c r="DA1999">
        <v>0.11332468572476186</v>
      </c>
      <c r="DB1999" t="str">
        <v/>
      </c>
    </row>
    <row r="2000" spans="83:106" x14ac:dyDescent="0.2">
      <c r="CE2000"/>
      <c r="CF2000"/>
      <c r="CG2000"/>
      <c r="CH2000"/>
      <c r="CI2000"/>
      <c r="CU2000" s="21">
        <v>1995</v>
      </c>
      <c r="CV2000" s="41">
        <v>4</v>
      </c>
      <c r="CW2000" s="41">
        <v>0.11332468572476186</v>
      </c>
      <c r="CX2000" s="41" t="e">
        <v>#N/A</v>
      </c>
      <c r="CY2000" s="41" t="e">
        <v>#N/A</v>
      </c>
      <c r="CZ2000" s="47" t="e">
        <v>#N/A</v>
      </c>
      <c r="DA2000">
        <v>0.11332468572476186</v>
      </c>
      <c r="DB2000" t="str">
        <v/>
      </c>
    </row>
    <row r="2001" spans="83:106" x14ac:dyDescent="0.2">
      <c r="CE2001"/>
      <c r="CF2001"/>
      <c r="CG2001"/>
      <c r="CH2001"/>
      <c r="CI2001"/>
      <c r="CU2001" s="21">
        <v>1996</v>
      </c>
      <c r="CV2001" s="41">
        <v>4</v>
      </c>
      <c r="CW2001" s="41">
        <v>0.11332468572476186</v>
      </c>
      <c r="CX2001" s="41" t="e">
        <v>#N/A</v>
      </c>
      <c r="CY2001" s="41" t="e">
        <v>#N/A</v>
      </c>
      <c r="CZ2001" s="47" t="e">
        <v>#N/A</v>
      </c>
      <c r="DA2001">
        <v>0.11332468572476186</v>
      </c>
      <c r="DB2001" t="str">
        <v/>
      </c>
    </row>
    <row r="2002" spans="83:106" x14ac:dyDescent="0.2">
      <c r="CE2002"/>
      <c r="CF2002"/>
      <c r="CG2002"/>
      <c r="CH2002"/>
      <c r="CI2002"/>
      <c r="CU2002" s="21">
        <v>1997</v>
      </c>
      <c r="CV2002" s="41">
        <v>4</v>
      </c>
      <c r="CW2002" s="41">
        <v>0.11332468572476186</v>
      </c>
      <c r="CX2002" s="41" t="e">
        <v>#N/A</v>
      </c>
      <c r="CY2002" s="41" t="e">
        <v>#N/A</v>
      </c>
      <c r="CZ2002" s="47" t="e">
        <v>#N/A</v>
      </c>
      <c r="DA2002">
        <v>0.11332468572476186</v>
      </c>
      <c r="DB2002" t="str">
        <v/>
      </c>
    </row>
    <row r="2003" spans="83:106" x14ac:dyDescent="0.2">
      <c r="CE2003"/>
      <c r="CF2003"/>
      <c r="CG2003"/>
      <c r="CH2003"/>
      <c r="CI2003"/>
      <c r="CU2003" s="21">
        <v>1998</v>
      </c>
      <c r="CV2003" s="41">
        <v>4</v>
      </c>
      <c r="CW2003" s="41">
        <v>0.11332468572476186</v>
      </c>
      <c r="CX2003" s="41" t="e">
        <v>#N/A</v>
      </c>
      <c r="CY2003" s="41" t="e">
        <v>#N/A</v>
      </c>
      <c r="CZ2003" s="47" t="e">
        <v>#N/A</v>
      </c>
      <c r="DA2003">
        <v>0.11332468572476186</v>
      </c>
      <c r="DB2003" t="str">
        <v/>
      </c>
    </row>
    <row r="2004" spans="83:106" x14ac:dyDescent="0.2">
      <c r="CE2004"/>
      <c r="CF2004"/>
      <c r="CG2004"/>
      <c r="CH2004"/>
      <c r="CI2004"/>
      <c r="CU2004" s="21">
        <v>1999</v>
      </c>
      <c r="CV2004" s="41">
        <v>4</v>
      </c>
      <c r="CW2004" s="41">
        <v>0.11332468572476186</v>
      </c>
      <c r="CX2004" s="41" t="e">
        <v>#N/A</v>
      </c>
      <c r="CY2004" s="41" t="e">
        <v>#N/A</v>
      </c>
      <c r="CZ2004" s="47" t="e">
        <v>#N/A</v>
      </c>
      <c r="DA2004">
        <v>0.11332468572476186</v>
      </c>
      <c r="DB2004" t="str">
        <v/>
      </c>
    </row>
    <row r="2005" spans="83:106" x14ac:dyDescent="0.2">
      <c r="CE2005"/>
      <c r="CF2005"/>
      <c r="CG2005"/>
      <c r="CH2005"/>
      <c r="CI2005"/>
      <c r="CU2005" s="21">
        <v>2000</v>
      </c>
      <c r="CV2005" s="41">
        <v>4</v>
      </c>
      <c r="CW2005" s="41">
        <v>0.11332468572476186</v>
      </c>
      <c r="CX2005" s="41" t="e">
        <v>#N/A</v>
      </c>
      <c r="CY2005" s="41" t="e">
        <v>#N/A</v>
      </c>
      <c r="CZ2005" s="47" t="e">
        <v>#N/A</v>
      </c>
      <c r="DA2005">
        <v>0.11332468572476186</v>
      </c>
      <c r="DB2005" t="str">
        <v/>
      </c>
    </row>
    <row r="2006" spans="83:106" x14ac:dyDescent="0.2">
      <c r="CE2006"/>
      <c r="CF2006"/>
      <c r="CG2006"/>
      <c r="CH2006"/>
      <c r="CI2006"/>
      <c r="CU2006" s="21">
        <v>2001</v>
      </c>
      <c r="CV2006" s="41">
        <v>4</v>
      </c>
      <c r="CW2006" s="41">
        <v>0.11332468572476186</v>
      </c>
      <c r="CX2006" s="41" t="e">
        <v>#N/A</v>
      </c>
      <c r="CY2006" s="41" t="e">
        <v>#N/A</v>
      </c>
      <c r="CZ2006" s="47" t="e">
        <v>#N/A</v>
      </c>
      <c r="DA2006">
        <v>0.11332468572476186</v>
      </c>
      <c r="DB2006" t="str">
        <v/>
      </c>
    </row>
    <row r="2007" spans="83:106" x14ac:dyDescent="0.2">
      <c r="CE2007"/>
      <c r="CF2007"/>
      <c r="CG2007"/>
      <c r="CH2007"/>
      <c r="CI2007"/>
      <c r="CU2007" s="21">
        <v>2002</v>
      </c>
      <c r="CV2007" s="41">
        <v>4</v>
      </c>
      <c r="CW2007" s="41">
        <v>0.11332468572476186</v>
      </c>
      <c r="CX2007" s="41" t="e">
        <v>#N/A</v>
      </c>
      <c r="CY2007" s="41" t="e">
        <v>#N/A</v>
      </c>
      <c r="CZ2007" s="47" t="e">
        <v>#N/A</v>
      </c>
      <c r="DA2007">
        <v>0.11332468572476186</v>
      </c>
      <c r="DB2007" t="str">
        <v/>
      </c>
    </row>
    <row r="2008" spans="83:106" x14ac:dyDescent="0.2">
      <c r="CE2008"/>
      <c r="CF2008"/>
      <c r="CG2008"/>
      <c r="CH2008"/>
      <c r="CI2008"/>
      <c r="CU2008" s="21">
        <v>2003</v>
      </c>
      <c r="CV2008" s="41">
        <v>4</v>
      </c>
      <c r="CW2008" s="41">
        <v>0.11332468572476186</v>
      </c>
      <c r="CX2008" s="41" t="e">
        <v>#N/A</v>
      </c>
      <c r="CY2008" s="41" t="e">
        <v>#N/A</v>
      </c>
      <c r="CZ2008" s="47" t="e">
        <v>#N/A</v>
      </c>
      <c r="DA2008">
        <v>0.11332468572476186</v>
      </c>
      <c r="DB2008" t="str">
        <v/>
      </c>
    </row>
    <row r="2009" spans="83:106" x14ac:dyDescent="0.2">
      <c r="CE2009"/>
      <c r="CF2009"/>
      <c r="CG2009"/>
      <c r="CH2009"/>
      <c r="CI2009"/>
      <c r="CU2009" s="21">
        <v>2004</v>
      </c>
      <c r="CV2009" s="41">
        <v>4</v>
      </c>
      <c r="CW2009" s="41">
        <v>0.11332468572476186</v>
      </c>
      <c r="CX2009" s="41" t="e">
        <v>#N/A</v>
      </c>
      <c r="CY2009" s="41" t="e">
        <v>#N/A</v>
      </c>
      <c r="CZ2009" s="47" t="e">
        <v>#N/A</v>
      </c>
      <c r="DA2009">
        <v>0.11332468572476186</v>
      </c>
      <c r="DB2009" t="str">
        <v/>
      </c>
    </row>
    <row r="2010" spans="83:106" x14ac:dyDescent="0.2">
      <c r="CE2010"/>
      <c r="CF2010"/>
      <c r="CG2010"/>
      <c r="CH2010"/>
      <c r="CI2010"/>
      <c r="CU2010" s="21">
        <v>2005</v>
      </c>
      <c r="CV2010" s="41">
        <v>4</v>
      </c>
      <c r="CW2010" s="41">
        <v>0.11332468572476186</v>
      </c>
      <c r="CX2010" s="41" t="e">
        <v>#N/A</v>
      </c>
      <c r="CY2010" s="41" t="e">
        <v>#N/A</v>
      </c>
      <c r="CZ2010" s="47" t="e">
        <v>#N/A</v>
      </c>
      <c r="DA2010">
        <v>0.11332468572476186</v>
      </c>
      <c r="DB2010" t="str">
        <v/>
      </c>
    </row>
    <row r="2011" spans="83:106" x14ac:dyDescent="0.2">
      <c r="CE2011"/>
      <c r="CF2011"/>
      <c r="CG2011"/>
      <c r="CH2011"/>
      <c r="CI2011"/>
      <c r="CU2011" s="21">
        <v>2006</v>
      </c>
      <c r="CV2011" s="41">
        <v>4</v>
      </c>
      <c r="CW2011" s="41">
        <v>0.11332468572476186</v>
      </c>
      <c r="CX2011" s="41" t="e">
        <v>#N/A</v>
      </c>
      <c r="CY2011" s="41" t="e">
        <v>#N/A</v>
      </c>
      <c r="CZ2011" s="47" t="e">
        <v>#N/A</v>
      </c>
      <c r="DA2011">
        <v>0.11332468572476186</v>
      </c>
      <c r="DB2011" t="str">
        <v/>
      </c>
    </row>
    <row r="2012" spans="83:106" x14ac:dyDescent="0.2">
      <c r="CE2012"/>
      <c r="CF2012"/>
      <c r="CG2012"/>
      <c r="CH2012"/>
      <c r="CI2012"/>
      <c r="CU2012" s="21">
        <v>2007</v>
      </c>
      <c r="CV2012" s="41">
        <v>4</v>
      </c>
      <c r="CW2012" s="41">
        <v>0.11332468572476186</v>
      </c>
      <c r="CX2012" s="41" t="e">
        <v>#N/A</v>
      </c>
      <c r="CY2012" s="41" t="e">
        <v>#N/A</v>
      </c>
      <c r="CZ2012" s="47" t="e">
        <v>#N/A</v>
      </c>
      <c r="DA2012">
        <v>0.11332468572476186</v>
      </c>
      <c r="DB2012" t="str">
        <v/>
      </c>
    </row>
    <row r="2013" spans="83:106" x14ac:dyDescent="0.2">
      <c r="CE2013"/>
      <c r="CF2013"/>
      <c r="CG2013"/>
      <c r="CH2013"/>
      <c r="CI2013"/>
      <c r="CU2013" s="21">
        <v>2008</v>
      </c>
      <c r="CV2013" s="41">
        <v>4</v>
      </c>
      <c r="CW2013" s="41">
        <v>0.11332468572476186</v>
      </c>
      <c r="CX2013" s="41" t="e">
        <v>#N/A</v>
      </c>
      <c r="CY2013" s="41" t="e">
        <v>#N/A</v>
      </c>
      <c r="CZ2013" s="47" t="e">
        <v>#N/A</v>
      </c>
      <c r="DA2013">
        <v>0.11332468572476186</v>
      </c>
      <c r="DB2013" t="str">
        <v/>
      </c>
    </row>
    <row r="2014" spans="83:106" x14ac:dyDescent="0.2">
      <c r="CE2014"/>
      <c r="CF2014"/>
      <c r="CG2014"/>
      <c r="CH2014"/>
      <c r="CI2014"/>
      <c r="CU2014" s="21">
        <v>2009</v>
      </c>
      <c r="CV2014" s="41">
        <v>4</v>
      </c>
      <c r="CW2014" s="41">
        <v>0.11332468572476186</v>
      </c>
      <c r="CX2014" s="41" t="e">
        <v>#N/A</v>
      </c>
      <c r="CY2014" s="41" t="e">
        <v>#N/A</v>
      </c>
      <c r="CZ2014" s="47" t="e">
        <v>#N/A</v>
      </c>
      <c r="DA2014">
        <v>0.11332468572476186</v>
      </c>
      <c r="DB2014" t="str">
        <v/>
      </c>
    </row>
    <row r="2015" spans="83:106" x14ac:dyDescent="0.2">
      <c r="CE2015"/>
      <c r="CF2015"/>
      <c r="CG2015"/>
      <c r="CH2015"/>
      <c r="CI2015"/>
      <c r="CU2015" s="21">
        <v>2010</v>
      </c>
      <c r="CV2015" s="41">
        <v>4</v>
      </c>
      <c r="CW2015" s="41">
        <v>0.11332468572476186</v>
      </c>
      <c r="CX2015" s="41" t="e">
        <v>#N/A</v>
      </c>
      <c r="CY2015" s="41" t="e">
        <v>#N/A</v>
      </c>
      <c r="CZ2015" s="47" t="e">
        <v>#N/A</v>
      </c>
      <c r="DA2015">
        <v>0.11332468572476186</v>
      </c>
      <c r="DB2015" t="str">
        <v/>
      </c>
    </row>
    <row r="2016" spans="83:106" x14ac:dyDescent="0.2">
      <c r="CE2016"/>
      <c r="CF2016"/>
      <c r="CG2016"/>
      <c r="CH2016"/>
      <c r="CI2016"/>
      <c r="CU2016" s="21">
        <v>2011</v>
      </c>
      <c r="CV2016" s="41">
        <v>4</v>
      </c>
      <c r="CW2016" s="41">
        <v>0.11332468572476186</v>
      </c>
      <c r="CX2016" s="41" t="e">
        <v>#N/A</v>
      </c>
      <c r="CY2016" s="41" t="e">
        <v>#N/A</v>
      </c>
      <c r="CZ2016" s="47" t="e">
        <v>#N/A</v>
      </c>
      <c r="DA2016">
        <v>0.11332468572476186</v>
      </c>
      <c r="DB2016" t="str">
        <v/>
      </c>
    </row>
    <row r="2017" spans="83:106" x14ac:dyDescent="0.2">
      <c r="CE2017"/>
      <c r="CF2017"/>
      <c r="CG2017"/>
      <c r="CH2017"/>
      <c r="CI2017"/>
      <c r="CU2017" s="21">
        <v>2012</v>
      </c>
      <c r="CV2017" s="41">
        <v>4</v>
      </c>
      <c r="CW2017" s="41">
        <v>0.11332468572476186</v>
      </c>
      <c r="CX2017" s="41" t="e">
        <v>#N/A</v>
      </c>
      <c r="CY2017" s="41" t="e">
        <v>#N/A</v>
      </c>
      <c r="CZ2017" s="47" t="e">
        <v>#N/A</v>
      </c>
      <c r="DA2017">
        <v>0.11332468572476186</v>
      </c>
      <c r="DB2017" t="str">
        <v/>
      </c>
    </row>
    <row r="2018" spans="83:106" x14ac:dyDescent="0.2">
      <c r="CE2018"/>
      <c r="CF2018"/>
      <c r="CG2018"/>
      <c r="CH2018"/>
      <c r="CI2018"/>
      <c r="CU2018" s="21">
        <v>2013</v>
      </c>
      <c r="CV2018" s="41">
        <v>4</v>
      </c>
      <c r="CW2018" s="41">
        <v>0.11332468572476186</v>
      </c>
      <c r="CX2018" s="41" t="e">
        <v>#N/A</v>
      </c>
      <c r="CY2018" s="41" t="e">
        <v>#N/A</v>
      </c>
      <c r="CZ2018" s="47" t="e">
        <v>#N/A</v>
      </c>
      <c r="DA2018">
        <v>0.11332468572476186</v>
      </c>
      <c r="DB2018" t="str">
        <v/>
      </c>
    </row>
    <row r="2019" spans="83:106" x14ac:dyDescent="0.2">
      <c r="CE2019"/>
      <c r="CF2019"/>
      <c r="CG2019"/>
      <c r="CH2019"/>
      <c r="CI2019"/>
      <c r="CU2019" s="21">
        <v>2014</v>
      </c>
      <c r="CV2019" s="41">
        <v>4</v>
      </c>
      <c r="CW2019" s="41">
        <v>0.11332468572476186</v>
      </c>
      <c r="CX2019" s="41" t="e">
        <v>#N/A</v>
      </c>
      <c r="CY2019" s="41" t="e">
        <v>#N/A</v>
      </c>
      <c r="CZ2019" s="47" t="e">
        <v>#N/A</v>
      </c>
      <c r="DA2019">
        <v>0.11332468572476186</v>
      </c>
      <c r="DB2019" t="str">
        <v/>
      </c>
    </row>
    <row r="2020" spans="83:106" x14ac:dyDescent="0.2">
      <c r="CE2020"/>
      <c r="CF2020"/>
      <c r="CG2020"/>
      <c r="CH2020"/>
      <c r="CI2020"/>
      <c r="CU2020" s="21">
        <v>2015</v>
      </c>
      <c r="CV2020" s="41">
        <v>4</v>
      </c>
      <c r="CW2020" s="41">
        <v>0.11332468572476186</v>
      </c>
      <c r="CX2020" s="41" t="e">
        <v>#N/A</v>
      </c>
      <c r="CY2020" s="41" t="e">
        <v>#N/A</v>
      </c>
      <c r="CZ2020" s="47" t="e">
        <v>#N/A</v>
      </c>
      <c r="DA2020">
        <v>0.11332468572476186</v>
      </c>
      <c r="DB2020" t="str">
        <v/>
      </c>
    </row>
    <row r="2021" spans="83:106" x14ac:dyDescent="0.2">
      <c r="CE2021"/>
      <c r="CF2021"/>
      <c r="CG2021"/>
      <c r="CH2021"/>
      <c r="CI2021"/>
      <c r="CU2021" s="21">
        <v>2016</v>
      </c>
      <c r="CV2021" s="41">
        <v>4</v>
      </c>
      <c r="CW2021" s="41">
        <v>0.11332468572476186</v>
      </c>
      <c r="CX2021" s="41" t="e">
        <v>#N/A</v>
      </c>
      <c r="CY2021" s="41" t="e">
        <v>#N/A</v>
      </c>
      <c r="CZ2021" s="47" t="e">
        <v>#N/A</v>
      </c>
      <c r="DA2021">
        <v>0.11332468572476186</v>
      </c>
      <c r="DB2021" t="str">
        <v/>
      </c>
    </row>
    <row r="2022" spans="83:106" x14ac:dyDescent="0.2">
      <c r="CE2022"/>
      <c r="CF2022"/>
      <c r="CG2022"/>
      <c r="CH2022"/>
      <c r="CI2022"/>
      <c r="CU2022" s="21">
        <v>2017</v>
      </c>
      <c r="CV2022" s="41">
        <v>4</v>
      </c>
      <c r="CW2022" s="41">
        <v>0.11332468572476186</v>
      </c>
      <c r="CX2022" s="41" t="e">
        <v>#N/A</v>
      </c>
      <c r="CY2022" s="41" t="e">
        <v>#N/A</v>
      </c>
      <c r="CZ2022" s="47" t="e">
        <v>#N/A</v>
      </c>
      <c r="DA2022">
        <v>0.11332468572476186</v>
      </c>
      <c r="DB2022" t="str">
        <v/>
      </c>
    </row>
    <row r="2023" spans="83:106" x14ac:dyDescent="0.2">
      <c r="CE2023"/>
      <c r="CF2023"/>
      <c r="CG2023"/>
      <c r="CH2023"/>
      <c r="CI2023"/>
      <c r="CU2023" s="21">
        <v>2018</v>
      </c>
      <c r="CV2023" s="41">
        <v>4</v>
      </c>
      <c r="CW2023" s="41">
        <v>0.11332468572476186</v>
      </c>
      <c r="CX2023" s="41" t="e">
        <v>#N/A</v>
      </c>
      <c r="CY2023" s="41" t="e">
        <v>#N/A</v>
      </c>
      <c r="CZ2023" s="47" t="e">
        <v>#N/A</v>
      </c>
      <c r="DA2023">
        <v>0.11332468572476186</v>
      </c>
      <c r="DB2023" t="str">
        <v/>
      </c>
    </row>
    <row r="2024" spans="83:106" x14ac:dyDescent="0.2">
      <c r="CE2024"/>
      <c r="CF2024"/>
      <c r="CG2024"/>
      <c r="CH2024"/>
      <c r="CI2024"/>
      <c r="CU2024" s="21">
        <v>2019</v>
      </c>
      <c r="CV2024" s="41">
        <v>4</v>
      </c>
      <c r="CW2024" s="41">
        <v>0.11332468572476186</v>
      </c>
      <c r="CX2024" s="41" t="e">
        <v>#N/A</v>
      </c>
      <c r="CY2024" s="41" t="e">
        <v>#N/A</v>
      </c>
      <c r="CZ2024" s="47" t="e">
        <v>#N/A</v>
      </c>
      <c r="DA2024">
        <v>0.11332468572476186</v>
      </c>
      <c r="DB2024" t="str">
        <v/>
      </c>
    </row>
    <row r="2025" spans="83:106" x14ac:dyDescent="0.2">
      <c r="CE2025"/>
      <c r="CF2025"/>
      <c r="CG2025"/>
      <c r="CH2025"/>
      <c r="CI2025"/>
      <c r="CU2025" s="21">
        <v>2020</v>
      </c>
      <c r="CV2025" s="41">
        <v>4</v>
      </c>
      <c r="CW2025" s="41">
        <v>0.11332468572476186</v>
      </c>
      <c r="CX2025" s="41" t="e">
        <v>#N/A</v>
      </c>
      <c r="CY2025" s="41" t="e">
        <v>#N/A</v>
      </c>
      <c r="CZ2025" s="47" t="e">
        <v>#N/A</v>
      </c>
      <c r="DA2025">
        <v>0.11332468572476186</v>
      </c>
      <c r="DB2025" t="str">
        <v/>
      </c>
    </row>
    <row r="2026" spans="83:106" x14ac:dyDescent="0.2">
      <c r="CE2026"/>
      <c r="CF2026"/>
      <c r="CG2026"/>
      <c r="CH2026"/>
      <c r="CI2026"/>
      <c r="CU2026" s="21">
        <v>2021</v>
      </c>
      <c r="CV2026" s="41">
        <v>4</v>
      </c>
      <c r="CW2026" s="41">
        <v>0.11332468572476186</v>
      </c>
      <c r="CX2026" s="41" t="e">
        <v>#N/A</v>
      </c>
      <c r="CY2026" s="41" t="e">
        <v>#N/A</v>
      </c>
      <c r="CZ2026" s="47" t="e">
        <v>#N/A</v>
      </c>
      <c r="DA2026">
        <v>0.11332468572476186</v>
      </c>
      <c r="DB2026" t="str">
        <v/>
      </c>
    </row>
    <row r="2027" spans="83:106" x14ac:dyDescent="0.2">
      <c r="CE2027"/>
      <c r="CF2027"/>
      <c r="CG2027"/>
      <c r="CH2027"/>
      <c r="CI2027"/>
      <c r="CU2027" s="21">
        <v>2022</v>
      </c>
      <c r="CV2027" s="41">
        <v>4</v>
      </c>
      <c r="CW2027" s="41">
        <v>0.11332468572476186</v>
      </c>
      <c r="CX2027" s="41" t="e">
        <v>#N/A</v>
      </c>
      <c r="CY2027" s="41" t="e">
        <v>#N/A</v>
      </c>
      <c r="CZ2027" s="47" t="e">
        <v>#N/A</v>
      </c>
      <c r="DA2027">
        <v>0.11332468572476186</v>
      </c>
      <c r="DB2027" t="str">
        <v/>
      </c>
    </row>
    <row r="2028" spans="83:106" x14ac:dyDescent="0.2">
      <c r="CE2028"/>
      <c r="CF2028"/>
      <c r="CG2028"/>
      <c r="CH2028"/>
      <c r="CI2028"/>
      <c r="CU2028" s="21">
        <v>2023</v>
      </c>
      <c r="CV2028" s="41">
        <v>4</v>
      </c>
      <c r="CW2028" s="41">
        <v>0.11332468572476186</v>
      </c>
      <c r="CX2028" s="41" t="e">
        <v>#N/A</v>
      </c>
      <c r="CY2028" s="41" t="e">
        <v>#N/A</v>
      </c>
      <c r="CZ2028" s="47" t="e">
        <v>#N/A</v>
      </c>
      <c r="DA2028">
        <v>0.11332468572476186</v>
      </c>
      <c r="DB2028" t="str">
        <v/>
      </c>
    </row>
    <row r="2029" spans="83:106" x14ac:dyDescent="0.2">
      <c r="CE2029"/>
      <c r="CF2029"/>
      <c r="CG2029"/>
      <c r="CH2029"/>
      <c r="CI2029"/>
      <c r="CU2029" s="21">
        <v>2024</v>
      </c>
      <c r="CV2029" s="41">
        <v>4</v>
      </c>
      <c r="CW2029" s="41">
        <v>0.11332468572476186</v>
      </c>
      <c r="CX2029" s="41" t="e">
        <v>#N/A</v>
      </c>
      <c r="CY2029" s="41" t="e">
        <v>#N/A</v>
      </c>
      <c r="CZ2029" s="47" t="e">
        <v>#N/A</v>
      </c>
      <c r="DA2029">
        <v>0.11332468572476186</v>
      </c>
      <c r="DB2029" t="str">
        <v/>
      </c>
    </row>
    <row r="2030" spans="83:106" x14ac:dyDescent="0.2">
      <c r="CE2030"/>
      <c r="CF2030"/>
      <c r="CG2030"/>
      <c r="CH2030"/>
      <c r="CI2030"/>
      <c r="CU2030" s="21">
        <v>2025</v>
      </c>
      <c r="CV2030" s="41">
        <v>4</v>
      </c>
      <c r="CW2030" s="41">
        <v>0.11332468572476186</v>
      </c>
      <c r="CX2030" s="41" t="e">
        <v>#N/A</v>
      </c>
      <c r="CY2030" s="41" t="e">
        <v>#N/A</v>
      </c>
      <c r="CZ2030" s="47" t="e">
        <v>#N/A</v>
      </c>
      <c r="DA2030">
        <v>0.11332468572476186</v>
      </c>
      <c r="DB2030" t="str">
        <v/>
      </c>
    </row>
    <row r="2031" spans="83:106" x14ac:dyDescent="0.2">
      <c r="CE2031"/>
      <c r="CF2031"/>
      <c r="CG2031"/>
      <c r="CH2031"/>
      <c r="CI2031"/>
      <c r="CU2031" s="21">
        <v>2026</v>
      </c>
      <c r="CV2031" s="41">
        <v>4</v>
      </c>
      <c r="CW2031" s="41">
        <v>0.11332468572476186</v>
      </c>
      <c r="CX2031" s="41" t="e">
        <v>#N/A</v>
      </c>
      <c r="CY2031" s="41" t="e">
        <v>#N/A</v>
      </c>
      <c r="CZ2031" s="47" t="e">
        <v>#N/A</v>
      </c>
      <c r="DA2031">
        <v>0.11332468572476186</v>
      </c>
      <c r="DB2031" t="str">
        <v/>
      </c>
    </row>
    <row r="2032" spans="83:106" x14ac:dyDescent="0.2">
      <c r="CE2032"/>
      <c r="CF2032"/>
      <c r="CG2032"/>
      <c r="CH2032"/>
      <c r="CI2032"/>
      <c r="CU2032" s="21">
        <v>2027</v>
      </c>
      <c r="CV2032" s="41">
        <v>4</v>
      </c>
      <c r="CW2032" s="41">
        <v>0.11332468572476186</v>
      </c>
      <c r="CX2032" s="41" t="e">
        <v>#N/A</v>
      </c>
      <c r="CY2032" s="41" t="e">
        <v>#N/A</v>
      </c>
      <c r="CZ2032" s="47" t="e">
        <v>#N/A</v>
      </c>
      <c r="DA2032">
        <v>0.11332468572476186</v>
      </c>
      <c r="DB2032" t="str">
        <v/>
      </c>
    </row>
    <row r="2033" spans="83:106" x14ac:dyDescent="0.2">
      <c r="CE2033"/>
      <c r="CF2033"/>
      <c r="CG2033"/>
      <c r="CH2033"/>
      <c r="CI2033"/>
      <c r="CU2033" s="21">
        <v>2028</v>
      </c>
      <c r="CV2033" s="41">
        <v>4</v>
      </c>
      <c r="CW2033" s="41">
        <v>0.11332468572476186</v>
      </c>
      <c r="CX2033" s="41" t="e">
        <v>#N/A</v>
      </c>
      <c r="CY2033" s="41" t="e">
        <v>#N/A</v>
      </c>
      <c r="CZ2033" s="47" t="e">
        <v>#N/A</v>
      </c>
      <c r="DA2033">
        <v>0.11332468572476186</v>
      </c>
      <c r="DB2033" t="str">
        <v/>
      </c>
    </row>
    <row r="2034" spans="83:106" x14ac:dyDescent="0.2">
      <c r="CE2034"/>
      <c r="CF2034"/>
      <c r="CG2034"/>
      <c r="CH2034"/>
      <c r="CI2034"/>
      <c r="CU2034" s="21">
        <v>2029</v>
      </c>
      <c r="CV2034" s="41">
        <v>4</v>
      </c>
      <c r="CW2034" s="41">
        <v>0.11332468572476186</v>
      </c>
      <c r="CX2034" s="41" t="e">
        <v>#N/A</v>
      </c>
      <c r="CY2034" s="41" t="e">
        <v>#N/A</v>
      </c>
      <c r="CZ2034" s="47" t="e">
        <v>#N/A</v>
      </c>
      <c r="DA2034">
        <v>0.11332468572476186</v>
      </c>
      <c r="DB2034" t="str">
        <v/>
      </c>
    </row>
    <row r="2035" spans="83:106" x14ac:dyDescent="0.2">
      <c r="CE2035"/>
      <c r="CF2035"/>
      <c r="CG2035"/>
      <c r="CH2035"/>
      <c r="CI2035"/>
      <c r="CU2035" s="21">
        <v>2030</v>
      </c>
      <c r="CV2035" s="41">
        <v>4</v>
      </c>
      <c r="CW2035" s="41">
        <v>0.11332468572476186</v>
      </c>
      <c r="CX2035" s="41" t="e">
        <v>#N/A</v>
      </c>
      <c r="CY2035" s="41" t="e">
        <v>#N/A</v>
      </c>
      <c r="CZ2035" s="47" t="e">
        <v>#N/A</v>
      </c>
      <c r="DA2035">
        <v>0.11332468572476186</v>
      </c>
      <c r="DB2035" t="str">
        <v/>
      </c>
    </row>
    <row r="2036" spans="83:106" x14ac:dyDescent="0.2">
      <c r="CE2036"/>
      <c r="CF2036"/>
      <c r="CG2036"/>
      <c r="CH2036"/>
      <c r="CI2036"/>
      <c r="CU2036" s="21">
        <v>2031</v>
      </c>
      <c r="CV2036" s="41">
        <v>4</v>
      </c>
      <c r="CW2036" s="41">
        <v>0.11332468572476186</v>
      </c>
      <c r="CX2036" s="41" t="e">
        <v>#N/A</v>
      </c>
      <c r="CY2036" s="41" t="e">
        <v>#N/A</v>
      </c>
      <c r="CZ2036" s="47" t="e">
        <v>#N/A</v>
      </c>
      <c r="DA2036">
        <v>0.11332468572476186</v>
      </c>
      <c r="DB2036" t="str">
        <v/>
      </c>
    </row>
    <row r="2037" spans="83:106" x14ac:dyDescent="0.2">
      <c r="CE2037"/>
      <c r="CF2037"/>
      <c r="CG2037"/>
      <c r="CH2037"/>
      <c r="CI2037"/>
      <c r="CU2037" s="21">
        <v>2032</v>
      </c>
      <c r="CV2037" s="41">
        <v>4</v>
      </c>
      <c r="CW2037" s="41">
        <v>0.11332468572476186</v>
      </c>
      <c r="CX2037" s="41" t="e">
        <v>#N/A</v>
      </c>
      <c r="CY2037" s="41" t="e">
        <v>#N/A</v>
      </c>
      <c r="CZ2037" s="47" t="e">
        <v>#N/A</v>
      </c>
      <c r="DA2037">
        <v>0.11332468572476186</v>
      </c>
      <c r="DB2037" t="str">
        <v/>
      </c>
    </row>
    <row r="2038" spans="83:106" x14ac:dyDescent="0.2">
      <c r="CE2038"/>
      <c r="CF2038"/>
      <c r="CG2038"/>
      <c r="CH2038"/>
      <c r="CI2038"/>
      <c r="CU2038" s="21">
        <v>2033</v>
      </c>
      <c r="CV2038" s="41">
        <v>4</v>
      </c>
      <c r="CW2038" s="41">
        <v>0.11332468572476186</v>
      </c>
      <c r="CX2038" s="41" t="e">
        <v>#N/A</v>
      </c>
      <c r="CY2038" s="41" t="e">
        <v>#N/A</v>
      </c>
      <c r="CZ2038" s="47" t="e">
        <v>#N/A</v>
      </c>
      <c r="DA2038">
        <v>0.11332468572476186</v>
      </c>
      <c r="DB2038" t="str">
        <v/>
      </c>
    </row>
    <row r="2039" spans="83:106" x14ac:dyDescent="0.2">
      <c r="CE2039"/>
      <c r="CF2039"/>
      <c r="CG2039"/>
      <c r="CH2039"/>
      <c r="CI2039"/>
      <c r="CU2039" s="21">
        <v>2034</v>
      </c>
      <c r="CV2039" s="41">
        <v>4</v>
      </c>
      <c r="CW2039" s="41">
        <v>0.11332468572476186</v>
      </c>
      <c r="CX2039" s="41" t="e">
        <v>#N/A</v>
      </c>
      <c r="CY2039" s="41" t="e">
        <v>#N/A</v>
      </c>
      <c r="CZ2039" s="47" t="e">
        <v>#N/A</v>
      </c>
      <c r="DA2039">
        <v>0.11332468572476186</v>
      </c>
      <c r="DB2039" t="str">
        <v/>
      </c>
    </row>
    <row r="2040" spans="83:106" x14ac:dyDescent="0.2">
      <c r="CE2040"/>
      <c r="CF2040"/>
      <c r="CG2040"/>
      <c r="CH2040"/>
      <c r="CI2040"/>
      <c r="CU2040" s="21">
        <v>2035</v>
      </c>
      <c r="CV2040" s="41">
        <v>4</v>
      </c>
      <c r="CW2040" s="41">
        <v>0.11332468572476186</v>
      </c>
      <c r="CX2040" s="41" t="e">
        <v>#N/A</v>
      </c>
      <c r="CY2040" s="41" t="e">
        <v>#N/A</v>
      </c>
      <c r="CZ2040" s="47" t="e">
        <v>#N/A</v>
      </c>
      <c r="DA2040">
        <v>0.11332468572476186</v>
      </c>
      <c r="DB2040" t="str">
        <v/>
      </c>
    </row>
    <row r="2041" spans="83:106" x14ac:dyDescent="0.2">
      <c r="CE2041"/>
      <c r="CF2041"/>
      <c r="CG2041"/>
      <c r="CH2041"/>
      <c r="CI2041"/>
      <c r="CU2041" s="21">
        <v>2036</v>
      </c>
      <c r="CV2041" s="41">
        <v>4</v>
      </c>
      <c r="CW2041" s="41">
        <v>0.11332468572476186</v>
      </c>
      <c r="CX2041" s="41" t="e">
        <v>#N/A</v>
      </c>
      <c r="CY2041" s="41" t="e">
        <v>#N/A</v>
      </c>
      <c r="CZ2041" s="47" t="e">
        <v>#N/A</v>
      </c>
      <c r="DA2041">
        <v>0.11332468572476186</v>
      </c>
      <c r="DB2041" t="str">
        <v/>
      </c>
    </row>
    <row r="2042" spans="83:106" x14ac:dyDescent="0.2">
      <c r="CE2042"/>
      <c r="CF2042"/>
      <c r="CG2042"/>
      <c r="CH2042"/>
      <c r="CI2042"/>
      <c r="CU2042" s="21">
        <v>2037</v>
      </c>
      <c r="CV2042" s="41">
        <v>4</v>
      </c>
      <c r="CW2042" s="41">
        <v>0.11332468572476186</v>
      </c>
      <c r="CX2042" s="41" t="e">
        <v>#N/A</v>
      </c>
      <c r="CY2042" s="41" t="e">
        <v>#N/A</v>
      </c>
      <c r="CZ2042" s="47" t="e">
        <v>#N/A</v>
      </c>
      <c r="DA2042">
        <v>0.11332468572476186</v>
      </c>
      <c r="DB2042" t="str">
        <v/>
      </c>
    </row>
    <row r="2043" spans="83:106" x14ac:dyDescent="0.2">
      <c r="CE2043"/>
      <c r="CF2043"/>
      <c r="CG2043"/>
      <c r="CH2043"/>
      <c r="CI2043"/>
      <c r="CU2043" s="21">
        <v>2038</v>
      </c>
      <c r="CV2043" s="41">
        <v>4</v>
      </c>
      <c r="CW2043" s="41">
        <v>0.11332468572476186</v>
      </c>
      <c r="CX2043" s="41" t="e">
        <v>#N/A</v>
      </c>
      <c r="CY2043" s="41" t="e">
        <v>#N/A</v>
      </c>
      <c r="CZ2043" s="47" t="e">
        <v>#N/A</v>
      </c>
      <c r="DA2043">
        <v>0.11332468572476186</v>
      </c>
      <c r="DB2043" t="str">
        <v/>
      </c>
    </row>
    <row r="2044" spans="83:106" x14ac:dyDescent="0.2">
      <c r="CE2044"/>
      <c r="CF2044"/>
      <c r="CG2044"/>
      <c r="CH2044"/>
      <c r="CI2044"/>
      <c r="CU2044" s="21">
        <v>2039</v>
      </c>
      <c r="CV2044" s="41">
        <v>4</v>
      </c>
      <c r="CW2044" s="41">
        <v>0.11332468572476186</v>
      </c>
      <c r="CX2044" s="41" t="e">
        <v>#N/A</v>
      </c>
      <c r="CY2044" s="41" t="e">
        <v>#N/A</v>
      </c>
      <c r="CZ2044" s="47" t="e">
        <v>#N/A</v>
      </c>
      <c r="DA2044">
        <v>0.11332468572476186</v>
      </c>
      <c r="DB2044" t="str">
        <v/>
      </c>
    </row>
    <row r="2045" spans="83:106" x14ac:dyDescent="0.2">
      <c r="CE2045"/>
      <c r="CF2045"/>
      <c r="CG2045"/>
      <c r="CH2045"/>
      <c r="CI2045"/>
      <c r="CU2045" s="21">
        <v>2040</v>
      </c>
      <c r="CV2045" s="41">
        <v>4</v>
      </c>
      <c r="CW2045" s="41">
        <v>0.11332468572476186</v>
      </c>
      <c r="CX2045" s="41" t="e">
        <v>#N/A</v>
      </c>
      <c r="CY2045" s="41" t="e">
        <v>#N/A</v>
      </c>
      <c r="CZ2045" s="47" t="e">
        <v>#N/A</v>
      </c>
      <c r="DA2045">
        <v>0.11332468572476186</v>
      </c>
      <c r="DB2045" t="str">
        <v/>
      </c>
    </row>
    <row r="2046" spans="83:106" x14ac:dyDescent="0.2">
      <c r="CE2046"/>
      <c r="CF2046"/>
      <c r="CG2046"/>
      <c r="CH2046"/>
      <c r="CI2046"/>
      <c r="CU2046" s="21">
        <v>2041</v>
      </c>
      <c r="CV2046" s="41">
        <v>4</v>
      </c>
      <c r="CW2046" s="41">
        <v>0.11332468572476186</v>
      </c>
      <c r="CX2046" s="41" t="e">
        <v>#N/A</v>
      </c>
      <c r="CY2046" s="41" t="e">
        <v>#N/A</v>
      </c>
      <c r="CZ2046" s="47" t="e">
        <v>#N/A</v>
      </c>
      <c r="DA2046">
        <v>0.11332468572476186</v>
      </c>
      <c r="DB2046" t="str">
        <v/>
      </c>
    </row>
    <row r="2047" spans="83:106" x14ac:dyDescent="0.2">
      <c r="CE2047"/>
      <c r="CF2047"/>
      <c r="CG2047"/>
      <c r="CH2047"/>
      <c r="CI2047"/>
      <c r="CU2047" s="21">
        <v>2042</v>
      </c>
      <c r="CV2047" s="41">
        <v>4</v>
      </c>
      <c r="CW2047" s="41">
        <v>0.11332468572476186</v>
      </c>
      <c r="CX2047" s="41" t="e">
        <v>#N/A</v>
      </c>
      <c r="CY2047" s="41" t="e">
        <v>#N/A</v>
      </c>
      <c r="CZ2047" s="47" t="e">
        <v>#N/A</v>
      </c>
      <c r="DA2047">
        <v>0.11332468572476186</v>
      </c>
      <c r="DB2047" t="str">
        <v/>
      </c>
    </row>
    <row r="2048" spans="83:106" x14ac:dyDescent="0.2">
      <c r="CE2048"/>
      <c r="CF2048"/>
      <c r="CG2048"/>
      <c r="CH2048"/>
      <c r="CI2048"/>
      <c r="CU2048" s="21">
        <v>2043</v>
      </c>
      <c r="CV2048" s="41">
        <v>4</v>
      </c>
      <c r="CW2048" s="41">
        <v>0.11332468572476186</v>
      </c>
      <c r="CX2048" s="41" t="e">
        <v>#N/A</v>
      </c>
      <c r="CY2048" s="41" t="e">
        <v>#N/A</v>
      </c>
      <c r="CZ2048" s="47" t="e">
        <v>#N/A</v>
      </c>
      <c r="DA2048">
        <v>0.11332468572476186</v>
      </c>
      <c r="DB2048" t="str">
        <v/>
      </c>
    </row>
    <row r="2049" spans="83:106" x14ac:dyDescent="0.2">
      <c r="CE2049"/>
      <c r="CF2049"/>
      <c r="CG2049"/>
      <c r="CH2049"/>
      <c r="CI2049"/>
      <c r="CU2049" s="21">
        <v>2044</v>
      </c>
      <c r="CV2049" s="41">
        <v>4</v>
      </c>
      <c r="CW2049" s="41">
        <v>0.11332468572476186</v>
      </c>
      <c r="CX2049" s="41" t="e">
        <v>#N/A</v>
      </c>
      <c r="CY2049" s="41" t="e">
        <v>#N/A</v>
      </c>
      <c r="CZ2049" s="47" t="e">
        <v>#N/A</v>
      </c>
      <c r="DA2049">
        <v>0.11332468572476186</v>
      </c>
      <c r="DB2049" t="str">
        <v/>
      </c>
    </row>
    <row r="2050" spans="83:106" x14ac:dyDescent="0.2">
      <c r="CE2050"/>
      <c r="CF2050"/>
      <c r="CG2050"/>
      <c r="CH2050"/>
      <c r="CI2050"/>
      <c r="CU2050" s="21">
        <v>2045</v>
      </c>
      <c r="CV2050" s="41">
        <v>4</v>
      </c>
      <c r="CW2050" s="41">
        <v>0.11332468572476186</v>
      </c>
      <c r="CX2050" s="41" t="e">
        <v>#N/A</v>
      </c>
      <c r="CY2050" s="41" t="e">
        <v>#N/A</v>
      </c>
      <c r="CZ2050" s="47" t="e">
        <v>#N/A</v>
      </c>
      <c r="DA2050">
        <v>0.11332468572476186</v>
      </c>
      <c r="DB2050" t="str">
        <v/>
      </c>
    </row>
    <row r="2051" spans="83:106" x14ac:dyDescent="0.2">
      <c r="CE2051"/>
      <c r="CF2051"/>
      <c r="CG2051"/>
      <c r="CH2051"/>
      <c r="CI2051"/>
      <c r="CU2051" s="21">
        <v>2046</v>
      </c>
      <c r="CV2051" s="41">
        <v>4</v>
      </c>
      <c r="CW2051" s="41">
        <v>0.11332468572476186</v>
      </c>
      <c r="CX2051" s="41" t="e">
        <v>#N/A</v>
      </c>
      <c r="CY2051" s="41" t="e">
        <v>#N/A</v>
      </c>
      <c r="CZ2051" s="47" t="e">
        <v>#N/A</v>
      </c>
      <c r="DA2051">
        <v>0.11332468572476186</v>
      </c>
      <c r="DB2051" t="str">
        <v/>
      </c>
    </row>
    <row r="2052" spans="83:106" x14ac:dyDescent="0.2">
      <c r="CE2052"/>
      <c r="CF2052"/>
      <c r="CG2052"/>
      <c r="CH2052"/>
      <c r="CI2052"/>
      <c r="CU2052" s="21">
        <v>2047</v>
      </c>
      <c r="CV2052" s="41">
        <v>4</v>
      </c>
      <c r="CW2052" s="41">
        <v>0.11332468572476186</v>
      </c>
      <c r="CX2052" s="41" t="e">
        <v>#N/A</v>
      </c>
      <c r="CY2052" s="41" t="e">
        <v>#N/A</v>
      </c>
      <c r="CZ2052" s="47" t="e">
        <v>#N/A</v>
      </c>
      <c r="DA2052">
        <v>0.11332468572476186</v>
      </c>
      <c r="DB2052" t="str">
        <v/>
      </c>
    </row>
    <row r="2053" spans="83:106" x14ac:dyDescent="0.2">
      <c r="CE2053"/>
      <c r="CF2053"/>
      <c r="CG2053"/>
      <c r="CH2053"/>
      <c r="CI2053"/>
      <c r="CU2053" s="21">
        <v>2048</v>
      </c>
      <c r="CV2053" s="41">
        <v>4</v>
      </c>
      <c r="CW2053" s="41">
        <v>0.11332468572476186</v>
      </c>
      <c r="CX2053" s="41" t="e">
        <v>#N/A</v>
      </c>
      <c r="CY2053" s="41" t="e">
        <v>#N/A</v>
      </c>
      <c r="CZ2053" s="47" t="e">
        <v>#N/A</v>
      </c>
      <c r="DA2053">
        <v>0.11332468572476186</v>
      </c>
      <c r="DB2053" t="str">
        <v/>
      </c>
    </row>
    <row r="2054" spans="83:106" x14ac:dyDescent="0.2">
      <c r="CE2054"/>
      <c r="CF2054"/>
      <c r="CG2054"/>
      <c r="CH2054"/>
      <c r="CI2054"/>
      <c r="CU2054" s="21">
        <v>2049</v>
      </c>
      <c r="CV2054" s="41">
        <v>4</v>
      </c>
      <c r="CW2054" s="41">
        <v>0.11332468572476186</v>
      </c>
      <c r="CX2054" s="41" t="e">
        <v>#N/A</v>
      </c>
      <c r="CY2054" s="41" t="e">
        <v>#N/A</v>
      </c>
      <c r="CZ2054" s="47" t="e">
        <v>#N/A</v>
      </c>
      <c r="DA2054">
        <v>0.11332468572476186</v>
      </c>
      <c r="DB2054" t="str">
        <v/>
      </c>
    </row>
    <row r="2055" spans="83:106" x14ac:dyDescent="0.2">
      <c r="CE2055"/>
      <c r="CF2055"/>
      <c r="CG2055"/>
      <c r="CH2055"/>
      <c r="CI2055"/>
      <c r="CU2055" s="21">
        <v>2050</v>
      </c>
      <c r="CV2055" s="41">
        <v>4</v>
      </c>
      <c r="CW2055" s="41">
        <v>0.11332468572476186</v>
      </c>
      <c r="CX2055" s="41" t="e">
        <v>#N/A</v>
      </c>
      <c r="CY2055" s="41" t="e">
        <v>#N/A</v>
      </c>
      <c r="CZ2055" s="47" t="e">
        <v>#N/A</v>
      </c>
      <c r="DA2055">
        <v>0.11332468572476186</v>
      </c>
      <c r="DB2055" t="str">
        <v/>
      </c>
    </row>
    <row r="2056" spans="83:106" x14ac:dyDescent="0.2">
      <c r="CE2056"/>
      <c r="CF2056"/>
      <c r="CG2056"/>
      <c r="CH2056"/>
      <c r="CI2056"/>
      <c r="CU2056" s="21">
        <v>2051</v>
      </c>
      <c r="CV2056" s="41">
        <v>4</v>
      </c>
      <c r="CW2056" s="41">
        <v>0.11332468572476186</v>
      </c>
      <c r="CX2056" s="41" t="e">
        <v>#N/A</v>
      </c>
      <c r="CY2056" s="41" t="e">
        <v>#N/A</v>
      </c>
      <c r="CZ2056" s="47" t="e">
        <v>#N/A</v>
      </c>
      <c r="DA2056">
        <v>0.11332468572476186</v>
      </c>
      <c r="DB2056" t="str">
        <v/>
      </c>
    </row>
    <row r="2057" spans="83:106" x14ac:dyDescent="0.2">
      <c r="CE2057"/>
      <c r="CF2057"/>
      <c r="CG2057"/>
      <c r="CH2057"/>
      <c r="CI2057"/>
      <c r="CU2057" s="21">
        <v>2052</v>
      </c>
      <c r="CV2057" s="41">
        <v>4</v>
      </c>
      <c r="CW2057" s="41">
        <v>0.11332468572476186</v>
      </c>
      <c r="CX2057" s="41" t="e">
        <v>#N/A</v>
      </c>
      <c r="CY2057" s="41" t="e">
        <v>#N/A</v>
      </c>
      <c r="CZ2057" s="47" t="e">
        <v>#N/A</v>
      </c>
      <c r="DA2057">
        <v>0.11332468572476186</v>
      </c>
      <c r="DB2057" t="str">
        <v/>
      </c>
    </row>
    <row r="2058" spans="83:106" x14ac:dyDescent="0.2">
      <c r="CE2058"/>
      <c r="CF2058"/>
      <c r="CG2058"/>
      <c r="CH2058"/>
      <c r="CI2058"/>
      <c r="CU2058" s="21">
        <v>2053</v>
      </c>
      <c r="CV2058" s="41">
        <v>4</v>
      </c>
      <c r="CW2058" s="41">
        <v>0.11332468572476186</v>
      </c>
      <c r="CX2058" s="41" t="e">
        <v>#N/A</v>
      </c>
      <c r="CY2058" s="41" t="e">
        <v>#N/A</v>
      </c>
      <c r="CZ2058" s="47" t="e">
        <v>#N/A</v>
      </c>
      <c r="DA2058">
        <v>0.11332468572476186</v>
      </c>
      <c r="DB2058" t="str">
        <v/>
      </c>
    </row>
    <row r="2059" spans="83:106" x14ac:dyDescent="0.2">
      <c r="CE2059"/>
      <c r="CF2059"/>
      <c r="CG2059"/>
      <c r="CH2059"/>
      <c r="CI2059"/>
      <c r="CU2059" s="21">
        <v>2054</v>
      </c>
      <c r="CV2059" s="41">
        <v>4</v>
      </c>
      <c r="CW2059" s="41">
        <v>0.11332468572476186</v>
      </c>
      <c r="CX2059" s="41" t="e">
        <v>#N/A</v>
      </c>
      <c r="CY2059" s="41" t="e">
        <v>#N/A</v>
      </c>
      <c r="CZ2059" s="47" t="e">
        <v>#N/A</v>
      </c>
      <c r="DA2059">
        <v>0.11332468572476186</v>
      </c>
      <c r="DB2059" t="str">
        <v/>
      </c>
    </row>
    <row r="2060" spans="83:106" x14ac:dyDescent="0.2">
      <c r="CE2060"/>
      <c r="CF2060"/>
      <c r="CG2060"/>
      <c r="CH2060"/>
      <c r="CI2060"/>
      <c r="CU2060" s="21">
        <v>2055</v>
      </c>
      <c r="CV2060" s="41">
        <v>4</v>
      </c>
      <c r="CW2060" s="41">
        <v>0.11332468572476186</v>
      </c>
      <c r="CX2060" s="41" t="e">
        <v>#N/A</v>
      </c>
      <c r="CY2060" s="41" t="e">
        <v>#N/A</v>
      </c>
      <c r="CZ2060" s="47" t="e">
        <v>#N/A</v>
      </c>
      <c r="DA2060">
        <v>0.11332468572476186</v>
      </c>
      <c r="DB2060" t="str">
        <v/>
      </c>
    </row>
    <row r="2061" spans="83:106" x14ac:dyDescent="0.2">
      <c r="CE2061"/>
      <c r="CF2061"/>
      <c r="CG2061"/>
      <c r="CH2061"/>
      <c r="CI2061"/>
      <c r="CU2061" s="21">
        <v>2056</v>
      </c>
      <c r="CV2061" s="41">
        <v>4</v>
      </c>
      <c r="CW2061" s="41">
        <v>0.11332468572476186</v>
      </c>
      <c r="CX2061" s="41" t="e">
        <v>#N/A</v>
      </c>
      <c r="CY2061" s="41" t="e">
        <v>#N/A</v>
      </c>
      <c r="CZ2061" s="47" t="e">
        <v>#N/A</v>
      </c>
      <c r="DA2061">
        <v>0.11332468572476186</v>
      </c>
      <c r="DB2061" t="str">
        <v/>
      </c>
    </row>
    <row r="2062" spans="83:106" x14ac:dyDescent="0.2">
      <c r="CE2062"/>
      <c r="CF2062"/>
      <c r="CG2062"/>
      <c r="CH2062"/>
      <c r="CI2062"/>
      <c r="CU2062" s="21">
        <v>2057</v>
      </c>
      <c r="CV2062" s="41">
        <v>4</v>
      </c>
      <c r="CW2062" s="41">
        <v>0.11332468572476186</v>
      </c>
      <c r="CX2062" s="41" t="e">
        <v>#N/A</v>
      </c>
      <c r="CY2062" s="41" t="e">
        <v>#N/A</v>
      </c>
      <c r="CZ2062" s="47" t="e">
        <v>#N/A</v>
      </c>
      <c r="DA2062">
        <v>0.11332468572476186</v>
      </c>
      <c r="DB2062" t="str">
        <v/>
      </c>
    </row>
    <row r="2063" spans="83:106" x14ac:dyDescent="0.2">
      <c r="CE2063"/>
      <c r="CF2063"/>
      <c r="CG2063"/>
      <c r="CH2063"/>
      <c r="CI2063"/>
      <c r="CU2063" s="21">
        <v>2058</v>
      </c>
      <c r="CV2063" s="41">
        <v>4</v>
      </c>
      <c r="CW2063" s="41">
        <v>0.11332468572476186</v>
      </c>
      <c r="CX2063" s="41" t="e">
        <v>#N/A</v>
      </c>
      <c r="CY2063" s="41" t="e">
        <v>#N/A</v>
      </c>
      <c r="CZ2063" s="47" t="e">
        <v>#N/A</v>
      </c>
      <c r="DA2063">
        <v>0.11332468572476186</v>
      </c>
      <c r="DB2063" t="str">
        <v/>
      </c>
    </row>
    <row r="2064" spans="83:106" x14ac:dyDescent="0.2">
      <c r="CE2064"/>
      <c r="CF2064"/>
      <c r="CG2064"/>
      <c r="CH2064"/>
      <c r="CI2064"/>
      <c r="CU2064" s="21">
        <v>2059</v>
      </c>
      <c r="CV2064" s="41">
        <v>4</v>
      </c>
      <c r="CW2064" s="41">
        <v>0.11332468572476186</v>
      </c>
      <c r="CX2064" s="41" t="e">
        <v>#N/A</v>
      </c>
      <c r="CY2064" s="41" t="e">
        <v>#N/A</v>
      </c>
      <c r="CZ2064" s="47" t="e">
        <v>#N/A</v>
      </c>
      <c r="DA2064">
        <v>0.11332468572476186</v>
      </c>
      <c r="DB2064" t="str">
        <v/>
      </c>
    </row>
    <row r="2065" spans="83:106" x14ac:dyDescent="0.2">
      <c r="CE2065"/>
      <c r="CF2065"/>
      <c r="CG2065"/>
      <c r="CH2065"/>
      <c r="CI2065"/>
      <c r="CU2065" s="21">
        <v>2060</v>
      </c>
      <c r="CV2065" s="41">
        <v>4</v>
      </c>
      <c r="CW2065" s="41">
        <v>0.11332468572476186</v>
      </c>
      <c r="CX2065" s="41" t="e">
        <v>#N/A</v>
      </c>
      <c r="CY2065" s="41" t="e">
        <v>#N/A</v>
      </c>
      <c r="CZ2065" s="47" t="e">
        <v>#N/A</v>
      </c>
      <c r="DA2065">
        <v>0.11332468572476186</v>
      </c>
      <c r="DB2065" t="str">
        <v/>
      </c>
    </row>
    <row r="2066" spans="83:106" x14ac:dyDescent="0.2">
      <c r="CE2066"/>
      <c r="CF2066"/>
      <c r="CG2066"/>
      <c r="CH2066"/>
      <c r="CI2066"/>
      <c r="CU2066" s="21">
        <v>2061</v>
      </c>
      <c r="CV2066" s="41">
        <v>4</v>
      </c>
      <c r="CW2066" s="41">
        <v>0.11332468572476186</v>
      </c>
      <c r="CX2066" s="41" t="e">
        <v>#N/A</v>
      </c>
      <c r="CY2066" s="41" t="e">
        <v>#N/A</v>
      </c>
      <c r="CZ2066" s="47" t="e">
        <v>#N/A</v>
      </c>
      <c r="DA2066">
        <v>0.11332468572476186</v>
      </c>
      <c r="DB2066" t="str">
        <v/>
      </c>
    </row>
    <row r="2067" spans="83:106" x14ac:dyDescent="0.2">
      <c r="CE2067"/>
      <c r="CF2067"/>
      <c r="CG2067"/>
      <c r="CH2067"/>
      <c r="CI2067"/>
      <c r="CU2067" s="21">
        <v>2062</v>
      </c>
      <c r="CV2067" s="41">
        <v>4</v>
      </c>
      <c r="CW2067" s="41">
        <v>0.11332468572476186</v>
      </c>
      <c r="CX2067" s="41" t="e">
        <v>#N/A</v>
      </c>
      <c r="CY2067" s="41" t="e">
        <v>#N/A</v>
      </c>
      <c r="CZ2067" s="47" t="e">
        <v>#N/A</v>
      </c>
      <c r="DA2067">
        <v>0.11332468572476186</v>
      </c>
      <c r="DB2067" t="str">
        <v/>
      </c>
    </row>
    <row r="2068" spans="83:106" x14ac:dyDescent="0.2">
      <c r="CE2068"/>
      <c r="CF2068"/>
      <c r="CG2068"/>
      <c r="CH2068"/>
      <c r="CI2068"/>
      <c r="CU2068" s="21">
        <v>2063</v>
      </c>
      <c r="CV2068" s="41">
        <v>4</v>
      </c>
      <c r="CW2068" s="41">
        <v>0.11332468572476186</v>
      </c>
      <c r="CX2068" s="41" t="e">
        <v>#N/A</v>
      </c>
      <c r="CY2068" s="41" t="e">
        <v>#N/A</v>
      </c>
      <c r="CZ2068" s="47" t="e">
        <v>#N/A</v>
      </c>
      <c r="DA2068">
        <v>0.11332468572476186</v>
      </c>
      <c r="DB2068" t="str">
        <v/>
      </c>
    </row>
    <row r="2069" spans="83:106" x14ac:dyDescent="0.2">
      <c r="CE2069"/>
      <c r="CF2069"/>
      <c r="CG2069"/>
      <c r="CH2069"/>
      <c r="CI2069"/>
      <c r="CU2069" s="21">
        <v>2064</v>
      </c>
      <c r="CV2069" s="41">
        <v>4</v>
      </c>
      <c r="CW2069" s="41">
        <v>0.11332468572476186</v>
      </c>
      <c r="CX2069" s="41" t="e">
        <v>#N/A</v>
      </c>
      <c r="CY2069" s="41" t="e">
        <v>#N/A</v>
      </c>
      <c r="CZ2069" s="47" t="e">
        <v>#N/A</v>
      </c>
      <c r="DA2069">
        <v>0.11332468572476186</v>
      </c>
      <c r="DB2069" t="str">
        <v/>
      </c>
    </row>
    <row r="2070" spans="83:106" x14ac:dyDescent="0.2">
      <c r="CE2070"/>
      <c r="CF2070"/>
      <c r="CG2070"/>
      <c r="CH2070"/>
      <c r="CI2070"/>
      <c r="CU2070" s="21">
        <v>2065</v>
      </c>
      <c r="CV2070" s="41">
        <v>4</v>
      </c>
      <c r="CW2070" s="41">
        <v>0.11332468572476186</v>
      </c>
      <c r="CX2070" s="41" t="e">
        <v>#N/A</v>
      </c>
      <c r="CY2070" s="41" t="e">
        <v>#N/A</v>
      </c>
      <c r="CZ2070" s="47" t="e">
        <v>#N/A</v>
      </c>
      <c r="DA2070">
        <v>0.11332468572476186</v>
      </c>
      <c r="DB2070" t="str">
        <v/>
      </c>
    </row>
    <row r="2071" spans="83:106" x14ac:dyDescent="0.2">
      <c r="CE2071"/>
      <c r="CF2071"/>
      <c r="CG2071"/>
      <c r="CH2071"/>
      <c r="CI2071"/>
      <c r="CU2071" s="21">
        <v>2066</v>
      </c>
      <c r="CV2071" s="41">
        <v>4</v>
      </c>
      <c r="CW2071" s="41">
        <v>0.11332468572476186</v>
      </c>
      <c r="CX2071" s="41" t="e">
        <v>#N/A</v>
      </c>
      <c r="CY2071" s="41" t="e">
        <v>#N/A</v>
      </c>
      <c r="CZ2071" s="47" t="e">
        <v>#N/A</v>
      </c>
      <c r="DA2071">
        <v>0.11332468572476186</v>
      </c>
      <c r="DB2071" t="str">
        <v/>
      </c>
    </row>
    <row r="2072" spans="83:106" x14ac:dyDescent="0.2">
      <c r="CE2072"/>
      <c r="CF2072"/>
      <c r="CG2072"/>
      <c r="CH2072"/>
      <c r="CI2072"/>
      <c r="CU2072" s="21">
        <v>2067</v>
      </c>
      <c r="CV2072" s="41">
        <v>4</v>
      </c>
      <c r="CW2072" s="41">
        <v>0.11332468572476186</v>
      </c>
      <c r="CX2072" s="41" t="e">
        <v>#N/A</v>
      </c>
      <c r="CY2072" s="41" t="e">
        <v>#N/A</v>
      </c>
      <c r="CZ2072" s="47" t="e">
        <v>#N/A</v>
      </c>
      <c r="DA2072">
        <v>0.11332468572476186</v>
      </c>
      <c r="DB2072" t="str">
        <v/>
      </c>
    </row>
    <row r="2073" spans="83:106" x14ac:dyDescent="0.2">
      <c r="CE2073"/>
      <c r="CF2073"/>
      <c r="CG2073"/>
      <c r="CH2073"/>
      <c r="CI2073"/>
      <c r="CU2073" s="21">
        <v>2068</v>
      </c>
      <c r="CV2073" s="41">
        <v>4</v>
      </c>
      <c r="CW2073" s="41">
        <v>0.11332468572476186</v>
      </c>
      <c r="CX2073" s="41" t="e">
        <v>#N/A</v>
      </c>
      <c r="CY2073" s="41" t="e">
        <v>#N/A</v>
      </c>
      <c r="CZ2073" s="47" t="e">
        <v>#N/A</v>
      </c>
      <c r="DA2073">
        <v>0.11332468572476186</v>
      </c>
      <c r="DB2073" t="str">
        <v/>
      </c>
    </row>
    <row r="2074" spans="83:106" x14ac:dyDescent="0.2">
      <c r="CE2074"/>
      <c r="CF2074"/>
      <c r="CG2074"/>
      <c r="CH2074"/>
      <c r="CI2074"/>
      <c r="CU2074" s="21">
        <v>2069</v>
      </c>
      <c r="CV2074" s="41">
        <v>4</v>
      </c>
      <c r="CW2074" s="41">
        <v>0.11332468572476186</v>
      </c>
      <c r="CX2074" s="41" t="e">
        <v>#N/A</v>
      </c>
      <c r="CY2074" s="41" t="e">
        <v>#N/A</v>
      </c>
      <c r="CZ2074" s="47" t="e">
        <v>#N/A</v>
      </c>
      <c r="DA2074">
        <v>0.11332468572476186</v>
      </c>
      <c r="DB2074" t="str">
        <v/>
      </c>
    </row>
    <row r="2075" spans="83:106" x14ac:dyDescent="0.2">
      <c r="CE2075"/>
      <c r="CF2075"/>
      <c r="CG2075"/>
      <c r="CH2075"/>
      <c r="CI2075"/>
      <c r="CU2075" s="21">
        <v>2070</v>
      </c>
      <c r="CV2075" s="41">
        <v>4</v>
      </c>
      <c r="CW2075" s="41">
        <v>0.11332468572476186</v>
      </c>
      <c r="CX2075" s="41" t="e">
        <v>#N/A</v>
      </c>
      <c r="CY2075" s="41" t="e">
        <v>#N/A</v>
      </c>
      <c r="CZ2075" s="47" t="e">
        <v>#N/A</v>
      </c>
      <c r="DA2075">
        <v>0.11332468572476186</v>
      </c>
      <c r="DB2075" t="str">
        <v/>
      </c>
    </row>
    <row r="2076" spans="83:106" x14ac:dyDescent="0.2">
      <c r="CE2076"/>
      <c r="CF2076"/>
      <c r="CG2076"/>
      <c r="CH2076"/>
      <c r="CI2076"/>
      <c r="CU2076" s="21">
        <v>2071</v>
      </c>
      <c r="CV2076" s="41">
        <v>4</v>
      </c>
      <c r="CW2076" s="41">
        <v>0.11332468572476186</v>
      </c>
      <c r="CX2076" s="41" t="e">
        <v>#N/A</v>
      </c>
      <c r="CY2076" s="41" t="e">
        <v>#N/A</v>
      </c>
      <c r="CZ2076" s="47" t="e">
        <v>#N/A</v>
      </c>
      <c r="DA2076">
        <v>0.11332468572476186</v>
      </c>
      <c r="DB2076" t="str">
        <v/>
      </c>
    </row>
    <row r="2077" spans="83:106" x14ac:dyDescent="0.2">
      <c r="CE2077"/>
      <c r="CF2077"/>
      <c r="CG2077"/>
      <c r="CH2077"/>
      <c r="CI2077"/>
      <c r="CU2077" s="21">
        <v>2072</v>
      </c>
      <c r="CV2077" s="41">
        <v>4</v>
      </c>
      <c r="CW2077" s="41">
        <v>0.11332468572476186</v>
      </c>
      <c r="CX2077" s="41" t="e">
        <v>#N/A</v>
      </c>
      <c r="CY2077" s="41" t="e">
        <v>#N/A</v>
      </c>
      <c r="CZ2077" s="47" t="e">
        <v>#N/A</v>
      </c>
      <c r="DA2077">
        <v>0.11332468572476186</v>
      </c>
      <c r="DB2077" t="str">
        <v/>
      </c>
    </row>
    <row r="2078" spans="83:106" x14ac:dyDescent="0.2">
      <c r="CE2078"/>
      <c r="CF2078"/>
      <c r="CG2078"/>
      <c r="CH2078"/>
      <c r="CI2078"/>
      <c r="CU2078" s="21">
        <v>2073</v>
      </c>
      <c r="CV2078" s="41">
        <v>4</v>
      </c>
      <c r="CW2078" s="41">
        <v>0.11332468572476186</v>
      </c>
      <c r="CX2078" s="41" t="e">
        <v>#N/A</v>
      </c>
      <c r="CY2078" s="41" t="e">
        <v>#N/A</v>
      </c>
      <c r="CZ2078" s="47" t="e">
        <v>#N/A</v>
      </c>
      <c r="DA2078">
        <v>0.11332468572476186</v>
      </c>
      <c r="DB2078" t="str">
        <v/>
      </c>
    </row>
    <row r="2079" spans="83:106" x14ac:dyDescent="0.2">
      <c r="CE2079"/>
      <c r="CF2079"/>
      <c r="CG2079"/>
      <c r="CH2079"/>
      <c r="CI2079"/>
      <c r="CU2079" s="21">
        <v>2074</v>
      </c>
      <c r="CV2079" s="41">
        <v>4</v>
      </c>
      <c r="CW2079" s="41">
        <v>0.11332468572476186</v>
      </c>
      <c r="CX2079" s="41" t="e">
        <v>#N/A</v>
      </c>
      <c r="CY2079" s="41" t="e">
        <v>#N/A</v>
      </c>
      <c r="CZ2079" s="47" t="e">
        <v>#N/A</v>
      </c>
      <c r="DA2079">
        <v>0.11332468572476186</v>
      </c>
      <c r="DB2079" t="str">
        <v/>
      </c>
    </row>
    <row r="2080" spans="83:106" x14ac:dyDescent="0.2">
      <c r="CE2080"/>
      <c r="CF2080"/>
      <c r="CG2080"/>
      <c r="CH2080"/>
      <c r="CI2080"/>
      <c r="CU2080" s="21">
        <v>2075</v>
      </c>
      <c r="CV2080" s="41">
        <v>4</v>
      </c>
      <c r="CW2080" s="41">
        <v>0.11332468572476186</v>
      </c>
      <c r="CX2080" s="41" t="e">
        <v>#N/A</v>
      </c>
      <c r="CY2080" s="41" t="e">
        <v>#N/A</v>
      </c>
      <c r="CZ2080" s="47" t="e">
        <v>#N/A</v>
      </c>
      <c r="DA2080">
        <v>0.11332468572476186</v>
      </c>
      <c r="DB2080" t="str">
        <v/>
      </c>
    </row>
    <row r="2081" spans="83:106" x14ac:dyDescent="0.2">
      <c r="CE2081"/>
      <c r="CF2081"/>
      <c r="CG2081"/>
      <c r="CH2081"/>
      <c r="CI2081"/>
      <c r="CU2081" s="21">
        <v>2076</v>
      </c>
      <c r="CV2081" s="41">
        <v>4</v>
      </c>
      <c r="CW2081" s="41">
        <v>0.11332468572476186</v>
      </c>
      <c r="CX2081" s="41" t="e">
        <v>#N/A</v>
      </c>
      <c r="CY2081" s="41" t="e">
        <v>#N/A</v>
      </c>
      <c r="CZ2081" s="47" t="e">
        <v>#N/A</v>
      </c>
      <c r="DA2081">
        <v>0.11332468572476186</v>
      </c>
      <c r="DB2081" t="str">
        <v/>
      </c>
    </row>
    <row r="2082" spans="83:106" x14ac:dyDescent="0.2">
      <c r="CE2082"/>
      <c r="CF2082"/>
      <c r="CG2082"/>
      <c r="CH2082"/>
      <c r="CI2082"/>
      <c r="CU2082" s="21">
        <v>2077</v>
      </c>
      <c r="CV2082" s="41">
        <v>4</v>
      </c>
      <c r="CW2082" s="41">
        <v>0.11332468572476186</v>
      </c>
      <c r="CX2082" s="41" t="e">
        <v>#N/A</v>
      </c>
      <c r="CY2082" s="41" t="e">
        <v>#N/A</v>
      </c>
      <c r="CZ2082" s="47" t="e">
        <v>#N/A</v>
      </c>
      <c r="DA2082">
        <v>0.11332468572476186</v>
      </c>
      <c r="DB2082" t="str">
        <v/>
      </c>
    </row>
    <row r="2083" spans="83:106" x14ac:dyDescent="0.2">
      <c r="CE2083"/>
      <c r="CF2083"/>
      <c r="CG2083"/>
      <c r="CH2083"/>
      <c r="CI2083"/>
      <c r="CU2083" s="21">
        <v>2078</v>
      </c>
      <c r="CV2083" s="41">
        <v>4</v>
      </c>
      <c r="CW2083" s="41">
        <v>0.11332468572476186</v>
      </c>
      <c r="CX2083" s="41" t="e">
        <v>#N/A</v>
      </c>
      <c r="CY2083" s="41" t="e">
        <v>#N/A</v>
      </c>
      <c r="CZ2083" s="47" t="e">
        <v>#N/A</v>
      </c>
      <c r="DA2083">
        <v>0.11332468572476186</v>
      </c>
      <c r="DB2083" t="str">
        <v/>
      </c>
    </row>
    <row r="2084" spans="83:106" x14ac:dyDescent="0.2">
      <c r="CE2084"/>
      <c r="CF2084"/>
      <c r="CG2084"/>
      <c r="CH2084"/>
      <c r="CI2084"/>
      <c r="CU2084" s="21">
        <v>2079</v>
      </c>
      <c r="CV2084" s="41">
        <v>4</v>
      </c>
      <c r="CW2084" s="41">
        <v>0.11332468572476186</v>
      </c>
      <c r="CX2084" s="41" t="e">
        <v>#N/A</v>
      </c>
      <c r="CY2084" s="41" t="e">
        <v>#N/A</v>
      </c>
      <c r="CZ2084" s="47" t="e">
        <v>#N/A</v>
      </c>
      <c r="DA2084">
        <v>0.11332468572476186</v>
      </c>
      <c r="DB2084" t="str">
        <v/>
      </c>
    </row>
    <row r="2085" spans="83:106" x14ac:dyDescent="0.2">
      <c r="CE2085"/>
      <c r="CF2085"/>
      <c r="CG2085"/>
      <c r="CH2085"/>
      <c r="CI2085"/>
      <c r="CU2085" s="21">
        <v>2080</v>
      </c>
      <c r="CV2085" s="41">
        <v>4</v>
      </c>
      <c r="CW2085" s="41">
        <v>0.11332468572476186</v>
      </c>
      <c r="CX2085" s="41" t="e">
        <v>#N/A</v>
      </c>
      <c r="CY2085" s="41" t="e">
        <v>#N/A</v>
      </c>
      <c r="CZ2085" s="47" t="e">
        <v>#N/A</v>
      </c>
      <c r="DA2085">
        <v>0.11332468572476186</v>
      </c>
      <c r="DB2085" t="str">
        <v/>
      </c>
    </row>
    <row r="2086" spans="83:106" x14ac:dyDescent="0.2">
      <c r="CE2086"/>
      <c r="CF2086"/>
      <c r="CG2086"/>
      <c r="CH2086"/>
      <c r="CI2086"/>
      <c r="CU2086" s="21">
        <v>2081</v>
      </c>
      <c r="CV2086" s="41">
        <v>4</v>
      </c>
      <c r="CW2086" s="41">
        <v>0.11332468572476186</v>
      </c>
      <c r="CX2086" s="41" t="e">
        <v>#N/A</v>
      </c>
      <c r="CY2086" s="41" t="e">
        <v>#N/A</v>
      </c>
      <c r="CZ2086" s="47" t="e">
        <v>#N/A</v>
      </c>
      <c r="DA2086">
        <v>0.11332468572476186</v>
      </c>
      <c r="DB2086" t="str">
        <v/>
      </c>
    </row>
    <row r="2087" spans="83:106" x14ac:dyDescent="0.2">
      <c r="CE2087"/>
      <c r="CF2087"/>
      <c r="CG2087"/>
      <c r="CH2087"/>
      <c r="CI2087"/>
      <c r="CU2087" s="21">
        <v>2082</v>
      </c>
      <c r="CV2087" s="41">
        <v>4</v>
      </c>
      <c r="CW2087" s="41">
        <v>0.11332468572476186</v>
      </c>
      <c r="CX2087" s="41" t="e">
        <v>#N/A</v>
      </c>
      <c r="CY2087" s="41" t="e">
        <v>#N/A</v>
      </c>
      <c r="CZ2087" s="47" t="e">
        <v>#N/A</v>
      </c>
      <c r="DA2087">
        <v>0.11332468572476186</v>
      </c>
      <c r="DB2087" t="str">
        <v/>
      </c>
    </row>
    <row r="2088" spans="83:106" x14ac:dyDescent="0.2">
      <c r="CE2088"/>
      <c r="CF2088"/>
      <c r="CG2088"/>
      <c r="CH2088"/>
      <c r="CI2088"/>
      <c r="CU2088" s="21">
        <v>2083</v>
      </c>
      <c r="CV2088" s="41">
        <v>4</v>
      </c>
      <c r="CW2088" s="41">
        <v>0.11332468572476186</v>
      </c>
      <c r="CX2088" s="41" t="e">
        <v>#N/A</v>
      </c>
      <c r="CY2088" s="41" t="e">
        <v>#N/A</v>
      </c>
      <c r="CZ2088" s="47" t="e">
        <v>#N/A</v>
      </c>
      <c r="DA2088">
        <v>0.11332468572476186</v>
      </c>
      <c r="DB2088" t="str">
        <v/>
      </c>
    </row>
    <row r="2089" spans="83:106" x14ac:dyDescent="0.2">
      <c r="CE2089"/>
      <c r="CF2089"/>
      <c r="CG2089"/>
      <c r="CH2089"/>
      <c r="CI2089"/>
      <c r="CU2089" s="21">
        <v>2084</v>
      </c>
      <c r="CV2089" s="41">
        <v>4</v>
      </c>
      <c r="CW2089" s="41">
        <v>0.11332468572476186</v>
      </c>
      <c r="CX2089" s="41" t="e">
        <v>#N/A</v>
      </c>
      <c r="CY2089" s="41" t="e">
        <v>#N/A</v>
      </c>
      <c r="CZ2089" s="47" t="e">
        <v>#N/A</v>
      </c>
      <c r="DA2089">
        <v>0.11332468572476186</v>
      </c>
      <c r="DB2089" t="str">
        <v/>
      </c>
    </row>
    <row r="2090" spans="83:106" x14ac:dyDescent="0.2">
      <c r="CE2090"/>
      <c r="CF2090"/>
      <c r="CG2090"/>
      <c r="CH2090"/>
      <c r="CI2090"/>
      <c r="CU2090" s="21">
        <v>2085</v>
      </c>
      <c r="CV2090" s="41">
        <v>4</v>
      </c>
      <c r="CW2090" s="41">
        <v>0.11332468572476186</v>
      </c>
      <c r="CX2090" s="41" t="e">
        <v>#N/A</v>
      </c>
      <c r="CY2090" s="41" t="e">
        <v>#N/A</v>
      </c>
      <c r="CZ2090" s="47" t="e">
        <v>#N/A</v>
      </c>
      <c r="DA2090">
        <v>0.11332468572476186</v>
      </c>
      <c r="DB2090" t="str">
        <v/>
      </c>
    </row>
    <row r="2091" spans="83:106" x14ac:dyDescent="0.2">
      <c r="CE2091"/>
      <c r="CF2091"/>
      <c r="CG2091"/>
      <c r="CH2091"/>
      <c r="CI2091"/>
      <c r="CU2091" s="21">
        <v>2086</v>
      </c>
      <c r="CV2091" s="41">
        <v>4</v>
      </c>
      <c r="CW2091" s="41">
        <v>0.11332468572476186</v>
      </c>
      <c r="CX2091" s="41" t="e">
        <v>#N/A</v>
      </c>
      <c r="CY2091" s="41" t="e">
        <v>#N/A</v>
      </c>
      <c r="CZ2091" s="47" t="e">
        <v>#N/A</v>
      </c>
      <c r="DA2091">
        <v>0.11332468572476186</v>
      </c>
      <c r="DB2091" t="str">
        <v/>
      </c>
    </row>
    <row r="2092" spans="83:106" x14ac:dyDescent="0.2">
      <c r="CE2092"/>
      <c r="CF2092"/>
      <c r="CG2092"/>
      <c r="CH2092"/>
      <c r="CI2092"/>
      <c r="CU2092" s="21">
        <v>2087</v>
      </c>
      <c r="CV2092" s="41">
        <v>4</v>
      </c>
      <c r="CW2092" s="41">
        <v>0.11332468572476186</v>
      </c>
      <c r="CX2092" s="41" t="e">
        <v>#N/A</v>
      </c>
      <c r="CY2092" s="41" t="e">
        <v>#N/A</v>
      </c>
      <c r="CZ2092" s="47" t="e">
        <v>#N/A</v>
      </c>
      <c r="DA2092">
        <v>0.11332468572476186</v>
      </c>
      <c r="DB2092" t="str">
        <v/>
      </c>
    </row>
    <row r="2093" spans="83:106" x14ac:dyDescent="0.2">
      <c r="CE2093"/>
      <c r="CF2093"/>
      <c r="CG2093"/>
      <c r="CH2093"/>
      <c r="CI2093"/>
      <c r="CU2093" s="21">
        <v>2088</v>
      </c>
      <c r="CV2093" s="41">
        <v>4</v>
      </c>
      <c r="CW2093" s="41">
        <v>0.11332468572476186</v>
      </c>
      <c r="CX2093" s="41" t="e">
        <v>#N/A</v>
      </c>
      <c r="CY2093" s="41" t="e">
        <v>#N/A</v>
      </c>
      <c r="CZ2093" s="47" t="e">
        <v>#N/A</v>
      </c>
      <c r="DA2093">
        <v>0.11332468572476186</v>
      </c>
      <c r="DB2093" t="str">
        <v/>
      </c>
    </row>
    <row r="2094" spans="83:106" x14ac:dyDescent="0.2">
      <c r="CE2094"/>
      <c r="CF2094"/>
      <c r="CG2094"/>
      <c r="CH2094"/>
      <c r="CI2094"/>
      <c r="CU2094" s="21">
        <v>2089</v>
      </c>
      <c r="CV2094" s="41">
        <v>4</v>
      </c>
      <c r="CW2094" s="41">
        <v>0.11332468572476186</v>
      </c>
      <c r="CX2094" s="41" t="e">
        <v>#N/A</v>
      </c>
      <c r="CY2094" s="41" t="e">
        <v>#N/A</v>
      </c>
      <c r="CZ2094" s="47" t="e">
        <v>#N/A</v>
      </c>
      <c r="DA2094">
        <v>0.11332468572476186</v>
      </c>
      <c r="DB2094" t="str">
        <v/>
      </c>
    </row>
    <row r="2095" spans="83:106" x14ac:dyDescent="0.2">
      <c r="CE2095"/>
      <c r="CF2095"/>
      <c r="CG2095"/>
      <c r="CH2095"/>
      <c r="CI2095"/>
      <c r="CU2095" s="21">
        <v>2090</v>
      </c>
      <c r="CV2095" s="41">
        <v>4</v>
      </c>
      <c r="CW2095" s="41">
        <v>0.11332468572476186</v>
      </c>
      <c r="CX2095" s="41" t="e">
        <v>#N/A</v>
      </c>
      <c r="CY2095" s="41" t="e">
        <v>#N/A</v>
      </c>
      <c r="CZ2095" s="47" t="e">
        <v>#N/A</v>
      </c>
      <c r="DA2095">
        <v>0.11332468572476186</v>
      </c>
      <c r="DB2095" t="str">
        <v/>
      </c>
    </row>
    <row r="2096" spans="83:106" x14ac:dyDescent="0.2">
      <c r="CE2096"/>
      <c r="CF2096"/>
      <c r="CG2096"/>
      <c r="CH2096"/>
      <c r="CI2096"/>
      <c r="CU2096" s="21">
        <v>2091</v>
      </c>
      <c r="CV2096" s="41">
        <v>4</v>
      </c>
      <c r="CW2096" s="41">
        <v>0.11332468572476186</v>
      </c>
      <c r="CX2096" s="41" t="e">
        <v>#N/A</v>
      </c>
      <c r="CY2096" s="41" t="e">
        <v>#N/A</v>
      </c>
      <c r="CZ2096" s="47" t="e">
        <v>#N/A</v>
      </c>
      <c r="DA2096">
        <v>0.11332468572476186</v>
      </c>
      <c r="DB2096" t="str">
        <v/>
      </c>
    </row>
    <row r="2097" spans="83:106" x14ac:dyDescent="0.2">
      <c r="CE2097"/>
      <c r="CF2097"/>
      <c r="CG2097"/>
      <c r="CH2097"/>
      <c r="CI2097"/>
      <c r="CU2097" s="21">
        <v>2092</v>
      </c>
      <c r="CV2097" s="41">
        <v>4</v>
      </c>
      <c r="CW2097" s="41">
        <v>0.11332468572476186</v>
      </c>
      <c r="CX2097" s="41" t="e">
        <v>#N/A</v>
      </c>
      <c r="CY2097" s="41" t="e">
        <v>#N/A</v>
      </c>
      <c r="CZ2097" s="47" t="e">
        <v>#N/A</v>
      </c>
      <c r="DA2097">
        <v>0.11332468572476186</v>
      </c>
      <c r="DB2097" t="str">
        <v/>
      </c>
    </row>
    <row r="2098" spans="83:106" x14ac:dyDescent="0.2">
      <c r="CE2098"/>
      <c r="CF2098"/>
      <c r="CG2098"/>
      <c r="CH2098"/>
      <c r="CI2098"/>
      <c r="CU2098" s="21">
        <v>2093</v>
      </c>
      <c r="CV2098" s="41">
        <v>4</v>
      </c>
      <c r="CW2098" s="41">
        <v>0.11332468572476186</v>
      </c>
      <c r="CX2098" s="41" t="e">
        <v>#N/A</v>
      </c>
      <c r="CY2098" s="41" t="e">
        <v>#N/A</v>
      </c>
      <c r="CZ2098" s="47" t="e">
        <v>#N/A</v>
      </c>
      <c r="DA2098">
        <v>0.11332468572476186</v>
      </c>
      <c r="DB2098" t="str">
        <v/>
      </c>
    </row>
    <row r="2099" spans="83:106" x14ac:dyDescent="0.2">
      <c r="CE2099"/>
      <c r="CF2099"/>
      <c r="CG2099"/>
      <c r="CH2099"/>
      <c r="CI2099"/>
      <c r="CU2099" s="21">
        <v>2094</v>
      </c>
      <c r="CV2099" s="41">
        <v>4</v>
      </c>
      <c r="CW2099" s="41">
        <v>0.11332468572476186</v>
      </c>
      <c r="CX2099" s="41" t="e">
        <v>#N/A</v>
      </c>
      <c r="CY2099" s="41" t="e">
        <v>#N/A</v>
      </c>
      <c r="CZ2099" s="47" t="e">
        <v>#N/A</v>
      </c>
      <c r="DA2099">
        <v>0.11332468572476186</v>
      </c>
      <c r="DB2099" t="str">
        <v/>
      </c>
    </row>
    <row r="2100" spans="83:106" x14ac:dyDescent="0.2">
      <c r="CE2100"/>
      <c r="CF2100"/>
      <c r="CG2100"/>
      <c r="CH2100"/>
      <c r="CI2100"/>
      <c r="CU2100" s="21">
        <v>2095</v>
      </c>
      <c r="CV2100" s="41">
        <v>4</v>
      </c>
      <c r="CW2100" s="41">
        <v>0.11332468572476186</v>
      </c>
      <c r="CX2100" s="41" t="e">
        <v>#N/A</v>
      </c>
      <c r="CY2100" s="41" t="e">
        <v>#N/A</v>
      </c>
      <c r="CZ2100" s="47" t="e">
        <v>#N/A</v>
      </c>
      <c r="DA2100">
        <v>0.11332468572476186</v>
      </c>
      <c r="DB2100" t="str">
        <v/>
      </c>
    </row>
    <row r="2101" spans="83:106" x14ac:dyDescent="0.2">
      <c r="CE2101"/>
      <c r="CF2101"/>
      <c r="CG2101"/>
      <c r="CH2101"/>
      <c r="CI2101"/>
      <c r="CU2101" s="21">
        <v>2096</v>
      </c>
      <c r="CV2101" s="41">
        <v>4</v>
      </c>
      <c r="CW2101" s="41">
        <v>0.11332468572476186</v>
      </c>
      <c r="CX2101" s="41" t="e">
        <v>#N/A</v>
      </c>
      <c r="CY2101" s="41" t="e">
        <v>#N/A</v>
      </c>
      <c r="CZ2101" s="47" t="e">
        <v>#N/A</v>
      </c>
      <c r="DA2101">
        <v>0.11332468572476186</v>
      </c>
      <c r="DB2101" t="str">
        <v/>
      </c>
    </row>
    <row r="2102" spans="83:106" x14ac:dyDescent="0.2">
      <c r="CE2102"/>
      <c r="CF2102"/>
      <c r="CG2102"/>
      <c r="CH2102"/>
      <c r="CI2102"/>
      <c r="CU2102" s="21">
        <v>2097</v>
      </c>
      <c r="CV2102" s="41">
        <v>4</v>
      </c>
      <c r="CW2102" s="41">
        <v>0.11332468572476186</v>
      </c>
      <c r="CX2102" s="41" t="e">
        <v>#N/A</v>
      </c>
      <c r="CY2102" s="41" t="e">
        <v>#N/A</v>
      </c>
      <c r="CZ2102" s="47" t="e">
        <v>#N/A</v>
      </c>
      <c r="DA2102">
        <v>0.11332468572476186</v>
      </c>
      <c r="DB2102" t="str">
        <v/>
      </c>
    </row>
    <row r="2103" spans="83:106" x14ac:dyDescent="0.2">
      <c r="CE2103"/>
      <c r="CF2103"/>
      <c r="CG2103"/>
      <c r="CH2103"/>
      <c r="CI2103"/>
      <c r="CU2103" s="21">
        <v>2098</v>
      </c>
      <c r="CV2103" s="41">
        <v>4</v>
      </c>
      <c r="CW2103" s="41">
        <v>0.11332468572476186</v>
      </c>
      <c r="CX2103" s="41" t="e">
        <v>#N/A</v>
      </c>
      <c r="CY2103" s="41" t="e">
        <v>#N/A</v>
      </c>
      <c r="CZ2103" s="47" t="e">
        <v>#N/A</v>
      </c>
      <c r="DA2103">
        <v>0.11332468572476186</v>
      </c>
      <c r="DB2103" t="str">
        <v/>
      </c>
    </row>
    <row r="2104" spans="83:106" x14ac:dyDescent="0.2">
      <c r="CE2104"/>
      <c r="CF2104"/>
      <c r="CG2104"/>
      <c r="CH2104"/>
      <c r="CI2104"/>
      <c r="CU2104" s="21">
        <v>2099</v>
      </c>
      <c r="CV2104" s="41">
        <v>4</v>
      </c>
      <c r="CW2104" s="41">
        <v>0.11332468572476186</v>
      </c>
      <c r="CX2104" s="41" t="e">
        <v>#N/A</v>
      </c>
      <c r="CY2104" s="41" t="e">
        <v>#N/A</v>
      </c>
      <c r="CZ2104" s="47" t="e">
        <v>#N/A</v>
      </c>
      <c r="DA2104">
        <v>0.11332468572476186</v>
      </c>
      <c r="DB2104" t="str">
        <v/>
      </c>
    </row>
    <row r="2105" spans="83:106" x14ac:dyDescent="0.2">
      <c r="CE2105"/>
      <c r="CF2105"/>
      <c r="CG2105"/>
      <c r="CH2105"/>
      <c r="CI2105"/>
      <c r="CU2105" s="21">
        <v>2100</v>
      </c>
      <c r="CV2105" s="41">
        <v>4</v>
      </c>
      <c r="CW2105" s="41">
        <v>0.11332468572476186</v>
      </c>
      <c r="CX2105" s="41" t="e">
        <v>#N/A</v>
      </c>
      <c r="CY2105" s="41" t="e">
        <v>#N/A</v>
      </c>
      <c r="CZ2105" s="47" t="e">
        <v>#N/A</v>
      </c>
      <c r="DA2105">
        <v>0.11332468572476186</v>
      </c>
      <c r="DB2105" t="str">
        <v/>
      </c>
    </row>
    <row r="2106" spans="83:106" x14ac:dyDescent="0.2">
      <c r="CE2106"/>
      <c r="CF2106"/>
      <c r="CG2106"/>
      <c r="CH2106"/>
      <c r="CI2106"/>
      <c r="CU2106" s="21">
        <v>2101</v>
      </c>
      <c r="CV2106" s="41">
        <v>4</v>
      </c>
      <c r="CW2106" s="41">
        <v>0.11332468572476186</v>
      </c>
      <c r="CX2106" s="41" t="e">
        <v>#N/A</v>
      </c>
      <c r="CY2106" s="41" t="e">
        <v>#N/A</v>
      </c>
      <c r="CZ2106" s="47" t="e">
        <v>#N/A</v>
      </c>
      <c r="DA2106">
        <v>0.11332468572476186</v>
      </c>
      <c r="DB2106" t="str">
        <v/>
      </c>
    </row>
    <row r="2107" spans="83:106" x14ac:dyDescent="0.2">
      <c r="CE2107"/>
      <c r="CF2107"/>
      <c r="CG2107"/>
      <c r="CH2107"/>
      <c r="CI2107"/>
      <c r="CU2107" s="21">
        <v>2102</v>
      </c>
      <c r="CV2107" s="41">
        <v>4</v>
      </c>
      <c r="CW2107" s="41">
        <v>0.11332468572476186</v>
      </c>
      <c r="CX2107" s="41" t="e">
        <v>#N/A</v>
      </c>
      <c r="CY2107" s="41" t="e">
        <v>#N/A</v>
      </c>
      <c r="CZ2107" s="47" t="e">
        <v>#N/A</v>
      </c>
      <c r="DA2107">
        <v>0.11332468572476186</v>
      </c>
      <c r="DB2107" t="str">
        <v/>
      </c>
    </row>
    <row r="2108" spans="83:106" x14ac:dyDescent="0.2">
      <c r="CE2108"/>
      <c r="CF2108"/>
      <c r="CG2108"/>
      <c r="CH2108"/>
      <c r="CI2108"/>
      <c r="CU2108" s="21">
        <v>2103</v>
      </c>
      <c r="CV2108" s="41">
        <v>4</v>
      </c>
      <c r="CW2108" s="41">
        <v>0.11332468572476186</v>
      </c>
      <c r="CX2108" s="41" t="e">
        <v>#N/A</v>
      </c>
      <c r="CY2108" s="41" t="e">
        <v>#N/A</v>
      </c>
      <c r="CZ2108" s="47" t="e">
        <v>#N/A</v>
      </c>
      <c r="DA2108">
        <v>0.11332468572476186</v>
      </c>
      <c r="DB2108" t="str">
        <v/>
      </c>
    </row>
    <row r="2109" spans="83:106" x14ac:dyDescent="0.2">
      <c r="CE2109"/>
      <c r="CF2109"/>
      <c r="CG2109"/>
      <c r="CH2109"/>
      <c r="CI2109"/>
      <c r="CU2109" s="21">
        <v>2104</v>
      </c>
      <c r="CV2109" s="41">
        <v>4</v>
      </c>
      <c r="CW2109" s="41">
        <v>0.11332468572476186</v>
      </c>
      <c r="CX2109" s="41" t="e">
        <v>#N/A</v>
      </c>
      <c r="CY2109" s="41" t="e">
        <v>#N/A</v>
      </c>
      <c r="CZ2109" s="47" t="e">
        <v>#N/A</v>
      </c>
      <c r="DA2109">
        <v>0.11332468572476186</v>
      </c>
      <c r="DB2109" t="str">
        <v/>
      </c>
    </row>
    <row r="2110" spans="83:106" x14ac:dyDescent="0.2">
      <c r="CE2110"/>
      <c r="CF2110"/>
      <c r="CG2110"/>
      <c r="CH2110"/>
      <c r="CI2110"/>
      <c r="CU2110" s="21">
        <v>2105</v>
      </c>
      <c r="CV2110" s="41">
        <v>4</v>
      </c>
      <c r="CW2110" s="41">
        <v>0.11332468572476186</v>
      </c>
      <c r="CX2110" s="41" t="e">
        <v>#N/A</v>
      </c>
      <c r="CY2110" s="41" t="e">
        <v>#N/A</v>
      </c>
      <c r="CZ2110" s="47" t="e">
        <v>#N/A</v>
      </c>
      <c r="DA2110">
        <v>0.11332468572476186</v>
      </c>
      <c r="DB2110" t="str">
        <v/>
      </c>
    </row>
    <row r="2111" spans="83:106" x14ac:dyDescent="0.2">
      <c r="CE2111"/>
      <c r="CF2111"/>
      <c r="CG2111"/>
      <c r="CH2111"/>
      <c r="CI2111"/>
      <c r="CU2111" s="21">
        <v>2106</v>
      </c>
      <c r="CV2111" s="41">
        <v>4</v>
      </c>
      <c r="CW2111" s="41">
        <v>0.11332468572476186</v>
      </c>
      <c r="CX2111" s="41" t="e">
        <v>#N/A</v>
      </c>
      <c r="CY2111" s="41" t="e">
        <v>#N/A</v>
      </c>
      <c r="CZ2111" s="47" t="e">
        <v>#N/A</v>
      </c>
      <c r="DA2111">
        <v>0.11332468572476186</v>
      </c>
      <c r="DB2111" t="str">
        <v/>
      </c>
    </row>
    <row r="2112" spans="83:106" x14ac:dyDescent="0.2">
      <c r="CE2112"/>
      <c r="CF2112"/>
      <c r="CG2112"/>
      <c r="CH2112"/>
      <c r="CI2112"/>
      <c r="CU2112" s="21">
        <v>2107</v>
      </c>
      <c r="CV2112" s="41">
        <v>4</v>
      </c>
      <c r="CW2112" s="41">
        <v>0.11332468572476186</v>
      </c>
      <c r="CX2112" s="41" t="e">
        <v>#N/A</v>
      </c>
      <c r="CY2112" s="41" t="e">
        <v>#N/A</v>
      </c>
      <c r="CZ2112" s="47" t="e">
        <v>#N/A</v>
      </c>
      <c r="DA2112">
        <v>0.11332468572476186</v>
      </c>
      <c r="DB2112" t="str">
        <v/>
      </c>
    </row>
    <row r="2113" spans="83:106" x14ac:dyDescent="0.2">
      <c r="CE2113"/>
      <c r="CF2113"/>
      <c r="CG2113"/>
      <c r="CH2113"/>
      <c r="CI2113"/>
      <c r="CU2113" s="21">
        <v>2108</v>
      </c>
      <c r="CV2113" s="41">
        <v>4</v>
      </c>
      <c r="CW2113" s="41">
        <v>0.11332468572476186</v>
      </c>
      <c r="CX2113" s="41" t="e">
        <v>#N/A</v>
      </c>
      <c r="CY2113" s="41" t="e">
        <v>#N/A</v>
      </c>
      <c r="CZ2113" s="47" t="e">
        <v>#N/A</v>
      </c>
      <c r="DA2113">
        <v>0.11332468572476186</v>
      </c>
      <c r="DB2113" t="str">
        <v/>
      </c>
    </row>
    <row r="2114" spans="83:106" x14ac:dyDescent="0.2">
      <c r="CE2114"/>
      <c r="CF2114"/>
      <c r="CG2114"/>
      <c r="CH2114"/>
      <c r="CI2114"/>
      <c r="CU2114" s="21">
        <v>2109</v>
      </c>
      <c r="CV2114" s="41">
        <v>4</v>
      </c>
      <c r="CW2114" s="41">
        <v>0.11332468572476186</v>
      </c>
      <c r="CX2114" s="41" t="e">
        <v>#N/A</v>
      </c>
      <c r="CY2114" s="41" t="e">
        <v>#N/A</v>
      </c>
      <c r="CZ2114" s="47" t="e">
        <v>#N/A</v>
      </c>
      <c r="DA2114">
        <v>0.11332468572476186</v>
      </c>
      <c r="DB2114" t="str">
        <v/>
      </c>
    </row>
    <row r="2115" spans="83:106" x14ac:dyDescent="0.2">
      <c r="CE2115"/>
      <c r="CF2115"/>
      <c r="CG2115"/>
      <c r="CH2115"/>
      <c r="CI2115"/>
      <c r="CU2115" s="21">
        <v>2110</v>
      </c>
      <c r="CV2115" s="41">
        <v>4</v>
      </c>
      <c r="CW2115" s="41">
        <v>0.11332468572476186</v>
      </c>
      <c r="CX2115" s="41" t="e">
        <v>#N/A</v>
      </c>
      <c r="CY2115" s="41" t="e">
        <v>#N/A</v>
      </c>
      <c r="CZ2115" s="47" t="e">
        <v>#N/A</v>
      </c>
      <c r="DA2115">
        <v>0.11332468572476186</v>
      </c>
      <c r="DB2115" t="str">
        <v/>
      </c>
    </row>
    <row r="2116" spans="83:106" x14ac:dyDescent="0.2">
      <c r="CE2116"/>
      <c r="CF2116"/>
      <c r="CG2116"/>
      <c r="CH2116"/>
      <c r="CI2116"/>
      <c r="CU2116" s="21">
        <v>2111</v>
      </c>
      <c r="CV2116" s="41">
        <v>4</v>
      </c>
      <c r="CW2116" s="41">
        <v>0.11332468572476186</v>
      </c>
      <c r="CX2116" s="41" t="e">
        <v>#N/A</v>
      </c>
      <c r="CY2116" s="41" t="e">
        <v>#N/A</v>
      </c>
      <c r="CZ2116" s="47" t="e">
        <v>#N/A</v>
      </c>
      <c r="DA2116">
        <v>0.11332468572476186</v>
      </c>
      <c r="DB2116" t="str">
        <v/>
      </c>
    </row>
    <row r="2117" spans="83:106" x14ac:dyDescent="0.2">
      <c r="CE2117"/>
      <c r="CF2117"/>
      <c r="CG2117"/>
      <c r="CH2117"/>
      <c r="CI2117"/>
      <c r="CU2117" s="21">
        <v>2112</v>
      </c>
      <c r="CV2117" s="41">
        <v>4</v>
      </c>
      <c r="CW2117" s="41">
        <v>0.11332468572476186</v>
      </c>
      <c r="CX2117" s="41" t="e">
        <v>#N/A</v>
      </c>
      <c r="CY2117" s="41" t="e">
        <v>#N/A</v>
      </c>
      <c r="CZ2117" s="47" t="e">
        <v>#N/A</v>
      </c>
      <c r="DA2117">
        <v>0.11332468572476186</v>
      </c>
      <c r="DB2117" t="str">
        <v/>
      </c>
    </row>
    <row r="2118" spans="83:106" x14ac:dyDescent="0.2">
      <c r="CE2118"/>
      <c r="CF2118"/>
      <c r="CG2118"/>
      <c r="CH2118"/>
      <c r="CI2118"/>
      <c r="CU2118" s="21">
        <v>2113</v>
      </c>
      <c r="CV2118" s="41">
        <v>4</v>
      </c>
      <c r="CW2118" s="41">
        <v>0.11332468572476186</v>
      </c>
      <c r="CX2118" s="41" t="e">
        <v>#N/A</v>
      </c>
      <c r="CY2118" s="41" t="e">
        <v>#N/A</v>
      </c>
      <c r="CZ2118" s="47" t="e">
        <v>#N/A</v>
      </c>
      <c r="DA2118">
        <v>0.11332468572476186</v>
      </c>
      <c r="DB2118" t="str">
        <v/>
      </c>
    </row>
    <row r="2119" spans="83:106" x14ac:dyDescent="0.2">
      <c r="CE2119"/>
      <c r="CF2119"/>
      <c r="CG2119"/>
      <c r="CH2119"/>
      <c r="CI2119"/>
      <c r="CU2119" s="21">
        <v>2114</v>
      </c>
      <c r="CV2119" s="41">
        <v>4</v>
      </c>
      <c r="CW2119" s="41">
        <v>0.11332468572476186</v>
      </c>
      <c r="CX2119" s="41" t="e">
        <v>#N/A</v>
      </c>
      <c r="CY2119" s="41" t="e">
        <v>#N/A</v>
      </c>
      <c r="CZ2119" s="47" t="e">
        <v>#N/A</v>
      </c>
      <c r="DA2119">
        <v>0.11332468572476186</v>
      </c>
      <c r="DB2119" t="str">
        <v/>
      </c>
    </row>
    <row r="2120" spans="83:106" x14ac:dyDescent="0.2">
      <c r="CE2120"/>
      <c r="CF2120"/>
      <c r="CG2120"/>
      <c r="CH2120"/>
      <c r="CI2120"/>
      <c r="CU2120" s="21">
        <v>2115</v>
      </c>
      <c r="CV2120" s="41">
        <v>4</v>
      </c>
      <c r="CW2120" s="41">
        <v>0.11332468572476186</v>
      </c>
      <c r="CX2120" s="41" t="e">
        <v>#N/A</v>
      </c>
      <c r="CY2120" s="41" t="e">
        <v>#N/A</v>
      </c>
      <c r="CZ2120" s="47" t="e">
        <v>#N/A</v>
      </c>
      <c r="DA2120">
        <v>0.11332468572476186</v>
      </c>
      <c r="DB2120" t="str">
        <v/>
      </c>
    </row>
    <row r="2121" spans="83:106" x14ac:dyDescent="0.2">
      <c r="CE2121"/>
      <c r="CF2121"/>
      <c r="CG2121"/>
      <c r="CH2121"/>
      <c r="CI2121"/>
      <c r="CU2121" s="21">
        <v>2116</v>
      </c>
      <c r="CV2121" s="41">
        <v>4</v>
      </c>
      <c r="CW2121" s="41">
        <v>0.11332468572476186</v>
      </c>
      <c r="CX2121" s="41" t="e">
        <v>#N/A</v>
      </c>
      <c r="CY2121" s="41" t="e">
        <v>#N/A</v>
      </c>
      <c r="CZ2121" s="47" t="e">
        <v>#N/A</v>
      </c>
      <c r="DA2121">
        <v>0.11332468572476186</v>
      </c>
      <c r="DB2121" t="str">
        <v/>
      </c>
    </row>
    <row r="2122" spans="83:106" x14ac:dyDescent="0.2">
      <c r="CE2122"/>
      <c r="CF2122"/>
      <c r="CG2122"/>
      <c r="CH2122"/>
      <c r="CI2122"/>
      <c r="CU2122" s="21">
        <v>2117</v>
      </c>
      <c r="CV2122" s="41">
        <v>4</v>
      </c>
      <c r="CW2122" s="41">
        <v>0.11332468572476186</v>
      </c>
      <c r="CX2122" s="41" t="e">
        <v>#N/A</v>
      </c>
      <c r="CY2122" s="41" t="e">
        <v>#N/A</v>
      </c>
      <c r="CZ2122" s="47" t="e">
        <v>#N/A</v>
      </c>
      <c r="DA2122">
        <v>0.11332468572476186</v>
      </c>
      <c r="DB2122" t="str">
        <v/>
      </c>
    </row>
    <row r="2123" spans="83:106" x14ac:dyDescent="0.2">
      <c r="CE2123"/>
      <c r="CF2123"/>
      <c r="CG2123"/>
      <c r="CH2123"/>
      <c r="CI2123"/>
      <c r="CU2123" s="21">
        <v>2118</v>
      </c>
      <c r="CV2123" s="41">
        <v>4</v>
      </c>
      <c r="CW2123" s="41">
        <v>0.11332468572476186</v>
      </c>
      <c r="CX2123" s="41" t="e">
        <v>#N/A</v>
      </c>
      <c r="CY2123" s="41" t="e">
        <v>#N/A</v>
      </c>
      <c r="CZ2123" s="47" t="e">
        <v>#N/A</v>
      </c>
      <c r="DA2123">
        <v>0.11332468572476186</v>
      </c>
      <c r="DB2123" t="str">
        <v/>
      </c>
    </row>
    <row r="2124" spans="83:106" x14ac:dyDescent="0.2">
      <c r="CE2124"/>
      <c r="CF2124"/>
      <c r="CG2124"/>
      <c r="CH2124"/>
      <c r="CI2124"/>
      <c r="CU2124" s="21">
        <v>2119</v>
      </c>
      <c r="CV2124" s="41">
        <v>4</v>
      </c>
      <c r="CW2124" s="41">
        <v>0.11332468572476186</v>
      </c>
      <c r="CX2124" s="41" t="e">
        <v>#N/A</v>
      </c>
      <c r="CY2124" s="41" t="e">
        <v>#N/A</v>
      </c>
      <c r="CZ2124" s="47" t="e">
        <v>#N/A</v>
      </c>
      <c r="DA2124">
        <v>0.11332468572476186</v>
      </c>
      <c r="DB2124" t="str">
        <v/>
      </c>
    </row>
    <row r="2125" spans="83:106" x14ac:dyDescent="0.2">
      <c r="CE2125"/>
      <c r="CF2125"/>
      <c r="CG2125"/>
      <c r="CH2125"/>
      <c r="CI2125"/>
      <c r="CU2125" s="21">
        <v>2120</v>
      </c>
      <c r="CV2125" s="41">
        <v>4</v>
      </c>
      <c r="CW2125" s="41">
        <v>0.11332468572476186</v>
      </c>
      <c r="CX2125" s="41" t="e">
        <v>#N/A</v>
      </c>
      <c r="CY2125" s="41" t="e">
        <v>#N/A</v>
      </c>
      <c r="CZ2125" s="47" t="e">
        <v>#N/A</v>
      </c>
      <c r="DA2125">
        <v>0.11332468572476186</v>
      </c>
      <c r="DB2125" t="str">
        <v/>
      </c>
    </row>
    <row r="2126" spans="83:106" x14ac:dyDescent="0.2">
      <c r="CE2126"/>
      <c r="CF2126"/>
      <c r="CG2126"/>
      <c r="CH2126"/>
      <c r="CI2126"/>
      <c r="CU2126" s="21">
        <v>2121</v>
      </c>
      <c r="CV2126" s="41">
        <v>4</v>
      </c>
      <c r="CW2126" s="41">
        <v>0.11332468572476186</v>
      </c>
      <c r="CX2126" s="41" t="e">
        <v>#N/A</v>
      </c>
      <c r="CY2126" s="41" t="e">
        <v>#N/A</v>
      </c>
      <c r="CZ2126" s="47" t="e">
        <v>#N/A</v>
      </c>
      <c r="DA2126">
        <v>0.11332468572476186</v>
      </c>
      <c r="DB2126" t="str">
        <v/>
      </c>
    </row>
    <row r="2127" spans="83:106" x14ac:dyDescent="0.2">
      <c r="CE2127"/>
      <c r="CF2127"/>
      <c r="CG2127"/>
      <c r="CH2127"/>
      <c r="CI2127"/>
      <c r="CU2127" s="21">
        <v>2122</v>
      </c>
      <c r="CV2127" s="41">
        <v>4</v>
      </c>
      <c r="CW2127" s="41">
        <v>0.11332468572476186</v>
      </c>
      <c r="CX2127" s="41" t="e">
        <v>#N/A</v>
      </c>
      <c r="CY2127" s="41" t="e">
        <v>#N/A</v>
      </c>
      <c r="CZ2127" s="47" t="e">
        <v>#N/A</v>
      </c>
      <c r="DA2127">
        <v>0.11332468572476186</v>
      </c>
      <c r="DB2127" t="str">
        <v/>
      </c>
    </row>
    <row r="2128" spans="83:106" x14ac:dyDescent="0.2">
      <c r="CE2128"/>
      <c r="CF2128"/>
      <c r="CG2128"/>
      <c r="CH2128"/>
      <c r="CI2128"/>
      <c r="CU2128" s="21">
        <v>2123</v>
      </c>
      <c r="CV2128" s="41">
        <v>4</v>
      </c>
      <c r="CW2128" s="41">
        <v>0.11332468572476186</v>
      </c>
      <c r="CX2128" s="41" t="e">
        <v>#N/A</v>
      </c>
      <c r="CY2128" s="41" t="e">
        <v>#N/A</v>
      </c>
      <c r="CZ2128" s="47" t="e">
        <v>#N/A</v>
      </c>
      <c r="DA2128">
        <v>0.11332468572476186</v>
      </c>
      <c r="DB2128" t="str">
        <v/>
      </c>
    </row>
    <row r="2129" spans="83:106" x14ac:dyDescent="0.2">
      <c r="CE2129"/>
      <c r="CF2129"/>
      <c r="CG2129"/>
      <c r="CH2129"/>
      <c r="CI2129"/>
      <c r="CU2129" s="21">
        <v>2124</v>
      </c>
      <c r="CV2129" s="41">
        <v>4</v>
      </c>
      <c r="CW2129" s="41">
        <v>0.11332468572476186</v>
      </c>
      <c r="CX2129" s="41" t="e">
        <v>#N/A</v>
      </c>
      <c r="CY2129" s="41" t="e">
        <v>#N/A</v>
      </c>
      <c r="CZ2129" s="47" t="e">
        <v>#N/A</v>
      </c>
      <c r="DA2129">
        <v>0.11332468572476186</v>
      </c>
      <c r="DB2129" t="str">
        <v/>
      </c>
    </row>
    <row r="2130" spans="83:106" x14ac:dyDescent="0.2">
      <c r="CE2130"/>
      <c r="CF2130"/>
      <c r="CG2130"/>
      <c r="CH2130"/>
      <c r="CI2130"/>
      <c r="CU2130" s="21">
        <v>2125</v>
      </c>
      <c r="CV2130" s="41">
        <v>4</v>
      </c>
      <c r="CW2130" s="41">
        <v>0.11332468572476186</v>
      </c>
      <c r="CX2130" s="41" t="e">
        <v>#N/A</v>
      </c>
      <c r="CY2130" s="41" t="e">
        <v>#N/A</v>
      </c>
      <c r="CZ2130" s="47" t="e">
        <v>#N/A</v>
      </c>
      <c r="DA2130">
        <v>0.11332468572476186</v>
      </c>
      <c r="DB2130" t="str">
        <v/>
      </c>
    </row>
    <row r="2131" spans="83:106" x14ac:dyDescent="0.2">
      <c r="CE2131"/>
      <c r="CF2131"/>
      <c r="CG2131"/>
      <c r="CH2131"/>
      <c r="CI2131"/>
      <c r="CU2131" s="21">
        <v>2126</v>
      </c>
      <c r="CV2131" s="41">
        <v>4</v>
      </c>
      <c r="CW2131" s="41">
        <v>0.11332468572476186</v>
      </c>
      <c r="CX2131" s="41" t="e">
        <v>#N/A</v>
      </c>
      <c r="CY2131" s="41" t="e">
        <v>#N/A</v>
      </c>
      <c r="CZ2131" s="47" t="e">
        <v>#N/A</v>
      </c>
      <c r="DA2131">
        <v>0.11332468572476186</v>
      </c>
      <c r="DB2131" t="str">
        <v/>
      </c>
    </row>
    <row r="2132" spans="83:106" x14ac:dyDescent="0.2">
      <c r="CE2132"/>
      <c r="CF2132"/>
      <c r="CG2132"/>
      <c r="CH2132"/>
      <c r="CI2132"/>
      <c r="CU2132" s="21">
        <v>2127</v>
      </c>
      <c r="CV2132" s="41">
        <v>4</v>
      </c>
      <c r="CW2132" s="41">
        <v>0.11332468572476186</v>
      </c>
      <c r="CX2132" s="41" t="e">
        <v>#N/A</v>
      </c>
      <c r="CY2132" s="41" t="e">
        <v>#N/A</v>
      </c>
      <c r="CZ2132" s="47" t="e">
        <v>#N/A</v>
      </c>
      <c r="DA2132">
        <v>0.11332468572476186</v>
      </c>
      <c r="DB2132" t="str">
        <v/>
      </c>
    </row>
    <row r="2133" spans="83:106" x14ac:dyDescent="0.2">
      <c r="CE2133"/>
      <c r="CF2133"/>
      <c r="CG2133"/>
      <c r="CH2133"/>
      <c r="CI2133"/>
      <c r="CU2133" s="21">
        <v>2128</v>
      </c>
      <c r="CV2133" s="41">
        <v>4</v>
      </c>
      <c r="CW2133" s="41">
        <v>0.11332468572476186</v>
      </c>
      <c r="CX2133" s="41" t="e">
        <v>#N/A</v>
      </c>
      <c r="CY2133" s="41" t="e">
        <v>#N/A</v>
      </c>
      <c r="CZ2133" s="47" t="e">
        <v>#N/A</v>
      </c>
      <c r="DA2133">
        <v>0.11332468572476186</v>
      </c>
      <c r="DB2133" t="str">
        <v/>
      </c>
    </row>
    <row r="2134" spans="83:106" x14ac:dyDescent="0.2">
      <c r="CE2134"/>
      <c r="CF2134"/>
      <c r="CG2134"/>
      <c r="CH2134"/>
      <c r="CI2134"/>
      <c r="CU2134" s="21">
        <v>2129</v>
      </c>
      <c r="CV2134" s="41">
        <v>4</v>
      </c>
      <c r="CW2134" s="41">
        <v>0.11332468572476186</v>
      </c>
      <c r="CX2134" s="41" t="e">
        <v>#N/A</v>
      </c>
      <c r="CY2134" s="41" t="e">
        <v>#N/A</v>
      </c>
      <c r="CZ2134" s="47" t="e">
        <v>#N/A</v>
      </c>
      <c r="DA2134">
        <v>0.11332468572476186</v>
      </c>
      <c r="DB2134" t="str">
        <v/>
      </c>
    </row>
    <row r="2135" spans="83:106" x14ac:dyDescent="0.2">
      <c r="CE2135"/>
      <c r="CF2135"/>
      <c r="CG2135"/>
      <c r="CH2135"/>
      <c r="CI2135"/>
      <c r="CU2135" s="21">
        <v>2130</v>
      </c>
      <c r="CV2135" s="41">
        <v>4</v>
      </c>
      <c r="CW2135" s="41">
        <v>0.11332468572476186</v>
      </c>
      <c r="CX2135" s="41" t="e">
        <v>#N/A</v>
      </c>
      <c r="CY2135" s="41" t="e">
        <v>#N/A</v>
      </c>
      <c r="CZ2135" s="47" t="e">
        <v>#N/A</v>
      </c>
      <c r="DA2135">
        <v>0.11332468572476186</v>
      </c>
      <c r="DB2135" t="str">
        <v/>
      </c>
    </row>
    <row r="2136" spans="83:106" x14ac:dyDescent="0.2">
      <c r="CE2136"/>
      <c r="CF2136"/>
      <c r="CG2136"/>
      <c r="CH2136"/>
      <c r="CI2136"/>
      <c r="CU2136" s="21">
        <v>2131</v>
      </c>
      <c r="CV2136" s="41">
        <v>4</v>
      </c>
      <c r="CW2136" s="41">
        <v>0.11332468572476186</v>
      </c>
      <c r="CX2136" s="41" t="e">
        <v>#N/A</v>
      </c>
      <c r="CY2136" s="41" t="e">
        <v>#N/A</v>
      </c>
      <c r="CZ2136" s="47" t="e">
        <v>#N/A</v>
      </c>
      <c r="DA2136">
        <v>0.11332468572476186</v>
      </c>
      <c r="DB2136" t="str">
        <v/>
      </c>
    </row>
    <row r="2137" spans="83:106" x14ac:dyDescent="0.2">
      <c r="CE2137"/>
      <c r="CF2137"/>
      <c r="CG2137"/>
      <c r="CH2137"/>
      <c r="CI2137"/>
      <c r="CU2137" s="21">
        <v>2132</v>
      </c>
      <c r="CV2137" s="41">
        <v>4</v>
      </c>
      <c r="CW2137" s="41">
        <v>0.11332468572476186</v>
      </c>
      <c r="CX2137" s="41" t="e">
        <v>#N/A</v>
      </c>
      <c r="CY2137" s="41" t="e">
        <v>#N/A</v>
      </c>
      <c r="CZ2137" s="47" t="e">
        <v>#N/A</v>
      </c>
      <c r="DA2137">
        <v>0.11332468572476186</v>
      </c>
      <c r="DB2137" t="str">
        <v/>
      </c>
    </row>
    <row r="2138" spans="83:106" x14ac:dyDescent="0.2">
      <c r="CE2138"/>
      <c r="CF2138"/>
      <c r="CG2138"/>
      <c r="CH2138"/>
      <c r="CI2138"/>
      <c r="CU2138" s="21">
        <v>2133</v>
      </c>
      <c r="CV2138" s="41">
        <v>4</v>
      </c>
      <c r="CW2138" s="41">
        <v>0.11332468572476186</v>
      </c>
      <c r="CX2138" s="41" t="e">
        <v>#N/A</v>
      </c>
      <c r="CY2138" s="41" t="e">
        <v>#N/A</v>
      </c>
      <c r="CZ2138" s="47" t="e">
        <v>#N/A</v>
      </c>
      <c r="DA2138">
        <v>0.11332468572476186</v>
      </c>
      <c r="DB2138" t="str">
        <v/>
      </c>
    </row>
    <row r="2139" spans="83:106" x14ac:dyDescent="0.2">
      <c r="CE2139"/>
      <c r="CF2139"/>
      <c r="CG2139"/>
      <c r="CH2139"/>
      <c r="CI2139"/>
      <c r="CU2139" s="21">
        <v>2134</v>
      </c>
      <c r="CV2139" s="41">
        <v>4</v>
      </c>
      <c r="CW2139" s="41">
        <v>0.11332468572476186</v>
      </c>
      <c r="CX2139" s="41" t="e">
        <v>#N/A</v>
      </c>
      <c r="CY2139" s="41" t="e">
        <v>#N/A</v>
      </c>
      <c r="CZ2139" s="47" t="e">
        <v>#N/A</v>
      </c>
      <c r="DA2139">
        <v>0.11332468572476186</v>
      </c>
      <c r="DB2139" t="str">
        <v/>
      </c>
    </row>
    <row r="2140" spans="83:106" x14ac:dyDescent="0.2">
      <c r="CE2140"/>
      <c r="CF2140"/>
      <c r="CG2140"/>
      <c r="CH2140"/>
      <c r="CI2140"/>
      <c r="CU2140" s="21">
        <v>2135</v>
      </c>
      <c r="CV2140" s="41">
        <v>4</v>
      </c>
      <c r="CW2140" s="41">
        <v>0.11332468572476186</v>
      </c>
      <c r="CX2140" s="41" t="e">
        <v>#N/A</v>
      </c>
      <c r="CY2140" s="41" t="e">
        <v>#N/A</v>
      </c>
      <c r="CZ2140" s="47" t="e">
        <v>#N/A</v>
      </c>
      <c r="DA2140">
        <v>0.11332468572476186</v>
      </c>
      <c r="DB2140" t="str">
        <v/>
      </c>
    </row>
    <row r="2141" spans="83:106" x14ac:dyDescent="0.2">
      <c r="CE2141"/>
      <c r="CF2141"/>
      <c r="CG2141"/>
      <c r="CH2141"/>
      <c r="CI2141"/>
      <c r="CU2141" s="21">
        <v>2136</v>
      </c>
      <c r="CV2141" s="41">
        <v>4</v>
      </c>
      <c r="CW2141" s="41">
        <v>0.11332468572476186</v>
      </c>
      <c r="CX2141" s="41" t="e">
        <v>#N/A</v>
      </c>
      <c r="CY2141" s="41" t="e">
        <v>#N/A</v>
      </c>
      <c r="CZ2141" s="47" t="e">
        <v>#N/A</v>
      </c>
      <c r="DA2141">
        <v>0.11332468572476186</v>
      </c>
      <c r="DB2141" t="str">
        <v/>
      </c>
    </row>
    <row r="2142" spans="83:106" x14ac:dyDescent="0.2">
      <c r="CE2142"/>
      <c r="CF2142"/>
      <c r="CG2142"/>
      <c r="CH2142"/>
      <c r="CI2142"/>
      <c r="CU2142" s="21">
        <v>2137</v>
      </c>
      <c r="CV2142" s="41">
        <v>4</v>
      </c>
      <c r="CW2142" s="41">
        <v>0.11332468572476186</v>
      </c>
      <c r="CX2142" s="41" t="e">
        <v>#N/A</v>
      </c>
      <c r="CY2142" s="41" t="e">
        <v>#N/A</v>
      </c>
      <c r="CZ2142" s="47" t="e">
        <v>#N/A</v>
      </c>
      <c r="DA2142">
        <v>0.11332468572476186</v>
      </c>
      <c r="DB2142" t="str">
        <v/>
      </c>
    </row>
    <row r="2143" spans="83:106" x14ac:dyDescent="0.2">
      <c r="CE2143"/>
      <c r="CF2143"/>
      <c r="CG2143"/>
      <c r="CH2143"/>
      <c r="CI2143"/>
      <c r="CU2143" s="21">
        <v>2138</v>
      </c>
      <c r="CV2143" s="41">
        <v>4</v>
      </c>
      <c r="CW2143" s="41">
        <v>0.11332468572476186</v>
      </c>
      <c r="CX2143" s="41" t="e">
        <v>#N/A</v>
      </c>
      <c r="CY2143" s="41" t="e">
        <v>#N/A</v>
      </c>
      <c r="CZ2143" s="47" t="e">
        <v>#N/A</v>
      </c>
      <c r="DA2143">
        <v>0.11332468572476186</v>
      </c>
      <c r="DB2143" t="str">
        <v/>
      </c>
    </row>
    <row r="2144" spans="83:106" x14ac:dyDescent="0.2">
      <c r="CE2144"/>
      <c r="CF2144"/>
      <c r="CG2144"/>
      <c r="CH2144"/>
      <c r="CI2144"/>
      <c r="CU2144" s="21">
        <v>2139</v>
      </c>
      <c r="CV2144" s="41">
        <v>4</v>
      </c>
      <c r="CW2144" s="41">
        <v>0.11332468572476186</v>
      </c>
      <c r="CX2144" s="41" t="e">
        <v>#N/A</v>
      </c>
      <c r="CY2144" s="41" t="e">
        <v>#N/A</v>
      </c>
      <c r="CZ2144" s="47" t="e">
        <v>#N/A</v>
      </c>
      <c r="DA2144">
        <v>0.11332468572476186</v>
      </c>
      <c r="DB2144" t="str">
        <v/>
      </c>
    </row>
    <row r="2145" spans="83:106" x14ac:dyDescent="0.2">
      <c r="CE2145"/>
      <c r="CF2145"/>
      <c r="CG2145"/>
      <c r="CH2145"/>
      <c r="CI2145"/>
      <c r="CU2145" s="21">
        <v>2140</v>
      </c>
      <c r="CV2145" s="41">
        <v>4</v>
      </c>
      <c r="CW2145" s="41">
        <v>0.11332468572476186</v>
      </c>
      <c r="CX2145" s="41" t="e">
        <v>#N/A</v>
      </c>
      <c r="CY2145" s="41" t="e">
        <v>#N/A</v>
      </c>
      <c r="CZ2145" s="47" t="e">
        <v>#N/A</v>
      </c>
      <c r="DA2145">
        <v>0.11332468572476186</v>
      </c>
      <c r="DB2145" t="str">
        <v/>
      </c>
    </row>
    <row r="2146" spans="83:106" x14ac:dyDescent="0.2">
      <c r="CE2146"/>
      <c r="CF2146"/>
      <c r="CG2146"/>
      <c r="CH2146"/>
      <c r="CI2146"/>
      <c r="CU2146" s="21">
        <v>2141</v>
      </c>
      <c r="CV2146" s="41">
        <v>4</v>
      </c>
      <c r="CW2146" s="41">
        <v>0.11332468572476186</v>
      </c>
      <c r="CX2146" s="41" t="e">
        <v>#N/A</v>
      </c>
      <c r="CY2146" s="41" t="e">
        <v>#N/A</v>
      </c>
      <c r="CZ2146" s="47" t="e">
        <v>#N/A</v>
      </c>
      <c r="DA2146">
        <v>0.11332468572476186</v>
      </c>
      <c r="DB2146" t="str">
        <v/>
      </c>
    </row>
    <row r="2147" spans="83:106" x14ac:dyDescent="0.2">
      <c r="CE2147"/>
      <c r="CF2147"/>
      <c r="CG2147"/>
      <c r="CH2147"/>
      <c r="CI2147"/>
      <c r="CU2147" s="21">
        <v>2142</v>
      </c>
      <c r="CV2147" s="41">
        <v>4</v>
      </c>
      <c r="CW2147" s="41">
        <v>0.11332468572476186</v>
      </c>
      <c r="CX2147" s="41" t="e">
        <v>#N/A</v>
      </c>
      <c r="CY2147" s="41" t="e">
        <v>#N/A</v>
      </c>
      <c r="CZ2147" s="47" t="e">
        <v>#N/A</v>
      </c>
      <c r="DA2147">
        <v>0.11332468572476186</v>
      </c>
      <c r="DB2147" t="str">
        <v/>
      </c>
    </row>
    <row r="2148" spans="83:106" x14ac:dyDescent="0.2">
      <c r="CE2148"/>
      <c r="CF2148"/>
      <c r="CG2148"/>
      <c r="CH2148"/>
      <c r="CI2148"/>
      <c r="CU2148" s="21">
        <v>2143</v>
      </c>
      <c r="CV2148" s="41">
        <v>4</v>
      </c>
      <c r="CW2148" s="41">
        <v>0.11332468572476186</v>
      </c>
      <c r="CX2148" s="41" t="e">
        <v>#N/A</v>
      </c>
      <c r="CY2148" s="41" t="e">
        <v>#N/A</v>
      </c>
      <c r="CZ2148" s="47" t="e">
        <v>#N/A</v>
      </c>
      <c r="DA2148">
        <v>0.11332468572476186</v>
      </c>
      <c r="DB2148" t="str">
        <v/>
      </c>
    </row>
    <row r="2149" spans="83:106" x14ac:dyDescent="0.2">
      <c r="CE2149"/>
      <c r="CF2149"/>
      <c r="CG2149"/>
      <c r="CH2149"/>
      <c r="CI2149"/>
      <c r="CU2149" s="21">
        <v>2144</v>
      </c>
      <c r="CV2149" s="41">
        <v>4</v>
      </c>
      <c r="CW2149" s="41">
        <v>0.11332468572476186</v>
      </c>
      <c r="CX2149" s="41" t="e">
        <v>#N/A</v>
      </c>
      <c r="CY2149" s="41" t="e">
        <v>#N/A</v>
      </c>
      <c r="CZ2149" s="47" t="e">
        <v>#N/A</v>
      </c>
      <c r="DA2149">
        <v>0.11332468572476186</v>
      </c>
      <c r="DB2149" t="str">
        <v/>
      </c>
    </row>
    <row r="2150" spans="83:106" x14ac:dyDescent="0.2">
      <c r="CE2150"/>
      <c r="CF2150"/>
      <c r="CG2150"/>
      <c r="CH2150"/>
      <c r="CI2150"/>
      <c r="CU2150" s="21">
        <v>2145</v>
      </c>
      <c r="CV2150" s="41">
        <v>4</v>
      </c>
      <c r="CW2150" s="41">
        <v>0.11332468572476186</v>
      </c>
      <c r="CX2150" s="41" t="e">
        <v>#N/A</v>
      </c>
      <c r="CY2150" s="41" t="e">
        <v>#N/A</v>
      </c>
      <c r="CZ2150" s="47" t="e">
        <v>#N/A</v>
      </c>
      <c r="DA2150">
        <v>0.11332468572476186</v>
      </c>
      <c r="DB2150" t="str">
        <v/>
      </c>
    </row>
    <row r="2151" spans="83:106" x14ac:dyDescent="0.2">
      <c r="CE2151"/>
      <c r="CF2151"/>
      <c r="CG2151"/>
      <c r="CH2151"/>
      <c r="CI2151"/>
      <c r="CU2151" s="21">
        <v>2146</v>
      </c>
      <c r="CV2151" s="41">
        <v>4</v>
      </c>
      <c r="CW2151" s="41">
        <v>0.11332468572476186</v>
      </c>
      <c r="CX2151" s="41" t="e">
        <v>#N/A</v>
      </c>
      <c r="CY2151" s="41" t="e">
        <v>#N/A</v>
      </c>
      <c r="CZ2151" s="47" t="e">
        <v>#N/A</v>
      </c>
      <c r="DA2151">
        <v>0.11332468572476186</v>
      </c>
      <c r="DB2151" t="str">
        <v/>
      </c>
    </row>
    <row r="2152" spans="83:106" x14ac:dyDescent="0.2">
      <c r="CE2152"/>
      <c r="CF2152"/>
      <c r="CG2152"/>
      <c r="CH2152"/>
      <c r="CI2152"/>
      <c r="CU2152" s="21">
        <v>2147</v>
      </c>
      <c r="CV2152" s="41">
        <v>4</v>
      </c>
      <c r="CW2152" s="41">
        <v>0.11332468572476186</v>
      </c>
      <c r="CX2152" s="41" t="e">
        <v>#N/A</v>
      </c>
      <c r="CY2152" s="41" t="e">
        <v>#N/A</v>
      </c>
      <c r="CZ2152" s="47" t="e">
        <v>#N/A</v>
      </c>
      <c r="DA2152">
        <v>0.11332468572476186</v>
      </c>
      <c r="DB2152" t="str">
        <v/>
      </c>
    </row>
    <row r="2153" spans="83:106" x14ac:dyDescent="0.2">
      <c r="CE2153"/>
      <c r="CF2153"/>
      <c r="CG2153"/>
      <c r="CH2153"/>
      <c r="CI2153"/>
      <c r="CU2153" s="21">
        <v>2148</v>
      </c>
      <c r="CV2153" s="41">
        <v>4</v>
      </c>
      <c r="CW2153" s="41">
        <v>0.11332468572476186</v>
      </c>
      <c r="CX2153" s="41" t="e">
        <v>#N/A</v>
      </c>
      <c r="CY2153" s="41" t="e">
        <v>#N/A</v>
      </c>
      <c r="CZ2153" s="47" t="e">
        <v>#N/A</v>
      </c>
      <c r="DA2153">
        <v>0.11332468572476186</v>
      </c>
      <c r="DB2153" t="str">
        <v/>
      </c>
    </row>
    <row r="2154" spans="83:106" x14ac:dyDescent="0.2">
      <c r="CE2154"/>
      <c r="CF2154"/>
      <c r="CG2154"/>
      <c r="CH2154"/>
      <c r="CI2154"/>
      <c r="CU2154" s="21">
        <v>2149</v>
      </c>
      <c r="CV2154" s="41">
        <v>4</v>
      </c>
      <c r="CW2154" s="41">
        <v>0.11332468572476186</v>
      </c>
      <c r="CX2154" s="41" t="e">
        <v>#N/A</v>
      </c>
      <c r="CY2154" s="41" t="e">
        <v>#N/A</v>
      </c>
      <c r="CZ2154" s="47" t="e">
        <v>#N/A</v>
      </c>
      <c r="DA2154">
        <v>0.11332468572476186</v>
      </c>
      <c r="DB2154" t="str">
        <v/>
      </c>
    </row>
    <row r="2155" spans="83:106" x14ac:dyDescent="0.2">
      <c r="CE2155"/>
      <c r="CF2155"/>
      <c r="CG2155"/>
      <c r="CH2155"/>
      <c r="CI2155"/>
      <c r="CU2155" s="21">
        <v>2150</v>
      </c>
      <c r="CV2155" s="41">
        <v>4</v>
      </c>
      <c r="CW2155" s="41">
        <v>0.11332468572476186</v>
      </c>
      <c r="CX2155" s="41" t="e">
        <v>#N/A</v>
      </c>
      <c r="CY2155" s="41" t="e">
        <v>#N/A</v>
      </c>
      <c r="CZ2155" s="47" t="e">
        <v>#N/A</v>
      </c>
      <c r="DA2155">
        <v>0.11332468572476186</v>
      </c>
      <c r="DB2155" t="str">
        <v/>
      </c>
    </row>
    <row r="2156" spans="83:106" x14ac:dyDescent="0.2">
      <c r="CE2156"/>
      <c r="CF2156"/>
      <c r="CG2156"/>
      <c r="CH2156"/>
      <c r="CI2156"/>
      <c r="CU2156" s="21">
        <v>2151</v>
      </c>
      <c r="CV2156" s="41">
        <v>4</v>
      </c>
      <c r="CW2156" s="41">
        <v>0.11332468572476186</v>
      </c>
      <c r="CX2156" s="41" t="e">
        <v>#N/A</v>
      </c>
      <c r="CY2156" s="41" t="e">
        <v>#N/A</v>
      </c>
      <c r="CZ2156" s="47" t="e">
        <v>#N/A</v>
      </c>
      <c r="DA2156">
        <v>0.11332468572476186</v>
      </c>
      <c r="DB2156" t="str">
        <v/>
      </c>
    </row>
    <row r="2157" spans="83:106" x14ac:dyDescent="0.2">
      <c r="CE2157"/>
      <c r="CF2157"/>
      <c r="CG2157"/>
      <c r="CH2157"/>
      <c r="CI2157"/>
      <c r="CU2157" s="21">
        <v>2152</v>
      </c>
      <c r="CV2157" s="41">
        <v>4</v>
      </c>
      <c r="CW2157" s="41">
        <v>0.11332468572476186</v>
      </c>
      <c r="CX2157" s="41" t="e">
        <v>#N/A</v>
      </c>
      <c r="CY2157" s="41" t="e">
        <v>#N/A</v>
      </c>
      <c r="CZ2157" s="47" t="e">
        <v>#N/A</v>
      </c>
      <c r="DA2157">
        <v>0.11332468572476186</v>
      </c>
      <c r="DB2157" t="str">
        <v/>
      </c>
    </row>
    <row r="2158" spans="83:106" x14ac:dyDescent="0.2">
      <c r="CE2158"/>
      <c r="CF2158"/>
      <c r="CG2158"/>
      <c r="CH2158"/>
      <c r="CI2158"/>
      <c r="CU2158" s="21">
        <v>2153</v>
      </c>
      <c r="CV2158" s="41">
        <v>4</v>
      </c>
      <c r="CW2158" s="41">
        <v>0.11332468572476186</v>
      </c>
      <c r="CX2158" s="41" t="e">
        <v>#N/A</v>
      </c>
      <c r="CY2158" s="41" t="e">
        <v>#N/A</v>
      </c>
      <c r="CZ2158" s="47" t="e">
        <v>#N/A</v>
      </c>
      <c r="DA2158">
        <v>0.11332468572476186</v>
      </c>
      <c r="DB2158" t="str">
        <v/>
      </c>
    </row>
    <row r="2159" spans="83:106" x14ac:dyDescent="0.2">
      <c r="CE2159"/>
      <c r="CF2159"/>
      <c r="CG2159"/>
      <c r="CH2159"/>
      <c r="CI2159"/>
      <c r="CU2159" s="21">
        <v>2154</v>
      </c>
      <c r="CV2159" s="41">
        <v>4</v>
      </c>
      <c r="CW2159" s="41">
        <v>0.11332468572476186</v>
      </c>
      <c r="CX2159" s="41" t="e">
        <v>#N/A</v>
      </c>
      <c r="CY2159" s="41" t="e">
        <v>#N/A</v>
      </c>
      <c r="CZ2159" s="47" t="e">
        <v>#N/A</v>
      </c>
      <c r="DA2159">
        <v>0.11332468572476186</v>
      </c>
      <c r="DB2159" t="str">
        <v/>
      </c>
    </row>
    <row r="2160" spans="83:106" x14ac:dyDescent="0.2">
      <c r="CE2160"/>
      <c r="CF2160"/>
      <c r="CG2160"/>
      <c r="CH2160"/>
      <c r="CI2160"/>
      <c r="CU2160" s="21">
        <v>2155</v>
      </c>
      <c r="CV2160" s="41">
        <v>4</v>
      </c>
      <c r="CW2160" s="41">
        <v>0.11332468572476186</v>
      </c>
      <c r="CX2160" s="41" t="e">
        <v>#N/A</v>
      </c>
      <c r="CY2160" s="41" t="e">
        <v>#N/A</v>
      </c>
      <c r="CZ2160" s="47" t="e">
        <v>#N/A</v>
      </c>
      <c r="DA2160">
        <v>0.11332468572476186</v>
      </c>
      <c r="DB2160" t="str">
        <v/>
      </c>
    </row>
    <row r="2161" spans="83:106" x14ac:dyDescent="0.2">
      <c r="CE2161"/>
      <c r="CF2161"/>
      <c r="CG2161"/>
      <c r="CH2161"/>
      <c r="CI2161"/>
      <c r="CU2161" s="21">
        <v>2156</v>
      </c>
      <c r="CV2161" s="41">
        <v>4</v>
      </c>
      <c r="CW2161" s="41">
        <v>0.11332468572476186</v>
      </c>
      <c r="CX2161" s="41" t="e">
        <v>#N/A</v>
      </c>
      <c r="CY2161" s="41" t="e">
        <v>#N/A</v>
      </c>
      <c r="CZ2161" s="47" t="e">
        <v>#N/A</v>
      </c>
      <c r="DA2161">
        <v>0.11332468572476186</v>
      </c>
      <c r="DB2161" t="str">
        <v/>
      </c>
    </row>
    <row r="2162" spans="83:106" x14ac:dyDescent="0.2">
      <c r="CE2162"/>
      <c r="CF2162"/>
      <c r="CG2162"/>
      <c r="CH2162"/>
      <c r="CI2162"/>
      <c r="CU2162" s="21">
        <v>2157</v>
      </c>
      <c r="CV2162" s="41">
        <v>4</v>
      </c>
      <c r="CW2162" s="41">
        <v>0.11332468572476186</v>
      </c>
      <c r="CX2162" s="41" t="e">
        <v>#N/A</v>
      </c>
      <c r="CY2162" s="41" t="e">
        <v>#N/A</v>
      </c>
      <c r="CZ2162" s="47" t="e">
        <v>#N/A</v>
      </c>
      <c r="DA2162">
        <v>0.11332468572476186</v>
      </c>
      <c r="DB2162" t="str">
        <v/>
      </c>
    </row>
    <row r="2163" spans="83:106" x14ac:dyDescent="0.2">
      <c r="CE2163"/>
      <c r="CF2163"/>
      <c r="CG2163"/>
      <c r="CH2163"/>
      <c r="CI2163"/>
      <c r="CU2163" s="21">
        <v>2158</v>
      </c>
      <c r="CV2163" s="41">
        <v>4</v>
      </c>
      <c r="CW2163" s="41">
        <v>0.11332468572476186</v>
      </c>
      <c r="CX2163" s="41" t="e">
        <v>#N/A</v>
      </c>
      <c r="CY2163" s="41" t="e">
        <v>#N/A</v>
      </c>
      <c r="CZ2163" s="47" t="e">
        <v>#N/A</v>
      </c>
      <c r="DA2163">
        <v>0.11332468572476186</v>
      </c>
      <c r="DB2163" t="str">
        <v/>
      </c>
    </row>
    <row r="2164" spans="83:106" x14ac:dyDescent="0.2">
      <c r="CE2164"/>
      <c r="CF2164"/>
      <c r="CG2164"/>
      <c r="CH2164"/>
      <c r="CI2164"/>
      <c r="CU2164" s="21">
        <v>2159</v>
      </c>
      <c r="CV2164" s="41">
        <v>4</v>
      </c>
      <c r="CW2164" s="41">
        <v>0.11332468572476186</v>
      </c>
      <c r="CX2164" s="41" t="e">
        <v>#N/A</v>
      </c>
      <c r="CY2164" s="41" t="e">
        <v>#N/A</v>
      </c>
      <c r="CZ2164" s="47" t="e">
        <v>#N/A</v>
      </c>
      <c r="DA2164">
        <v>0.11332468572476186</v>
      </c>
      <c r="DB2164" t="str">
        <v/>
      </c>
    </row>
    <row r="2165" spans="83:106" x14ac:dyDescent="0.2">
      <c r="CE2165"/>
      <c r="CF2165"/>
      <c r="CG2165"/>
      <c r="CH2165"/>
      <c r="CI2165"/>
      <c r="CU2165" s="21">
        <v>2160</v>
      </c>
      <c r="CV2165" s="41">
        <v>4</v>
      </c>
      <c r="CW2165" s="41">
        <v>0.11332468572476186</v>
      </c>
      <c r="CX2165" s="41" t="e">
        <v>#N/A</v>
      </c>
      <c r="CY2165" s="41" t="e">
        <v>#N/A</v>
      </c>
      <c r="CZ2165" s="47" t="e">
        <v>#N/A</v>
      </c>
      <c r="DA2165">
        <v>0.11332468572476186</v>
      </c>
      <c r="DB2165" t="str">
        <v/>
      </c>
    </row>
    <row r="2166" spans="83:106" x14ac:dyDescent="0.2">
      <c r="CE2166"/>
      <c r="CF2166"/>
      <c r="CG2166"/>
      <c r="CH2166"/>
      <c r="CI2166"/>
      <c r="CU2166" s="21">
        <v>2161</v>
      </c>
      <c r="CV2166" s="41">
        <v>4</v>
      </c>
      <c r="CW2166" s="41">
        <v>0.11332468572476186</v>
      </c>
      <c r="CX2166" s="41" t="e">
        <v>#N/A</v>
      </c>
      <c r="CY2166" s="41" t="e">
        <v>#N/A</v>
      </c>
      <c r="CZ2166" s="47" t="e">
        <v>#N/A</v>
      </c>
      <c r="DA2166">
        <v>0.11332468572476186</v>
      </c>
      <c r="DB2166" t="str">
        <v/>
      </c>
    </row>
    <row r="2167" spans="83:106" x14ac:dyDescent="0.2">
      <c r="CE2167"/>
      <c r="CF2167"/>
      <c r="CG2167"/>
      <c r="CH2167"/>
      <c r="CI2167"/>
      <c r="CU2167" s="21">
        <v>2162</v>
      </c>
      <c r="CV2167" s="41">
        <v>4</v>
      </c>
      <c r="CW2167" s="41">
        <v>0.11332468572476186</v>
      </c>
      <c r="CX2167" s="41" t="e">
        <v>#N/A</v>
      </c>
      <c r="CY2167" s="41" t="e">
        <v>#N/A</v>
      </c>
      <c r="CZ2167" s="47" t="e">
        <v>#N/A</v>
      </c>
      <c r="DA2167">
        <v>0.11332468572476186</v>
      </c>
      <c r="DB2167" t="str">
        <v/>
      </c>
    </row>
    <row r="2168" spans="83:106" x14ac:dyDescent="0.2">
      <c r="CE2168"/>
      <c r="CF2168"/>
      <c r="CG2168"/>
      <c r="CH2168"/>
      <c r="CI2168"/>
      <c r="CU2168" s="21">
        <v>2163</v>
      </c>
      <c r="CV2168" s="41">
        <v>4</v>
      </c>
      <c r="CW2168" s="41">
        <v>0.11332468572476186</v>
      </c>
      <c r="CX2168" s="41" t="e">
        <v>#N/A</v>
      </c>
      <c r="CY2168" s="41" t="e">
        <v>#N/A</v>
      </c>
      <c r="CZ2168" s="47" t="e">
        <v>#N/A</v>
      </c>
      <c r="DA2168">
        <v>0.11332468572476186</v>
      </c>
      <c r="DB2168" t="str">
        <v/>
      </c>
    </row>
    <row r="2169" spans="83:106" x14ac:dyDescent="0.2">
      <c r="CE2169"/>
      <c r="CF2169"/>
      <c r="CG2169"/>
      <c r="CH2169"/>
      <c r="CI2169"/>
      <c r="CU2169" s="21">
        <v>2164</v>
      </c>
      <c r="CV2169" s="41">
        <v>4</v>
      </c>
      <c r="CW2169" s="41">
        <v>0.11332468572476186</v>
      </c>
      <c r="CX2169" s="41" t="e">
        <v>#N/A</v>
      </c>
      <c r="CY2169" s="41" t="e">
        <v>#N/A</v>
      </c>
      <c r="CZ2169" s="47" t="e">
        <v>#N/A</v>
      </c>
      <c r="DA2169">
        <v>0.11332468572476186</v>
      </c>
      <c r="DB2169" t="str">
        <v/>
      </c>
    </row>
    <row r="2170" spans="83:106" x14ac:dyDescent="0.2">
      <c r="CE2170"/>
      <c r="CF2170"/>
      <c r="CG2170"/>
      <c r="CH2170"/>
      <c r="CI2170"/>
      <c r="CU2170" s="21">
        <v>2165</v>
      </c>
      <c r="CV2170" s="41">
        <v>4</v>
      </c>
      <c r="CW2170" s="41">
        <v>0.11332468572476186</v>
      </c>
      <c r="CX2170" s="41" t="e">
        <v>#N/A</v>
      </c>
      <c r="CY2170" s="41" t="e">
        <v>#N/A</v>
      </c>
      <c r="CZ2170" s="47" t="e">
        <v>#N/A</v>
      </c>
      <c r="DA2170">
        <v>0.11332468572476186</v>
      </c>
      <c r="DB2170" t="str">
        <v/>
      </c>
    </row>
    <row r="2171" spans="83:106" x14ac:dyDescent="0.2">
      <c r="CE2171"/>
      <c r="CF2171"/>
      <c r="CG2171"/>
      <c r="CH2171"/>
      <c r="CI2171"/>
      <c r="CU2171" s="21">
        <v>2166</v>
      </c>
      <c r="CV2171" s="41">
        <v>4</v>
      </c>
      <c r="CW2171" s="41">
        <v>0.11332468572476186</v>
      </c>
      <c r="CX2171" s="41" t="e">
        <v>#N/A</v>
      </c>
      <c r="CY2171" s="41" t="e">
        <v>#N/A</v>
      </c>
      <c r="CZ2171" s="47" t="e">
        <v>#N/A</v>
      </c>
      <c r="DA2171">
        <v>0.11332468572476186</v>
      </c>
      <c r="DB2171" t="str">
        <v/>
      </c>
    </row>
    <row r="2172" spans="83:106" x14ac:dyDescent="0.2">
      <c r="CE2172"/>
      <c r="CF2172"/>
      <c r="CG2172"/>
      <c r="CH2172"/>
      <c r="CI2172"/>
      <c r="CU2172" s="21">
        <v>2167</v>
      </c>
      <c r="CV2172" s="41">
        <v>4</v>
      </c>
      <c r="CW2172" s="41">
        <v>0.11332468572476186</v>
      </c>
      <c r="CX2172" s="41" t="e">
        <v>#N/A</v>
      </c>
      <c r="CY2172" s="41" t="e">
        <v>#N/A</v>
      </c>
      <c r="CZ2172" s="47" t="e">
        <v>#N/A</v>
      </c>
      <c r="DA2172">
        <v>0.11332468572476186</v>
      </c>
      <c r="DB2172" t="str">
        <v/>
      </c>
    </row>
    <row r="2173" spans="83:106" x14ac:dyDescent="0.2">
      <c r="CE2173"/>
      <c r="CF2173"/>
      <c r="CG2173"/>
      <c r="CH2173"/>
      <c r="CI2173"/>
      <c r="CU2173" s="21">
        <v>2168</v>
      </c>
      <c r="CV2173" s="41">
        <v>4</v>
      </c>
      <c r="CW2173" s="41">
        <v>0.11332468572476186</v>
      </c>
      <c r="CX2173" s="41" t="e">
        <v>#N/A</v>
      </c>
      <c r="CY2173" s="41" t="e">
        <v>#N/A</v>
      </c>
      <c r="CZ2173" s="47" t="e">
        <v>#N/A</v>
      </c>
      <c r="DA2173">
        <v>0.11332468572476186</v>
      </c>
      <c r="DB2173" t="str">
        <v/>
      </c>
    </row>
    <row r="2174" spans="83:106" x14ac:dyDescent="0.2">
      <c r="CE2174"/>
      <c r="CF2174"/>
      <c r="CG2174"/>
      <c r="CH2174"/>
      <c r="CI2174"/>
      <c r="CU2174" s="21">
        <v>2169</v>
      </c>
      <c r="CV2174" s="41">
        <v>4</v>
      </c>
      <c r="CW2174" s="41">
        <v>0.11332468572476186</v>
      </c>
      <c r="CX2174" s="41" t="e">
        <v>#N/A</v>
      </c>
      <c r="CY2174" s="41" t="e">
        <v>#N/A</v>
      </c>
      <c r="CZ2174" s="47" t="e">
        <v>#N/A</v>
      </c>
      <c r="DA2174">
        <v>0.11332468572476186</v>
      </c>
      <c r="DB2174" t="str">
        <v/>
      </c>
    </row>
    <row r="2175" spans="83:106" x14ac:dyDescent="0.2">
      <c r="CE2175"/>
      <c r="CF2175"/>
      <c r="CG2175"/>
      <c r="CH2175"/>
      <c r="CI2175"/>
      <c r="CU2175" s="21">
        <v>2170</v>
      </c>
      <c r="CV2175" s="41">
        <v>4</v>
      </c>
      <c r="CW2175" s="41">
        <v>0.11332468572476186</v>
      </c>
      <c r="CX2175" s="41" t="e">
        <v>#N/A</v>
      </c>
      <c r="CY2175" s="41" t="e">
        <v>#N/A</v>
      </c>
      <c r="CZ2175" s="47" t="e">
        <v>#N/A</v>
      </c>
      <c r="DA2175">
        <v>0.11332468572476186</v>
      </c>
      <c r="DB2175" t="str">
        <v/>
      </c>
    </row>
    <row r="2176" spans="83:106" x14ac:dyDescent="0.2">
      <c r="CE2176"/>
      <c r="CF2176"/>
      <c r="CG2176"/>
      <c r="CH2176"/>
      <c r="CI2176"/>
      <c r="CU2176" s="21">
        <v>2171</v>
      </c>
      <c r="CV2176" s="41">
        <v>4</v>
      </c>
      <c r="CW2176" s="41">
        <v>0.11332468572476186</v>
      </c>
      <c r="CX2176" s="41" t="e">
        <v>#N/A</v>
      </c>
      <c r="CY2176" s="41" t="e">
        <v>#N/A</v>
      </c>
      <c r="CZ2176" s="47" t="e">
        <v>#N/A</v>
      </c>
      <c r="DA2176">
        <v>0.11332468572476186</v>
      </c>
      <c r="DB2176" t="str">
        <v/>
      </c>
    </row>
    <row r="2177" spans="83:106" x14ac:dyDescent="0.2">
      <c r="CE2177"/>
      <c r="CF2177"/>
      <c r="CG2177"/>
      <c r="CH2177"/>
      <c r="CI2177"/>
      <c r="CU2177" s="21">
        <v>2172</v>
      </c>
      <c r="CV2177" s="41">
        <v>4</v>
      </c>
      <c r="CW2177" s="41">
        <v>0.11332468572476186</v>
      </c>
      <c r="CX2177" s="41" t="e">
        <v>#N/A</v>
      </c>
      <c r="CY2177" s="41" t="e">
        <v>#N/A</v>
      </c>
      <c r="CZ2177" s="47" t="e">
        <v>#N/A</v>
      </c>
      <c r="DA2177">
        <v>0.11332468572476186</v>
      </c>
      <c r="DB2177" t="str">
        <v/>
      </c>
    </row>
    <row r="2178" spans="83:106" x14ac:dyDescent="0.2">
      <c r="CE2178"/>
      <c r="CF2178"/>
      <c r="CG2178"/>
      <c r="CH2178"/>
      <c r="CI2178"/>
      <c r="CU2178" s="21">
        <v>2173</v>
      </c>
      <c r="CV2178" s="41">
        <v>4</v>
      </c>
      <c r="CW2178" s="41">
        <v>0.11332468572476186</v>
      </c>
      <c r="CX2178" s="41" t="e">
        <v>#N/A</v>
      </c>
      <c r="CY2178" s="41" t="e">
        <v>#N/A</v>
      </c>
      <c r="CZ2178" s="47" t="e">
        <v>#N/A</v>
      </c>
      <c r="DA2178">
        <v>0.11332468572476186</v>
      </c>
      <c r="DB2178" t="str">
        <v/>
      </c>
    </row>
    <row r="2179" spans="83:106" x14ac:dyDescent="0.2">
      <c r="CE2179"/>
      <c r="CF2179"/>
      <c r="CG2179"/>
      <c r="CH2179"/>
      <c r="CI2179"/>
      <c r="CU2179" s="21">
        <v>2174</v>
      </c>
      <c r="CV2179" s="41">
        <v>4</v>
      </c>
      <c r="CW2179" s="41">
        <v>0.11332468572476186</v>
      </c>
      <c r="CX2179" s="41" t="e">
        <v>#N/A</v>
      </c>
      <c r="CY2179" s="41" t="e">
        <v>#N/A</v>
      </c>
      <c r="CZ2179" s="47" t="e">
        <v>#N/A</v>
      </c>
      <c r="DA2179">
        <v>0.11332468572476186</v>
      </c>
      <c r="DB2179" t="str">
        <v/>
      </c>
    </row>
    <row r="2180" spans="83:106" x14ac:dyDescent="0.2">
      <c r="CE2180"/>
      <c r="CF2180"/>
      <c r="CG2180"/>
      <c r="CH2180"/>
      <c r="CI2180"/>
      <c r="CU2180" s="21">
        <v>2175</v>
      </c>
      <c r="CV2180" s="41">
        <v>4</v>
      </c>
      <c r="CW2180" s="41">
        <v>0.11332468572476186</v>
      </c>
      <c r="CX2180" s="41" t="e">
        <v>#N/A</v>
      </c>
      <c r="CY2180" s="41" t="e">
        <v>#N/A</v>
      </c>
      <c r="CZ2180" s="47" t="e">
        <v>#N/A</v>
      </c>
      <c r="DA2180">
        <v>0.11332468572476186</v>
      </c>
      <c r="DB2180" t="str">
        <v/>
      </c>
    </row>
    <row r="2181" spans="83:106" x14ac:dyDescent="0.2">
      <c r="CE2181"/>
      <c r="CF2181"/>
      <c r="CG2181"/>
      <c r="CH2181"/>
      <c r="CI2181"/>
      <c r="CU2181" s="21">
        <v>2176</v>
      </c>
      <c r="CV2181" s="41">
        <v>4</v>
      </c>
      <c r="CW2181" s="41">
        <v>0.11332468572476186</v>
      </c>
      <c r="CX2181" s="41" t="e">
        <v>#N/A</v>
      </c>
      <c r="CY2181" s="41" t="e">
        <v>#N/A</v>
      </c>
      <c r="CZ2181" s="47" t="e">
        <v>#N/A</v>
      </c>
      <c r="DA2181">
        <v>0.11332468572476186</v>
      </c>
      <c r="DB2181" t="str">
        <v/>
      </c>
    </row>
    <row r="2182" spans="83:106" x14ac:dyDescent="0.2">
      <c r="CE2182"/>
      <c r="CF2182"/>
      <c r="CG2182"/>
      <c r="CH2182"/>
      <c r="CI2182"/>
      <c r="CU2182" s="21">
        <v>2177</v>
      </c>
      <c r="CV2182" s="41">
        <v>4</v>
      </c>
      <c r="CW2182" s="41">
        <v>0.11332468572476186</v>
      </c>
      <c r="CX2182" s="41" t="e">
        <v>#N/A</v>
      </c>
      <c r="CY2182" s="41" t="e">
        <v>#N/A</v>
      </c>
      <c r="CZ2182" s="47" t="e">
        <v>#N/A</v>
      </c>
      <c r="DA2182">
        <v>0.11332468572476186</v>
      </c>
      <c r="DB2182" t="str">
        <v/>
      </c>
    </row>
    <row r="2183" spans="83:106" x14ac:dyDescent="0.2">
      <c r="CE2183"/>
      <c r="CF2183"/>
      <c r="CG2183"/>
      <c r="CH2183"/>
      <c r="CI2183"/>
      <c r="CU2183" s="21">
        <v>2178</v>
      </c>
      <c r="CV2183" s="41">
        <v>4</v>
      </c>
      <c r="CW2183" s="41">
        <v>0.11332468572476186</v>
      </c>
      <c r="CX2183" s="41" t="e">
        <v>#N/A</v>
      </c>
      <c r="CY2183" s="41" t="e">
        <v>#N/A</v>
      </c>
      <c r="CZ2183" s="47" t="e">
        <v>#N/A</v>
      </c>
      <c r="DA2183">
        <v>0.11332468572476186</v>
      </c>
      <c r="DB2183" t="str">
        <v/>
      </c>
    </row>
    <row r="2184" spans="83:106" x14ac:dyDescent="0.2">
      <c r="CE2184"/>
      <c r="CF2184"/>
      <c r="CG2184"/>
      <c r="CH2184"/>
      <c r="CI2184"/>
      <c r="CU2184" s="21">
        <v>2179</v>
      </c>
      <c r="CV2184" s="41">
        <v>4</v>
      </c>
      <c r="CW2184" s="41">
        <v>0.11332468572476186</v>
      </c>
      <c r="CX2184" s="41" t="e">
        <v>#N/A</v>
      </c>
      <c r="CY2184" s="41" t="e">
        <v>#N/A</v>
      </c>
      <c r="CZ2184" s="47" t="e">
        <v>#N/A</v>
      </c>
      <c r="DA2184">
        <v>0.11332468572476186</v>
      </c>
      <c r="DB2184" t="str">
        <v/>
      </c>
    </row>
    <row r="2185" spans="83:106" x14ac:dyDescent="0.2">
      <c r="CE2185"/>
      <c r="CF2185"/>
      <c r="CG2185"/>
      <c r="CH2185"/>
      <c r="CI2185"/>
      <c r="CU2185" s="21">
        <v>2180</v>
      </c>
      <c r="CV2185" s="41">
        <v>4</v>
      </c>
      <c r="CW2185" s="41">
        <v>0.11332468572476186</v>
      </c>
      <c r="CX2185" s="41" t="e">
        <v>#N/A</v>
      </c>
      <c r="CY2185" s="41" t="e">
        <v>#N/A</v>
      </c>
      <c r="CZ2185" s="47" t="e">
        <v>#N/A</v>
      </c>
      <c r="DA2185">
        <v>0.11332468572476186</v>
      </c>
      <c r="DB2185" t="str">
        <v/>
      </c>
    </row>
    <row r="2186" spans="83:106" x14ac:dyDescent="0.2">
      <c r="CE2186"/>
      <c r="CF2186"/>
      <c r="CG2186"/>
      <c r="CH2186"/>
      <c r="CI2186"/>
      <c r="CU2186" s="21">
        <v>2181</v>
      </c>
      <c r="CV2186" s="41">
        <v>4</v>
      </c>
      <c r="CW2186" s="41">
        <v>0.11332468572476186</v>
      </c>
      <c r="CX2186" s="41" t="e">
        <v>#N/A</v>
      </c>
      <c r="CY2186" s="41" t="e">
        <v>#N/A</v>
      </c>
      <c r="CZ2186" s="47" t="e">
        <v>#N/A</v>
      </c>
      <c r="DA2186">
        <v>0.11332468572476186</v>
      </c>
      <c r="DB2186" t="str">
        <v/>
      </c>
    </row>
    <row r="2187" spans="83:106" x14ac:dyDescent="0.2">
      <c r="CE2187"/>
      <c r="CF2187"/>
      <c r="CG2187"/>
      <c r="CH2187"/>
      <c r="CI2187"/>
      <c r="CU2187" s="21">
        <v>2182</v>
      </c>
      <c r="CV2187" s="41">
        <v>4</v>
      </c>
      <c r="CW2187" s="41">
        <v>0.11332468572476186</v>
      </c>
      <c r="CX2187" s="41" t="e">
        <v>#N/A</v>
      </c>
      <c r="CY2187" s="41" t="e">
        <v>#N/A</v>
      </c>
      <c r="CZ2187" s="47" t="e">
        <v>#N/A</v>
      </c>
      <c r="DA2187">
        <v>0.11332468572476186</v>
      </c>
      <c r="DB2187" t="str">
        <v/>
      </c>
    </row>
    <row r="2188" spans="83:106" x14ac:dyDescent="0.2">
      <c r="CE2188"/>
      <c r="CF2188"/>
      <c r="CG2188"/>
      <c r="CH2188"/>
      <c r="CI2188"/>
      <c r="CU2188" s="21">
        <v>2183</v>
      </c>
      <c r="CV2188" s="41">
        <v>4</v>
      </c>
      <c r="CW2188" s="41">
        <v>0.11332468572476186</v>
      </c>
      <c r="CX2188" s="41" t="e">
        <v>#N/A</v>
      </c>
      <c r="CY2188" s="41" t="e">
        <v>#N/A</v>
      </c>
      <c r="CZ2188" s="47" t="e">
        <v>#N/A</v>
      </c>
      <c r="DA2188">
        <v>0.11332468572476186</v>
      </c>
      <c r="DB2188" t="str">
        <v/>
      </c>
    </row>
    <row r="2189" spans="83:106" x14ac:dyDescent="0.2">
      <c r="CE2189"/>
      <c r="CF2189"/>
      <c r="CG2189"/>
      <c r="CH2189"/>
      <c r="CI2189"/>
      <c r="CU2189" s="21">
        <v>2184</v>
      </c>
      <c r="CV2189" s="41">
        <v>4</v>
      </c>
      <c r="CW2189" s="41">
        <v>0.11332468572476186</v>
      </c>
      <c r="CX2189" s="41" t="e">
        <v>#N/A</v>
      </c>
      <c r="CY2189" s="41" t="e">
        <v>#N/A</v>
      </c>
      <c r="CZ2189" s="47" t="e">
        <v>#N/A</v>
      </c>
      <c r="DA2189">
        <v>0.11332468572476186</v>
      </c>
      <c r="DB2189" t="str">
        <v/>
      </c>
    </row>
    <row r="2190" spans="83:106" x14ac:dyDescent="0.2">
      <c r="CE2190"/>
      <c r="CF2190"/>
      <c r="CG2190"/>
      <c r="CH2190"/>
      <c r="CI2190"/>
      <c r="CU2190" s="21">
        <v>2185</v>
      </c>
      <c r="CV2190" s="41">
        <v>4</v>
      </c>
      <c r="CW2190" s="41">
        <v>0.11332468572476186</v>
      </c>
      <c r="CX2190" s="41" t="e">
        <v>#N/A</v>
      </c>
      <c r="CY2190" s="41" t="e">
        <v>#N/A</v>
      </c>
      <c r="CZ2190" s="47" t="e">
        <v>#N/A</v>
      </c>
      <c r="DA2190">
        <v>0.11332468572476186</v>
      </c>
      <c r="DB2190" t="str">
        <v/>
      </c>
    </row>
    <row r="2191" spans="83:106" x14ac:dyDescent="0.2">
      <c r="CE2191"/>
      <c r="CF2191"/>
      <c r="CG2191"/>
      <c r="CH2191"/>
      <c r="CI2191"/>
      <c r="CU2191" s="21">
        <v>2186</v>
      </c>
      <c r="CV2191" s="41">
        <v>4</v>
      </c>
      <c r="CW2191" s="41">
        <v>0.11332468572476186</v>
      </c>
      <c r="CX2191" s="41" t="e">
        <v>#N/A</v>
      </c>
      <c r="CY2191" s="41" t="e">
        <v>#N/A</v>
      </c>
      <c r="CZ2191" s="47" t="e">
        <v>#N/A</v>
      </c>
      <c r="DA2191">
        <v>0.11332468572476186</v>
      </c>
      <c r="DB2191" t="str">
        <v/>
      </c>
    </row>
    <row r="2192" spans="83:106" x14ac:dyDescent="0.2">
      <c r="CE2192"/>
      <c r="CF2192"/>
      <c r="CG2192"/>
      <c r="CH2192"/>
      <c r="CI2192"/>
      <c r="CU2192" s="21">
        <v>2187</v>
      </c>
      <c r="CV2192" s="41">
        <v>4</v>
      </c>
      <c r="CW2192" s="41">
        <v>0.11332468572476186</v>
      </c>
      <c r="CX2192" s="41" t="e">
        <v>#N/A</v>
      </c>
      <c r="CY2192" s="41" t="e">
        <v>#N/A</v>
      </c>
      <c r="CZ2192" s="47" t="e">
        <v>#N/A</v>
      </c>
      <c r="DA2192">
        <v>0.11332468572476186</v>
      </c>
      <c r="DB2192" t="str">
        <v/>
      </c>
    </row>
    <row r="2193" spans="83:106" x14ac:dyDescent="0.2">
      <c r="CE2193"/>
      <c r="CF2193"/>
      <c r="CG2193"/>
      <c r="CH2193"/>
      <c r="CI2193"/>
      <c r="CU2193" s="21">
        <v>2188</v>
      </c>
      <c r="CV2193" s="41">
        <v>4</v>
      </c>
      <c r="CW2193" s="41">
        <v>0.11332468572476186</v>
      </c>
      <c r="CX2193" s="41" t="e">
        <v>#N/A</v>
      </c>
      <c r="CY2193" s="41" t="e">
        <v>#N/A</v>
      </c>
      <c r="CZ2193" s="47" t="e">
        <v>#N/A</v>
      </c>
      <c r="DA2193">
        <v>0.11332468572476186</v>
      </c>
      <c r="DB2193" t="str">
        <v/>
      </c>
    </row>
    <row r="2194" spans="83:106" x14ac:dyDescent="0.2">
      <c r="CE2194"/>
      <c r="CF2194"/>
      <c r="CG2194"/>
      <c r="CH2194"/>
      <c r="CI2194"/>
      <c r="CU2194" s="21">
        <v>2189</v>
      </c>
      <c r="CV2194" s="41">
        <v>4</v>
      </c>
      <c r="CW2194" s="41">
        <v>0.11332468572476186</v>
      </c>
      <c r="CX2194" s="41" t="e">
        <v>#N/A</v>
      </c>
      <c r="CY2194" s="41" t="e">
        <v>#N/A</v>
      </c>
      <c r="CZ2194" s="47" t="e">
        <v>#N/A</v>
      </c>
      <c r="DA2194">
        <v>0.11332468572476186</v>
      </c>
      <c r="DB2194" t="str">
        <v/>
      </c>
    </row>
    <row r="2195" spans="83:106" x14ac:dyDescent="0.2">
      <c r="CE2195"/>
      <c r="CF2195"/>
      <c r="CG2195"/>
      <c r="CH2195"/>
      <c r="CI2195"/>
      <c r="CU2195" s="21">
        <v>2190</v>
      </c>
      <c r="CV2195" s="41">
        <v>4</v>
      </c>
      <c r="CW2195" s="41">
        <v>0.11332468572476186</v>
      </c>
      <c r="CX2195" s="41" t="e">
        <v>#N/A</v>
      </c>
      <c r="CY2195" s="41" t="e">
        <v>#N/A</v>
      </c>
      <c r="CZ2195" s="47" t="e">
        <v>#N/A</v>
      </c>
      <c r="DA2195">
        <v>0.11332468572476186</v>
      </c>
      <c r="DB2195" t="str">
        <v/>
      </c>
    </row>
    <row r="2196" spans="83:106" x14ac:dyDescent="0.2">
      <c r="CE2196"/>
      <c r="CF2196"/>
      <c r="CG2196"/>
      <c r="CH2196"/>
      <c r="CI2196"/>
      <c r="CU2196" s="21">
        <v>2191</v>
      </c>
      <c r="CV2196" s="41">
        <v>4</v>
      </c>
      <c r="CW2196" s="41">
        <v>0.11332468572476186</v>
      </c>
      <c r="CX2196" s="41" t="e">
        <v>#N/A</v>
      </c>
      <c r="CY2196" s="41" t="e">
        <v>#N/A</v>
      </c>
      <c r="CZ2196" s="47" t="e">
        <v>#N/A</v>
      </c>
      <c r="DA2196">
        <v>0.11332468572476186</v>
      </c>
      <c r="DB2196" t="str">
        <v/>
      </c>
    </row>
    <row r="2197" spans="83:106" x14ac:dyDescent="0.2">
      <c r="CE2197"/>
      <c r="CF2197"/>
      <c r="CG2197"/>
      <c r="CH2197"/>
      <c r="CI2197"/>
      <c r="CU2197" s="21">
        <v>2192</v>
      </c>
      <c r="CV2197" s="41">
        <v>4</v>
      </c>
      <c r="CW2197" s="41">
        <v>0.11332468572476186</v>
      </c>
      <c r="CX2197" s="41" t="e">
        <v>#N/A</v>
      </c>
      <c r="CY2197" s="41" t="e">
        <v>#N/A</v>
      </c>
      <c r="CZ2197" s="47" t="e">
        <v>#N/A</v>
      </c>
      <c r="DA2197">
        <v>0.11332468572476186</v>
      </c>
      <c r="DB2197" t="str">
        <v/>
      </c>
    </row>
    <row r="2198" spans="83:106" x14ac:dyDescent="0.2">
      <c r="CE2198"/>
      <c r="CF2198"/>
      <c r="CG2198"/>
      <c r="CH2198"/>
      <c r="CI2198"/>
      <c r="CU2198" s="21">
        <v>2193</v>
      </c>
      <c r="CV2198" s="41">
        <v>4</v>
      </c>
      <c r="CW2198" s="41">
        <v>0.11332468572476186</v>
      </c>
      <c r="CX2198" s="41" t="e">
        <v>#N/A</v>
      </c>
      <c r="CY2198" s="41" t="e">
        <v>#N/A</v>
      </c>
      <c r="CZ2198" s="47" t="e">
        <v>#N/A</v>
      </c>
      <c r="DA2198">
        <v>0.11332468572476186</v>
      </c>
      <c r="DB2198" t="str">
        <v/>
      </c>
    </row>
    <row r="2199" spans="83:106" x14ac:dyDescent="0.2">
      <c r="CE2199"/>
      <c r="CF2199"/>
      <c r="CG2199"/>
      <c r="CH2199"/>
      <c r="CI2199"/>
      <c r="CU2199" s="21">
        <v>2194</v>
      </c>
      <c r="CV2199" s="41">
        <v>4</v>
      </c>
      <c r="CW2199" s="41">
        <v>0.11332468572476186</v>
      </c>
      <c r="CX2199" s="41" t="e">
        <v>#N/A</v>
      </c>
      <c r="CY2199" s="41" t="e">
        <v>#N/A</v>
      </c>
      <c r="CZ2199" s="47" t="e">
        <v>#N/A</v>
      </c>
      <c r="DA2199">
        <v>0.11332468572476186</v>
      </c>
      <c r="DB2199" t="str">
        <v/>
      </c>
    </row>
    <row r="2200" spans="83:106" x14ac:dyDescent="0.2">
      <c r="CE2200"/>
      <c r="CF2200"/>
      <c r="CG2200"/>
      <c r="CH2200"/>
      <c r="CI2200"/>
      <c r="CU2200" s="21">
        <v>2195</v>
      </c>
      <c r="CV2200" s="41">
        <v>4</v>
      </c>
      <c r="CW2200" s="41">
        <v>0.11332468572476186</v>
      </c>
      <c r="CX2200" s="41" t="e">
        <v>#N/A</v>
      </c>
      <c r="CY2200" s="41" t="e">
        <v>#N/A</v>
      </c>
      <c r="CZ2200" s="47" t="e">
        <v>#N/A</v>
      </c>
      <c r="DA2200">
        <v>0.11332468572476186</v>
      </c>
      <c r="DB2200" t="str">
        <v/>
      </c>
    </row>
    <row r="2201" spans="83:106" x14ac:dyDescent="0.2">
      <c r="CE2201"/>
      <c r="CF2201"/>
      <c r="CG2201"/>
      <c r="CH2201"/>
      <c r="CI2201"/>
      <c r="CU2201" s="21">
        <v>2196</v>
      </c>
      <c r="CV2201" s="41">
        <v>4</v>
      </c>
      <c r="CW2201" s="41">
        <v>0.11332468572476186</v>
      </c>
      <c r="CX2201" s="41" t="e">
        <v>#N/A</v>
      </c>
      <c r="CY2201" s="41" t="e">
        <v>#N/A</v>
      </c>
      <c r="CZ2201" s="47" t="e">
        <v>#N/A</v>
      </c>
      <c r="DA2201">
        <v>0.11332468572476186</v>
      </c>
      <c r="DB2201" t="str">
        <v/>
      </c>
    </row>
    <row r="2202" spans="83:106" x14ac:dyDescent="0.2">
      <c r="CE2202"/>
      <c r="CF2202"/>
      <c r="CG2202"/>
      <c r="CH2202"/>
      <c r="CI2202"/>
      <c r="CU2202" s="21">
        <v>2197</v>
      </c>
      <c r="CV2202" s="41">
        <v>4</v>
      </c>
      <c r="CW2202" s="41">
        <v>0.11332468572476186</v>
      </c>
      <c r="CX2202" s="41" t="e">
        <v>#N/A</v>
      </c>
      <c r="CY2202" s="41" t="e">
        <v>#N/A</v>
      </c>
      <c r="CZ2202" s="47" t="e">
        <v>#N/A</v>
      </c>
      <c r="DA2202">
        <v>0.11332468572476186</v>
      </c>
      <c r="DB2202" t="str">
        <v/>
      </c>
    </row>
    <row r="2203" spans="83:106" x14ac:dyDescent="0.2">
      <c r="CE2203"/>
      <c r="CF2203"/>
      <c r="CG2203"/>
      <c r="CH2203"/>
      <c r="CI2203"/>
      <c r="CU2203" s="21">
        <v>2198</v>
      </c>
      <c r="CV2203" s="41">
        <v>4</v>
      </c>
      <c r="CW2203" s="41">
        <v>0.11332468572476186</v>
      </c>
      <c r="CX2203" s="41" t="e">
        <v>#N/A</v>
      </c>
      <c r="CY2203" s="41" t="e">
        <v>#N/A</v>
      </c>
      <c r="CZ2203" s="47" t="e">
        <v>#N/A</v>
      </c>
      <c r="DA2203">
        <v>0.11332468572476186</v>
      </c>
      <c r="DB2203" t="str">
        <v/>
      </c>
    </row>
    <row r="2204" spans="83:106" x14ac:dyDescent="0.2">
      <c r="CE2204"/>
      <c r="CF2204"/>
      <c r="CG2204"/>
      <c r="CH2204"/>
      <c r="CI2204"/>
      <c r="CU2204" s="21">
        <v>2199</v>
      </c>
      <c r="CV2204" s="41">
        <v>4</v>
      </c>
      <c r="CW2204" s="41">
        <v>0.11332468572476186</v>
      </c>
      <c r="CX2204" s="41" t="e">
        <v>#N/A</v>
      </c>
      <c r="CY2204" s="41" t="e">
        <v>#N/A</v>
      </c>
      <c r="CZ2204" s="47" t="e">
        <v>#N/A</v>
      </c>
      <c r="DA2204">
        <v>0.11332468572476186</v>
      </c>
      <c r="DB2204" t="str">
        <v/>
      </c>
    </row>
    <row r="2205" spans="83:106" x14ac:dyDescent="0.2">
      <c r="CE2205"/>
      <c r="CF2205"/>
      <c r="CG2205"/>
      <c r="CH2205"/>
      <c r="CI2205"/>
      <c r="CU2205" s="21">
        <v>2200</v>
      </c>
      <c r="CV2205" s="41">
        <v>4</v>
      </c>
      <c r="CW2205" s="41">
        <v>0.11332468572476186</v>
      </c>
      <c r="CX2205" s="41" t="e">
        <v>#N/A</v>
      </c>
      <c r="CY2205" s="41" t="e">
        <v>#N/A</v>
      </c>
      <c r="CZ2205" s="47" t="e">
        <v>#N/A</v>
      </c>
      <c r="DA2205">
        <v>0.11332468572476186</v>
      </c>
      <c r="DB2205" t="str">
        <v/>
      </c>
    </row>
    <row r="2206" spans="83:106" x14ac:dyDescent="0.2">
      <c r="CE2206"/>
      <c r="CF2206"/>
      <c r="CG2206"/>
      <c r="CH2206"/>
      <c r="CI2206"/>
      <c r="CU2206" s="21">
        <v>2201</v>
      </c>
      <c r="CV2206" s="41">
        <v>4</v>
      </c>
      <c r="CW2206" s="41">
        <v>0.11332468572476186</v>
      </c>
      <c r="CX2206" s="41" t="e">
        <v>#N/A</v>
      </c>
      <c r="CY2206" s="41" t="e">
        <v>#N/A</v>
      </c>
      <c r="CZ2206" s="47" t="e">
        <v>#N/A</v>
      </c>
      <c r="DA2206">
        <v>0.11332468572476186</v>
      </c>
      <c r="DB2206" t="str">
        <v/>
      </c>
    </row>
    <row r="2207" spans="83:106" x14ac:dyDescent="0.2">
      <c r="CE2207"/>
      <c r="CF2207"/>
      <c r="CG2207"/>
      <c r="CH2207"/>
      <c r="CI2207"/>
      <c r="CU2207" s="21">
        <v>2202</v>
      </c>
      <c r="CV2207" s="41">
        <v>4</v>
      </c>
      <c r="CW2207" s="41">
        <v>0.11332468572476186</v>
      </c>
      <c r="CX2207" s="41" t="e">
        <v>#N/A</v>
      </c>
      <c r="CY2207" s="41" t="e">
        <v>#N/A</v>
      </c>
      <c r="CZ2207" s="47" t="e">
        <v>#N/A</v>
      </c>
      <c r="DA2207">
        <v>0.11332468572476186</v>
      </c>
      <c r="DB2207" t="str">
        <v/>
      </c>
    </row>
    <row r="2208" spans="83:106" x14ac:dyDescent="0.2">
      <c r="CE2208"/>
      <c r="CF2208"/>
      <c r="CG2208"/>
      <c r="CH2208"/>
      <c r="CI2208"/>
      <c r="CU2208" s="21">
        <v>2203</v>
      </c>
      <c r="CV2208" s="41">
        <v>4</v>
      </c>
      <c r="CW2208" s="41">
        <v>0.11332468572476186</v>
      </c>
      <c r="CX2208" s="41" t="e">
        <v>#N/A</v>
      </c>
      <c r="CY2208" s="41" t="e">
        <v>#N/A</v>
      </c>
      <c r="CZ2208" s="47" t="e">
        <v>#N/A</v>
      </c>
      <c r="DA2208">
        <v>0.11332468572476186</v>
      </c>
      <c r="DB2208" t="str">
        <v/>
      </c>
    </row>
    <row r="2209" spans="83:106" x14ac:dyDescent="0.2">
      <c r="CE2209"/>
      <c r="CF2209"/>
      <c r="CG2209"/>
      <c r="CH2209"/>
      <c r="CI2209"/>
      <c r="CU2209" s="21">
        <v>2204</v>
      </c>
      <c r="CV2209" s="41">
        <v>4</v>
      </c>
      <c r="CW2209" s="41">
        <v>0.11332468572476186</v>
      </c>
      <c r="CX2209" s="41" t="e">
        <v>#N/A</v>
      </c>
      <c r="CY2209" s="41" t="e">
        <v>#N/A</v>
      </c>
      <c r="CZ2209" s="47" t="e">
        <v>#N/A</v>
      </c>
      <c r="DA2209">
        <v>0.11332468572476186</v>
      </c>
      <c r="DB2209" t="str">
        <v/>
      </c>
    </row>
    <row r="2210" spans="83:106" x14ac:dyDescent="0.2">
      <c r="CE2210"/>
      <c r="CF2210"/>
      <c r="CG2210"/>
      <c r="CH2210"/>
      <c r="CI2210"/>
      <c r="CU2210" s="21">
        <v>2205</v>
      </c>
      <c r="CV2210" s="41">
        <v>4</v>
      </c>
      <c r="CW2210" s="41">
        <v>0.11332468572476186</v>
      </c>
      <c r="CX2210" s="41" t="e">
        <v>#N/A</v>
      </c>
      <c r="CY2210" s="41" t="e">
        <v>#N/A</v>
      </c>
      <c r="CZ2210" s="47" t="e">
        <v>#N/A</v>
      </c>
      <c r="DA2210">
        <v>0.11332468572476186</v>
      </c>
      <c r="DB2210" t="str">
        <v/>
      </c>
    </row>
    <row r="2211" spans="83:106" x14ac:dyDescent="0.2">
      <c r="CE2211"/>
      <c r="CF2211"/>
      <c r="CG2211"/>
      <c r="CH2211"/>
      <c r="CI2211"/>
      <c r="CU2211" s="21">
        <v>2206</v>
      </c>
      <c r="CV2211" s="41">
        <v>4</v>
      </c>
      <c r="CW2211" s="41">
        <v>0.11332468572476186</v>
      </c>
      <c r="CX2211" s="41" t="e">
        <v>#N/A</v>
      </c>
      <c r="CY2211" s="41" t="e">
        <v>#N/A</v>
      </c>
      <c r="CZ2211" s="47" t="e">
        <v>#N/A</v>
      </c>
      <c r="DA2211">
        <v>0.11332468572476186</v>
      </c>
      <c r="DB2211" t="str">
        <v/>
      </c>
    </row>
    <row r="2212" spans="83:106" x14ac:dyDescent="0.2">
      <c r="CE2212"/>
      <c r="CF2212"/>
      <c r="CG2212"/>
      <c r="CH2212"/>
      <c r="CI2212"/>
      <c r="CU2212" s="21">
        <v>2207</v>
      </c>
      <c r="CV2212" s="41">
        <v>4</v>
      </c>
      <c r="CW2212" s="41">
        <v>0.11332468572476186</v>
      </c>
      <c r="CX2212" s="41" t="e">
        <v>#N/A</v>
      </c>
      <c r="CY2212" s="41" t="e">
        <v>#N/A</v>
      </c>
      <c r="CZ2212" s="47" t="e">
        <v>#N/A</v>
      </c>
      <c r="DA2212">
        <v>0.11332468572476186</v>
      </c>
      <c r="DB2212" t="str">
        <v/>
      </c>
    </row>
    <row r="2213" spans="83:106" x14ac:dyDescent="0.2">
      <c r="CE2213"/>
      <c r="CF2213"/>
      <c r="CG2213"/>
      <c r="CH2213"/>
      <c r="CI2213"/>
      <c r="CU2213" s="21">
        <v>2208</v>
      </c>
      <c r="CV2213" s="41">
        <v>4</v>
      </c>
      <c r="CW2213" s="41">
        <v>0.11332468572476186</v>
      </c>
      <c r="CX2213" s="41" t="e">
        <v>#N/A</v>
      </c>
      <c r="CY2213" s="41" t="e">
        <v>#N/A</v>
      </c>
      <c r="CZ2213" s="47" t="e">
        <v>#N/A</v>
      </c>
      <c r="DA2213">
        <v>0.11332468572476186</v>
      </c>
      <c r="DB2213" t="str">
        <v/>
      </c>
    </row>
    <row r="2214" spans="83:106" x14ac:dyDescent="0.2">
      <c r="CE2214"/>
      <c r="CF2214"/>
      <c r="CG2214"/>
      <c r="CH2214"/>
      <c r="CI2214"/>
      <c r="CU2214" s="21">
        <v>2209</v>
      </c>
      <c r="CV2214" s="41">
        <v>4</v>
      </c>
      <c r="CW2214" s="41">
        <v>0.11332468572476186</v>
      </c>
      <c r="CX2214" s="41" t="e">
        <v>#N/A</v>
      </c>
      <c r="CY2214" s="41" t="e">
        <v>#N/A</v>
      </c>
      <c r="CZ2214" s="47" t="e">
        <v>#N/A</v>
      </c>
      <c r="DA2214">
        <v>0.11332468572476186</v>
      </c>
      <c r="DB2214" t="str">
        <v/>
      </c>
    </row>
    <row r="2215" spans="83:106" x14ac:dyDescent="0.2">
      <c r="CE2215"/>
      <c r="CF2215"/>
      <c r="CG2215"/>
      <c r="CH2215"/>
      <c r="CI2215"/>
      <c r="CU2215" s="21">
        <v>2210</v>
      </c>
      <c r="CV2215" s="41">
        <v>4</v>
      </c>
      <c r="CW2215" s="41">
        <v>0.11332468572476186</v>
      </c>
      <c r="CX2215" s="41" t="e">
        <v>#N/A</v>
      </c>
      <c r="CY2215" s="41" t="e">
        <v>#N/A</v>
      </c>
      <c r="CZ2215" s="47" t="e">
        <v>#N/A</v>
      </c>
      <c r="DA2215">
        <v>0.11332468572476186</v>
      </c>
      <c r="DB2215" t="str">
        <v/>
      </c>
    </row>
    <row r="2216" spans="83:106" x14ac:dyDescent="0.2">
      <c r="CE2216"/>
      <c r="CF2216"/>
      <c r="CG2216"/>
      <c r="CH2216"/>
      <c r="CI2216"/>
      <c r="CU2216" s="21">
        <v>2211</v>
      </c>
      <c r="CV2216" s="41">
        <v>4</v>
      </c>
      <c r="CW2216" s="41">
        <v>0.11332468572476186</v>
      </c>
      <c r="CX2216" s="41" t="e">
        <v>#N/A</v>
      </c>
      <c r="CY2216" s="41" t="e">
        <v>#N/A</v>
      </c>
      <c r="CZ2216" s="47" t="e">
        <v>#N/A</v>
      </c>
      <c r="DA2216">
        <v>0.11332468572476186</v>
      </c>
      <c r="DB2216" t="str">
        <v/>
      </c>
    </row>
    <row r="2217" spans="83:106" x14ac:dyDescent="0.2">
      <c r="CE2217"/>
      <c r="CF2217"/>
      <c r="CG2217"/>
      <c r="CH2217"/>
      <c r="CI2217"/>
      <c r="CU2217" s="21">
        <v>2212</v>
      </c>
      <c r="CV2217" s="41">
        <v>4</v>
      </c>
      <c r="CW2217" s="41">
        <v>0.11332468572476186</v>
      </c>
      <c r="CX2217" s="41" t="e">
        <v>#N/A</v>
      </c>
      <c r="CY2217" s="41" t="e">
        <v>#N/A</v>
      </c>
      <c r="CZ2217" s="47" t="e">
        <v>#N/A</v>
      </c>
      <c r="DA2217">
        <v>0.11332468572476186</v>
      </c>
      <c r="DB2217" t="str">
        <v/>
      </c>
    </row>
    <row r="2218" spans="83:106" x14ac:dyDescent="0.2">
      <c r="CE2218"/>
      <c r="CF2218"/>
      <c r="CG2218"/>
      <c r="CH2218"/>
      <c r="CI2218"/>
      <c r="CU2218" s="21">
        <v>2213</v>
      </c>
      <c r="CV2218" s="41">
        <v>4</v>
      </c>
      <c r="CW2218" s="41">
        <v>0.11332468572476186</v>
      </c>
      <c r="CX2218" s="41" t="e">
        <v>#N/A</v>
      </c>
      <c r="CY2218" s="41" t="e">
        <v>#N/A</v>
      </c>
      <c r="CZ2218" s="47" t="e">
        <v>#N/A</v>
      </c>
      <c r="DA2218">
        <v>0.11332468572476186</v>
      </c>
      <c r="DB2218" t="str">
        <v/>
      </c>
    </row>
    <row r="2219" spans="83:106" x14ac:dyDescent="0.2">
      <c r="CE2219"/>
      <c r="CF2219"/>
      <c r="CG2219"/>
      <c r="CH2219"/>
      <c r="CI2219"/>
      <c r="CU2219" s="21">
        <v>2214</v>
      </c>
      <c r="CV2219" s="41">
        <v>4</v>
      </c>
      <c r="CW2219" s="41">
        <v>0.11332468572476186</v>
      </c>
      <c r="CX2219" s="41" t="e">
        <v>#N/A</v>
      </c>
      <c r="CY2219" s="41" t="e">
        <v>#N/A</v>
      </c>
      <c r="CZ2219" s="47" t="e">
        <v>#N/A</v>
      </c>
      <c r="DA2219">
        <v>0.11332468572476186</v>
      </c>
      <c r="DB2219" t="str">
        <v/>
      </c>
    </row>
    <row r="2220" spans="83:106" x14ac:dyDescent="0.2">
      <c r="CE2220"/>
      <c r="CF2220"/>
      <c r="CG2220"/>
      <c r="CH2220"/>
      <c r="CI2220"/>
      <c r="CU2220" s="21">
        <v>2215</v>
      </c>
      <c r="CV2220" s="41">
        <v>4</v>
      </c>
      <c r="CW2220" s="41">
        <v>0.11332468572476186</v>
      </c>
      <c r="CX2220" s="41" t="e">
        <v>#N/A</v>
      </c>
      <c r="CY2220" s="41" t="e">
        <v>#N/A</v>
      </c>
      <c r="CZ2220" s="47" t="e">
        <v>#N/A</v>
      </c>
      <c r="DA2220">
        <v>0.11332468572476186</v>
      </c>
      <c r="DB2220" t="str">
        <v/>
      </c>
    </row>
    <row r="2221" spans="83:106" x14ac:dyDescent="0.2">
      <c r="CE2221"/>
      <c r="CF2221"/>
      <c r="CG2221"/>
      <c r="CH2221"/>
      <c r="CI2221"/>
      <c r="CU2221" s="21">
        <v>2216</v>
      </c>
      <c r="CV2221" s="41">
        <v>4</v>
      </c>
      <c r="CW2221" s="41">
        <v>0.11332468572476186</v>
      </c>
      <c r="CX2221" s="41" t="e">
        <v>#N/A</v>
      </c>
      <c r="CY2221" s="41" t="e">
        <v>#N/A</v>
      </c>
      <c r="CZ2221" s="47" t="e">
        <v>#N/A</v>
      </c>
      <c r="DA2221">
        <v>0.11332468572476186</v>
      </c>
      <c r="DB2221" t="str">
        <v/>
      </c>
    </row>
    <row r="2222" spans="83:106" x14ac:dyDescent="0.2">
      <c r="CE2222"/>
      <c r="CF2222"/>
      <c r="CG2222"/>
      <c r="CH2222"/>
      <c r="CI2222"/>
      <c r="CU2222" s="21">
        <v>2217</v>
      </c>
      <c r="CV2222" s="41">
        <v>4</v>
      </c>
      <c r="CW2222" s="41">
        <v>0.11332468572476186</v>
      </c>
      <c r="CX2222" s="41" t="e">
        <v>#N/A</v>
      </c>
      <c r="CY2222" s="41" t="e">
        <v>#N/A</v>
      </c>
      <c r="CZ2222" s="47" t="e">
        <v>#N/A</v>
      </c>
      <c r="DA2222">
        <v>0.11332468572476186</v>
      </c>
      <c r="DB2222" t="str">
        <v/>
      </c>
    </row>
    <row r="2223" spans="83:106" x14ac:dyDescent="0.2">
      <c r="CE2223"/>
      <c r="CF2223"/>
      <c r="CG2223"/>
      <c r="CH2223"/>
      <c r="CI2223"/>
      <c r="CU2223" s="21">
        <v>2218</v>
      </c>
      <c r="CV2223" s="41">
        <v>4</v>
      </c>
      <c r="CW2223" s="41">
        <v>0.11332468572476186</v>
      </c>
      <c r="CX2223" s="41" t="e">
        <v>#N/A</v>
      </c>
      <c r="CY2223" s="41" t="e">
        <v>#N/A</v>
      </c>
      <c r="CZ2223" s="47" t="e">
        <v>#N/A</v>
      </c>
      <c r="DA2223">
        <v>0.11332468572476186</v>
      </c>
      <c r="DB2223" t="str">
        <v/>
      </c>
    </row>
    <row r="2224" spans="83:106" x14ac:dyDescent="0.2">
      <c r="CE2224"/>
      <c r="CF2224"/>
      <c r="CG2224"/>
      <c r="CH2224"/>
      <c r="CI2224"/>
      <c r="CU2224" s="21">
        <v>2219</v>
      </c>
      <c r="CV2224" s="41">
        <v>4</v>
      </c>
      <c r="CW2224" s="41">
        <v>0.11332468572476186</v>
      </c>
      <c r="CX2224" s="41" t="e">
        <v>#N/A</v>
      </c>
      <c r="CY2224" s="41" t="e">
        <v>#N/A</v>
      </c>
      <c r="CZ2224" s="47" t="e">
        <v>#N/A</v>
      </c>
      <c r="DA2224">
        <v>0.11332468572476186</v>
      </c>
      <c r="DB2224" t="str">
        <v/>
      </c>
    </row>
    <row r="2225" spans="83:106" x14ac:dyDescent="0.2">
      <c r="CE2225"/>
      <c r="CF2225"/>
      <c r="CG2225"/>
      <c r="CH2225"/>
      <c r="CI2225"/>
      <c r="CU2225" s="21">
        <v>2220</v>
      </c>
      <c r="CV2225" s="41">
        <v>4</v>
      </c>
      <c r="CW2225" s="41">
        <v>0.11332468572476186</v>
      </c>
      <c r="CX2225" s="41" t="e">
        <v>#N/A</v>
      </c>
      <c r="CY2225" s="41" t="e">
        <v>#N/A</v>
      </c>
      <c r="CZ2225" s="47" t="e">
        <v>#N/A</v>
      </c>
      <c r="DA2225">
        <v>0.11332468572476186</v>
      </c>
      <c r="DB2225" t="str">
        <v/>
      </c>
    </row>
    <row r="2226" spans="83:106" x14ac:dyDescent="0.2">
      <c r="CE2226"/>
      <c r="CF2226"/>
      <c r="CG2226"/>
      <c r="CH2226"/>
      <c r="CI2226"/>
      <c r="CU2226" s="21">
        <v>2221</v>
      </c>
      <c r="CV2226" s="41">
        <v>4</v>
      </c>
      <c r="CW2226" s="41">
        <v>0.11332468572476186</v>
      </c>
      <c r="CX2226" s="41" t="e">
        <v>#N/A</v>
      </c>
      <c r="CY2226" s="41" t="e">
        <v>#N/A</v>
      </c>
      <c r="CZ2226" s="47" t="e">
        <v>#N/A</v>
      </c>
      <c r="DA2226">
        <v>0.11332468572476186</v>
      </c>
      <c r="DB2226" t="str">
        <v/>
      </c>
    </row>
    <row r="2227" spans="83:106" x14ac:dyDescent="0.2">
      <c r="CE2227"/>
      <c r="CF2227"/>
      <c r="CG2227"/>
      <c r="CH2227"/>
      <c r="CI2227"/>
      <c r="CU2227" s="21">
        <v>2222</v>
      </c>
      <c r="CV2227" s="41">
        <v>4</v>
      </c>
      <c r="CW2227" s="41">
        <v>0.11332468572476186</v>
      </c>
      <c r="CX2227" s="41" t="e">
        <v>#N/A</v>
      </c>
      <c r="CY2227" s="41" t="e">
        <v>#N/A</v>
      </c>
      <c r="CZ2227" s="47" t="e">
        <v>#N/A</v>
      </c>
      <c r="DA2227">
        <v>0.11332468572476186</v>
      </c>
      <c r="DB2227" t="str">
        <v/>
      </c>
    </row>
    <row r="2228" spans="83:106" x14ac:dyDescent="0.2">
      <c r="CE2228"/>
      <c r="CF2228"/>
      <c r="CG2228"/>
      <c r="CH2228"/>
      <c r="CI2228"/>
      <c r="CU2228" s="21">
        <v>2223</v>
      </c>
      <c r="CV2228" s="41">
        <v>4</v>
      </c>
      <c r="CW2228" s="41">
        <v>0.11332468572476186</v>
      </c>
      <c r="CX2228" s="41" t="e">
        <v>#N/A</v>
      </c>
      <c r="CY2228" s="41" t="e">
        <v>#N/A</v>
      </c>
      <c r="CZ2228" s="47" t="e">
        <v>#N/A</v>
      </c>
      <c r="DA2228">
        <v>0.11332468572476186</v>
      </c>
      <c r="DB2228" t="str">
        <v/>
      </c>
    </row>
    <row r="2229" spans="83:106" x14ac:dyDescent="0.2">
      <c r="CE2229"/>
      <c r="CF2229"/>
      <c r="CG2229"/>
      <c r="CH2229"/>
      <c r="CI2229"/>
      <c r="CU2229" s="21">
        <v>2224</v>
      </c>
      <c r="CV2229" s="41">
        <v>4</v>
      </c>
      <c r="CW2229" s="41">
        <v>0.11332468572476186</v>
      </c>
      <c r="CX2229" s="41" t="e">
        <v>#N/A</v>
      </c>
      <c r="CY2229" s="41" t="e">
        <v>#N/A</v>
      </c>
      <c r="CZ2229" s="47" t="e">
        <v>#N/A</v>
      </c>
      <c r="DA2229">
        <v>0.11332468572476186</v>
      </c>
      <c r="DB2229" t="str">
        <v/>
      </c>
    </row>
    <row r="2230" spans="83:106" x14ac:dyDescent="0.2">
      <c r="CE2230"/>
      <c r="CF2230"/>
      <c r="CG2230"/>
      <c r="CH2230"/>
      <c r="CI2230"/>
      <c r="CU2230" s="21">
        <v>2225</v>
      </c>
      <c r="CV2230" s="41">
        <v>4</v>
      </c>
      <c r="CW2230" s="41">
        <v>0.11332468572476186</v>
      </c>
      <c r="CX2230" s="41" t="e">
        <v>#N/A</v>
      </c>
      <c r="CY2230" s="41" t="e">
        <v>#N/A</v>
      </c>
      <c r="CZ2230" s="47" t="e">
        <v>#N/A</v>
      </c>
      <c r="DA2230">
        <v>0.11332468572476186</v>
      </c>
      <c r="DB2230" t="str">
        <v/>
      </c>
    </row>
    <row r="2231" spans="83:106" x14ac:dyDescent="0.2">
      <c r="CE2231"/>
      <c r="CF2231"/>
      <c r="CG2231"/>
      <c r="CH2231"/>
      <c r="CI2231"/>
      <c r="CU2231" s="21">
        <v>2226</v>
      </c>
      <c r="CV2231" s="41">
        <v>4</v>
      </c>
      <c r="CW2231" s="41">
        <v>0.11332468572476186</v>
      </c>
      <c r="CX2231" s="41" t="e">
        <v>#N/A</v>
      </c>
      <c r="CY2231" s="41" t="e">
        <v>#N/A</v>
      </c>
      <c r="CZ2231" s="47" t="e">
        <v>#N/A</v>
      </c>
      <c r="DA2231">
        <v>0.11332468572476186</v>
      </c>
      <c r="DB2231" t="str">
        <v/>
      </c>
    </row>
    <row r="2232" spans="83:106" x14ac:dyDescent="0.2">
      <c r="CE2232"/>
      <c r="CF2232"/>
      <c r="CG2232"/>
      <c r="CH2232"/>
      <c r="CI2232"/>
      <c r="CU2232" s="21">
        <v>2227</v>
      </c>
      <c r="CV2232" s="41">
        <v>4</v>
      </c>
      <c r="CW2232" s="41">
        <v>0.11332468572476186</v>
      </c>
      <c r="CX2232" s="41" t="e">
        <v>#N/A</v>
      </c>
      <c r="CY2232" s="41" t="e">
        <v>#N/A</v>
      </c>
      <c r="CZ2232" s="47" t="e">
        <v>#N/A</v>
      </c>
      <c r="DA2232">
        <v>0.11332468572476186</v>
      </c>
      <c r="DB2232" t="str">
        <v/>
      </c>
    </row>
    <row r="2233" spans="83:106" x14ac:dyDescent="0.2">
      <c r="CE2233"/>
      <c r="CF2233"/>
      <c r="CG2233"/>
      <c r="CH2233"/>
      <c r="CI2233"/>
      <c r="CU2233" s="21">
        <v>2228</v>
      </c>
      <c r="CV2233" s="41">
        <v>4</v>
      </c>
      <c r="CW2233" s="41">
        <v>0.11332468572476186</v>
      </c>
      <c r="CX2233" s="41" t="e">
        <v>#N/A</v>
      </c>
      <c r="CY2233" s="41" t="e">
        <v>#N/A</v>
      </c>
      <c r="CZ2233" s="47" t="e">
        <v>#N/A</v>
      </c>
      <c r="DA2233">
        <v>0.11332468572476186</v>
      </c>
      <c r="DB2233" t="str">
        <v/>
      </c>
    </row>
    <row r="2234" spans="83:106" x14ac:dyDescent="0.2">
      <c r="CE2234"/>
      <c r="CF2234"/>
      <c r="CG2234"/>
      <c r="CH2234"/>
      <c r="CI2234"/>
      <c r="CU2234" s="21">
        <v>2229</v>
      </c>
      <c r="CV2234" s="41">
        <v>4</v>
      </c>
      <c r="CW2234" s="41">
        <v>0.11332468572476186</v>
      </c>
      <c r="CX2234" s="41" t="e">
        <v>#N/A</v>
      </c>
      <c r="CY2234" s="41" t="e">
        <v>#N/A</v>
      </c>
      <c r="CZ2234" s="47" t="e">
        <v>#N/A</v>
      </c>
      <c r="DA2234">
        <v>0.11332468572476186</v>
      </c>
      <c r="DB2234" t="str">
        <v/>
      </c>
    </row>
    <row r="2235" spans="83:106" x14ac:dyDescent="0.2">
      <c r="CE2235"/>
      <c r="CF2235"/>
      <c r="CG2235"/>
      <c r="CH2235"/>
      <c r="CI2235"/>
      <c r="CU2235" s="21">
        <v>2230</v>
      </c>
      <c r="CV2235" s="41">
        <v>4</v>
      </c>
      <c r="CW2235" s="41">
        <v>0.11332468572476186</v>
      </c>
      <c r="CX2235" s="41" t="e">
        <v>#N/A</v>
      </c>
      <c r="CY2235" s="41" t="e">
        <v>#N/A</v>
      </c>
      <c r="CZ2235" s="47" t="e">
        <v>#N/A</v>
      </c>
      <c r="DA2235">
        <v>0.11332468572476186</v>
      </c>
      <c r="DB2235" t="str">
        <v/>
      </c>
    </row>
    <row r="2236" spans="83:106" x14ac:dyDescent="0.2">
      <c r="CE2236"/>
      <c r="CF2236"/>
      <c r="CG2236"/>
      <c r="CH2236"/>
      <c r="CI2236"/>
      <c r="CU2236" s="21">
        <v>2231</v>
      </c>
      <c r="CV2236" s="41">
        <v>4</v>
      </c>
      <c r="CW2236" s="41">
        <v>0.11332468572476186</v>
      </c>
      <c r="CX2236" s="41" t="e">
        <v>#N/A</v>
      </c>
      <c r="CY2236" s="41" t="e">
        <v>#N/A</v>
      </c>
      <c r="CZ2236" s="47" t="e">
        <v>#N/A</v>
      </c>
      <c r="DA2236">
        <v>0.11332468572476186</v>
      </c>
      <c r="DB2236" t="str">
        <v/>
      </c>
    </row>
    <row r="2237" spans="83:106" x14ac:dyDescent="0.2">
      <c r="CE2237"/>
      <c r="CF2237"/>
      <c r="CG2237"/>
      <c r="CH2237"/>
      <c r="CI2237"/>
      <c r="CU2237" s="21">
        <v>2232</v>
      </c>
      <c r="CV2237" s="41">
        <v>4</v>
      </c>
      <c r="CW2237" s="41">
        <v>0.11332468572476186</v>
      </c>
      <c r="CX2237" s="41" t="e">
        <v>#N/A</v>
      </c>
      <c r="CY2237" s="41" t="e">
        <v>#N/A</v>
      </c>
      <c r="CZ2237" s="47" t="e">
        <v>#N/A</v>
      </c>
      <c r="DA2237">
        <v>0.11332468572476186</v>
      </c>
      <c r="DB2237" t="str">
        <v/>
      </c>
    </row>
    <row r="2238" spans="83:106" x14ac:dyDescent="0.2">
      <c r="CE2238"/>
      <c r="CF2238"/>
      <c r="CG2238"/>
      <c r="CH2238"/>
      <c r="CI2238"/>
      <c r="CU2238" s="21">
        <v>2233</v>
      </c>
      <c r="CV2238" s="41">
        <v>4</v>
      </c>
      <c r="CW2238" s="41">
        <v>0.11332468572476186</v>
      </c>
      <c r="CX2238" s="41" t="e">
        <v>#N/A</v>
      </c>
      <c r="CY2238" s="41" t="e">
        <v>#N/A</v>
      </c>
      <c r="CZ2238" s="47" t="e">
        <v>#N/A</v>
      </c>
      <c r="DA2238">
        <v>0.11332468572476186</v>
      </c>
      <c r="DB2238" t="str">
        <v/>
      </c>
    </row>
    <row r="2239" spans="83:106" x14ac:dyDescent="0.2">
      <c r="CE2239"/>
      <c r="CF2239"/>
      <c r="CG2239"/>
      <c r="CH2239"/>
      <c r="CI2239"/>
      <c r="CU2239" s="21">
        <v>2234</v>
      </c>
      <c r="CV2239" s="41">
        <v>4</v>
      </c>
      <c r="CW2239" s="41">
        <v>0.11332468572476186</v>
      </c>
      <c r="CX2239" s="41" t="e">
        <v>#N/A</v>
      </c>
      <c r="CY2239" s="41" t="e">
        <v>#N/A</v>
      </c>
      <c r="CZ2239" s="47" t="e">
        <v>#N/A</v>
      </c>
      <c r="DA2239">
        <v>0.11332468572476186</v>
      </c>
      <c r="DB2239" t="str">
        <v/>
      </c>
    </row>
    <row r="2240" spans="83:106" x14ac:dyDescent="0.2">
      <c r="CE2240"/>
      <c r="CF2240"/>
      <c r="CG2240"/>
      <c r="CH2240"/>
      <c r="CI2240"/>
      <c r="CU2240" s="21">
        <v>2235</v>
      </c>
      <c r="CV2240" s="41">
        <v>4</v>
      </c>
      <c r="CW2240" s="41">
        <v>0.11332468572476186</v>
      </c>
      <c r="CX2240" s="41" t="e">
        <v>#N/A</v>
      </c>
      <c r="CY2240" s="41" t="e">
        <v>#N/A</v>
      </c>
      <c r="CZ2240" s="47" t="e">
        <v>#N/A</v>
      </c>
      <c r="DA2240">
        <v>0.11332468572476186</v>
      </c>
      <c r="DB2240" t="str">
        <v/>
      </c>
    </row>
    <row r="2241" spans="83:106" x14ac:dyDescent="0.2">
      <c r="CE2241"/>
      <c r="CF2241"/>
      <c r="CG2241"/>
      <c r="CH2241"/>
      <c r="CI2241"/>
      <c r="CU2241" s="21">
        <v>2236</v>
      </c>
      <c r="CV2241" s="41">
        <v>4</v>
      </c>
      <c r="CW2241" s="41">
        <v>0.11332468572476186</v>
      </c>
      <c r="CX2241" s="41" t="e">
        <v>#N/A</v>
      </c>
      <c r="CY2241" s="41" t="e">
        <v>#N/A</v>
      </c>
      <c r="CZ2241" s="47" t="e">
        <v>#N/A</v>
      </c>
      <c r="DA2241">
        <v>0.11332468572476186</v>
      </c>
      <c r="DB2241" t="str">
        <v/>
      </c>
    </row>
    <row r="2242" spans="83:106" x14ac:dyDescent="0.2">
      <c r="CE2242"/>
      <c r="CF2242"/>
      <c r="CG2242"/>
      <c r="CH2242"/>
      <c r="CI2242"/>
      <c r="CU2242" s="21">
        <v>2237</v>
      </c>
      <c r="CV2242" s="41">
        <v>4</v>
      </c>
      <c r="CW2242" s="41">
        <v>0.11332468572476186</v>
      </c>
      <c r="CX2242" s="41" t="e">
        <v>#N/A</v>
      </c>
      <c r="CY2242" s="41" t="e">
        <v>#N/A</v>
      </c>
      <c r="CZ2242" s="47" t="e">
        <v>#N/A</v>
      </c>
      <c r="DA2242">
        <v>0.11332468572476186</v>
      </c>
      <c r="DB2242" t="str">
        <v/>
      </c>
    </row>
    <row r="2243" spans="83:106" x14ac:dyDescent="0.2">
      <c r="CE2243"/>
      <c r="CF2243"/>
      <c r="CG2243"/>
      <c r="CH2243"/>
      <c r="CI2243"/>
      <c r="CU2243" s="21">
        <v>2238</v>
      </c>
      <c r="CV2243" s="41">
        <v>4</v>
      </c>
      <c r="CW2243" s="41">
        <v>0.11332468572476186</v>
      </c>
      <c r="CX2243" s="41" t="e">
        <v>#N/A</v>
      </c>
      <c r="CY2243" s="41" t="e">
        <v>#N/A</v>
      </c>
      <c r="CZ2243" s="47" t="e">
        <v>#N/A</v>
      </c>
      <c r="DA2243">
        <v>0.11332468572476186</v>
      </c>
      <c r="DB2243" t="str">
        <v/>
      </c>
    </row>
    <row r="2244" spans="83:106" x14ac:dyDescent="0.2">
      <c r="CE2244"/>
      <c r="CF2244"/>
      <c r="CG2244"/>
      <c r="CH2244"/>
      <c r="CI2244"/>
      <c r="CU2244" s="21">
        <v>2239</v>
      </c>
      <c r="CV2244" s="41">
        <v>4</v>
      </c>
      <c r="CW2244" s="41">
        <v>0.11332468572476186</v>
      </c>
      <c r="CX2244" s="41" t="e">
        <v>#N/A</v>
      </c>
      <c r="CY2244" s="41" t="e">
        <v>#N/A</v>
      </c>
      <c r="CZ2244" s="47" t="e">
        <v>#N/A</v>
      </c>
      <c r="DA2244">
        <v>0.11332468572476186</v>
      </c>
      <c r="DB2244" t="str">
        <v/>
      </c>
    </row>
    <row r="2245" spans="83:106" x14ac:dyDescent="0.2">
      <c r="CE2245"/>
      <c r="CF2245"/>
      <c r="CG2245"/>
      <c r="CH2245"/>
      <c r="CI2245"/>
      <c r="CU2245" s="21">
        <v>2240</v>
      </c>
      <c r="CV2245" s="41">
        <v>4</v>
      </c>
      <c r="CW2245" s="41">
        <v>0.11332468572476186</v>
      </c>
      <c r="CX2245" s="41" t="e">
        <v>#N/A</v>
      </c>
      <c r="CY2245" s="41" t="e">
        <v>#N/A</v>
      </c>
      <c r="CZ2245" s="47" t="e">
        <v>#N/A</v>
      </c>
      <c r="DA2245">
        <v>0.11332468572476186</v>
      </c>
      <c r="DB2245" t="str">
        <v/>
      </c>
    </row>
    <row r="2246" spans="83:106" x14ac:dyDescent="0.2">
      <c r="CE2246"/>
      <c r="CF2246"/>
      <c r="CG2246"/>
      <c r="CH2246"/>
      <c r="CI2246"/>
      <c r="CU2246" s="21">
        <v>2241</v>
      </c>
      <c r="CV2246" s="41">
        <v>4</v>
      </c>
      <c r="CW2246" s="41">
        <v>0.11332468572476186</v>
      </c>
      <c r="CX2246" s="41" t="e">
        <v>#N/A</v>
      </c>
      <c r="CY2246" s="41" t="e">
        <v>#N/A</v>
      </c>
      <c r="CZ2246" s="47" t="e">
        <v>#N/A</v>
      </c>
      <c r="DA2246">
        <v>0.11332468572476186</v>
      </c>
      <c r="DB2246" t="str">
        <v/>
      </c>
    </row>
    <row r="2247" spans="83:106" x14ac:dyDescent="0.2">
      <c r="CE2247"/>
      <c r="CF2247"/>
      <c r="CG2247"/>
      <c r="CH2247"/>
      <c r="CI2247"/>
      <c r="CU2247" s="21">
        <v>2242</v>
      </c>
      <c r="CV2247" s="41">
        <v>4</v>
      </c>
      <c r="CW2247" s="41">
        <v>0.11332468572476186</v>
      </c>
      <c r="CX2247" s="41" t="e">
        <v>#N/A</v>
      </c>
      <c r="CY2247" s="41" t="e">
        <v>#N/A</v>
      </c>
      <c r="CZ2247" s="47" t="e">
        <v>#N/A</v>
      </c>
      <c r="DA2247">
        <v>0.11332468572476186</v>
      </c>
      <c r="DB2247" t="str">
        <v/>
      </c>
    </row>
    <row r="2248" spans="83:106" x14ac:dyDescent="0.2">
      <c r="CE2248"/>
      <c r="CF2248"/>
      <c r="CG2248"/>
      <c r="CH2248"/>
      <c r="CI2248"/>
      <c r="CU2248" s="21">
        <v>2243</v>
      </c>
      <c r="CV2248" s="41">
        <v>4</v>
      </c>
      <c r="CW2248" s="41">
        <v>0.11332468572476186</v>
      </c>
      <c r="CX2248" s="41" t="e">
        <v>#N/A</v>
      </c>
      <c r="CY2248" s="41" t="e">
        <v>#N/A</v>
      </c>
      <c r="CZ2248" s="47" t="e">
        <v>#N/A</v>
      </c>
      <c r="DA2248">
        <v>0.11332468572476186</v>
      </c>
      <c r="DB2248" t="str">
        <v/>
      </c>
    </row>
    <row r="2249" spans="83:106" x14ac:dyDescent="0.2">
      <c r="CE2249"/>
      <c r="CF2249"/>
      <c r="CG2249"/>
      <c r="CH2249"/>
      <c r="CI2249"/>
      <c r="CU2249" s="21">
        <v>2244</v>
      </c>
      <c r="CV2249" s="41">
        <v>4</v>
      </c>
      <c r="CW2249" s="41">
        <v>0.11332468572476186</v>
      </c>
      <c r="CX2249" s="41" t="e">
        <v>#N/A</v>
      </c>
      <c r="CY2249" s="41" t="e">
        <v>#N/A</v>
      </c>
      <c r="CZ2249" s="47" t="e">
        <v>#N/A</v>
      </c>
      <c r="DA2249">
        <v>0.11332468572476186</v>
      </c>
      <c r="DB2249" t="str">
        <v/>
      </c>
    </row>
    <row r="2250" spans="83:106" x14ac:dyDescent="0.2">
      <c r="CE2250"/>
      <c r="CF2250"/>
      <c r="CG2250"/>
      <c r="CH2250"/>
      <c r="CI2250"/>
      <c r="CU2250" s="21">
        <v>2245</v>
      </c>
      <c r="CV2250" s="41">
        <v>4</v>
      </c>
      <c r="CW2250" s="41">
        <v>0.11332468572476186</v>
      </c>
      <c r="CX2250" s="41" t="e">
        <v>#N/A</v>
      </c>
      <c r="CY2250" s="41" t="e">
        <v>#N/A</v>
      </c>
      <c r="CZ2250" s="47" t="e">
        <v>#N/A</v>
      </c>
      <c r="DA2250">
        <v>0.11332468572476186</v>
      </c>
      <c r="DB2250" t="str">
        <v/>
      </c>
    </row>
    <row r="2251" spans="83:106" x14ac:dyDescent="0.2">
      <c r="CE2251"/>
      <c r="CF2251"/>
      <c r="CG2251"/>
      <c r="CH2251"/>
      <c r="CI2251"/>
      <c r="CU2251" s="21">
        <v>2246</v>
      </c>
      <c r="CV2251" s="41">
        <v>4</v>
      </c>
      <c r="CW2251" s="41">
        <v>0.11332468572476186</v>
      </c>
      <c r="CX2251" s="41" t="e">
        <v>#N/A</v>
      </c>
      <c r="CY2251" s="41" t="e">
        <v>#N/A</v>
      </c>
      <c r="CZ2251" s="47" t="e">
        <v>#N/A</v>
      </c>
      <c r="DA2251">
        <v>0.11332468572476186</v>
      </c>
      <c r="DB2251" t="str">
        <v/>
      </c>
    </row>
    <row r="2252" spans="83:106" x14ac:dyDescent="0.2">
      <c r="CE2252"/>
      <c r="CF2252"/>
      <c r="CG2252"/>
      <c r="CH2252"/>
      <c r="CI2252"/>
      <c r="CU2252" s="21">
        <v>2247</v>
      </c>
      <c r="CV2252" s="41">
        <v>4</v>
      </c>
      <c r="CW2252" s="41">
        <v>0.11332468572476186</v>
      </c>
      <c r="CX2252" s="41" t="e">
        <v>#N/A</v>
      </c>
      <c r="CY2252" s="41" t="e">
        <v>#N/A</v>
      </c>
      <c r="CZ2252" s="47" t="e">
        <v>#N/A</v>
      </c>
      <c r="DA2252">
        <v>0.11332468572476186</v>
      </c>
      <c r="DB2252" t="str">
        <v/>
      </c>
    </row>
    <row r="2253" spans="83:106" x14ac:dyDescent="0.2">
      <c r="CE2253"/>
      <c r="CF2253"/>
      <c r="CG2253"/>
      <c r="CH2253"/>
      <c r="CI2253"/>
      <c r="CU2253" s="21">
        <v>2248</v>
      </c>
      <c r="CV2253" s="41">
        <v>4</v>
      </c>
      <c r="CW2253" s="41">
        <v>0.11332468572476186</v>
      </c>
      <c r="CX2253" s="41" t="e">
        <v>#N/A</v>
      </c>
      <c r="CY2253" s="41" t="e">
        <v>#N/A</v>
      </c>
      <c r="CZ2253" s="47" t="e">
        <v>#N/A</v>
      </c>
      <c r="DA2253">
        <v>0.11332468572476186</v>
      </c>
      <c r="DB2253" t="str">
        <v/>
      </c>
    </row>
    <row r="2254" spans="83:106" x14ac:dyDescent="0.2">
      <c r="CE2254"/>
      <c r="CF2254"/>
      <c r="CG2254"/>
      <c r="CH2254"/>
      <c r="CI2254"/>
      <c r="CU2254" s="21">
        <v>2249</v>
      </c>
      <c r="CV2254" s="41">
        <v>4</v>
      </c>
      <c r="CW2254" s="41">
        <v>0.11332468572476186</v>
      </c>
      <c r="CX2254" s="41" t="e">
        <v>#N/A</v>
      </c>
      <c r="CY2254" s="41" t="e">
        <v>#N/A</v>
      </c>
      <c r="CZ2254" s="47" t="e">
        <v>#N/A</v>
      </c>
      <c r="DA2254">
        <v>0.11332468572476186</v>
      </c>
      <c r="DB2254" t="str">
        <v/>
      </c>
    </row>
    <row r="2255" spans="83:106" x14ac:dyDescent="0.2">
      <c r="CE2255"/>
      <c r="CF2255"/>
      <c r="CG2255"/>
      <c r="CH2255"/>
      <c r="CI2255"/>
      <c r="CU2255" s="21">
        <v>2250</v>
      </c>
      <c r="CV2255" s="41">
        <v>4</v>
      </c>
      <c r="CW2255" s="41">
        <v>0.11332468572476186</v>
      </c>
      <c r="CX2255" s="41" t="e">
        <v>#N/A</v>
      </c>
      <c r="CY2255" s="41" t="e">
        <v>#N/A</v>
      </c>
      <c r="CZ2255" s="47" t="e">
        <v>#N/A</v>
      </c>
      <c r="DA2255">
        <v>0.11332468572476186</v>
      </c>
      <c r="DB2255" t="str">
        <v/>
      </c>
    </row>
    <row r="2256" spans="83:106" x14ac:dyDescent="0.2">
      <c r="CE2256"/>
      <c r="CF2256"/>
      <c r="CG2256"/>
      <c r="CH2256"/>
      <c r="CI2256"/>
      <c r="CU2256" s="21">
        <v>2251</v>
      </c>
      <c r="CV2256" s="41">
        <v>4</v>
      </c>
      <c r="CW2256" s="41">
        <v>0.11332468572476186</v>
      </c>
      <c r="CX2256" s="41" t="e">
        <v>#N/A</v>
      </c>
      <c r="CY2256" s="41" t="e">
        <v>#N/A</v>
      </c>
      <c r="CZ2256" s="47" t="e">
        <v>#N/A</v>
      </c>
      <c r="DA2256">
        <v>0.11332468572476186</v>
      </c>
      <c r="DB2256" t="str">
        <v/>
      </c>
    </row>
    <row r="2257" spans="83:106" x14ac:dyDescent="0.2">
      <c r="CE2257"/>
      <c r="CF2257"/>
      <c r="CG2257"/>
      <c r="CH2257"/>
      <c r="CI2257"/>
      <c r="CU2257" s="21">
        <v>2252</v>
      </c>
      <c r="CV2257" s="41">
        <v>4</v>
      </c>
      <c r="CW2257" s="41">
        <v>0.11332468572476186</v>
      </c>
      <c r="CX2257" s="41" t="e">
        <v>#N/A</v>
      </c>
      <c r="CY2257" s="41" t="e">
        <v>#N/A</v>
      </c>
      <c r="CZ2257" s="47" t="e">
        <v>#N/A</v>
      </c>
      <c r="DA2257">
        <v>0.11332468572476186</v>
      </c>
      <c r="DB2257" t="str">
        <v/>
      </c>
    </row>
    <row r="2258" spans="83:106" x14ac:dyDescent="0.2">
      <c r="CE2258"/>
      <c r="CF2258"/>
      <c r="CG2258"/>
      <c r="CH2258"/>
      <c r="CI2258"/>
      <c r="CU2258" s="21">
        <v>2253</v>
      </c>
      <c r="CV2258" s="41">
        <v>4</v>
      </c>
      <c r="CW2258" s="41">
        <v>0.11332468572476186</v>
      </c>
      <c r="CX2258" s="41" t="e">
        <v>#N/A</v>
      </c>
      <c r="CY2258" s="41" t="e">
        <v>#N/A</v>
      </c>
      <c r="CZ2258" s="47" t="e">
        <v>#N/A</v>
      </c>
      <c r="DA2258">
        <v>0.11332468572476186</v>
      </c>
      <c r="DB2258" t="str">
        <v/>
      </c>
    </row>
    <row r="2259" spans="83:106" x14ac:dyDescent="0.2">
      <c r="CE2259"/>
      <c r="CF2259"/>
      <c r="CG2259"/>
      <c r="CH2259"/>
      <c r="CI2259"/>
      <c r="CU2259" s="21">
        <v>2254</v>
      </c>
      <c r="CV2259" s="41">
        <v>4</v>
      </c>
      <c r="CW2259" s="41">
        <v>0.11332468572476186</v>
      </c>
      <c r="CX2259" s="41" t="e">
        <v>#N/A</v>
      </c>
      <c r="CY2259" s="41" t="e">
        <v>#N/A</v>
      </c>
      <c r="CZ2259" s="47" t="e">
        <v>#N/A</v>
      </c>
      <c r="DA2259">
        <v>0.11332468572476186</v>
      </c>
      <c r="DB2259" t="str">
        <v/>
      </c>
    </row>
    <row r="2260" spans="83:106" x14ac:dyDescent="0.2">
      <c r="CE2260"/>
      <c r="CF2260"/>
      <c r="CG2260"/>
      <c r="CH2260"/>
      <c r="CI2260"/>
      <c r="CU2260" s="21">
        <v>2255</v>
      </c>
      <c r="CV2260" s="41">
        <v>4</v>
      </c>
      <c r="CW2260" s="41">
        <v>0.11332468572476186</v>
      </c>
      <c r="CX2260" s="41" t="e">
        <v>#N/A</v>
      </c>
      <c r="CY2260" s="41" t="e">
        <v>#N/A</v>
      </c>
      <c r="CZ2260" s="47" t="e">
        <v>#N/A</v>
      </c>
      <c r="DA2260">
        <v>0.11332468572476186</v>
      </c>
      <c r="DB2260" t="str">
        <v/>
      </c>
    </row>
    <row r="2261" spans="83:106" x14ac:dyDescent="0.2">
      <c r="CE2261"/>
      <c r="CF2261"/>
      <c r="CG2261"/>
      <c r="CH2261"/>
      <c r="CI2261"/>
      <c r="CU2261" s="21">
        <v>2256</v>
      </c>
      <c r="CV2261" s="41">
        <v>4</v>
      </c>
      <c r="CW2261" s="41">
        <v>0.11332468572476186</v>
      </c>
      <c r="CX2261" s="41" t="e">
        <v>#N/A</v>
      </c>
      <c r="CY2261" s="41" t="e">
        <v>#N/A</v>
      </c>
      <c r="CZ2261" s="47" t="e">
        <v>#N/A</v>
      </c>
      <c r="DA2261">
        <v>0.11332468572476186</v>
      </c>
      <c r="DB2261" t="str">
        <v/>
      </c>
    </row>
    <row r="2262" spans="83:106" x14ac:dyDescent="0.2">
      <c r="CE2262"/>
      <c r="CF2262"/>
      <c r="CG2262"/>
      <c r="CH2262"/>
      <c r="CI2262"/>
      <c r="CU2262" s="21">
        <v>2257</v>
      </c>
      <c r="CV2262" s="41">
        <v>4</v>
      </c>
      <c r="CW2262" s="41">
        <v>0.11332468572476186</v>
      </c>
      <c r="CX2262" s="41" t="e">
        <v>#N/A</v>
      </c>
      <c r="CY2262" s="41" t="e">
        <v>#N/A</v>
      </c>
      <c r="CZ2262" s="47" t="e">
        <v>#N/A</v>
      </c>
      <c r="DA2262">
        <v>0.11332468572476186</v>
      </c>
      <c r="DB2262" t="str">
        <v/>
      </c>
    </row>
    <row r="2263" spans="83:106" x14ac:dyDescent="0.2">
      <c r="CE2263"/>
      <c r="CF2263"/>
      <c r="CG2263"/>
      <c r="CH2263"/>
      <c r="CI2263"/>
      <c r="CU2263" s="21">
        <v>2258</v>
      </c>
      <c r="CV2263" s="41">
        <v>4</v>
      </c>
      <c r="CW2263" s="41">
        <v>0.11332468572476186</v>
      </c>
      <c r="CX2263" s="41" t="e">
        <v>#N/A</v>
      </c>
      <c r="CY2263" s="41" t="e">
        <v>#N/A</v>
      </c>
      <c r="CZ2263" s="47" t="e">
        <v>#N/A</v>
      </c>
      <c r="DA2263">
        <v>0.11332468572476186</v>
      </c>
      <c r="DB2263" t="str">
        <v/>
      </c>
    </row>
    <row r="2264" spans="83:106" x14ac:dyDescent="0.2">
      <c r="CE2264"/>
      <c r="CF2264"/>
      <c r="CG2264"/>
      <c r="CH2264"/>
      <c r="CI2264"/>
      <c r="CU2264" s="21">
        <v>2259</v>
      </c>
      <c r="CV2264" s="41">
        <v>4</v>
      </c>
      <c r="CW2264" s="41">
        <v>0.11332468572476186</v>
      </c>
      <c r="CX2264" s="41" t="e">
        <v>#N/A</v>
      </c>
      <c r="CY2264" s="41" t="e">
        <v>#N/A</v>
      </c>
      <c r="CZ2264" s="47" t="e">
        <v>#N/A</v>
      </c>
      <c r="DA2264">
        <v>0.11332468572476186</v>
      </c>
      <c r="DB2264" t="str">
        <v/>
      </c>
    </row>
    <row r="2265" spans="83:106" x14ac:dyDescent="0.2">
      <c r="CE2265"/>
      <c r="CF2265"/>
      <c r="CG2265"/>
      <c r="CH2265"/>
      <c r="CI2265"/>
      <c r="CU2265" s="21">
        <v>2260</v>
      </c>
      <c r="CV2265" s="41">
        <v>4</v>
      </c>
      <c r="CW2265" s="41">
        <v>0.11332468572476186</v>
      </c>
      <c r="CX2265" s="41" t="e">
        <v>#N/A</v>
      </c>
      <c r="CY2265" s="41" t="e">
        <v>#N/A</v>
      </c>
      <c r="CZ2265" s="47" t="e">
        <v>#N/A</v>
      </c>
      <c r="DA2265">
        <v>0.11332468572476186</v>
      </c>
      <c r="DB2265" t="str">
        <v/>
      </c>
    </row>
    <row r="2266" spans="83:106" x14ac:dyDescent="0.2">
      <c r="CE2266"/>
      <c r="CF2266"/>
      <c r="CG2266"/>
      <c r="CH2266"/>
      <c r="CI2266"/>
      <c r="CU2266" s="21">
        <v>2261</v>
      </c>
      <c r="CV2266" s="41">
        <v>4</v>
      </c>
      <c r="CW2266" s="41">
        <v>0.11332468572476186</v>
      </c>
      <c r="CX2266" s="41" t="e">
        <v>#N/A</v>
      </c>
      <c r="CY2266" s="41" t="e">
        <v>#N/A</v>
      </c>
      <c r="CZ2266" s="47" t="e">
        <v>#N/A</v>
      </c>
      <c r="DA2266">
        <v>0.11332468572476186</v>
      </c>
      <c r="DB2266" t="str">
        <v/>
      </c>
    </row>
    <row r="2267" spans="83:106" x14ac:dyDescent="0.2">
      <c r="CE2267"/>
      <c r="CF2267"/>
      <c r="CG2267"/>
      <c r="CH2267"/>
      <c r="CI2267"/>
      <c r="CU2267" s="21">
        <v>2262</v>
      </c>
      <c r="CV2267" s="41">
        <v>4</v>
      </c>
      <c r="CW2267" s="41">
        <v>0.11332468572476186</v>
      </c>
      <c r="CX2267" s="41" t="e">
        <v>#N/A</v>
      </c>
      <c r="CY2267" s="41" t="e">
        <v>#N/A</v>
      </c>
      <c r="CZ2267" s="47" t="e">
        <v>#N/A</v>
      </c>
      <c r="DA2267">
        <v>0.11332468572476186</v>
      </c>
      <c r="DB2267" t="str">
        <v/>
      </c>
    </row>
    <row r="2268" spans="83:106" x14ac:dyDescent="0.2">
      <c r="CE2268"/>
      <c r="CF2268"/>
      <c r="CG2268"/>
      <c r="CH2268"/>
      <c r="CI2268"/>
      <c r="CU2268" s="21">
        <v>2263</v>
      </c>
      <c r="CV2268" s="41">
        <v>4</v>
      </c>
      <c r="CW2268" s="41">
        <v>0.11332468572476186</v>
      </c>
      <c r="CX2268" s="41" t="e">
        <v>#N/A</v>
      </c>
      <c r="CY2268" s="41" t="e">
        <v>#N/A</v>
      </c>
      <c r="CZ2268" s="47" t="e">
        <v>#N/A</v>
      </c>
      <c r="DA2268">
        <v>0.11332468572476186</v>
      </c>
      <c r="DB2268" t="str">
        <v/>
      </c>
    </row>
    <row r="2269" spans="83:106" x14ac:dyDescent="0.2">
      <c r="CE2269"/>
      <c r="CF2269"/>
      <c r="CG2269"/>
      <c r="CH2269"/>
      <c r="CI2269"/>
      <c r="CU2269" s="21">
        <v>2264</v>
      </c>
      <c r="CV2269" s="41">
        <v>4</v>
      </c>
      <c r="CW2269" s="41">
        <v>0.11332468572476186</v>
      </c>
      <c r="CX2269" s="41" t="e">
        <v>#N/A</v>
      </c>
      <c r="CY2269" s="41" t="e">
        <v>#N/A</v>
      </c>
      <c r="CZ2269" s="47" t="e">
        <v>#N/A</v>
      </c>
      <c r="DA2269">
        <v>0.11332468572476186</v>
      </c>
      <c r="DB2269" t="str">
        <v/>
      </c>
    </row>
    <row r="2270" spans="83:106" x14ac:dyDescent="0.2">
      <c r="CE2270"/>
      <c r="CF2270"/>
      <c r="CG2270"/>
      <c r="CH2270"/>
      <c r="CI2270"/>
      <c r="CU2270" s="21">
        <v>2265</v>
      </c>
      <c r="CV2270" s="41">
        <v>4</v>
      </c>
      <c r="CW2270" s="41">
        <v>0.11332468572476186</v>
      </c>
      <c r="CX2270" s="41" t="e">
        <v>#N/A</v>
      </c>
      <c r="CY2270" s="41" t="e">
        <v>#N/A</v>
      </c>
      <c r="CZ2270" s="47" t="e">
        <v>#N/A</v>
      </c>
      <c r="DA2270">
        <v>0.11332468572476186</v>
      </c>
      <c r="DB2270" t="str">
        <v/>
      </c>
    </row>
    <row r="2271" spans="83:106" x14ac:dyDescent="0.2">
      <c r="CE2271"/>
      <c r="CF2271"/>
      <c r="CG2271"/>
      <c r="CH2271"/>
      <c r="CI2271"/>
      <c r="CU2271" s="21">
        <v>2266</v>
      </c>
      <c r="CV2271" s="41">
        <v>4</v>
      </c>
      <c r="CW2271" s="41">
        <v>0.11332468572476186</v>
      </c>
      <c r="CX2271" s="41" t="e">
        <v>#N/A</v>
      </c>
      <c r="CY2271" s="41" t="e">
        <v>#N/A</v>
      </c>
      <c r="CZ2271" s="47" t="e">
        <v>#N/A</v>
      </c>
      <c r="DA2271">
        <v>0.11332468572476186</v>
      </c>
      <c r="DB2271" t="str">
        <v/>
      </c>
    </row>
    <row r="2272" spans="83:106" x14ac:dyDescent="0.2">
      <c r="CE2272"/>
      <c r="CF2272"/>
      <c r="CG2272"/>
      <c r="CH2272"/>
      <c r="CI2272"/>
      <c r="CU2272" s="21">
        <v>2267</v>
      </c>
      <c r="CV2272" s="41">
        <v>4</v>
      </c>
      <c r="CW2272" s="41">
        <v>0.11332468572476186</v>
      </c>
      <c r="CX2272" s="41" t="e">
        <v>#N/A</v>
      </c>
      <c r="CY2272" s="41" t="e">
        <v>#N/A</v>
      </c>
      <c r="CZ2272" s="47" t="e">
        <v>#N/A</v>
      </c>
      <c r="DA2272">
        <v>0.11332468572476186</v>
      </c>
      <c r="DB2272" t="str">
        <v/>
      </c>
    </row>
    <row r="2273" spans="83:106" x14ac:dyDescent="0.2">
      <c r="CE2273"/>
      <c r="CF2273"/>
      <c r="CG2273"/>
      <c r="CH2273"/>
      <c r="CI2273"/>
      <c r="CU2273" s="21">
        <v>2268</v>
      </c>
      <c r="CV2273" s="41">
        <v>4</v>
      </c>
      <c r="CW2273" s="41">
        <v>0.11332468572476186</v>
      </c>
      <c r="CX2273" s="41" t="e">
        <v>#N/A</v>
      </c>
      <c r="CY2273" s="41" t="e">
        <v>#N/A</v>
      </c>
      <c r="CZ2273" s="47" t="e">
        <v>#N/A</v>
      </c>
      <c r="DA2273">
        <v>0.11332468572476186</v>
      </c>
      <c r="DB2273" t="str">
        <v/>
      </c>
    </row>
    <row r="2274" spans="83:106" x14ac:dyDescent="0.2">
      <c r="CE2274"/>
      <c r="CF2274"/>
      <c r="CG2274"/>
      <c r="CH2274"/>
      <c r="CI2274"/>
      <c r="CU2274" s="21">
        <v>2269</v>
      </c>
      <c r="CV2274" s="41">
        <v>4</v>
      </c>
      <c r="CW2274" s="41">
        <v>0.11332468572476186</v>
      </c>
      <c r="CX2274" s="41" t="e">
        <v>#N/A</v>
      </c>
      <c r="CY2274" s="41" t="e">
        <v>#N/A</v>
      </c>
      <c r="CZ2274" s="47" t="e">
        <v>#N/A</v>
      </c>
      <c r="DA2274">
        <v>0.11332468572476186</v>
      </c>
      <c r="DB2274" t="str">
        <v/>
      </c>
    </row>
    <row r="2275" spans="83:106" x14ac:dyDescent="0.2">
      <c r="CE2275"/>
      <c r="CF2275"/>
      <c r="CG2275"/>
      <c r="CH2275"/>
      <c r="CI2275"/>
      <c r="CU2275" s="21">
        <v>2270</v>
      </c>
      <c r="CV2275" s="41">
        <v>4</v>
      </c>
      <c r="CW2275" s="41">
        <v>0.11332468572476186</v>
      </c>
      <c r="CX2275" s="41" t="e">
        <v>#N/A</v>
      </c>
      <c r="CY2275" s="41" t="e">
        <v>#N/A</v>
      </c>
      <c r="CZ2275" s="47" t="e">
        <v>#N/A</v>
      </c>
      <c r="DA2275">
        <v>0.11332468572476186</v>
      </c>
      <c r="DB2275" t="str">
        <v/>
      </c>
    </row>
    <row r="2276" spans="83:106" x14ac:dyDescent="0.2">
      <c r="CE2276"/>
      <c r="CF2276"/>
      <c r="CG2276"/>
      <c r="CH2276"/>
      <c r="CI2276"/>
      <c r="CU2276" s="21">
        <v>2271</v>
      </c>
      <c r="CV2276" s="41">
        <v>4</v>
      </c>
      <c r="CW2276" s="41">
        <v>0.11332468572476186</v>
      </c>
      <c r="CX2276" s="41" t="e">
        <v>#N/A</v>
      </c>
      <c r="CY2276" s="41" t="e">
        <v>#N/A</v>
      </c>
      <c r="CZ2276" s="47" t="e">
        <v>#N/A</v>
      </c>
      <c r="DA2276">
        <v>0.11332468572476186</v>
      </c>
      <c r="DB2276" t="str">
        <v/>
      </c>
    </row>
    <row r="2277" spans="83:106" x14ac:dyDescent="0.2">
      <c r="CE2277"/>
      <c r="CF2277"/>
      <c r="CG2277"/>
      <c r="CH2277"/>
      <c r="CI2277"/>
      <c r="CU2277" s="21">
        <v>2272</v>
      </c>
      <c r="CV2277" s="41">
        <v>4</v>
      </c>
      <c r="CW2277" s="41">
        <v>0.11332468572476186</v>
      </c>
      <c r="CX2277" s="41" t="e">
        <v>#N/A</v>
      </c>
      <c r="CY2277" s="41" t="e">
        <v>#N/A</v>
      </c>
      <c r="CZ2277" s="47" t="e">
        <v>#N/A</v>
      </c>
      <c r="DA2277">
        <v>0.11332468572476186</v>
      </c>
      <c r="DB2277" t="str">
        <v/>
      </c>
    </row>
    <row r="2278" spans="83:106" x14ac:dyDescent="0.2">
      <c r="CE2278"/>
      <c r="CF2278"/>
      <c r="CG2278"/>
      <c r="CH2278"/>
      <c r="CI2278"/>
      <c r="CU2278" s="21">
        <v>2273</v>
      </c>
      <c r="CV2278" s="41">
        <v>4</v>
      </c>
      <c r="CW2278" s="41">
        <v>0.11332468572476186</v>
      </c>
      <c r="CX2278" s="41" t="e">
        <v>#N/A</v>
      </c>
      <c r="CY2278" s="41" t="e">
        <v>#N/A</v>
      </c>
      <c r="CZ2278" s="47" t="e">
        <v>#N/A</v>
      </c>
      <c r="DA2278">
        <v>0.11332468572476186</v>
      </c>
      <c r="DB2278" t="str">
        <v/>
      </c>
    </row>
    <row r="2279" spans="83:106" x14ac:dyDescent="0.2">
      <c r="CE2279"/>
      <c r="CF2279"/>
      <c r="CG2279"/>
      <c r="CH2279"/>
      <c r="CI2279"/>
      <c r="CU2279" s="21">
        <v>2274</v>
      </c>
      <c r="CV2279" s="41">
        <v>4</v>
      </c>
      <c r="CW2279" s="41">
        <v>0.11332468572476186</v>
      </c>
      <c r="CX2279" s="41" t="e">
        <v>#N/A</v>
      </c>
      <c r="CY2279" s="41" t="e">
        <v>#N/A</v>
      </c>
      <c r="CZ2279" s="47" t="e">
        <v>#N/A</v>
      </c>
      <c r="DA2279">
        <v>0.11332468572476186</v>
      </c>
      <c r="DB2279" t="str">
        <v/>
      </c>
    </row>
    <row r="2280" spans="83:106" x14ac:dyDescent="0.2">
      <c r="CE2280"/>
      <c r="CF2280"/>
      <c r="CG2280"/>
      <c r="CH2280"/>
      <c r="CI2280"/>
      <c r="CU2280" s="21">
        <v>2275</v>
      </c>
      <c r="CV2280" s="41">
        <v>4</v>
      </c>
      <c r="CW2280" s="41">
        <v>0.11332468572476186</v>
      </c>
      <c r="CX2280" s="41" t="e">
        <v>#N/A</v>
      </c>
      <c r="CY2280" s="41" t="e">
        <v>#N/A</v>
      </c>
      <c r="CZ2280" s="47" t="e">
        <v>#N/A</v>
      </c>
      <c r="DA2280">
        <v>0.11332468572476186</v>
      </c>
      <c r="DB2280" t="str">
        <v/>
      </c>
    </row>
    <row r="2281" spans="83:106" x14ac:dyDescent="0.2">
      <c r="CE2281"/>
      <c r="CF2281"/>
      <c r="CG2281"/>
      <c r="CH2281"/>
      <c r="CI2281"/>
      <c r="CU2281" s="21">
        <v>2276</v>
      </c>
      <c r="CV2281" s="41">
        <v>4</v>
      </c>
      <c r="CW2281" s="41">
        <v>0.11332468572476186</v>
      </c>
      <c r="CX2281" s="41" t="e">
        <v>#N/A</v>
      </c>
      <c r="CY2281" s="41" t="e">
        <v>#N/A</v>
      </c>
      <c r="CZ2281" s="47" t="e">
        <v>#N/A</v>
      </c>
      <c r="DA2281">
        <v>0.11332468572476186</v>
      </c>
      <c r="DB2281" t="str">
        <v/>
      </c>
    </row>
    <row r="2282" spans="83:106" x14ac:dyDescent="0.2">
      <c r="CE2282"/>
      <c r="CF2282"/>
      <c r="CG2282"/>
      <c r="CH2282"/>
      <c r="CI2282"/>
      <c r="CU2282" s="21">
        <v>2277</v>
      </c>
      <c r="CV2282" s="41">
        <v>4</v>
      </c>
      <c r="CW2282" s="41">
        <v>0.11332468572476186</v>
      </c>
      <c r="CX2282" s="41" t="e">
        <v>#N/A</v>
      </c>
      <c r="CY2282" s="41" t="e">
        <v>#N/A</v>
      </c>
      <c r="CZ2282" s="47" t="e">
        <v>#N/A</v>
      </c>
      <c r="DA2282">
        <v>0.11332468572476186</v>
      </c>
      <c r="DB2282" t="str">
        <v/>
      </c>
    </row>
    <row r="2283" spans="83:106" x14ac:dyDescent="0.2">
      <c r="CE2283"/>
      <c r="CF2283"/>
      <c r="CG2283"/>
      <c r="CH2283"/>
      <c r="CI2283"/>
      <c r="CU2283" s="21">
        <v>2278</v>
      </c>
      <c r="CV2283" s="41">
        <v>4</v>
      </c>
      <c r="CW2283" s="41">
        <v>0.11332468572476186</v>
      </c>
      <c r="CX2283" s="41" t="e">
        <v>#N/A</v>
      </c>
      <c r="CY2283" s="41" t="e">
        <v>#N/A</v>
      </c>
      <c r="CZ2283" s="47" t="e">
        <v>#N/A</v>
      </c>
      <c r="DA2283">
        <v>0.11332468572476186</v>
      </c>
      <c r="DB2283" t="str">
        <v/>
      </c>
    </row>
    <row r="2284" spans="83:106" x14ac:dyDescent="0.2">
      <c r="CE2284"/>
      <c r="CF2284"/>
      <c r="CG2284"/>
      <c r="CH2284"/>
      <c r="CI2284"/>
      <c r="CU2284" s="21">
        <v>2279</v>
      </c>
      <c r="CV2284" s="41">
        <v>4</v>
      </c>
      <c r="CW2284" s="41">
        <v>0.11332468572476186</v>
      </c>
      <c r="CX2284" s="41" t="e">
        <v>#N/A</v>
      </c>
      <c r="CY2284" s="41" t="e">
        <v>#N/A</v>
      </c>
      <c r="CZ2284" s="47" t="e">
        <v>#N/A</v>
      </c>
      <c r="DA2284">
        <v>0.11332468572476186</v>
      </c>
      <c r="DB2284" t="str">
        <v/>
      </c>
    </row>
    <row r="2285" spans="83:106" x14ac:dyDescent="0.2">
      <c r="CE2285"/>
      <c r="CF2285"/>
      <c r="CG2285"/>
      <c r="CH2285"/>
      <c r="CI2285"/>
      <c r="CU2285" s="21">
        <v>2280</v>
      </c>
      <c r="CV2285" s="41">
        <v>4</v>
      </c>
      <c r="CW2285" s="41">
        <v>0.11332468572476186</v>
      </c>
      <c r="CX2285" s="41" t="e">
        <v>#N/A</v>
      </c>
      <c r="CY2285" s="41" t="e">
        <v>#N/A</v>
      </c>
      <c r="CZ2285" s="47" t="e">
        <v>#N/A</v>
      </c>
      <c r="DA2285">
        <v>0.11332468572476186</v>
      </c>
      <c r="DB2285" t="str">
        <v/>
      </c>
    </row>
    <row r="2286" spans="83:106" x14ac:dyDescent="0.2">
      <c r="CE2286"/>
      <c r="CF2286"/>
      <c r="CG2286"/>
      <c r="CH2286"/>
      <c r="CI2286"/>
      <c r="CU2286" s="21">
        <v>2281</v>
      </c>
      <c r="CV2286" s="41">
        <v>4</v>
      </c>
      <c r="CW2286" s="41">
        <v>0.11332468572476186</v>
      </c>
      <c r="CX2286" s="41" t="e">
        <v>#N/A</v>
      </c>
      <c r="CY2286" s="41" t="e">
        <v>#N/A</v>
      </c>
      <c r="CZ2286" s="47" t="e">
        <v>#N/A</v>
      </c>
      <c r="DA2286">
        <v>0.11332468572476186</v>
      </c>
      <c r="DB2286" t="str">
        <v/>
      </c>
    </row>
    <row r="2287" spans="83:106" x14ac:dyDescent="0.2">
      <c r="CE2287"/>
      <c r="CF2287"/>
      <c r="CG2287"/>
      <c r="CH2287"/>
      <c r="CI2287"/>
      <c r="CU2287" s="21">
        <v>2282</v>
      </c>
      <c r="CV2287" s="41">
        <v>4</v>
      </c>
      <c r="CW2287" s="41">
        <v>0.11332468572476186</v>
      </c>
      <c r="CX2287" s="41" t="e">
        <v>#N/A</v>
      </c>
      <c r="CY2287" s="41" t="e">
        <v>#N/A</v>
      </c>
      <c r="CZ2287" s="47" t="e">
        <v>#N/A</v>
      </c>
      <c r="DA2287">
        <v>0.11332468572476186</v>
      </c>
      <c r="DB2287" t="str">
        <v/>
      </c>
    </row>
    <row r="2288" spans="83:106" x14ac:dyDescent="0.2">
      <c r="CE2288"/>
      <c r="CF2288"/>
      <c r="CG2288"/>
      <c r="CH2288"/>
      <c r="CI2288"/>
      <c r="CU2288" s="21">
        <v>2283</v>
      </c>
      <c r="CV2288" s="41">
        <v>4</v>
      </c>
      <c r="CW2288" s="41">
        <v>0.11332468572476186</v>
      </c>
      <c r="CX2288" s="41" t="e">
        <v>#N/A</v>
      </c>
      <c r="CY2288" s="41" t="e">
        <v>#N/A</v>
      </c>
      <c r="CZ2288" s="47" t="e">
        <v>#N/A</v>
      </c>
      <c r="DA2288">
        <v>0.11332468572476186</v>
      </c>
      <c r="DB2288" t="str">
        <v/>
      </c>
    </row>
    <row r="2289" spans="83:106" x14ac:dyDescent="0.2">
      <c r="CE2289"/>
      <c r="CF2289"/>
      <c r="CG2289"/>
      <c r="CH2289"/>
      <c r="CI2289"/>
      <c r="CU2289" s="21">
        <v>2284</v>
      </c>
      <c r="CV2289" s="41">
        <v>4</v>
      </c>
      <c r="CW2289" s="41">
        <v>0.11332468572476186</v>
      </c>
      <c r="CX2289" s="41" t="e">
        <v>#N/A</v>
      </c>
      <c r="CY2289" s="41" t="e">
        <v>#N/A</v>
      </c>
      <c r="CZ2289" s="47" t="e">
        <v>#N/A</v>
      </c>
      <c r="DA2289">
        <v>0.11332468572476186</v>
      </c>
      <c r="DB2289" t="str">
        <v/>
      </c>
    </row>
    <row r="2290" spans="83:106" x14ac:dyDescent="0.2">
      <c r="CE2290"/>
      <c r="CF2290"/>
      <c r="CG2290"/>
      <c r="CH2290"/>
      <c r="CI2290"/>
      <c r="CU2290" s="21">
        <v>2285</v>
      </c>
      <c r="CV2290" s="41">
        <v>4</v>
      </c>
      <c r="CW2290" s="41">
        <v>0.11332468572476186</v>
      </c>
      <c r="CX2290" s="41" t="e">
        <v>#N/A</v>
      </c>
      <c r="CY2290" s="41" t="e">
        <v>#N/A</v>
      </c>
      <c r="CZ2290" s="47" t="e">
        <v>#N/A</v>
      </c>
      <c r="DA2290">
        <v>0.11332468572476186</v>
      </c>
      <c r="DB2290" t="str">
        <v/>
      </c>
    </row>
    <row r="2291" spans="83:106" x14ac:dyDescent="0.2">
      <c r="CE2291"/>
      <c r="CF2291"/>
      <c r="CG2291"/>
      <c r="CH2291"/>
      <c r="CI2291"/>
      <c r="CU2291" s="21">
        <v>2286</v>
      </c>
      <c r="CV2291" s="41">
        <v>4</v>
      </c>
      <c r="CW2291" s="41">
        <v>0.11332468572476186</v>
      </c>
      <c r="CX2291" s="41" t="e">
        <v>#N/A</v>
      </c>
      <c r="CY2291" s="41" t="e">
        <v>#N/A</v>
      </c>
      <c r="CZ2291" s="47" t="e">
        <v>#N/A</v>
      </c>
      <c r="DA2291">
        <v>0.11332468572476186</v>
      </c>
      <c r="DB2291" t="str">
        <v/>
      </c>
    </row>
    <row r="2292" spans="83:106" x14ac:dyDescent="0.2">
      <c r="CE2292"/>
      <c r="CF2292"/>
      <c r="CG2292"/>
      <c r="CH2292"/>
      <c r="CI2292"/>
      <c r="CU2292" s="21">
        <v>2287</v>
      </c>
      <c r="CV2292" s="41">
        <v>4</v>
      </c>
      <c r="CW2292" s="41">
        <v>0.11332468572476186</v>
      </c>
      <c r="CX2292" s="41" t="e">
        <v>#N/A</v>
      </c>
      <c r="CY2292" s="41" t="e">
        <v>#N/A</v>
      </c>
      <c r="CZ2292" s="47" t="e">
        <v>#N/A</v>
      </c>
      <c r="DA2292">
        <v>0.11332468572476186</v>
      </c>
      <c r="DB2292" t="str">
        <v/>
      </c>
    </row>
    <row r="2293" spans="83:106" x14ac:dyDescent="0.2">
      <c r="CE2293"/>
      <c r="CF2293"/>
      <c r="CG2293"/>
      <c r="CH2293"/>
      <c r="CI2293"/>
      <c r="CU2293" s="21">
        <v>2288</v>
      </c>
      <c r="CV2293" s="41">
        <v>4</v>
      </c>
      <c r="CW2293" s="41">
        <v>0.11332468572476186</v>
      </c>
      <c r="CX2293" s="41" t="e">
        <v>#N/A</v>
      </c>
      <c r="CY2293" s="41" t="e">
        <v>#N/A</v>
      </c>
      <c r="CZ2293" s="47" t="e">
        <v>#N/A</v>
      </c>
      <c r="DA2293">
        <v>0.11332468572476186</v>
      </c>
      <c r="DB2293" t="str">
        <v/>
      </c>
    </row>
    <row r="2294" spans="83:106" x14ac:dyDescent="0.2">
      <c r="CE2294"/>
      <c r="CF2294"/>
      <c r="CG2294"/>
      <c r="CH2294"/>
      <c r="CI2294"/>
      <c r="CU2294" s="21">
        <v>2289</v>
      </c>
      <c r="CV2294" s="41">
        <v>4</v>
      </c>
      <c r="CW2294" s="41">
        <v>0.11332468572476186</v>
      </c>
      <c r="CX2294" s="41" t="e">
        <v>#N/A</v>
      </c>
      <c r="CY2294" s="41" t="e">
        <v>#N/A</v>
      </c>
      <c r="CZ2294" s="47" t="e">
        <v>#N/A</v>
      </c>
      <c r="DA2294">
        <v>0.11332468572476186</v>
      </c>
      <c r="DB2294" t="str">
        <v/>
      </c>
    </row>
    <row r="2295" spans="83:106" x14ac:dyDescent="0.2">
      <c r="CE2295"/>
      <c r="CF2295"/>
      <c r="CG2295"/>
      <c r="CH2295"/>
      <c r="CI2295"/>
      <c r="CU2295" s="21">
        <v>2290</v>
      </c>
      <c r="CV2295" s="41">
        <v>4</v>
      </c>
      <c r="CW2295" s="41">
        <v>0.11332468572476186</v>
      </c>
      <c r="CX2295" s="41" t="e">
        <v>#N/A</v>
      </c>
      <c r="CY2295" s="41" t="e">
        <v>#N/A</v>
      </c>
      <c r="CZ2295" s="47" t="e">
        <v>#N/A</v>
      </c>
      <c r="DA2295">
        <v>0.11332468572476186</v>
      </c>
      <c r="DB2295" t="str">
        <v/>
      </c>
    </row>
    <row r="2296" spans="83:106" x14ac:dyDescent="0.2">
      <c r="CE2296"/>
      <c r="CF2296"/>
      <c r="CG2296"/>
      <c r="CH2296"/>
      <c r="CI2296"/>
      <c r="CU2296" s="21">
        <v>2291</v>
      </c>
      <c r="CV2296" s="41">
        <v>4</v>
      </c>
      <c r="CW2296" s="41">
        <v>0.11332468572476186</v>
      </c>
      <c r="CX2296" s="41" t="e">
        <v>#N/A</v>
      </c>
      <c r="CY2296" s="41" t="e">
        <v>#N/A</v>
      </c>
      <c r="CZ2296" s="47" t="e">
        <v>#N/A</v>
      </c>
      <c r="DA2296">
        <v>0.11332468572476186</v>
      </c>
      <c r="DB2296" t="str">
        <v/>
      </c>
    </row>
    <row r="2297" spans="83:106" x14ac:dyDescent="0.2">
      <c r="CE2297"/>
      <c r="CF2297"/>
      <c r="CG2297"/>
      <c r="CH2297"/>
      <c r="CI2297"/>
      <c r="CU2297" s="21">
        <v>2292</v>
      </c>
      <c r="CV2297" s="41">
        <v>4</v>
      </c>
      <c r="CW2297" s="41">
        <v>0.11332468572476186</v>
      </c>
      <c r="CX2297" s="41" t="e">
        <v>#N/A</v>
      </c>
      <c r="CY2297" s="41" t="e">
        <v>#N/A</v>
      </c>
      <c r="CZ2297" s="47" t="e">
        <v>#N/A</v>
      </c>
      <c r="DA2297">
        <v>0.11332468572476186</v>
      </c>
      <c r="DB2297" t="str">
        <v/>
      </c>
    </row>
    <row r="2298" spans="83:106" x14ac:dyDescent="0.2">
      <c r="CE2298"/>
      <c r="CF2298"/>
      <c r="CG2298"/>
      <c r="CH2298"/>
      <c r="CI2298"/>
      <c r="CU2298" s="21">
        <v>2293</v>
      </c>
      <c r="CV2298" s="41">
        <v>4</v>
      </c>
      <c r="CW2298" s="41">
        <v>0.11332468572476186</v>
      </c>
      <c r="CX2298" s="41" t="e">
        <v>#N/A</v>
      </c>
      <c r="CY2298" s="41" t="e">
        <v>#N/A</v>
      </c>
      <c r="CZ2298" s="47" t="e">
        <v>#N/A</v>
      </c>
      <c r="DA2298">
        <v>0.11332468572476186</v>
      </c>
      <c r="DB2298" t="str">
        <v/>
      </c>
    </row>
    <row r="2299" spans="83:106" x14ac:dyDescent="0.2">
      <c r="CE2299"/>
      <c r="CF2299"/>
      <c r="CG2299"/>
      <c r="CH2299"/>
      <c r="CI2299"/>
      <c r="CU2299" s="21">
        <v>2294</v>
      </c>
      <c r="CV2299" s="41">
        <v>4</v>
      </c>
      <c r="CW2299" s="41">
        <v>0.11332468572476186</v>
      </c>
      <c r="CX2299" s="41" t="e">
        <v>#N/A</v>
      </c>
      <c r="CY2299" s="41" t="e">
        <v>#N/A</v>
      </c>
      <c r="CZ2299" s="47" t="e">
        <v>#N/A</v>
      </c>
      <c r="DA2299">
        <v>0.11332468572476186</v>
      </c>
      <c r="DB2299" t="str">
        <v/>
      </c>
    </row>
    <row r="2300" spans="83:106" x14ac:dyDescent="0.2">
      <c r="CE2300"/>
      <c r="CF2300"/>
      <c r="CG2300"/>
      <c r="CH2300"/>
      <c r="CI2300"/>
      <c r="CU2300" s="21">
        <v>2295</v>
      </c>
      <c r="CV2300" s="41">
        <v>4</v>
      </c>
      <c r="CW2300" s="41">
        <v>0.11332468572476186</v>
      </c>
      <c r="CX2300" s="41" t="e">
        <v>#N/A</v>
      </c>
      <c r="CY2300" s="41" t="e">
        <v>#N/A</v>
      </c>
      <c r="CZ2300" s="47" t="e">
        <v>#N/A</v>
      </c>
      <c r="DA2300">
        <v>0.11332468572476186</v>
      </c>
      <c r="DB2300" t="str">
        <v/>
      </c>
    </row>
    <row r="2301" spans="83:106" x14ac:dyDescent="0.2">
      <c r="CE2301"/>
      <c r="CF2301"/>
      <c r="CG2301"/>
      <c r="CH2301"/>
      <c r="CI2301"/>
      <c r="CU2301" s="21">
        <v>2296</v>
      </c>
      <c r="CV2301" s="41">
        <v>4</v>
      </c>
      <c r="CW2301" s="41">
        <v>0.11332468572476186</v>
      </c>
      <c r="CX2301" s="41" t="e">
        <v>#N/A</v>
      </c>
      <c r="CY2301" s="41" t="e">
        <v>#N/A</v>
      </c>
      <c r="CZ2301" s="47" t="e">
        <v>#N/A</v>
      </c>
      <c r="DA2301">
        <v>0.11332468572476186</v>
      </c>
      <c r="DB2301" t="str">
        <v/>
      </c>
    </row>
    <row r="2302" spans="83:106" x14ac:dyDescent="0.2">
      <c r="CE2302"/>
      <c r="CF2302"/>
      <c r="CG2302"/>
      <c r="CH2302"/>
      <c r="CI2302"/>
      <c r="CU2302" s="21">
        <v>2297</v>
      </c>
      <c r="CV2302" s="41">
        <v>4</v>
      </c>
      <c r="CW2302" s="41">
        <v>0.11332468572476186</v>
      </c>
      <c r="CX2302" s="41" t="e">
        <v>#N/A</v>
      </c>
      <c r="CY2302" s="41" t="e">
        <v>#N/A</v>
      </c>
      <c r="CZ2302" s="47" t="e">
        <v>#N/A</v>
      </c>
      <c r="DA2302">
        <v>0.11332468572476186</v>
      </c>
      <c r="DB2302" t="str">
        <v/>
      </c>
    </row>
    <row r="2303" spans="83:106" x14ac:dyDescent="0.2">
      <c r="CE2303"/>
      <c r="CF2303"/>
      <c r="CG2303"/>
      <c r="CH2303"/>
      <c r="CI2303"/>
      <c r="CU2303" s="21">
        <v>2298</v>
      </c>
      <c r="CV2303" s="41">
        <v>4</v>
      </c>
      <c r="CW2303" s="41">
        <v>0.11332468572476186</v>
      </c>
      <c r="CX2303" s="41" t="e">
        <v>#N/A</v>
      </c>
      <c r="CY2303" s="41" t="e">
        <v>#N/A</v>
      </c>
      <c r="CZ2303" s="47" t="e">
        <v>#N/A</v>
      </c>
      <c r="DA2303">
        <v>0.11332468572476186</v>
      </c>
      <c r="DB2303" t="str">
        <v/>
      </c>
    </row>
    <row r="2304" spans="83:106" x14ac:dyDescent="0.2">
      <c r="CE2304"/>
      <c r="CF2304"/>
      <c r="CG2304"/>
      <c r="CH2304"/>
      <c r="CI2304"/>
      <c r="CU2304" s="21">
        <v>2299</v>
      </c>
      <c r="CV2304" s="41">
        <v>4</v>
      </c>
      <c r="CW2304" s="41">
        <v>0.11332468572476186</v>
      </c>
      <c r="CX2304" s="41" t="e">
        <v>#N/A</v>
      </c>
      <c r="CY2304" s="41" t="e">
        <v>#N/A</v>
      </c>
      <c r="CZ2304" s="47" t="e">
        <v>#N/A</v>
      </c>
      <c r="DA2304">
        <v>0.11332468572476186</v>
      </c>
      <c r="DB2304" t="str">
        <v/>
      </c>
    </row>
    <row r="2305" spans="83:106" x14ac:dyDescent="0.2">
      <c r="CE2305"/>
      <c r="CF2305"/>
      <c r="CG2305"/>
      <c r="CH2305"/>
      <c r="CI2305"/>
      <c r="CU2305" s="21">
        <v>2300</v>
      </c>
      <c r="CV2305" s="41">
        <v>4</v>
      </c>
      <c r="CW2305" s="41">
        <v>0.11332468572476186</v>
      </c>
      <c r="CX2305" s="41" t="e">
        <v>#N/A</v>
      </c>
      <c r="CY2305" s="41" t="e">
        <v>#N/A</v>
      </c>
      <c r="CZ2305" s="47" t="e">
        <v>#N/A</v>
      </c>
      <c r="DA2305">
        <v>0.11332468572476186</v>
      </c>
      <c r="DB2305" t="str">
        <v/>
      </c>
    </row>
    <row r="2306" spans="83:106" x14ac:dyDescent="0.2">
      <c r="CE2306"/>
      <c r="CF2306"/>
      <c r="CG2306"/>
      <c r="CH2306"/>
      <c r="CI2306"/>
      <c r="CU2306" s="21">
        <v>2301</v>
      </c>
      <c r="CV2306" s="41">
        <v>4</v>
      </c>
      <c r="CW2306" s="41">
        <v>0.11332468572476186</v>
      </c>
      <c r="CX2306" s="41" t="e">
        <v>#N/A</v>
      </c>
      <c r="CY2306" s="41" t="e">
        <v>#N/A</v>
      </c>
      <c r="CZ2306" s="47" t="e">
        <v>#N/A</v>
      </c>
      <c r="DA2306">
        <v>0.11332468572476186</v>
      </c>
      <c r="DB2306" t="str">
        <v/>
      </c>
    </row>
    <row r="2307" spans="83:106" x14ac:dyDescent="0.2">
      <c r="CE2307"/>
      <c r="CF2307"/>
      <c r="CG2307"/>
      <c r="CH2307"/>
      <c r="CI2307"/>
      <c r="CU2307" s="21">
        <v>2302</v>
      </c>
      <c r="CV2307" s="41">
        <v>4</v>
      </c>
      <c r="CW2307" s="41">
        <v>0.11332468572476186</v>
      </c>
      <c r="CX2307" s="41" t="e">
        <v>#N/A</v>
      </c>
      <c r="CY2307" s="41" t="e">
        <v>#N/A</v>
      </c>
      <c r="CZ2307" s="47" t="e">
        <v>#N/A</v>
      </c>
      <c r="DA2307">
        <v>0.11332468572476186</v>
      </c>
      <c r="DB2307" t="str">
        <v/>
      </c>
    </row>
    <row r="2308" spans="83:106" x14ac:dyDescent="0.2">
      <c r="CE2308"/>
      <c r="CF2308"/>
      <c r="CG2308"/>
      <c r="CH2308"/>
      <c r="CI2308"/>
      <c r="CU2308" s="21">
        <v>2303</v>
      </c>
      <c r="CV2308" s="41">
        <v>4</v>
      </c>
      <c r="CW2308" s="41">
        <v>0.11332468572476186</v>
      </c>
      <c r="CX2308" s="41" t="e">
        <v>#N/A</v>
      </c>
      <c r="CY2308" s="41" t="e">
        <v>#N/A</v>
      </c>
      <c r="CZ2308" s="47" t="e">
        <v>#N/A</v>
      </c>
      <c r="DA2308">
        <v>0.11332468572476186</v>
      </c>
      <c r="DB2308" t="str">
        <v/>
      </c>
    </row>
    <row r="2309" spans="83:106" x14ac:dyDescent="0.2">
      <c r="CE2309"/>
      <c r="CF2309"/>
      <c r="CG2309"/>
      <c r="CH2309"/>
      <c r="CI2309"/>
      <c r="CU2309" s="21">
        <v>2304</v>
      </c>
      <c r="CV2309" s="41">
        <v>4</v>
      </c>
      <c r="CW2309" s="41">
        <v>0.11332468572476186</v>
      </c>
      <c r="CX2309" s="41" t="e">
        <v>#N/A</v>
      </c>
      <c r="CY2309" s="41" t="e">
        <v>#N/A</v>
      </c>
      <c r="CZ2309" s="47" t="e">
        <v>#N/A</v>
      </c>
      <c r="DA2309">
        <v>0.11332468572476186</v>
      </c>
      <c r="DB2309" t="str">
        <v/>
      </c>
    </row>
    <row r="2310" spans="83:106" x14ac:dyDescent="0.2">
      <c r="CE2310"/>
      <c r="CF2310"/>
      <c r="CG2310"/>
      <c r="CH2310"/>
      <c r="CI2310"/>
      <c r="CU2310" s="21">
        <v>2305</v>
      </c>
      <c r="CV2310" s="41">
        <v>4</v>
      </c>
      <c r="CW2310" s="41">
        <v>0.11332468572476186</v>
      </c>
      <c r="CX2310" s="41" t="e">
        <v>#N/A</v>
      </c>
      <c r="CY2310" s="41" t="e">
        <v>#N/A</v>
      </c>
      <c r="CZ2310" s="47" t="e">
        <v>#N/A</v>
      </c>
      <c r="DA2310">
        <v>0.11332468572476186</v>
      </c>
      <c r="DB2310" t="str">
        <v/>
      </c>
    </row>
    <row r="2311" spans="83:106" x14ac:dyDescent="0.2">
      <c r="CE2311"/>
      <c r="CF2311"/>
      <c r="CG2311"/>
      <c r="CH2311"/>
      <c r="CI2311"/>
      <c r="CU2311" s="21">
        <v>2306</v>
      </c>
      <c r="CV2311" s="41">
        <v>4</v>
      </c>
      <c r="CW2311" s="41">
        <v>0.11332468572476186</v>
      </c>
      <c r="CX2311" s="41" t="e">
        <v>#N/A</v>
      </c>
      <c r="CY2311" s="41" t="e">
        <v>#N/A</v>
      </c>
      <c r="CZ2311" s="47" t="e">
        <v>#N/A</v>
      </c>
      <c r="DA2311">
        <v>0.11332468572476186</v>
      </c>
      <c r="DB2311" t="str">
        <v/>
      </c>
    </row>
    <row r="2312" spans="83:106" x14ac:dyDescent="0.2">
      <c r="CE2312"/>
      <c r="CF2312"/>
      <c r="CG2312"/>
      <c r="CH2312"/>
      <c r="CI2312"/>
      <c r="CU2312" s="21">
        <v>2307</v>
      </c>
      <c r="CV2312" s="41">
        <v>4</v>
      </c>
      <c r="CW2312" s="41">
        <v>0.11332468572476186</v>
      </c>
      <c r="CX2312" s="41" t="e">
        <v>#N/A</v>
      </c>
      <c r="CY2312" s="41" t="e">
        <v>#N/A</v>
      </c>
      <c r="CZ2312" s="47" t="e">
        <v>#N/A</v>
      </c>
      <c r="DA2312">
        <v>0.11332468572476186</v>
      </c>
      <c r="DB2312" t="str">
        <v/>
      </c>
    </row>
    <row r="2313" spans="83:106" x14ac:dyDescent="0.2">
      <c r="CE2313"/>
      <c r="CF2313"/>
      <c r="CG2313"/>
      <c r="CH2313"/>
      <c r="CI2313"/>
      <c r="CU2313" s="21">
        <v>2308</v>
      </c>
      <c r="CV2313" s="41">
        <v>4</v>
      </c>
      <c r="CW2313" s="41">
        <v>0.11332468572476186</v>
      </c>
      <c r="CX2313" s="41" t="e">
        <v>#N/A</v>
      </c>
      <c r="CY2313" s="41" t="e">
        <v>#N/A</v>
      </c>
      <c r="CZ2313" s="47" t="e">
        <v>#N/A</v>
      </c>
      <c r="DA2313">
        <v>0.11332468572476186</v>
      </c>
      <c r="DB2313" t="str">
        <v/>
      </c>
    </row>
    <row r="2314" spans="83:106" x14ac:dyDescent="0.2">
      <c r="CE2314"/>
      <c r="CF2314"/>
      <c r="CG2314"/>
      <c r="CH2314"/>
      <c r="CI2314"/>
      <c r="CU2314" s="21">
        <v>2309</v>
      </c>
      <c r="CV2314" s="41">
        <v>4</v>
      </c>
      <c r="CW2314" s="41">
        <v>0.11332468572476186</v>
      </c>
      <c r="CX2314" s="41" t="e">
        <v>#N/A</v>
      </c>
      <c r="CY2314" s="41" t="e">
        <v>#N/A</v>
      </c>
      <c r="CZ2314" s="47" t="e">
        <v>#N/A</v>
      </c>
      <c r="DA2314">
        <v>0.11332468572476186</v>
      </c>
      <c r="DB2314" t="str">
        <v/>
      </c>
    </row>
    <row r="2315" spans="83:106" x14ac:dyDescent="0.2">
      <c r="CE2315"/>
      <c r="CF2315"/>
      <c r="CG2315"/>
      <c r="CH2315"/>
      <c r="CI2315"/>
      <c r="CU2315" s="21">
        <v>2310</v>
      </c>
      <c r="CV2315" s="41">
        <v>4</v>
      </c>
      <c r="CW2315" s="41">
        <v>0.11332468572476186</v>
      </c>
      <c r="CX2315" s="41" t="e">
        <v>#N/A</v>
      </c>
      <c r="CY2315" s="41" t="e">
        <v>#N/A</v>
      </c>
      <c r="CZ2315" s="47" t="e">
        <v>#N/A</v>
      </c>
      <c r="DA2315">
        <v>0.11332468572476186</v>
      </c>
      <c r="DB2315" t="str">
        <v/>
      </c>
    </row>
    <row r="2316" spans="83:106" x14ac:dyDescent="0.2">
      <c r="CE2316"/>
      <c r="CF2316"/>
      <c r="CG2316"/>
      <c r="CH2316"/>
      <c r="CI2316"/>
      <c r="CU2316" s="21">
        <v>2311</v>
      </c>
      <c r="CV2316" s="41">
        <v>4</v>
      </c>
      <c r="CW2316" s="41">
        <v>0.11332468572476186</v>
      </c>
      <c r="CX2316" s="41" t="e">
        <v>#N/A</v>
      </c>
      <c r="CY2316" s="41" t="e">
        <v>#N/A</v>
      </c>
      <c r="CZ2316" s="47" t="e">
        <v>#N/A</v>
      </c>
      <c r="DA2316">
        <v>0.11332468572476186</v>
      </c>
      <c r="DB2316" t="str">
        <v/>
      </c>
    </row>
    <row r="2317" spans="83:106" x14ac:dyDescent="0.2">
      <c r="CE2317"/>
      <c r="CF2317"/>
      <c r="CG2317"/>
      <c r="CH2317"/>
      <c r="CI2317"/>
      <c r="CU2317" s="21">
        <v>2312</v>
      </c>
      <c r="CV2317" s="41">
        <v>4</v>
      </c>
      <c r="CW2317" s="41">
        <v>0.11332468572476186</v>
      </c>
      <c r="CX2317" s="41" t="e">
        <v>#N/A</v>
      </c>
      <c r="CY2317" s="41" t="e">
        <v>#N/A</v>
      </c>
      <c r="CZ2317" s="47" t="e">
        <v>#N/A</v>
      </c>
      <c r="DA2317">
        <v>0.11332468572476186</v>
      </c>
      <c r="DB2317" t="str">
        <v/>
      </c>
    </row>
    <row r="2318" spans="83:106" x14ac:dyDescent="0.2">
      <c r="CE2318"/>
      <c r="CF2318"/>
      <c r="CG2318"/>
      <c r="CH2318"/>
      <c r="CI2318"/>
      <c r="CU2318" s="21">
        <v>2313</v>
      </c>
      <c r="CV2318" s="41">
        <v>4</v>
      </c>
      <c r="CW2318" s="41">
        <v>0.11332468572476186</v>
      </c>
      <c r="CX2318" s="41" t="e">
        <v>#N/A</v>
      </c>
      <c r="CY2318" s="41" t="e">
        <v>#N/A</v>
      </c>
      <c r="CZ2318" s="47" t="e">
        <v>#N/A</v>
      </c>
      <c r="DA2318">
        <v>0.11332468572476186</v>
      </c>
      <c r="DB2318" t="str">
        <v/>
      </c>
    </row>
    <row r="2319" spans="83:106" x14ac:dyDescent="0.2">
      <c r="CE2319"/>
      <c r="CF2319"/>
      <c r="CG2319"/>
      <c r="CH2319"/>
      <c r="CI2319"/>
      <c r="CU2319" s="21">
        <v>2314</v>
      </c>
      <c r="CV2319" s="41">
        <v>4</v>
      </c>
      <c r="CW2319" s="41">
        <v>0.11332468572476186</v>
      </c>
      <c r="CX2319" s="41" t="e">
        <v>#N/A</v>
      </c>
      <c r="CY2319" s="41" t="e">
        <v>#N/A</v>
      </c>
      <c r="CZ2319" s="47" t="e">
        <v>#N/A</v>
      </c>
      <c r="DA2319">
        <v>0.11332468572476186</v>
      </c>
      <c r="DB2319" t="str">
        <v/>
      </c>
    </row>
    <row r="2320" spans="83:106" x14ac:dyDescent="0.2">
      <c r="CE2320"/>
      <c r="CF2320"/>
      <c r="CG2320"/>
      <c r="CH2320"/>
      <c r="CI2320"/>
      <c r="CU2320" s="21">
        <v>2315</v>
      </c>
      <c r="CV2320" s="41">
        <v>4</v>
      </c>
      <c r="CW2320" s="41">
        <v>0.11332468572476186</v>
      </c>
      <c r="CX2320" s="41" t="e">
        <v>#N/A</v>
      </c>
      <c r="CY2320" s="41" t="e">
        <v>#N/A</v>
      </c>
      <c r="CZ2320" s="47" t="e">
        <v>#N/A</v>
      </c>
      <c r="DA2320">
        <v>0.11332468572476186</v>
      </c>
      <c r="DB2320" t="str">
        <v/>
      </c>
    </row>
    <row r="2321" spans="83:106" x14ac:dyDescent="0.2">
      <c r="CE2321"/>
      <c r="CF2321"/>
      <c r="CG2321"/>
      <c r="CH2321"/>
      <c r="CI2321"/>
      <c r="CU2321" s="21">
        <v>2316</v>
      </c>
      <c r="CV2321" s="41">
        <v>4</v>
      </c>
      <c r="CW2321" s="41">
        <v>0.11332468572476186</v>
      </c>
      <c r="CX2321" s="41" t="e">
        <v>#N/A</v>
      </c>
      <c r="CY2321" s="41" t="e">
        <v>#N/A</v>
      </c>
      <c r="CZ2321" s="47" t="e">
        <v>#N/A</v>
      </c>
      <c r="DA2321">
        <v>0.11332468572476186</v>
      </c>
      <c r="DB2321" t="str">
        <v/>
      </c>
    </row>
    <row r="2322" spans="83:106" x14ac:dyDescent="0.2">
      <c r="CE2322"/>
      <c r="CF2322"/>
      <c r="CG2322"/>
      <c r="CH2322"/>
      <c r="CI2322"/>
      <c r="CU2322" s="21">
        <v>2317</v>
      </c>
      <c r="CV2322" s="41">
        <v>4</v>
      </c>
      <c r="CW2322" s="41">
        <v>0.11332468572476186</v>
      </c>
      <c r="CX2322" s="41" t="e">
        <v>#N/A</v>
      </c>
      <c r="CY2322" s="41" t="e">
        <v>#N/A</v>
      </c>
      <c r="CZ2322" s="47" t="e">
        <v>#N/A</v>
      </c>
      <c r="DA2322">
        <v>0.11332468572476186</v>
      </c>
      <c r="DB2322" t="str">
        <v/>
      </c>
    </row>
    <row r="2323" spans="83:106" x14ac:dyDescent="0.2">
      <c r="CE2323"/>
      <c r="CF2323"/>
      <c r="CG2323"/>
      <c r="CH2323"/>
      <c r="CI2323"/>
      <c r="CU2323" s="21">
        <v>2318</v>
      </c>
      <c r="CV2323" s="41">
        <v>4</v>
      </c>
      <c r="CW2323" s="41">
        <v>0.11332468572476186</v>
      </c>
      <c r="CX2323" s="41" t="e">
        <v>#N/A</v>
      </c>
      <c r="CY2323" s="41" t="e">
        <v>#N/A</v>
      </c>
      <c r="CZ2323" s="47" t="e">
        <v>#N/A</v>
      </c>
      <c r="DA2323">
        <v>0.11332468572476186</v>
      </c>
      <c r="DB2323" t="str">
        <v/>
      </c>
    </row>
    <row r="2324" spans="83:106" x14ac:dyDescent="0.2">
      <c r="CE2324"/>
      <c r="CF2324"/>
      <c r="CG2324"/>
      <c r="CH2324"/>
      <c r="CI2324"/>
      <c r="CU2324" s="21">
        <v>2319</v>
      </c>
      <c r="CV2324" s="41">
        <v>4</v>
      </c>
      <c r="CW2324" s="41">
        <v>0.11332468572476186</v>
      </c>
      <c r="CX2324" s="41" t="e">
        <v>#N/A</v>
      </c>
      <c r="CY2324" s="41" t="e">
        <v>#N/A</v>
      </c>
      <c r="CZ2324" s="47" t="e">
        <v>#N/A</v>
      </c>
      <c r="DA2324">
        <v>0.11332468572476186</v>
      </c>
      <c r="DB2324" t="str">
        <v/>
      </c>
    </row>
    <row r="2325" spans="83:106" x14ac:dyDescent="0.2">
      <c r="CE2325"/>
      <c r="CF2325"/>
      <c r="CG2325"/>
      <c r="CH2325"/>
      <c r="CI2325"/>
      <c r="CU2325" s="21">
        <v>2320</v>
      </c>
      <c r="CV2325" s="41">
        <v>4</v>
      </c>
      <c r="CW2325" s="41">
        <v>0.11332468572476186</v>
      </c>
      <c r="CX2325" s="41" t="e">
        <v>#N/A</v>
      </c>
      <c r="CY2325" s="41" t="e">
        <v>#N/A</v>
      </c>
      <c r="CZ2325" s="47" t="e">
        <v>#N/A</v>
      </c>
      <c r="DA2325">
        <v>0.11332468572476186</v>
      </c>
      <c r="DB2325" t="str">
        <v/>
      </c>
    </row>
    <row r="2326" spans="83:106" x14ac:dyDescent="0.2">
      <c r="CE2326"/>
      <c r="CF2326"/>
      <c r="CG2326"/>
      <c r="CH2326"/>
      <c r="CI2326"/>
      <c r="CU2326" s="21">
        <v>2321</v>
      </c>
      <c r="CV2326" s="41">
        <v>4</v>
      </c>
      <c r="CW2326" s="41">
        <v>0.11332468572476186</v>
      </c>
      <c r="CX2326" s="41" t="e">
        <v>#N/A</v>
      </c>
      <c r="CY2326" s="41" t="e">
        <v>#N/A</v>
      </c>
      <c r="CZ2326" s="47" t="e">
        <v>#N/A</v>
      </c>
      <c r="DA2326">
        <v>0.11332468572476186</v>
      </c>
      <c r="DB2326" t="str">
        <v/>
      </c>
    </row>
    <row r="2327" spans="83:106" x14ac:dyDescent="0.2">
      <c r="CE2327"/>
      <c r="CF2327"/>
      <c r="CG2327"/>
      <c r="CH2327"/>
      <c r="CI2327"/>
      <c r="CU2327" s="21">
        <v>2322</v>
      </c>
      <c r="CV2327" s="41">
        <v>4</v>
      </c>
      <c r="CW2327" s="41">
        <v>0.11332468572476186</v>
      </c>
      <c r="CX2327" s="41" t="e">
        <v>#N/A</v>
      </c>
      <c r="CY2327" s="41" t="e">
        <v>#N/A</v>
      </c>
      <c r="CZ2327" s="47" t="e">
        <v>#N/A</v>
      </c>
      <c r="DA2327">
        <v>0.11332468572476186</v>
      </c>
      <c r="DB2327" t="str">
        <v/>
      </c>
    </row>
    <row r="2328" spans="83:106" x14ac:dyDescent="0.2">
      <c r="CE2328"/>
      <c r="CF2328"/>
      <c r="CG2328"/>
      <c r="CH2328"/>
      <c r="CI2328"/>
      <c r="CU2328" s="21">
        <v>2323</v>
      </c>
      <c r="CV2328" s="41">
        <v>4</v>
      </c>
      <c r="CW2328" s="41">
        <v>0.11332468572476186</v>
      </c>
      <c r="CX2328" s="41" t="e">
        <v>#N/A</v>
      </c>
      <c r="CY2328" s="41" t="e">
        <v>#N/A</v>
      </c>
      <c r="CZ2328" s="47" t="e">
        <v>#N/A</v>
      </c>
      <c r="DA2328">
        <v>0.11332468572476186</v>
      </c>
      <c r="DB2328" t="str">
        <v/>
      </c>
    </row>
    <row r="2329" spans="83:106" x14ac:dyDescent="0.2">
      <c r="CE2329"/>
      <c r="CF2329"/>
      <c r="CG2329"/>
      <c r="CH2329"/>
      <c r="CI2329"/>
      <c r="CU2329" s="21">
        <v>2324</v>
      </c>
      <c r="CV2329" s="41">
        <v>4</v>
      </c>
      <c r="CW2329" s="41">
        <v>0.11332468572476186</v>
      </c>
      <c r="CX2329" s="41" t="e">
        <v>#N/A</v>
      </c>
      <c r="CY2329" s="41" t="e">
        <v>#N/A</v>
      </c>
      <c r="CZ2329" s="47" t="e">
        <v>#N/A</v>
      </c>
      <c r="DA2329">
        <v>0.11332468572476186</v>
      </c>
      <c r="DB2329" t="str">
        <v/>
      </c>
    </row>
    <row r="2330" spans="83:106" x14ac:dyDescent="0.2">
      <c r="CE2330"/>
      <c r="CF2330"/>
      <c r="CG2330"/>
      <c r="CH2330"/>
      <c r="CI2330"/>
      <c r="CU2330" s="21">
        <v>2325</v>
      </c>
      <c r="CV2330" s="41">
        <v>4</v>
      </c>
      <c r="CW2330" s="41">
        <v>0.11332468572476186</v>
      </c>
      <c r="CX2330" s="41" t="e">
        <v>#N/A</v>
      </c>
      <c r="CY2330" s="41" t="e">
        <v>#N/A</v>
      </c>
      <c r="CZ2330" s="47" t="e">
        <v>#N/A</v>
      </c>
      <c r="DA2330">
        <v>0.11332468572476186</v>
      </c>
      <c r="DB2330" t="str">
        <v/>
      </c>
    </row>
    <row r="2331" spans="83:106" x14ac:dyDescent="0.2">
      <c r="CE2331"/>
      <c r="CF2331"/>
      <c r="CG2331"/>
      <c r="CH2331"/>
      <c r="CI2331"/>
      <c r="CU2331" s="21">
        <v>2326</v>
      </c>
      <c r="CV2331" s="41">
        <v>4</v>
      </c>
      <c r="CW2331" s="41">
        <v>0.11332468572476186</v>
      </c>
      <c r="CX2331" s="41" t="e">
        <v>#N/A</v>
      </c>
      <c r="CY2331" s="41" t="e">
        <v>#N/A</v>
      </c>
      <c r="CZ2331" s="47" t="e">
        <v>#N/A</v>
      </c>
      <c r="DA2331">
        <v>0.11332468572476186</v>
      </c>
      <c r="DB2331" t="str">
        <v/>
      </c>
    </row>
    <row r="2332" spans="83:106" x14ac:dyDescent="0.2">
      <c r="CE2332"/>
      <c r="CF2332"/>
      <c r="CG2332"/>
      <c r="CH2332"/>
      <c r="CI2332"/>
      <c r="CU2332" s="21">
        <v>2327</v>
      </c>
      <c r="CV2332" s="41">
        <v>4</v>
      </c>
      <c r="CW2332" s="41">
        <v>0.11332468572476186</v>
      </c>
      <c r="CX2332" s="41" t="e">
        <v>#N/A</v>
      </c>
      <c r="CY2332" s="41" t="e">
        <v>#N/A</v>
      </c>
      <c r="CZ2332" s="47" t="e">
        <v>#N/A</v>
      </c>
      <c r="DA2332">
        <v>0.11332468572476186</v>
      </c>
      <c r="DB2332" t="str">
        <v/>
      </c>
    </row>
    <row r="2333" spans="83:106" x14ac:dyDescent="0.2">
      <c r="CE2333"/>
      <c r="CF2333"/>
      <c r="CG2333"/>
      <c r="CH2333"/>
      <c r="CI2333"/>
      <c r="CU2333" s="21">
        <v>2328</v>
      </c>
      <c r="CV2333" s="41">
        <v>4</v>
      </c>
      <c r="CW2333" s="41">
        <v>0.11332468572476186</v>
      </c>
      <c r="CX2333" s="41" t="e">
        <v>#N/A</v>
      </c>
      <c r="CY2333" s="41" t="e">
        <v>#N/A</v>
      </c>
      <c r="CZ2333" s="47" t="e">
        <v>#N/A</v>
      </c>
      <c r="DA2333">
        <v>0.11332468572476186</v>
      </c>
      <c r="DB2333" t="str">
        <v/>
      </c>
    </row>
    <row r="2334" spans="83:106" x14ac:dyDescent="0.2">
      <c r="CE2334"/>
      <c r="CF2334"/>
      <c r="CG2334"/>
      <c r="CH2334"/>
      <c r="CI2334"/>
      <c r="CU2334" s="21">
        <v>2329</v>
      </c>
      <c r="CV2334" s="41">
        <v>4</v>
      </c>
      <c r="CW2334" s="41">
        <v>0.11332468572476186</v>
      </c>
      <c r="CX2334" s="41" t="e">
        <v>#N/A</v>
      </c>
      <c r="CY2334" s="41" t="e">
        <v>#N/A</v>
      </c>
      <c r="CZ2334" s="47" t="e">
        <v>#N/A</v>
      </c>
      <c r="DA2334">
        <v>0.11332468572476186</v>
      </c>
      <c r="DB2334" t="str">
        <v/>
      </c>
    </row>
    <row r="2335" spans="83:106" x14ac:dyDescent="0.2">
      <c r="CE2335"/>
      <c r="CF2335"/>
      <c r="CG2335"/>
      <c r="CH2335"/>
      <c r="CI2335"/>
      <c r="CU2335" s="21">
        <v>2330</v>
      </c>
      <c r="CV2335" s="41">
        <v>4</v>
      </c>
      <c r="CW2335" s="41">
        <v>0.11332468572476186</v>
      </c>
      <c r="CX2335" s="41" t="e">
        <v>#N/A</v>
      </c>
      <c r="CY2335" s="41" t="e">
        <v>#N/A</v>
      </c>
      <c r="CZ2335" s="47" t="e">
        <v>#N/A</v>
      </c>
      <c r="DA2335">
        <v>0.11332468572476186</v>
      </c>
      <c r="DB2335" t="str">
        <v/>
      </c>
    </row>
    <row r="2336" spans="83:106" x14ac:dyDescent="0.2">
      <c r="CE2336"/>
      <c r="CF2336"/>
      <c r="CG2336"/>
      <c r="CH2336"/>
      <c r="CI2336"/>
      <c r="CU2336" s="21">
        <v>2331</v>
      </c>
      <c r="CV2336" s="41">
        <v>4</v>
      </c>
      <c r="CW2336" s="41">
        <v>0.11332468572476186</v>
      </c>
      <c r="CX2336" s="41" t="e">
        <v>#N/A</v>
      </c>
      <c r="CY2336" s="41" t="e">
        <v>#N/A</v>
      </c>
      <c r="CZ2336" s="47" t="e">
        <v>#N/A</v>
      </c>
      <c r="DA2336">
        <v>0.11332468572476186</v>
      </c>
      <c r="DB2336" t="str">
        <v/>
      </c>
    </row>
    <row r="2337" spans="83:106" x14ac:dyDescent="0.2">
      <c r="CE2337"/>
      <c r="CF2337"/>
      <c r="CG2337"/>
      <c r="CH2337"/>
      <c r="CI2337"/>
      <c r="CU2337" s="21">
        <v>2332</v>
      </c>
      <c r="CV2337" s="41">
        <v>4</v>
      </c>
      <c r="CW2337" s="41">
        <v>0.11332468572476186</v>
      </c>
      <c r="CX2337" s="41" t="e">
        <v>#N/A</v>
      </c>
      <c r="CY2337" s="41" t="e">
        <v>#N/A</v>
      </c>
      <c r="CZ2337" s="47" t="e">
        <v>#N/A</v>
      </c>
      <c r="DA2337">
        <v>0.11332468572476186</v>
      </c>
      <c r="DB2337" t="str">
        <v/>
      </c>
    </row>
    <row r="2338" spans="83:106" x14ac:dyDescent="0.2">
      <c r="CE2338"/>
      <c r="CF2338"/>
      <c r="CG2338"/>
      <c r="CH2338"/>
      <c r="CI2338"/>
      <c r="CU2338" s="21">
        <v>2333</v>
      </c>
      <c r="CV2338" s="41">
        <v>4</v>
      </c>
      <c r="CW2338" s="41">
        <v>0.11332468572476186</v>
      </c>
      <c r="CX2338" s="41" t="e">
        <v>#N/A</v>
      </c>
      <c r="CY2338" s="41" t="e">
        <v>#N/A</v>
      </c>
      <c r="CZ2338" s="47" t="e">
        <v>#N/A</v>
      </c>
      <c r="DA2338">
        <v>0.11332468572476186</v>
      </c>
      <c r="DB2338" t="str">
        <v/>
      </c>
    </row>
    <row r="2339" spans="83:106" x14ac:dyDescent="0.2">
      <c r="CE2339"/>
      <c r="CF2339"/>
      <c r="CG2339"/>
      <c r="CH2339"/>
      <c r="CI2339"/>
      <c r="CU2339" s="21">
        <v>2334</v>
      </c>
      <c r="CV2339" s="41">
        <v>4</v>
      </c>
      <c r="CW2339" s="41">
        <v>0.11332468572476186</v>
      </c>
      <c r="CX2339" s="41" t="e">
        <v>#N/A</v>
      </c>
      <c r="CY2339" s="41" t="e">
        <v>#N/A</v>
      </c>
      <c r="CZ2339" s="47" t="e">
        <v>#N/A</v>
      </c>
      <c r="DA2339">
        <v>0.11332468572476186</v>
      </c>
      <c r="DB2339" t="str">
        <v/>
      </c>
    </row>
    <row r="2340" spans="83:106" x14ac:dyDescent="0.2">
      <c r="CE2340"/>
      <c r="CF2340"/>
      <c r="CG2340"/>
      <c r="CH2340"/>
      <c r="CI2340"/>
      <c r="CU2340" s="21">
        <v>2335</v>
      </c>
      <c r="CV2340" s="41">
        <v>4</v>
      </c>
      <c r="CW2340" s="41">
        <v>0.11332468572476186</v>
      </c>
      <c r="CX2340" s="41" t="e">
        <v>#N/A</v>
      </c>
      <c r="CY2340" s="41" t="e">
        <v>#N/A</v>
      </c>
      <c r="CZ2340" s="47" t="e">
        <v>#N/A</v>
      </c>
      <c r="DA2340">
        <v>0.11332468572476186</v>
      </c>
      <c r="DB2340" t="str">
        <v/>
      </c>
    </row>
    <row r="2341" spans="83:106" x14ac:dyDescent="0.2">
      <c r="CE2341"/>
      <c r="CF2341"/>
      <c r="CG2341"/>
      <c r="CH2341"/>
      <c r="CI2341"/>
      <c r="CU2341" s="21">
        <v>2336</v>
      </c>
      <c r="CV2341" s="41">
        <v>4</v>
      </c>
      <c r="CW2341" s="41">
        <v>0.11332468572476186</v>
      </c>
      <c r="CX2341" s="41" t="e">
        <v>#N/A</v>
      </c>
      <c r="CY2341" s="41" t="e">
        <v>#N/A</v>
      </c>
      <c r="CZ2341" s="47" t="e">
        <v>#N/A</v>
      </c>
      <c r="DA2341">
        <v>0.11332468572476186</v>
      </c>
      <c r="DB2341" t="str">
        <v/>
      </c>
    </row>
    <row r="2342" spans="83:106" x14ac:dyDescent="0.2">
      <c r="CE2342"/>
      <c r="CF2342"/>
      <c r="CG2342"/>
      <c r="CH2342"/>
      <c r="CI2342"/>
      <c r="CU2342" s="21">
        <v>2337</v>
      </c>
      <c r="CV2342" s="41">
        <v>4</v>
      </c>
      <c r="CW2342" s="41">
        <v>0.11332468572476186</v>
      </c>
      <c r="CX2342" s="41" t="e">
        <v>#N/A</v>
      </c>
      <c r="CY2342" s="41" t="e">
        <v>#N/A</v>
      </c>
      <c r="CZ2342" s="47" t="e">
        <v>#N/A</v>
      </c>
      <c r="DA2342">
        <v>0.11332468572476186</v>
      </c>
      <c r="DB2342" t="str">
        <v/>
      </c>
    </row>
    <row r="2343" spans="83:106" x14ac:dyDescent="0.2">
      <c r="CE2343"/>
      <c r="CF2343"/>
      <c r="CG2343"/>
      <c r="CH2343"/>
      <c r="CI2343"/>
      <c r="CU2343" s="21">
        <v>2338</v>
      </c>
      <c r="CV2343" s="41">
        <v>4</v>
      </c>
      <c r="CW2343" s="41">
        <v>0.11332468572476186</v>
      </c>
      <c r="CX2343" s="41" t="e">
        <v>#N/A</v>
      </c>
      <c r="CY2343" s="41" t="e">
        <v>#N/A</v>
      </c>
      <c r="CZ2343" s="47" t="e">
        <v>#N/A</v>
      </c>
      <c r="DA2343">
        <v>0.11332468572476186</v>
      </c>
      <c r="DB2343" t="str">
        <v/>
      </c>
    </row>
    <row r="2344" spans="83:106" x14ac:dyDescent="0.2">
      <c r="CE2344"/>
      <c r="CF2344"/>
      <c r="CG2344"/>
      <c r="CH2344"/>
      <c r="CI2344"/>
      <c r="CU2344" s="21">
        <v>2339</v>
      </c>
      <c r="CV2344" s="41">
        <v>4</v>
      </c>
      <c r="CW2344" s="41">
        <v>0.11332468572476186</v>
      </c>
      <c r="CX2344" s="41" t="e">
        <v>#N/A</v>
      </c>
      <c r="CY2344" s="41" t="e">
        <v>#N/A</v>
      </c>
      <c r="CZ2344" s="47" t="e">
        <v>#N/A</v>
      </c>
      <c r="DA2344">
        <v>0.11332468572476186</v>
      </c>
      <c r="DB2344" t="str">
        <v/>
      </c>
    </row>
    <row r="2345" spans="83:106" x14ac:dyDescent="0.2">
      <c r="CE2345"/>
      <c r="CF2345"/>
      <c r="CG2345"/>
      <c r="CH2345"/>
      <c r="CI2345"/>
      <c r="CU2345" s="21">
        <v>2340</v>
      </c>
      <c r="CV2345" s="41">
        <v>4</v>
      </c>
      <c r="CW2345" s="41">
        <v>0.11332468572476186</v>
      </c>
      <c r="CX2345" s="41" t="e">
        <v>#N/A</v>
      </c>
      <c r="CY2345" s="41" t="e">
        <v>#N/A</v>
      </c>
      <c r="CZ2345" s="47" t="e">
        <v>#N/A</v>
      </c>
      <c r="DA2345">
        <v>0.11332468572476186</v>
      </c>
      <c r="DB2345" t="str">
        <v/>
      </c>
    </row>
    <row r="2346" spans="83:106" x14ac:dyDescent="0.2">
      <c r="CE2346"/>
      <c r="CF2346"/>
      <c r="CG2346"/>
      <c r="CH2346"/>
      <c r="CI2346"/>
      <c r="CU2346" s="21">
        <v>2341</v>
      </c>
      <c r="CV2346" s="41">
        <v>4</v>
      </c>
      <c r="CW2346" s="41">
        <v>0.11332468572476186</v>
      </c>
      <c r="CX2346" s="41" t="e">
        <v>#N/A</v>
      </c>
      <c r="CY2346" s="41" t="e">
        <v>#N/A</v>
      </c>
      <c r="CZ2346" s="47" t="e">
        <v>#N/A</v>
      </c>
      <c r="DA2346">
        <v>0.11332468572476186</v>
      </c>
      <c r="DB2346" t="str">
        <v/>
      </c>
    </row>
    <row r="2347" spans="83:106" x14ac:dyDescent="0.2">
      <c r="CE2347"/>
      <c r="CF2347"/>
      <c r="CG2347"/>
      <c r="CH2347"/>
      <c r="CI2347"/>
      <c r="CU2347" s="21">
        <v>2342</v>
      </c>
      <c r="CV2347" s="41">
        <v>4</v>
      </c>
      <c r="CW2347" s="41">
        <v>0.11332468572476186</v>
      </c>
      <c r="CX2347" s="41" t="e">
        <v>#N/A</v>
      </c>
      <c r="CY2347" s="41" t="e">
        <v>#N/A</v>
      </c>
      <c r="CZ2347" s="47" t="e">
        <v>#N/A</v>
      </c>
      <c r="DA2347">
        <v>0.11332468572476186</v>
      </c>
      <c r="DB2347" t="str">
        <v/>
      </c>
    </row>
    <row r="2348" spans="83:106" x14ac:dyDescent="0.2">
      <c r="CE2348"/>
      <c r="CF2348"/>
      <c r="CG2348"/>
      <c r="CH2348"/>
      <c r="CI2348"/>
      <c r="CU2348" s="21">
        <v>2343</v>
      </c>
      <c r="CV2348" s="41">
        <v>4</v>
      </c>
      <c r="CW2348" s="41">
        <v>0.11332468572476186</v>
      </c>
      <c r="CX2348" s="41" t="e">
        <v>#N/A</v>
      </c>
      <c r="CY2348" s="41" t="e">
        <v>#N/A</v>
      </c>
      <c r="CZ2348" s="47" t="e">
        <v>#N/A</v>
      </c>
      <c r="DA2348">
        <v>0.11332468572476186</v>
      </c>
      <c r="DB2348" t="str">
        <v/>
      </c>
    </row>
    <row r="2349" spans="83:106" x14ac:dyDescent="0.2">
      <c r="CE2349"/>
      <c r="CF2349"/>
      <c r="CG2349"/>
      <c r="CH2349"/>
      <c r="CI2349"/>
      <c r="CU2349" s="21">
        <v>2344</v>
      </c>
      <c r="CV2349" s="41">
        <v>4</v>
      </c>
      <c r="CW2349" s="41">
        <v>0.11332468572476186</v>
      </c>
      <c r="CX2349" s="41" t="e">
        <v>#N/A</v>
      </c>
      <c r="CY2349" s="41" t="e">
        <v>#N/A</v>
      </c>
      <c r="CZ2349" s="47" t="e">
        <v>#N/A</v>
      </c>
      <c r="DA2349">
        <v>0.11332468572476186</v>
      </c>
      <c r="DB2349" t="str">
        <v/>
      </c>
    </row>
    <row r="2350" spans="83:106" x14ac:dyDescent="0.2">
      <c r="CE2350"/>
      <c r="CF2350"/>
      <c r="CG2350"/>
      <c r="CH2350"/>
      <c r="CI2350"/>
      <c r="CU2350" s="21">
        <v>2345</v>
      </c>
      <c r="CV2350" s="41">
        <v>4</v>
      </c>
      <c r="CW2350" s="41">
        <v>0.11332468572476186</v>
      </c>
      <c r="CX2350" s="41" t="e">
        <v>#N/A</v>
      </c>
      <c r="CY2350" s="41" t="e">
        <v>#N/A</v>
      </c>
      <c r="CZ2350" s="47" t="e">
        <v>#N/A</v>
      </c>
      <c r="DA2350">
        <v>0.11332468572476186</v>
      </c>
      <c r="DB2350" t="str">
        <v/>
      </c>
    </row>
    <row r="2351" spans="83:106" x14ac:dyDescent="0.2">
      <c r="CE2351"/>
      <c r="CF2351"/>
      <c r="CG2351"/>
      <c r="CH2351"/>
      <c r="CI2351"/>
      <c r="CU2351" s="21">
        <v>2346</v>
      </c>
      <c r="CV2351" s="41">
        <v>4</v>
      </c>
      <c r="CW2351" s="41">
        <v>0.11332468572476186</v>
      </c>
      <c r="CX2351" s="41" t="e">
        <v>#N/A</v>
      </c>
      <c r="CY2351" s="41" t="e">
        <v>#N/A</v>
      </c>
      <c r="CZ2351" s="47" t="e">
        <v>#N/A</v>
      </c>
      <c r="DA2351">
        <v>0.11332468572476186</v>
      </c>
      <c r="DB2351" t="str">
        <v/>
      </c>
    </row>
    <row r="2352" spans="83:106" x14ac:dyDescent="0.2">
      <c r="CE2352"/>
      <c r="CF2352"/>
      <c r="CG2352"/>
      <c r="CH2352"/>
      <c r="CI2352"/>
      <c r="CU2352" s="21">
        <v>2347</v>
      </c>
      <c r="CV2352" s="41">
        <v>4</v>
      </c>
      <c r="CW2352" s="41">
        <v>0.11332468572476186</v>
      </c>
      <c r="CX2352" s="41" t="e">
        <v>#N/A</v>
      </c>
      <c r="CY2352" s="41" t="e">
        <v>#N/A</v>
      </c>
      <c r="CZ2352" s="47" t="e">
        <v>#N/A</v>
      </c>
      <c r="DA2352">
        <v>0.11332468572476186</v>
      </c>
      <c r="DB2352" t="str">
        <v/>
      </c>
    </row>
    <row r="2353" spans="83:106" x14ac:dyDescent="0.2">
      <c r="CE2353"/>
      <c r="CF2353"/>
      <c r="CG2353"/>
      <c r="CH2353"/>
      <c r="CI2353"/>
      <c r="CU2353" s="21">
        <v>2348</v>
      </c>
      <c r="CV2353" s="41">
        <v>4</v>
      </c>
      <c r="CW2353" s="41">
        <v>0.11332468572476186</v>
      </c>
      <c r="CX2353" s="41" t="e">
        <v>#N/A</v>
      </c>
      <c r="CY2353" s="41" t="e">
        <v>#N/A</v>
      </c>
      <c r="CZ2353" s="47" t="e">
        <v>#N/A</v>
      </c>
      <c r="DA2353">
        <v>0.11332468572476186</v>
      </c>
      <c r="DB2353" t="str">
        <v/>
      </c>
    </row>
    <row r="2354" spans="83:106" x14ac:dyDescent="0.2">
      <c r="CE2354"/>
      <c r="CF2354"/>
      <c r="CG2354"/>
      <c r="CH2354"/>
      <c r="CI2354"/>
      <c r="CU2354" s="21">
        <v>2349</v>
      </c>
      <c r="CV2354" s="41">
        <v>4</v>
      </c>
      <c r="CW2354" s="41">
        <v>0.11332468572476186</v>
      </c>
      <c r="CX2354" s="41" t="e">
        <v>#N/A</v>
      </c>
      <c r="CY2354" s="41" t="e">
        <v>#N/A</v>
      </c>
      <c r="CZ2354" s="47" t="e">
        <v>#N/A</v>
      </c>
      <c r="DA2354">
        <v>0.11332468572476186</v>
      </c>
      <c r="DB2354" t="str">
        <v/>
      </c>
    </row>
    <row r="2355" spans="83:106" x14ac:dyDescent="0.2">
      <c r="CE2355"/>
      <c r="CF2355"/>
      <c r="CG2355"/>
      <c r="CH2355"/>
      <c r="CI2355"/>
      <c r="CU2355" s="21">
        <v>2350</v>
      </c>
      <c r="CV2355" s="41">
        <v>4</v>
      </c>
      <c r="CW2355" s="41">
        <v>0.11332468572476186</v>
      </c>
      <c r="CX2355" s="41" t="e">
        <v>#N/A</v>
      </c>
      <c r="CY2355" s="41" t="e">
        <v>#N/A</v>
      </c>
      <c r="CZ2355" s="47" t="e">
        <v>#N/A</v>
      </c>
      <c r="DA2355">
        <v>0.11332468572476186</v>
      </c>
      <c r="DB2355" t="str">
        <v/>
      </c>
    </row>
    <row r="2356" spans="83:106" x14ac:dyDescent="0.2">
      <c r="CE2356"/>
      <c r="CF2356"/>
      <c r="CG2356"/>
      <c r="CH2356"/>
      <c r="CI2356"/>
      <c r="CU2356" s="21">
        <v>2351</v>
      </c>
      <c r="CV2356" s="41">
        <v>4</v>
      </c>
      <c r="CW2356" s="41">
        <v>0.11332468572476186</v>
      </c>
      <c r="CX2356" s="41" t="e">
        <v>#N/A</v>
      </c>
      <c r="CY2356" s="41" t="e">
        <v>#N/A</v>
      </c>
      <c r="CZ2356" s="47" t="e">
        <v>#N/A</v>
      </c>
      <c r="DA2356">
        <v>0.11332468572476186</v>
      </c>
      <c r="DB2356" t="str">
        <v/>
      </c>
    </row>
    <row r="2357" spans="83:106" x14ac:dyDescent="0.2">
      <c r="CE2357"/>
      <c r="CF2357"/>
      <c r="CG2357"/>
      <c r="CH2357"/>
      <c r="CI2357"/>
      <c r="CU2357" s="21">
        <v>2352</v>
      </c>
      <c r="CV2357" s="41">
        <v>4</v>
      </c>
      <c r="CW2357" s="41">
        <v>0.11332468572476186</v>
      </c>
      <c r="CX2357" s="41" t="e">
        <v>#N/A</v>
      </c>
      <c r="CY2357" s="41" t="e">
        <v>#N/A</v>
      </c>
      <c r="CZ2357" s="47" t="e">
        <v>#N/A</v>
      </c>
      <c r="DA2357">
        <v>0.11332468572476186</v>
      </c>
      <c r="DB2357" t="str">
        <v/>
      </c>
    </row>
    <row r="2358" spans="83:106" x14ac:dyDescent="0.2">
      <c r="CE2358"/>
      <c r="CF2358"/>
      <c r="CG2358"/>
      <c r="CH2358"/>
      <c r="CI2358"/>
      <c r="CU2358" s="21">
        <v>2353</v>
      </c>
      <c r="CV2358" s="41">
        <v>4</v>
      </c>
      <c r="CW2358" s="41">
        <v>0.11332468572476186</v>
      </c>
      <c r="CX2358" s="41" t="e">
        <v>#N/A</v>
      </c>
      <c r="CY2358" s="41" t="e">
        <v>#N/A</v>
      </c>
      <c r="CZ2358" s="47" t="e">
        <v>#N/A</v>
      </c>
      <c r="DA2358">
        <v>0.11332468572476186</v>
      </c>
      <c r="DB2358" t="str">
        <v/>
      </c>
    </row>
    <row r="2359" spans="83:106" x14ac:dyDescent="0.2">
      <c r="CE2359"/>
      <c r="CF2359"/>
      <c r="CG2359"/>
      <c r="CH2359"/>
      <c r="CI2359"/>
      <c r="CU2359" s="21">
        <v>2354</v>
      </c>
      <c r="CV2359" s="41">
        <v>4</v>
      </c>
      <c r="CW2359" s="41">
        <v>0.11332468572476186</v>
      </c>
      <c r="CX2359" s="41" t="e">
        <v>#N/A</v>
      </c>
      <c r="CY2359" s="41" t="e">
        <v>#N/A</v>
      </c>
      <c r="CZ2359" s="47" t="e">
        <v>#N/A</v>
      </c>
      <c r="DA2359">
        <v>0.11332468572476186</v>
      </c>
      <c r="DB2359" t="str">
        <v/>
      </c>
    </row>
    <row r="2360" spans="83:106" x14ac:dyDescent="0.2">
      <c r="CE2360"/>
      <c r="CF2360"/>
      <c r="CG2360"/>
      <c r="CH2360"/>
      <c r="CI2360"/>
      <c r="CU2360" s="21">
        <v>2355</v>
      </c>
      <c r="CV2360" s="41">
        <v>4</v>
      </c>
      <c r="CW2360" s="41">
        <v>0.11332468572476186</v>
      </c>
      <c r="CX2360" s="41" t="e">
        <v>#N/A</v>
      </c>
      <c r="CY2360" s="41" t="e">
        <v>#N/A</v>
      </c>
      <c r="CZ2360" s="47" t="e">
        <v>#N/A</v>
      </c>
      <c r="DA2360">
        <v>0.11332468572476186</v>
      </c>
      <c r="DB2360" t="str">
        <v/>
      </c>
    </row>
    <row r="2361" spans="83:106" x14ac:dyDescent="0.2">
      <c r="CE2361"/>
      <c r="CF2361"/>
      <c r="CG2361"/>
      <c r="CH2361"/>
      <c r="CI2361"/>
      <c r="CU2361" s="21">
        <v>2356</v>
      </c>
      <c r="CV2361" s="41">
        <v>4</v>
      </c>
      <c r="CW2361" s="41">
        <v>0.11332468572476186</v>
      </c>
      <c r="CX2361" s="41" t="e">
        <v>#N/A</v>
      </c>
      <c r="CY2361" s="41" t="e">
        <v>#N/A</v>
      </c>
      <c r="CZ2361" s="47" t="e">
        <v>#N/A</v>
      </c>
      <c r="DA2361">
        <v>0.11332468572476186</v>
      </c>
      <c r="DB2361" t="str">
        <v/>
      </c>
    </row>
    <row r="2362" spans="83:106" x14ac:dyDescent="0.2">
      <c r="CE2362"/>
      <c r="CF2362"/>
      <c r="CG2362"/>
      <c r="CH2362"/>
      <c r="CI2362"/>
      <c r="CU2362" s="21">
        <v>2357</v>
      </c>
      <c r="CV2362" s="41">
        <v>4</v>
      </c>
      <c r="CW2362" s="41">
        <v>0.11332468572476186</v>
      </c>
      <c r="CX2362" s="41" t="e">
        <v>#N/A</v>
      </c>
      <c r="CY2362" s="41" t="e">
        <v>#N/A</v>
      </c>
      <c r="CZ2362" s="47" t="e">
        <v>#N/A</v>
      </c>
      <c r="DA2362">
        <v>0.11332468572476186</v>
      </c>
      <c r="DB2362" t="str">
        <v/>
      </c>
    </row>
    <row r="2363" spans="83:106" x14ac:dyDescent="0.2">
      <c r="CE2363"/>
      <c r="CF2363"/>
      <c r="CG2363"/>
      <c r="CH2363"/>
      <c r="CI2363"/>
      <c r="CU2363" s="21">
        <v>2358</v>
      </c>
      <c r="CV2363" s="41">
        <v>4</v>
      </c>
      <c r="CW2363" s="41">
        <v>0.11332468572476186</v>
      </c>
      <c r="CX2363" s="41" t="e">
        <v>#N/A</v>
      </c>
      <c r="CY2363" s="41" t="e">
        <v>#N/A</v>
      </c>
      <c r="CZ2363" s="47" t="e">
        <v>#N/A</v>
      </c>
      <c r="DA2363">
        <v>0.11332468572476186</v>
      </c>
      <c r="DB2363" t="str">
        <v/>
      </c>
    </row>
    <row r="2364" spans="83:106" x14ac:dyDescent="0.2">
      <c r="CE2364"/>
      <c r="CF2364"/>
      <c r="CG2364"/>
      <c r="CH2364"/>
      <c r="CI2364"/>
      <c r="CU2364" s="21">
        <v>2359</v>
      </c>
      <c r="CV2364" s="41">
        <v>4</v>
      </c>
      <c r="CW2364" s="41">
        <v>0.11332468572476186</v>
      </c>
      <c r="CX2364" s="41" t="e">
        <v>#N/A</v>
      </c>
      <c r="CY2364" s="41" t="e">
        <v>#N/A</v>
      </c>
      <c r="CZ2364" s="47" t="e">
        <v>#N/A</v>
      </c>
      <c r="DA2364">
        <v>0.11332468572476186</v>
      </c>
      <c r="DB2364" t="str">
        <v/>
      </c>
    </row>
    <row r="2365" spans="83:106" x14ac:dyDescent="0.2">
      <c r="CE2365"/>
      <c r="CF2365"/>
      <c r="CG2365"/>
      <c r="CH2365"/>
      <c r="CI2365"/>
      <c r="CU2365" s="21">
        <v>2360</v>
      </c>
      <c r="CV2365" s="41">
        <v>4</v>
      </c>
      <c r="CW2365" s="41">
        <v>0.11332468572476186</v>
      </c>
      <c r="CX2365" s="41" t="e">
        <v>#N/A</v>
      </c>
      <c r="CY2365" s="41" t="e">
        <v>#N/A</v>
      </c>
      <c r="CZ2365" s="47" t="e">
        <v>#N/A</v>
      </c>
      <c r="DA2365">
        <v>0.11332468572476186</v>
      </c>
      <c r="DB2365" t="str">
        <v/>
      </c>
    </row>
    <row r="2366" spans="83:106" x14ac:dyDescent="0.2">
      <c r="CE2366"/>
      <c r="CF2366"/>
      <c r="CG2366"/>
      <c r="CH2366"/>
      <c r="CI2366"/>
      <c r="CU2366" s="21">
        <v>2361</v>
      </c>
      <c r="CV2366" s="41">
        <v>4</v>
      </c>
      <c r="CW2366" s="41">
        <v>0.11332468572476186</v>
      </c>
      <c r="CX2366" s="41" t="e">
        <v>#N/A</v>
      </c>
      <c r="CY2366" s="41" t="e">
        <v>#N/A</v>
      </c>
      <c r="CZ2366" s="47" t="e">
        <v>#N/A</v>
      </c>
      <c r="DA2366">
        <v>0.11332468572476186</v>
      </c>
      <c r="DB2366" t="str">
        <v/>
      </c>
    </row>
    <row r="2367" spans="83:106" x14ac:dyDescent="0.2">
      <c r="CE2367"/>
      <c r="CF2367"/>
      <c r="CG2367"/>
      <c r="CH2367"/>
      <c r="CI2367"/>
      <c r="CU2367" s="21">
        <v>2362</v>
      </c>
      <c r="CV2367" s="41">
        <v>4</v>
      </c>
      <c r="CW2367" s="41">
        <v>0.11332468572476186</v>
      </c>
      <c r="CX2367" s="41" t="e">
        <v>#N/A</v>
      </c>
      <c r="CY2367" s="41" t="e">
        <v>#N/A</v>
      </c>
      <c r="CZ2367" s="47" t="e">
        <v>#N/A</v>
      </c>
      <c r="DA2367">
        <v>0.11332468572476186</v>
      </c>
      <c r="DB2367" t="str">
        <v/>
      </c>
    </row>
    <row r="2368" spans="83:106" x14ac:dyDescent="0.2">
      <c r="CE2368"/>
      <c r="CF2368"/>
      <c r="CG2368"/>
      <c r="CH2368"/>
      <c r="CI2368"/>
      <c r="CU2368" s="21">
        <v>2363</v>
      </c>
      <c r="CV2368" s="41">
        <v>4</v>
      </c>
      <c r="CW2368" s="41">
        <v>0.11332468572476186</v>
      </c>
      <c r="CX2368" s="41" t="e">
        <v>#N/A</v>
      </c>
      <c r="CY2368" s="41" t="e">
        <v>#N/A</v>
      </c>
      <c r="CZ2368" s="47" t="e">
        <v>#N/A</v>
      </c>
      <c r="DA2368">
        <v>0.11332468572476186</v>
      </c>
      <c r="DB2368" t="str">
        <v/>
      </c>
    </row>
    <row r="2369" spans="83:106" x14ac:dyDescent="0.2">
      <c r="CE2369"/>
      <c r="CF2369"/>
      <c r="CG2369"/>
      <c r="CH2369"/>
      <c r="CI2369"/>
      <c r="CU2369" s="21">
        <v>2364</v>
      </c>
      <c r="CV2369" s="41">
        <v>4</v>
      </c>
      <c r="CW2369" s="41">
        <v>0.11332468572476186</v>
      </c>
      <c r="CX2369" s="41" t="e">
        <v>#N/A</v>
      </c>
      <c r="CY2369" s="41" t="e">
        <v>#N/A</v>
      </c>
      <c r="CZ2369" s="47" t="e">
        <v>#N/A</v>
      </c>
      <c r="DA2369">
        <v>0.11332468572476186</v>
      </c>
      <c r="DB2369" t="str">
        <v/>
      </c>
    </row>
    <row r="2370" spans="83:106" x14ac:dyDescent="0.2">
      <c r="CE2370"/>
      <c r="CF2370"/>
      <c r="CG2370"/>
      <c r="CH2370"/>
      <c r="CI2370"/>
      <c r="CU2370" s="21">
        <v>2365</v>
      </c>
      <c r="CV2370" s="41">
        <v>4</v>
      </c>
      <c r="CW2370" s="41">
        <v>0.11332468572476186</v>
      </c>
      <c r="CX2370" s="41" t="e">
        <v>#N/A</v>
      </c>
      <c r="CY2370" s="41" t="e">
        <v>#N/A</v>
      </c>
      <c r="CZ2370" s="47" t="e">
        <v>#N/A</v>
      </c>
      <c r="DA2370">
        <v>0.11332468572476186</v>
      </c>
      <c r="DB2370" t="str">
        <v/>
      </c>
    </row>
    <row r="2371" spans="83:106" x14ac:dyDescent="0.2">
      <c r="CE2371"/>
      <c r="CF2371"/>
      <c r="CG2371"/>
      <c r="CH2371"/>
      <c r="CI2371"/>
      <c r="CU2371" s="21">
        <v>2366</v>
      </c>
      <c r="CV2371" s="41">
        <v>4</v>
      </c>
      <c r="CW2371" s="41">
        <v>0.11332468572476186</v>
      </c>
      <c r="CX2371" s="41" t="e">
        <v>#N/A</v>
      </c>
      <c r="CY2371" s="41" t="e">
        <v>#N/A</v>
      </c>
      <c r="CZ2371" s="47" t="e">
        <v>#N/A</v>
      </c>
      <c r="DA2371">
        <v>0.11332468572476186</v>
      </c>
      <c r="DB2371" t="str">
        <v/>
      </c>
    </row>
    <row r="2372" spans="83:106" x14ac:dyDescent="0.2">
      <c r="CE2372"/>
      <c r="CF2372"/>
      <c r="CG2372"/>
      <c r="CH2372"/>
      <c r="CI2372"/>
      <c r="CU2372" s="21">
        <v>2367</v>
      </c>
      <c r="CV2372" s="41">
        <v>4</v>
      </c>
      <c r="CW2372" s="41">
        <v>0.11332468572476186</v>
      </c>
      <c r="CX2372" s="41" t="e">
        <v>#N/A</v>
      </c>
      <c r="CY2372" s="41" t="e">
        <v>#N/A</v>
      </c>
      <c r="CZ2372" s="47" t="e">
        <v>#N/A</v>
      </c>
      <c r="DA2372">
        <v>0.11332468572476186</v>
      </c>
      <c r="DB2372" t="str">
        <v/>
      </c>
    </row>
    <row r="2373" spans="83:106" x14ac:dyDescent="0.2">
      <c r="CE2373"/>
      <c r="CF2373"/>
      <c r="CG2373"/>
      <c r="CH2373"/>
      <c r="CI2373"/>
      <c r="CU2373" s="21">
        <v>2368</v>
      </c>
      <c r="CV2373" s="41">
        <v>4</v>
      </c>
      <c r="CW2373" s="41">
        <v>0.11332468572476186</v>
      </c>
      <c r="CX2373" s="41" t="e">
        <v>#N/A</v>
      </c>
      <c r="CY2373" s="41" t="e">
        <v>#N/A</v>
      </c>
      <c r="CZ2373" s="47" t="e">
        <v>#N/A</v>
      </c>
      <c r="DA2373">
        <v>0.11332468572476186</v>
      </c>
      <c r="DB2373" t="str">
        <v/>
      </c>
    </row>
    <row r="2374" spans="83:106" x14ac:dyDescent="0.2">
      <c r="CE2374"/>
      <c r="CF2374"/>
      <c r="CG2374"/>
      <c r="CH2374"/>
      <c r="CI2374"/>
      <c r="CU2374" s="21">
        <v>2369</v>
      </c>
      <c r="CV2374" s="41">
        <v>4</v>
      </c>
      <c r="CW2374" s="41">
        <v>0.11332468572476186</v>
      </c>
      <c r="CX2374" s="41" t="e">
        <v>#N/A</v>
      </c>
      <c r="CY2374" s="41" t="e">
        <v>#N/A</v>
      </c>
      <c r="CZ2374" s="47" t="e">
        <v>#N/A</v>
      </c>
      <c r="DA2374">
        <v>0.11332468572476186</v>
      </c>
      <c r="DB2374" t="str">
        <v/>
      </c>
    </row>
    <row r="2375" spans="83:106" x14ac:dyDescent="0.2">
      <c r="CE2375"/>
      <c r="CF2375"/>
      <c r="CG2375"/>
      <c r="CH2375"/>
      <c r="CI2375"/>
      <c r="CU2375" s="21">
        <v>2370</v>
      </c>
      <c r="CV2375" s="41">
        <v>4</v>
      </c>
      <c r="CW2375" s="41">
        <v>0.11332468572476186</v>
      </c>
      <c r="CX2375" s="41" t="e">
        <v>#N/A</v>
      </c>
      <c r="CY2375" s="41" t="e">
        <v>#N/A</v>
      </c>
      <c r="CZ2375" s="47" t="e">
        <v>#N/A</v>
      </c>
      <c r="DA2375">
        <v>0.11332468572476186</v>
      </c>
      <c r="DB2375" t="str">
        <v/>
      </c>
    </row>
    <row r="2376" spans="83:106" x14ac:dyDescent="0.2">
      <c r="CE2376"/>
      <c r="CF2376"/>
      <c r="CG2376"/>
      <c r="CH2376"/>
      <c r="CI2376"/>
      <c r="CU2376" s="21">
        <v>2371</v>
      </c>
      <c r="CV2376" s="41">
        <v>4</v>
      </c>
      <c r="CW2376" s="41">
        <v>0.11332468572476186</v>
      </c>
      <c r="CX2376" s="41" t="e">
        <v>#N/A</v>
      </c>
      <c r="CY2376" s="41" t="e">
        <v>#N/A</v>
      </c>
      <c r="CZ2376" s="47" t="e">
        <v>#N/A</v>
      </c>
      <c r="DA2376">
        <v>0.11332468572476186</v>
      </c>
      <c r="DB2376" t="str">
        <v/>
      </c>
    </row>
    <row r="2377" spans="83:106" x14ac:dyDescent="0.2">
      <c r="CE2377"/>
      <c r="CF2377"/>
      <c r="CG2377"/>
      <c r="CH2377"/>
      <c r="CI2377"/>
      <c r="CU2377" s="21">
        <v>2372</v>
      </c>
      <c r="CV2377" s="41">
        <v>4</v>
      </c>
      <c r="CW2377" s="41">
        <v>0.11332468572476186</v>
      </c>
      <c r="CX2377" s="41" t="e">
        <v>#N/A</v>
      </c>
      <c r="CY2377" s="41" t="e">
        <v>#N/A</v>
      </c>
      <c r="CZ2377" s="47" t="e">
        <v>#N/A</v>
      </c>
      <c r="DA2377">
        <v>0.11332468572476186</v>
      </c>
      <c r="DB2377" t="str">
        <v/>
      </c>
    </row>
    <row r="2378" spans="83:106" x14ac:dyDescent="0.2">
      <c r="CE2378"/>
      <c r="CF2378"/>
      <c r="CG2378"/>
      <c r="CH2378"/>
      <c r="CI2378"/>
      <c r="CU2378" s="21">
        <v>2373</v>
      </c>
      <c r="CV2378" s="41">
        <v>4</v>
      </c>
      <c r="CW2378" s="41">
        <v>0.11332468572476186</v>
      </c>
      <c r="CX2378" s="41" t="e">
        <v>#N/A</v>
      </c>
      <c r="CY2378" s="41" t="e">
        <v>#N/A</v>
      </c>
      <c r="CZ2378" s="47" t="e">
        <v>#N/A</v>
      </c>
      <c r="DA2378">
        <v>0.11332468572476186</v>
      </c>
      <c r="DB2378" t="str">
        <v/>
      </c>
    </row>
    <row r="2379" spans="83:106" x14ac:dyDescent="0.2">
      <c r="CE2379"/>
      <c r="CF2379"/>
      <c r="CG2379"/>
      <c r="CH2379"/>
      <c r="CI2379"/>
      <c r="CU2379" s="21">
        <v>2374</v>
      </c>
      <c r="CV2379" s="41">
        <v>4</v>
      </c>
      <c r="CW2379" s="41">
        <v>0.11332468572476186</v>
      </c>
      <c r="CX2379" s="41" t="e">
        <v>#N/A</v>
      </c>
      <c r="CY2379" s="41" t="e">
        <v>#N/A</v>
      </c>
      <c r="CZ2379" s="47" t="e">
        <v>#N/A</v>
      </c>
      <c r="DA2379">
        <v>0.11332468572476186</v>
      </c>
      <c r="DB2379" t="str">
        <v/>
      </c>
    </row>
    <row r="2380" spans="83:106" x14ac:dyDescent="0.2">
      <c r="CE2380"/>
      <c r="CF2380"/>
      <c r="CG2380"/>
      <c r="CH2380"/>
      <c r="CI2380"/>
      <c r="CU2380" s="21">
        <v>2375</v>
      </c>
      <c r="CV2380" s="41">
        <v>4</v>
      </c>
      <c r="CW2380" s="41">
        <v>0.11332468572476186</v>
      </c>
      <c r="CX2380" s="41" t="e">
        <v>#N/A</v>
      </c>
      <c r="CY2380" s="41" t="e">
        <v>#N/A</v>
      </c>
      <c r="CZ2380" s="47" t="e">
        <v>#N/A</v>
      </c>
      <c r="DA2380">
        <v>0.11332468572476186</v>
      </c>
      <c r="DB2380" t="str">
        <v/>
      </c>
    </row>
    <row r="2381" spans="83:106" x14ac:dyDescent="0.2">
      <c r="CE2381"/>
      <c r="CF2381"/>
      <c r="CG2381"/>
      <c r="CH2381"/>
      <c r="CI2381"/>
      <c r="CU2381" s="21">
        <v>2376</v>
      </c>
      <c r="CV2381" s="41">
        <v>4</v>
      </c>
      <c r="CW2381" s="41">
        <v>0.11332468572476186</v>
      </c>
      <c r="CX2381" s="41" t="e">
        <v>#N/A</v>
      </c>
      <c r="CY2381" s="41" t="e">
        <v>#N/A</v>
      </c>
      <c r="CZ2381" s="47" t="e">
        <v>#N/A</v>
      </c>
      <c r="DA2381">
        <v>0.11332468572476186</v>
      </c>
      <c r="DB2381" t="str">
        <v/>
      </c>
    </row>
    <row r="2382" spans="83:106" x14ac:dyDescent="0.2">
      <c r="CE2382"/>
      <c r="CF2382"/>
      <c r="CG2382"/>
      <c r="CH2382"/>
      <c r="CI2382"/>
      <c r="CU2382" s="21">
        <v>2377</v>
      </c>
      <c r="CV2382" s="41">
        <v>4</v>
      </c>
      <c r="CW2382" s="41">
        <v>0.11332468572476186</v>
      </c>
      <c r="CX2382" s="41" t="e">
        <v>#N/A</v>
      </c>
      <c r="CY2382" s="41" t="e">
        <v>#N/A</v>
      </c>
      <c r="CZ2382" s="47" t="e">
        <v>#N/A</v>
      </c>
      <c r="DA2382">
        <v>0.11332468572476186</v>
      </c>
      <c r="DB2382" t="str">
        <v/>
      </c>
    </row>
    <row r="2383" spans="83:106" x14ac:dyDescent="0.2">
      <c r="CE2383"/>
      <c r="CF2383"/>
      <c r="CG2383"/>
      <c r="CH2383"/>
      <c r="CI2383"/>
      <c r="CU2383" s="21">
        <v>2378</v>
      </c>
      <c r="CV2383" s="41">
        <v>4</v>
      </c>
      <c r="CW2383" s="41">
        <v>0.11332468572476186</v>
      </c>
      <c r="CX2383" s="41" t="e">
        <v>#N/A</v>
      </c>
      <c r="CY2383" s="41" t="e">
        <v>#N/A</v>
      </c>
      <c r="CZ2383" s="47" t="e">
        <v>#N/A</v>
      </c>
      <c r="DA2383">
        <v>0.11332468572476186</v>
      </c>
      <c r="DB2383" t="str">
        <v/>
      </c>
    </row>
    <row r="2384" spans="83:106" x14ac:dyDescent="0.2">
      <c r="CE2384"/>
      <c r="CF2384"/>
      <c r="CG2384"/>
      <c r="CH2384"/>
      <c r="CI2384"/>
      <c r="CU2384" s="21">
        <v>2379</v>
      </c>
      <c r="CV2384" s="41">
        <v>4</v>
      </c>
      <c r="CW2384" s="41">
        <v>0.11332468572476186</v>
      </c>
      <c r="CX2384" s="41" t="e">
        <v>#N/A</v>
      </c>
      <c r="CY2384" s="41" t="e">
        <v>#N/A</v>
      </c>
      <c r="CZ2384" s="47" t="e">
        <v>#N/A</v>
      </c>
      <c r="DA2384">
        <v>0.11332468572476186</v>
      </c>
      <c r="DB2384" t="str">
        <v/>
      </c>
    </row>
    <row r="2385" spans="83:106" x14ac:dyDescent="0.2">
      <c r="CE2385"/>
      <c r="CF2385"/>
      <c r="CG2385"/>
      <c r="CH2385"/>
      <c r="CI2385"/>
      <c r="CU2385" s="21">
        <v>2380</v>
      </c>
      <c r="CV2385" s="41">
        <v>4</v>
      </c>
      <c r="CW2385" s="41">
        <v>0.11332468572476186</v>
      </c>
      <c r="CX2385" s="41" t="e">
        <v>#N/A</v>
      </c>
      <c r="CY2385" s="41" t="e">
        <v>#N/A</v>
      </c>
      <c r="CZ2385" s="47" t="e">
        <v>#N/A</v>
      </c>
      <c r="DA2385">
        <v>0.11332468572476186</v>
      </c>
      <c r="DB2385" t="str">
        <v/>
      </c>
    </row>
    <row r="2386" spans="83:106" x14ac:dyDescent="0.2">
      <c r="CE2386"/>
      <c r="CF2386"/>
      <c r="CG2386"/>
      <c r="CH2386"/>
      <c r="CI2386"/>
      <c r="CU2386" s="21">
        <v>2381</v>
      </c>
      <c r="CV2386" s="41">
        <v>4</v>
      </c>
      <c r="CW2386" s="41">
        <v>0.11332468572476186</v>
      </c>
      <c r="CX2386" s="41" t="e">
        <v>#N/A</v>
      </c>
      <c r="CY2386" s="41" t="e">
        <v>#N/A</v>
      </c>
      <c r="CZ2386" s="47" t="e">
        <v>#N/A</v>
      </c>
      <c r="DA2386">
        <v>0.11332468572476186</v>
      </c>
      <c r="DB2386" t="str">
        <v/>
      </c>
    </row>
    <row r="2387" spans="83:106" x14ac:dyDescent="0.2">
      <c r="CE2387"/>
      <c r="CF2387"/>
      <c r="CG2387"/>
      <c r="CH2387"/>
      <c r="CI2387"/>
      <c r="CU2387" s="21">
        <v>2382</v>
      </c>
      <c r="CV2387" s="41">
        <v>4</v>
      </c>
      <c r="CW2387" s="41">
        <v>0.11332468572476186</v>
      </c>
      <c r="CX2387" s="41" t="e">
        <v>#N/A</v>
      </c>
      <c r="CY2387" s="41" t="e">
        <v>#N/A</v>
      </c>
      <c r="CZ2387" s="47" t="e">
        <v>#N/A</v>
      </c>
      <c r="DA2387">
        <v>0.11332468572476186</v>
      </c>
      <c r="DB2387" t="str">
        <v/>
      </c>
    </row>
    <row r="2388" spans="83:106" x14ac:dyDescent="0.2">
      <c r="CE2388"/>
      <c r="CF2388"/>
      <c r="CG2388"/>
      <c r="CH2388"/>
      <c r="CI2388"/>
      <c r="CU2388" s="21">
        <v>2383</v>
      </c>
      <c r="CV2388" s="41">
        <v>4</v>
      </c>
      <c r="CW2388" s="41">
        <v>0.11332468572476186</v>
      </c>
      <c r="CX2388" s="41" t="e">
        <v>#N/A</v>
      </c>
      <c r="CY2388" s="41" t="e">
        <v>#N/A</v>
      </c>
      <c r="CZ2388" s="47" t="e">
        <v>#N/A</v>
      </c>
      <c r="DA2388">
        <v>0.11332468572476186</v>
      </c>
      <c r="DB2388" t="str">
        <v/>
      </c>
    </row>
    <row r="2389" spans="83:106" x14ac:dyDescent="0.2">
      <c r="CE2389"/>
      <c r="CF2389"/>
      <c r="CG2389"/>
      <c r="CH2389"/>
      <c r="CI2389"/>
      <c r="CU2389" s="21">
        <v>2384</v>
      </c>
      <c r="CV2389" s="41">
        <v>4</v>
      </c>
      <c r="CW2389" s="41">
        <v>0.11332468572476186</v>
      </c>
      <c r="CX2389" s="41" t="e">
        <v>#N/A</v>
      </c>
      <c r="CY2389" s="41" t="e">
        <v>#N/A</v>
      </c>
      <c r="CZ2389" s="47" t="e">
        <v>#N/A</v>
      </c>
      <c r="DA2389">
        <v>0.11332468572476186</v>
      </c>
      <c r="DB2389" t="str">
        <v/>
      </c>
    </row>
    <row r="2390" spans="83:106" x14ac:dyDescent="0.2">
      <c r="CE2390"/>
      <c r="CF2390"/>
      <c r="CG2390"/>
      <c r="CH2390"/>
      <c r="CI2390"/>
      <c r="CU2390" s="21">
        <v>2385</v>
      </c>
      <c r="CV2390" s="41">
        <v>4</v>
      </c>
      <c r="CW2390" s="41">
        <v>0.11332468572476186</v>
      </c>
      <c r="CX2390" s="41" t="e">
        <v>#N/A</v>
      </c>
      <c r="CY2390" s="41" t="e">
        <v>#N/A</v>
      </c>
      <c r="CZ2390" s="47" t="e">
        <v>#N/A</v>
      </c>
      <c r="DA2390">
        <v>0.11332468572476186</v>
      </c>
      <c r="DB2390" t="str">
        <v/>
      </c>
    </row>
    <row r="2391" spans="83:106" x14ac:dyDescent="0.2">
      <c r="CE2391"/>
      <c r="CF2391"/>
      <c r="CG2391"/>
      <c r="CH2391"/>
      <c r="CI2391"/>
      <c r="CU2391" s="21">
        <v>2386</v>
      </c>
      <c r="CV2391" s="41">
        <v>4</v>
      </c>
      <c r="CW2391" s="41">
        <v>0.11332468572476186</v>
      </c>
      <c r="CX2391" s="41" t="e">
        <v>#N/A</v>
      </c>
      <c r="CY2391" s="41" t="e">
        <v>#N/A</v>
      </c>
      <c r="CZ2391" s="47" t="e">
        <v>#N/A</v>
      </c>
      <c r="DA2391">
        <v>0.11332468572476186</v>
      </c>
      <c r="DB2391" t="str">
        <v/>
      </c>
    </row>
    <row r="2392" spans="83:106" x14ac:dyDescent="0.2">
      <c r="CE2392"/>
      <c r="CF2392"/>
      <c r="CG2392"/>
      <c r="CH2392"/>
      <c r="CI2392"/>
      <c r="CU2392" s="21">
        <v>2387</v>
      </c>
      <c r="CV2392" s="41">
        <v>4</v>
      </c>
      <c r="CW2392" s="41">
        <v>0.11332468572476186</v>
      </c>
      <c r="CX2392" s="41" t="e">
        <v>#N/A</v>
      </c>
      <c r="CY2392" s="41" t="e">
        <v>#N/A</v>
      </c>
      <c r="CZ2392" s="47" t="e">
        <v>#N/A</v>
      </c>
      <c r="DA2392">
        <v>0.11332468572476186</v>
      </c>
      <c r="DB2392" t="str">
        <v/>
      </c>
    </row>
    <row r="2393" spans="83:106" x14ac:dyDescent="0.2">
      <c r="CE2393"/>
      <c r="CF2393"/>
      <c r="CG2393"/>
      <c r="CH2393"/>
      <c r="CI2393"/>
      <c r="CU2393" s="21">
        <v>2388</v>
      </c>
      <c r="CV2393" s="41">
        <v>4</v>
      </c>
      <c r="CW2393" s="41">
        <v>0.11332468572476186</v>
      </c>
      <c r="CX2393" s="41" t="e">
        <v>#N/A</v>
      </c>
      <c r="CY2393" s="41" t="e">
        <v>#N/A</v>
      </c>
      <c r="CZ2393" s="47" t="e">
        <v>#N/A</v>
      </c>
      <c r="DA2393">
        <v>0.11332468572476186</v>
      </c>
      <c r="DB2393" t="str">
        <v/>
      </c>
    </row>
    <row r="2394" spans="83:106" x14ac:dyDescent="0.2">
      <c r="CE2394"/>
      <c r="CF2394"/>
      <c r="CG2394"/>
      <c r="CH2394"/>
      <c r="CI2394"/>
      <c r="CU2394" s="21">
        <v>2389</v>
      </c>
      <c r="CV2394" s="41">
        <v>4</v>
      </c>
      <c r="CW2394" s="41">
        <v>0.11332468572476186</v>
      </c>
      <c r="CX2394" s="41" t="e">
        <v>#N/A</v>
      </c>
      <c r="CY2394" s="41" t="e">
        <v>#N/A</v>
      </c>
      <c r="CZ2394" s="47" t="e">
        <v>#N/A</v>
      </c>
      <c r="DA2394">
        <v>0.11332468572476186</v>
      </c>
      <c r="DB2394" t="str">
        <v/>
      </c>
    </row>
    <row r="2395" spans="83:106" x14ac:dyDescent="0.2">
      <c r="CE2395"/>
      <c r="CF2395"/>
      <c r="CG2395"/>
      <c r="CH2395"/>
      <c r="CI2395"/>
      <c r="CU2395" s="21">
        <v>2390</v>
      </c>
      <c r="CV2395" s="41">
        <v>4</v>
      </c>
      <c r="CW2395" s="41">
        <v>0.11332468572476186</v>
      </c>
      <c r="CX2395" s="41" t="e">
        <v>#N/A</v>
      </c>
      <c r="CY2395" s="41" t="e">
        <v>#N/A</v>
      </c>
      <c r="CZ2395" s="47" t="e">
        <v>#N/A</v>
      </c>
      <c r="DA2395">
        <v>0.11332468572476186</v>
      </c>
      <c r="DB2395" t="str">
        <v/>
      </c>
    </row>
    <row r="2396" spans="83:106" x14ac:dyDescent="0.2">
      <c r="CE2396"/>
      <c r="CF2396"/>
      <c r="CG2396"/>
      <c r="CH2396"/>
      <c r="CI2396"/>
      <c r="CU2396" s="21">
        <v>2391</v>
      </c>
      <c r="CV2396" s="41">
        <v>4</v>
      </c>
      <c r="CW2396" s="41">
        <v>0.11332468572476186</v>
      </c>
      <c r="CX2396" s="41" t="e">
        <v>#N/A</v>
      </c>
      <c r="CY2396" s="41" t="e">
        <v>#N/A</v>
      </c>
      <c r="CZ2396" s="47" t="e">
        <v>#N/A</v>
      </c>
      <c r="DA2396">
        <v>0.11332468572476186</v>
      </c>
      <c r="DB2396" t="str">
        <v/>
      </c>
    </row>
    <row r="2397" spans="83:106" x14ac:dyDescent="0.2">
      <c r="CE2397"/>
      <c r="CF2397"/>
      <c r="CG2397"/>
      <c r="CH2397"/>
      <c r="CI2397"/>
      <c r="CU2397" s="21">
        <v>2392</v>
      </c>
      <c r="CV2397" s="41">
        <v>4</v>
      </c>
      <c r="CW2397" s="41">
        <v>0.11332468572476186</v>
      </c>
      <c r="CX2397" s="41" t="e">
        <v>#N/A</v>
      </c>
      <c r="CY2397" s="41" t="e">
        <v>#N/A</v>
      </c>
      <c r="CZ2397" s="47" t="e">
        <v>#N/A</v>
      </c>
      <c r="DA2397">
        <v>0.11332468572476186</v>
      </c>
      <c r="DB2397" t="str">
        <v/>
      </c>
    </row>
    <row r="2398" spans="83:106" x14ac:dyDescent="0.2">
      <c r="CE2398"/>
      <c r="CF2398"/>
      <c r="CG2398"/>
      <c r="CH2398"/>
      <c r="CI2398"/>
      <c r="CU2398" s="21">
        <v>2393</v>
      </c>
      <c r="CV2398" s="41">
        <v>4</v>
      </c>
      <c r="CW2398" s="41">
        <v>0.11332468572476186</v>
      </c>
      <c r="CX2398" s="41" t="e">
        <v>#N/A</v>
      </c>
      <c r="CY2398" s="41" t="e">
        <v>#N/A</v>
      </c>
      <c r="CZ2398" s="47" t="e">
        <v>#N/A</v>
      </c>
      <c r="DA2398">
        <v>0.11332468572476186</v>
      </c>
      <c r="DB2398" t="str">
        <v/>
      </c>
    </row>
    <row r="2399" spans="83:106" x14ac:dyDescent="0.2">
      <c r="CE2399"/>
      <c r="CF2399"/>
      <c r="CG2399"/>
      <c r="CH2399"/>
      <c r="CI2399"/>
      <c r="CU2399" s="21">
        <v>2394</v>
      </c>
      <c r="CV2399" s="41">
        <v>4</v>
      </c>
      <c r="CW2399" s="41">
        <v>0.11332468572476186</v>
      </c>
      <c r="CX2399" s="41" t="e">
        <v>#N/A</v>
      </c>
      <c r="CY2399" s="41" t="e">
        <v>#N/A</v>
      </c>
      <c r="CZ2399" s="47" t="e">
        <v>#N/A</v>
      </c>
      <c r="DA2399">
        <v>0.11332468572476186</v>
      </c>
      <c r="DB2399" t="str">
        <v/>
      </c>
    </row>
    <row r="2400" spans="83:106" x14ac:dyDescent="0.2">
      <c r="CE2400"/>
      <c r="CF2400"/>
      <c r="CG2400"/>
      <c r="CH2400"/>
      <c r="CI2400"/>
      <c r="CU2400" s="21">
        <v>2395</v>
      </c>
      <c r="CV2400" s="41">
        <v>4</v>
      </c>
      <c r="CW2400" s="41">
        <v>0.11332468572476186</v>
      </c>
      <c r="CX2400" s="41" t="e">
        <v>#N/A</v>
      </c>
      <c r="CY2400" s="41" t="e">
        <v>#N/A</v>
      </c>
      <c r="CZ2400" s="47" t="e">
        <v>#N/A</v>
      </c>
      <c r="DA2400">
        <v>0.11332468572476186</v>
      </c>
      <c r="DB2400" t="str">
        <v/>
      </c>
    </row>
    <row r="2401" spans="83:106" x14ac:dyDescent="0.2">
      <c r="CE2401"/>
      <c r="CF2401"/>
      <c r="CG2401"/>
      <c r="CH2401"/>
      <c r="CI2401"/>
      <c r="CU2401" s="21">
        <v>2396</v>
      </c>
      <c r="CV2401" s="41">
        <v>4</v>
      </c>
      <c r="CW2401" s="41">
        <v>0.11332468572476186</v>
      </c>
      <c r="CX2401" s="41" t="e">
        <v>#N/A</v>
      </c>
      <c r="CY2401" s="41" t="e">
        <v>#N/A</v>
      </c>
      <c r="CZ2401" s="47" t="e">
        <v>#N/A</v>
      </c>
      <c r="DA2401">
        <v>0.11332468572476186</v>
      </c>
      <c r="DB2401" t="str">
        <v/>
      </c>
    </row>
    <row r="2402" spans="83:106" x14ac:dyDescent="0.2">
      <c r="CE2402"/>
      <c r="CF2402"/>
      <c r="CG2402"/>
      <c r="CH2402"/>
      <c r="CI2402"/>
      <c r="CU2402" s="21">
        <v>2397</v>
      </c>
      <c r="CV2402" s="41">
        <v>4</v>
      </c>
      <c r="CW2402" s="41">
        <v>0.11332468572476186</v>
      </c>
      <c r="CX2402" s="41" t="e">
        <v>#N/A</v>
      </c>
      <c r="CY2402" s="41" t="e">
        <v>#N/A</v>
      </c>
      <c r="CZ2402" s="47" t="e">
        <v>#N/A</v>
      </c>
      <c r="DA2402">
        <v>0.11332468572476186</v>
      </c>
      <c r="DB2402" t="str">
        <v/>
      </c>
    </row>
    <row r="2403" spans="83:106" x14ac:dyDescent="0.2">
      <c r="CE2403"/>
      <c r="CF2403"/>
      <c r="CG2403"/>
      <c r="CH2403"/>
      <c r="CI2403"/>
      <c r="CU2403" s="21">
        <v>2398</v>
      </c>
      <c r="CV2403" s="41">
        <v>4</v>
      </c>
      <c r="CW2403" s="41">
        <v>0.11332468572476186</v>
      </c>
      <c r="CX2403" s="41" t="e">
        <v>#N/A</v>
      </c>
      <c r="CY2403" s="41" t="e">
        <v>#N/A</v>
      </c>
      <c r="CZ2403" s="47" t="e">
        <v>#N/A</v>
      </c>
      <c r="DA2403">
        <v>0.11332468572476186</v>
      </c>
      <c r="DB2403" t="str">
        <v/>
      </c>
    </row>
    <row r="2404" spans="83:106" x14ac:dyDescent="0.2">
      <c r="CE2404"/>
      <c r="CF2404"/>
      <c r="CG2404"/>
      <c r="CH2404"/>
      <c r="CI2404"/>
      <c r="CU2404" s="21">
        <v>2399</v>
      </c>
      <c r="CV2404" s="41">
        <v>4</v>
      </c>
      <c r="CW2404" s="41">
        <v>0.11332468572476186</v>
      </c>
      <c r="CX2404" s="41" t="e">
        <v>#N/A</v>
      </c>
      <c r="CY2404" s="41" t="e">
        <v>#N/A</v>
      </c>
      <c r="CZ2404" s="47" t="e">
        <v>#N/A</v>
      </c>
      <c r="DA2404">
        <v>0.11332468572476186</v>
      </c>
      <c r="DB2404" t="str">
        <v/>
      </c>
    </row>
    <row r="2405" spans="83:106" x14ac:dyDescent="0.2">
      <c r="CE2405"/>
      <c r="CF2405"/>
      <c r="CG2405"/>
      <c r="CH2405"/>
      <c r="CI2405"/>
      <c r="CU2405" s="21">
        <v>2400</v>
      </c>
      <c r="CV2405" s="41">
        <v>4</v>
      </c>
      <c r="CW2405" s="41">
        <v>0.11332468572476186</v>
      </c>
      <c r="CX2405" s="41" t="e">
        <v>#N/A</v>
      </c>
      <c r="CY2405" s="41" t="e">
        <v>#N/A</v>
      </c>
      <c r="CZ2405" s="47" t="e">
        <v>#N/A</v>
      </c>
      <c r="DA2405">
        <v>0.11332468572476186</v>
      </c>
      <c r="DB2405" t="str">
        <v/>
      </c>
    </row>
    <row r="2406" spans="83:106" x14ac:dyDescent="0.2">
      <c r="CE2406"/>
      <c r="CF2406"/>
      <c r="CG2406"/>
      <c r="CH2406"/>
      <c r="CI2406"/>
      <c r="CU2406" s="21">
        <v>2401</v>
      </c>
      <c r="CV2406" s="41">
        <v>4</v>
      </c>
      <c r="CW2406" s="41">
        <v>0.11332468572476186</v>
      </c>
      <c r="CX2406" s="41" t="e">
        <v>#N/A</v>
      </c>
      <c r="CY2406" s="41" t="e">
        <v>#N/A</v>
      </c>
      <c r="CZ2406" s="47" t="e">
        <v>#N/A</v>
      </c>
      <c r="DA2406">
        <v>0.11332468572476186</v>
      </c>
      <c r="DB2406" t="str">
        <v/>
      </c>
    </row>
    <row r="2407" spans="83:106" x14ac:dyDescent="0.2">
      <c r="CE2407"/>
      <c r="CF2407"/>
      <c r="CG2407"/>
      <c r="CH2407"/>
      <c r="CI2407"/>
      <c r="CU2407" s="21">
        <v>2402</v>
      </c>
      <c r="CV2407" s="41">
        <v>4</v>
      </c>
      <c r="CW2407" s="41">
        <v>0.11332468572476186</v>
      </c>
      <c r="CX2407" s="41" t="e">
        <v>#N/A</v>
      </c>
      <c r="CY2407" s="41" t="e">
        <v>#N/A</v>
      </c>
      <c r="CZ2407" s="47" t="e">
        <v>#N/A</v>
      </c>
      <c r="DA2407">
        <v>0.11332468572476186</v>
      </c>
      <c r="DB2407" t="str">
        <v/>
      </c>
    </row>
    <row r="2408" spans="83:106" x14ac:dyDescent="0.2">
      <c r="CE2408"/>
      <c r="CF2408"/>
      <c r="CG2408"/>
      <c r="CH2408"/>
      <c r="CI2408"/>
      <c r="CU2408" s="21">
        <v>2403</v>
      </c>
      <c r="CV2408" s="41">
        <v>4</v>
      </c>
      <c r="CW2408" s="41">
        <v>0.11332468572476186</v>
      </c>
      <c r="CX2408" s="41" t="e">
        <v>#N/A</v>
      </c>
      <c r="CY2408" s="41" t="e">
        <v>#N/A</v>
      </c>
      <c r="CZ2408" s="47" t="e">
        <v>#N/A</v>
      </c>
      <c r="DA2408">
        <v>0.11332468572476186</v>
      </c>
      <c r="DB2408" t="str">
        <v/>
      </c>
    </row>
    <row r="2409" spans="83:106" x14ac:dyDescent="0.2">
      <c r="CE2409"/>
      <c r="CF2409"/>
      <c r="CG2409"/>
      <c r="CH2409"/>
      <c r="CI2409"/>
      <c r="CU2409" s="21">
        <v>2404</v>
      </c>
      <c r="CV2409" s="41">
        <v>4</v>
      </c>
      <c r="CW2409" s="41">
        <v>0.11332468572476186</v>
      </c>
      <c r="CX2409" s="41" t="e">
        <v>#N/A</v>
      </c>
      <c r="CY2409" s="41" t="e">
        <v>#N/A</v>
      </c>
      <c r="CZ2409" s="47" t="e">
        <v>#N/A</v>
      </c>
      <c r="DA2409">
        <v>0.11332468572476186</v>
      </c>
      <c r="DB2409" t="str">
        <v/>
      </c>
    </row>
    <row r="2410" spans="83:106" x14ac:dyDescent="0.2">
      <c r="CE2410"/>
      <c r="CF2410"/>
      <c r="CG2410"/>
      <c r="CH2410"/>
      <c r="CI2410"/>
      <c r="CU2410" s="21">
        <v>2405</v>
      </c>
      <c r="CV2410" s="41">
        <v>4</v>
      </c>
      <c r="CW2410" s="41">
        <v>0.11332468572476186</v>
      </c>
      <c r="CX2410" s="41" t="e">
        <v>#N/A</v>
      </c>
      <c r="CY2410" s="41" t="e">
        <v>#N/A</v>
      </c>
      <c r="CZ2410" s="47" t="e">
        <v>#N/A</v>
      </c>
      <c r="DA2410">
        <v>0.11332468572476186</v>
      </c>
      <c r="DB2410" t="str">
        <v/>
      </c>
    </row>
    <row r="2411" spans="83:106" x14ac:dyDescent="0.2">
      <c r="CE2411"/>
      <c r="CF2411"/>
      <c r="CG2411"/>
      <c r="CH2411"/>
      <c r="CI2411"/>
      <c r="CU2411" s="21">
        <v>2406</v>
      </c>
      <c r="CV2411" s="41">
        <v>4</v>
      </c>
      <c r="CW2411" s="41">
        <v>0.11332468572476186</v>
      </c>
      <c r="CX2411" s="41" t="e">
        <v>#N/A</v>
      </c>
      <c r="CY2411" s="41" t="e">
        <v>#N/A</v>
      </c>
      <c r="CZ2411" s="47" t="e">
        <v>#N/A</v>
      </c>
      <c r="DA2411">
        <v>0.11332468572476186</v>
      </c>
      <c r="DB2411" t="str">
        <v/>
      </c>
    </row>
    <row r="2412" spans="83:106" x14ac:dyDescent="0.2">
      <c r="CE2412"/>
      <c r="CF2412"/>
      <c r="CG2412"/>
      <c r="CH2412"/>
      <c r="CI2412"/>
      <c r="CU2412" s="21">
        <v>2407</v>
      </c>
      <c r="CV2412" s="41">
        <v>4</v>
      </c>
      <c r="CW2412" s="41">
        <v>0.11332468572476186</v>
      </c>
      <c r="CX2412" s="41" t="e">
        <v>#N/A</v>
      </c>
      <c r="CY2412" s="41" t="e">
        <v>#N/A</v>
      </c>
      <c r="CZ2412" s="47" t="e">
        <v>#N/A</v>
      </c>
      <c r="DA2412">
        <v>0.11332468572476186</v>
      </c>
      <c r="DB2412" t="str">
        <v/>
      </c>
    </row>
    <row r="2413" spans="83:106" x14ac:dyDescent="0.2">
      <c r="CE2413"/>
      <c r="CF2413"/>
      <c r="CG2413"/>
      <c r="CH2413"/>
      <c r="CI2413"/>
      <c r="CU2413" s="21">
        <v>2408</v>
      </c>
      <c r="CV2413" s="41">
        <v>4</v>
      </c>
      <c r="CW2413" s="41">
        <v>0.11332468572476186</v>
      </c>
      <c r="CX2413" s="41" t="e">
        <v>#N/A</v>
      </c>
      <c r="CY2413" s="41" t="e">
        <v>#N/A</v>
      </c>
      <c r="CZ2413" s="47" t="e">
        <v>#N/A</v>
      </c>
      <c r="DA2413">
        <v>0.11332468572476186</v>
      </c>
      <c r="DB2413" t="str">
        <v/>
      </c>
    </row>
    <row r="2414" spans="83:106" x14ac:dyDescent="0.2">
      <c r="CE2414"/>
      <c r="CF2414"/>
      <c r="CG2414"/>
      <c r="CH2414"/>
      <c r="CI2414"/>
      <c r="CU2414" s="21">
        <v>2409</v>
      </c>
      <c r="CV2414" s="41">
        <v>4</v>
      </c>
      <c r="CW2414" s="41">
        <v>0.11332468572476186</v>
      </c>
      <c r="CX2414" s="41" t="e">
        <v>#N/A</v>
      </c>
      <c r="CY2414" s="41" t="e">
        <v>#N/A</v>
      </c>
      <c r="CZ2414" s="47" t="e">
        <v>#N/A</v>
      </c>
      <c r="DA2414">
        <v>0.11332468572476186</v>
      </c>
      <c r="DB2414" t="str">
        <v/>
      </c>
    </row>
    <row r="2415" spans="83:106" x14ac:dyDescent="0.2">
      <c r="CE2415"/>
      <c r="CF2415"/>
      <c r="CG2415"/>
      <c r="CH2415"/>
      <c r="CI2415"/>
      <c r="CU2415" s="21">
        <v>2410</v>
      </c>
      <c r="CV2415" s="41">
        <v>4</v>
      </c>
      <c r="CW2415" s="41">
        <v>0.11332468572476186</v>
      </c>
      <c r="CX2415" s="41" t="e">
        <v>#N/A</v>
      </c>
      <c r="CY2415" s="41" t="e">
        <v>#N/A</v>
      </c>
      <c r="CZ2415" s="47" t="e">
        <v>#N/A</v>
      </c>
      <c r="DA2415">
        <v>0.11332468572476186</v>
      </c>
      <c r="DB2415" t="str">
        <v/>
      </c>
    </row>
    <row r="2416" spans="83:106" x14ac:dyDescent="0.2">
      <c r="CE2416"/>
      <c r="CF2416"/>
      <c r="CG2416"/>
      <c r="CH2416"/>
      <c r="CI2416"/>
      <c r="CU2416" s="21">
        <v>2411</v>
      </c>
      <c r="CV2416" s="41">
        <v>4</v>
      </c>
      <c r="CW2416" s="41">
        <v>0.11332468572476186</v>
      </c>
      <c r="CX2416" s="41" t="e">
        <v>#N/A</v>
      </c>
      <c r="CY2416" s="41" t="e">
        <v>#N/A</v>
      </c>
      <c r="CZ2416" s="47" t="e">
        <v>#N/A</v>
      </c>
      <c r="DA2416">
        <v>0.11332468572476186</v>
      </c>
      <c r="DB2416" t="str">
        <v/>
      </c>
    </row>
    <row r="2417" spans="83:106" x14ac:dyDescent="0.2">
      <c r="CE2417"/>
      <c r="CF2417"/>
      <c r="CG2417"/>
      <c r="CH2417"/>
      <c r="CI2417"/>
      <c r="CU2417" s="21">
        <v>2412</v>
      </c>
      <c r="CV2417" s="41">
        <v>4</v>
      </c>
      <c r="CW2417" s="41">
        <v>0.11332468572476186</v>
      </c>
      <c r="CX2417" s="41" t="e">
        <v>#N/A</v>
      </c>
      <c r="CY2417" s="41" t="e">
        <v>#N/A</v>
      </c>
      <c r="CZ2417" s="47" t="e">
        <v>#N/A</v>
      </c>
      <c r="DA2417">
        <v>0.11332468572476186</v>
      </c>
      <c r="DB2417" t="str">
        <v/>
      </c>
    </row>
    <row r="2418" spans="83:106" x14ac:dyDescent="0.2">
      <c r="CE2418"/>
      <c r="CF2418"/>
      <c r="CG2418"/>
      <c r="CH2418"/>
      <c r="CI2418"/>
      <c r="CU2418" s="21">
        <v>2413</v>
      </c>
      <c r="CV2418" s="41">
        <v>4</v>
      </c>
      <c r="CW2418" s="41">
        <v>0.11332468572476186</v>
      </c>
      <c r="CX2418" s="41" t="e">
        <v>#N/A</v>
      </c>
      <c r="CY2418" s="41" t="e">
        <v>#N/A</v>
      </c>
      <c r="CZ2418" s="47" t="e">
        <v>#N/A</v>
      </c>
      <c r="DA2418">
        <v>0.11332468572476186</v>
      </c>
      <c r="DB2418" t="str">
        <v/>
      </c>
    </row>
    <row r="2419" spans="83:106" x14ac:dyDescent="0.2">
      <c r="CE2419"/>
      <c r="CF2419"/>
      <c r="CG2419"/>
      <c r="CH2419"/>
      <c r="CI2419"/>
      <c r="CU2419" s="21">
        <v>2414</v>
      </c>
      <c r="CV2419" s="41">
        <v>4</v>
      </c>
      <c r="CW2419" s="41">
        <v>0.11332468572476186</v>
      </c>
      <c r="CX2419" s="41" t="e">
        <v>#N/A</v>
      </c>
      <c r="CY2419" s="41" t="e">
        <v>#N/A</v>
      </c>
      <c r="CZ2419" s="47" t="e">
        <v>#N/A</v>
      </c>
      <c r="DA2419">
        <v>0.11332468572476186</v>
      </c>
      <c r="DB2419" t="str">
        <v/>
      </c>
    </row>
    <row r="2420" spans="83:106" x14ac:dyDescent="0.2">
      <c r="CE2420"/>
      <c r="CF2420"/>
      <c r="CG2420"/>
      <c r="CH2420"/>
      <c r="CI2420"/>
      <c r="CU2420" s="21">
        <v>2415</v>
      </c>
      <c r="CV2420" s="41">
        <v>4</v>
      </c>
      <c r="CW2420" s="41">
        <v>0.11332468572476186</v>
      </c>
      <c r="CX2420" s="41" t="e">
        <v>#N/A</v>
      </c>
      <c r="CY2420" s="41" t="e">
        <v>#N/A</v>
      </c>
      <c r="CZ2420" s="47" t="e">
        <v>#N/A</v>
      </c>
      <c r="DA2420">
        <v>0.11332468572476186</v>
      </c>
      <c r="DB2420" t="str">
        <v/>
      </c>
    </row>
    <row r="2421" spans="83:106" x14ac:dyDescent="0.2">
      <c r="CE2421"/>
      <c r="CF2421"/>
      <c r="CG2421"/>
      <c r="CH2421"/>
      <c r="CI2421"/>
      <c r="CU2421" s="21">
        <v>2416</v>
      </c>
      <c r="CV2421" s="41">
        <v>4</v>
      </c>
      <c r="CW2421" s="41">
        <v>0.11332468572476186</v>
      </c>
      <c r="CX2421" s="41" t="e">
        <v>#N/A</v>
      </c>
      <c r="CY2421" s="41" t="e">
        <v>#N/A</v>
      </c>
      <c r="CZ2421" s="47" t="e">
        <v>#N/A</v>
      </c>
      <c r="DA2421">
        <v>0.11332468572476186</v>
      </c>
      <c r="DB2421" t="str">
        <v/>
      </c>
    </row>
    <row r="2422" spans="83:106" x14ac:dyDescent="0.2">
      <c r="CE2422"/>
      <c r="CF2422"/>
      <c r="CG2422"/>
      <c r="CH2422"/>
      <c r="CI2422"/>
      <c r="CU2422" s="21">
        <v>2417</v>
      </c>
      <c r="CV2422" s="41">
        <v>4</v>
      </c>
      <c r="CW2422" s="41">
        <v>0.11332468572476186</v>
      </c>
      <c r="CX2422" s="41" t="e">
        <v>#N/A</v>
      </c>
      <c r="CY2422" s="41" t="e">
        <v>#N/A</v>
      </c>
      <c r="CZ2422" s="47" t="e">
        <v>#N/A</v>
      </c>
      <c r="DA2422">
        <v>0.11332468572476186</v>
      </c>
      <c r="DB2422" t="str">
        <v/>
      </c>
    </row>
    <row r="2423" spans="83:106" x14ac:dyDescent="0.2">
      <c r="CE2423"/>
      <c r="CF2423"/>
      <c r="CG2423"/>
      <c r="CH2423"/>
      <c r="CI2423"/>
      <c r="CU2423" s="21">
        <v>2418</v>
      </c>
      <c r="CV2423" s="41">
        <v>4</v>
      </c>
      <c r="CW2423" s="41">
        <v>0.11332468572476186</v>
      </c>
      <c r="CX2423" s="41" t="e">
        <v>#N/A</v>
      </c>
      <c r="CY2423" s="41" t="e">
        <v>#N/A</v>
      </c>
      <c r="CZ2423" s="47" t="e">
        <v>#N/A</v>
      </c>
      <c r="DA2423">
        <v>0.11332468572476186</v>
      </c>
      <c r="DB2423" t="str">
        <v/>
      </c>
    </row>
    <row r="2424" spans="83:106" x14ac:dyDescent="0.2">
      <c r="CE2424"/>
      <c r="CF2424"/>
      <c r="CG2424"/>
      <c r="CH2424"/>
      <c r="CI2424"/>
      <c r="CU2424" s="21">
        <v>2419</v>
      </c>
      <c r="CV2424" s="41">
        <v>4</v>
      </c>
      <c r="CW2424" s="41">
        <v>0.11332468572476186</v>
      </c>
      <c r="CX2424" s="41" t="e">
        <v>#N/A</v>
      </c>
      <c r="CY2424" s="41" t="e">
        <v>#N/A</v>
      </c>
      <c r="CZ2424" s="47" t="e">
        <v>#N/A</v>
      </c>
      <c r="DA2424">
        <v>0.11332468572476186</v>
      </c>
      <c r="DB2424" t="str">
        <v/>
      </c>
    </row>
    <row r="2425" spans="83:106" x14ac:dyDescent="0.2">
      <c r="CE2425"/>
      <c r="CF2425"/>
      <c r="CG2425"/>
      <c r="CH2425"/>
      <c r="CI2425"/>
      <c r="CU2425" s="21">
        <v>2420</v>
      </c>
      <c r="CV2425" s="41">
        <v>4</v>
      </c>
      <c r="CW2425" s="41">
        <v>0.11332468572476186</v>
      </c>
      <c r="CX2425" s="41" t="e">
        <v>#N/A</v>
      </c>
      <c r="CY2425" s="41" t="e">
        <v>#N/A</v>
      </c>
      <c r="CZ2425" s="47" t="e">
        <v>#N/A</v>
      </c>
      <c r="DA2425">
        <v>0.11332468572476186</v>
      </c>
      <c r="DB2425" t="str">
        <v/>
      </c>
    </row>
    <row r="2426" spans="83:106" x14ac:dyDescent="0.2">
      <c r="CE2426"/>
      <c r="CF2426"/>
      <c r="CG2426"/>
      <c r="CH2426"/>
      <c r="CI2426"/>
      <c r="CU2426" s="21">
        <v>2421</v>
      </c>
      <c r="CV2426" s="41">
        <v>4</v>
      </c>
      <c r="CW2426" s="41">
        <v>0.11332468572476186</v>
      </c>
      <c r="CX2426" s="41" t="e">
        <v>#N/A</v>
      </c>
      <c r="CY2426" s="41" t="e">
        <v>#N/A</v>
      </c>
      <c r="CZ2426" s="47" t="e">
        <v>#N/A</v>
      </c>
      <c r="DA2426">
        <v>0.11332468572476186</v>
      </c>
      <c r="DB2426" t="str">
        <v/>
      </c>
    </row>
    <row r="2427" spans="83:106" x14ac:dyDescent="0.2">
      <c r="CE2427"/>
      <c r="CF2427"/>
      <c r="CG2427"/>
      <c r="CH2427"/>
      <c r="CI2427"/>
      <c r="CU2427" s="21">
        <v>2422</v>
      </c>
      <c r="CV2427" s="41">
        <v>4</v>
      </c>
      <c r="CW2427" s="41">
        <v>0.11332468572476186</v>
      </c>
      <c r="CX2427" s="41" t="e">
        <v>#N/A</v>
      </c>
      <c r="CY2427" s="41" t="e">
        <v>#N/A</v>
      </c>
      <c r="CZ2427" s="47" t="e">
        <v>#N/A</v>
      </c>
      <c r="DA2427">
        <v>0.11332468572476186</v>
      </c>
      <c r="DB2427" t="str">
        <v/>
      </c>
    </row>
    <row r="2428" spans="83:106" x14ac:dyDescent="0.2">
      <c r="CE2428"/>
      <c r="CF2428"/>
      <c r="CG2428"/>
      <c r="CH2428"/>
      <c r="CI2428"/>
      <c r="CU2428" s="21">
        <v>2423</v>
      </c>
      <c r="CV2428" s="41">
        <v>4</v>
      </c>
      <c r="CW2428" s="41">
        <v>0.11332468572476186</v>
      </c>
      <c r="CX2428" s="41" t="e">
        <v>#N/A</v>
      </c>
      <c r="CY2428" s="41" t="e">
        <v>#N/A</v>
      </c>
      <c r="CZ2428" s="47" t="e">
        <v>#N/A</v>
      </c>
      <c r="DA2428">
        <v>0.11332468572476186</v>
      </c>
      <c r="DB2428" t="str">
        <v/>
      </c>
    </row>
    <row r="2429" spans="83:106" x14ac:dyDescent="0.2">
      <c r="CE2429"/>
      <c r="CF2429"/>
      <c r="CG2429"/>
      <c r="CH2429"/>
      <c r="CI2429"/>
      <c r="CU2429" s="21">
        <v>2424</v>
      </c>
      <c r="CV2429" s="41">
        <v>4</v>
      </c>
      <c r="CW2429" s="41">
        <v>0.11332468572476186</v>
      </c>
      <c r="CX2429" s="41" t="e">
        <v>#N/A</v>
      </c>
      <c r="CY2429" s="41" t="e">
        <v>#N/A</v>
      </c>
      <c r="CZ2429" s="47" t="e">
        <v>#N/A</v>
      </c>
      <c r="DA2429">
        <v>0.11332468572476186</v>
      </c>
      <c r="DB2429" t="str">
        <v/>
      </c>
    </row>
    <row r="2430" spans="83:106" x14ac:dyDescent="0.2">
      <c r="CE2430"/>
      <c r="CF2430"/>
      <c r="CG2430"/>
      <c r="CH2430"/>
      <c r="CI2430"/>
      <c r="CU2430" s="21">
        <v>2425</v>
      </c>
      <c r="CV2430" s="41">
        <v>4</v>
      </c>
      <c r="CW2430" s="41">
        <v>0.11332468572476186</v>
      </c>
      <c r="CX2430" s="41" t="e">
        <v>#N/A</v>
      </c>
      <c r="CY2430" s="41" t="e">
        <v>#N/A</v>
      </c>
      <c r="CZ2430" s="47" t="e">
        <v>#N/A</v>
      </c>
      <c r="DA2430">
        <v>0.11332468572476186</v>
      </c>
      <c r="DB2430" t="str">
        <v/>
      </c>
    </row>
    <row r="2431" spans="83:106" x14ac:dyDescent="0.2">
      <c r="CE2431"/>
      <c r="CF2431"/>
      <c r="CG2431"/>
      <c r="CH2431"/>
      <c r="CI2431"/>
      <c r="CU2431" s="21">
        <v>2426</v>
      </c>
      <c r="CV2431" s="41">
        <v>4</v>
      </c>
      <c r="CW2431" s="41">
        <v>0.11332468572476186</v>
      </c>
      <c r="CX2431" s="41" t="e">
        <v>#N/A</v>
      </c>
      <c r="CY2431" s="41" t="e">
        <v>#N/A</v>
      </c>
      <c r="CZ2431" s="47" t="e">
        <v>#N/A</v>
      </c>
      <c r="DA2431">
        <v>0.11332468572476186</v>
      </c>
      <c r="DB2431" t="str">
        <v/>
      </c>
    </row>
    <row r="2432" spans="83:106" x14ac:dyDescent="0.2">
      <c r="CE2432"/>
      <c r="CF2432"/>
      <c r="CG2432"/>
      <c r="CH2432"/>
      <c r="CI2432"/>
      <c r="CU2432" s="21">
        <v>2427</v>
      </c>
      <c r="CV2432" s="41">
        <v>4</v>
      </c>
      <c r="CW2432" s="41">
        <v>0.11332468572476186</v>
      </c>
      <c r="CX2432" s="41" t="e">
        <v>#N/A</v>
      </c>
      <c r="CY2432" s="41" t="e">
        <v>#N/A</v>
      </c>
      <c r="CZ2432" s="47" t="e">
        <v>#N/A</v>
      </c>
      <c r="DA2432">
        <v>0.11332468572476186</v>
      </c>
      <c r="DB2432" t="str">
        <v/>
      </c>
    </row>
    <row r="2433" spans="83:106" x14ac:dyDescent="0.2">
      <c r="CE2433"/>
      <c r="CF2433"/>
      <c r="CG2433"/>
      <c r="CH2433"/>
      <c r="CI2433"/>
      <c r="CU2433" s="21">
        <v>2428</v>
      </c>
      <c r="CV2433" s="41">
        <v>4</v>
      </c>
      <c r="CW2433" s="41">
        <v>0.11332468572476186</v>
      </c>
      <c r="CX2433" s="41" t="e">
        <v>#N/A</v>
      </c>
      <c r="CY2433" s="41" t="e">
        <v>#N/A</v>
      </c>
      <c r="CZ2433" s="47" t="e">
        <v>#N/A</v>
      </c>
      <c r="DA2433">
        <v>0.11332468572476186</v>
      </c>
      <c r="DB2433" t="str">
        <v/>
      </c>
    </row>
    <row r="2434" spans="83:106" x14ac:dyDescent="0.2">
      <c r="CE2434"/>
      <c r="CF2434"/>
      <c r="CG2434"/>
      <c r="CH2434"/>
      <c r="CI2434"/>
      <c r="CU2434" s="21">
        <v>2429</v>
      </c>
      <c r="CV2434" s="41">
        <v>4</v>
      </c>
      <c r="CW2434" s="41">
        <v>0.11332468572476186</v>
      </c>
      <c r="CX2434" s="41" t="e">
        <v>#N/A</v>
      </c>
      <c r="CY2434" s="41" t="e">
        <v>#N/A</v>
      </c>
      <c r="CZ2434" s="47" t="e">
        <v>#N/A</v>
      </c>
      <c r="DA2434">
        <v>0.11332468572476186</v>
      </c>
      <c r="DB2434" t="str">
        <v/>
      </c>
    </row>
    <row r="2435" spans="83:106" x14ac:dyDescent="0.2">
      <c r="CE2435"/>
      <c r="CF2435"/>
      <c r="CG2435"/>
      <c r="CH2435"/>
      <c r="CI2435"/>
      <c r="CU2435" s="21">
        <v>2430</v>
      </c>
      <c r="CV2435" s="41">
        <v>4</v>
      </c>
      <c r="CW2435" s="41">
        <v>0.11332468572476186</v>
      </c>
      <c r="CX2435" s="41" t="e">
        <v>#N/A</v>
      </c>
      <c r="CY2435" s="41" t="e">
        <v>#N/A</v>
      </c>
      <c r="CZ2435" s="47" t="e">
        <v>#N/A</v>
      </c>
      <c r="DA2435">
        <v>0.11332468572476186</v>
      </c>
      <c r="DB2435" t="str">
        <v/>
      </c>
    </row>
    <row r="2436" spans="83:106" x14ac:dyDescent="0.2">
      <c r="CE2436"/>
      <c r="CF2436"/>
      <c r="CG2436"/>
      <c r="CH2436"/>
      <c r="CI2436"/>
      <c r="CU2436" s="21">
        <v>2431</v>
      </c>
      <c r="CV2436" s="41">
        <v>4</v>
      </c>
      <c r="CW2436" s="41">
        <v>0.11332468572476186</v>
      </c>
      <c r="CX2436" s="41" t="e">
        <v>#N/A</v>
      </c>
      <c r="CY2436" s="41" t="e">
        <v>#N/A</v>
      </c>
      <c r="CZ2436" s="47" t="e">
        <v>#N/A</v>
      </c>
      <c r="DA2436">
        <v>0.11332468572476186</v>
      </c>
      <c r="DB2436" t="str">
        <v/>
      </c>
    </row>
    <row r="2437" spans="83:106" x14ac:dyDescent="0.2">
      <c r="CE2437"/>
      <c r="CF2437"/>
      <c r="CG2437"/>
      <c r="CH2437"/>
      <c r="CI2437"/>
      <c r="CU2437" s="21">
        <v>2432</v>
      </c>
      <c r="CV2437" s="41">
        <v>4</v>
      </c>
      <c r="CW2437" s="41">
        <v>0.11332468572476186</v>
      </c>
      <c r="CX2437" s="41" t="e">
        <v>#N/A</v>
      </c>
      <c r="CY2437" s="41" t="e">
        <v>#N/A</v>
      </c>
      <c r="CZ2437" s="47" t="e">
        <v>#N/A</v>
      </c>
      <c r="DA2437">
        <v>0.11332468572476186</v>
      </c>
      <c r="DB2437" t="str">
        <v/>
      </c>
    </row>
    <row r="2438" spans="83:106" x14ac:dyDescent="0.2">
      <c r="CE2438"/>
      <c r="CF2438"/>
      <c r="CG2438"/>
      <c r="CH2438"/>
      <c r="CI2438"/>
      <c r="CU2438" s="21">
        <v>2433</v>
      </c>
      <c r="CV2438" s="41">
        <v>4</v>
      </c>
      <c r="CW2438" s="41">
        <v>0.11332468572476186</v>
      </c>
      <c r="CX2438" s="41" t="e">
        <v>#N/A</v>
      </c>
      <c r="CY2438" s="41" t="e">
        <v>#N/A</v>
      </c>
      <c r="CZ2438" s="47" t="e">
        <v>#N/A</v>
      </c>
      <c r="DA2438">
        <v>0.11332468572476186</v>
      </c>
      <c r="DB2438" t="str">
        <v/>
      </c>
    </row>
    <row r="2439" spans="83:106" x14ac:dyDescent="0.2">
      <c r="CE2439"/>
      <c r="CF2439"/>
      <c r="CG2439"/>
      <c r="CH2439"/>
      <c r="CI2439"/>
      <c r="CU2439" s="21">
        <v>2434</v>
      </c>
      <c r="CV2439" s="41">
        <v>4</v>
      </c>
      <c r="CW2439" s="41">
        <v>0.11332468572476186</v>
      </c>
      <c r="CX2439" s="41" t="e">
        <v>#N/A</v>
      </c>
      <c r="CY2439" s="41" t="e">
        <v>#N/A</v>
      </c>
      <c r="CZ2439" s="47" t="e">
        <v>#N/A</v>
      </c>
      <c r="DA2439">
        <v>0.11332468572476186</v>
      </c>
      <c r="DB2439" t="str">
        <v/>
      </c>
    </row>
    <row r="2440" spans="83:106" x14ac:dyDescent="0.2">
      <c r="CE2440"/>
      <c r="CF2440"/>
      <c r="CG2440"/>
      <c r="CH2440"/>
      <c r="CI2440"/>
      <c r="CU2440" s="21">
        <v>2435</v>
      </c>
      <c r="CV2440" s="41">
        <v>4</v>
      </c>
      <c r="CW2440" s="41">
        <v>0.11332468572476186</v>
      </c>
      <c r="CX2440" s="41" t="e">
        <v>#N/A</v>
      </c>
      <c r="CY2440" s="41" t="e">
        <v>#N/A</v>
      </c>
      <c r="CZ2440" s="47" t="e">
        <v>#N/A</v>
      </c>
      <c r="DA2440">
        <v>0.11332468572476186</v>
      </c>
      <c r="DB2440" t="str">
        <v/>
      </c>
    </row>
    <row r="2441" spans="83:106" x14ac:dyDescent="0.2">
      <c r="CE2441"/>
      <c r="CF2441"/>
      <c r="CG2441"/>
      <c r="CH2441"/>
      <c r="CI2441"/>
      <c r="CU2441" s="21">
        <v>2436</v>
      </c>
      <c r="CV2441" s="41">
        <v>4</v>
      </c>
      <c r="CW2441" s="41">
        <v>0.11332468572476186</v>
      </c>
      <c r="CX2441" s="41" t="e">
        <v>#N/A</v>
      </c>
      <c r="CY2441" s="41" t="e">
        <v>#N/A</v>
      </c>
      <c r="CZ2441" s="47" t="e">
        <v>#N/A</v>
      </c>
      <c r="DA2441">
        <v>0.11332468572476186</v>
      </c>
      <c r="DB2441" t="str">
        <v/>
      </c>
    </row>
    <row r="2442" spans="83:106" x14ac:dyDescent="0.2">
      <c r="CE2442"/>
      <c r="CF2442"/>
      <c r="CG2442"/>
      <c r="CH2442"/>
      <c r="CI2442"/>
      <c r="CU2442" s="21">
        <v>2437</v>
      </c>
      <c r="CV2442" s="41">
        <v>4</v>
      </c>
      <c r="CW2442" s="41">
        <v>0.11332468572476186</v>
      </c>
      <c r="CX2442" s="41" t="e">
        <v>#N/A</v>
      </c>
      <c r="CY2442" s="41" t="e">
        <v>#N/A</v>
      </c>
      <c r="CZ2442" s="47" t="e">
        <v>#N/A</v>
      </c>
      <c r="DA2442">
        <v>0.11332468572476186</v>
      </c>
      <c r="DB2442" t="str">
        <v/>
      </c>
    </row>
    <row r="2443" spans="83:106" x14ac:dyDescent="0.2">
      <c r="CE2443"/>
      <c r="CF2443"/>
      <c r="CG2443"/>
      <c r="CH2443"/>
      <c r="CI2443"/>
      <c r="CU2443" s="21">
        <v>2438</v>
      </c>
      <c r="CV2443" s="41">
        <v>4</v>
      </c>
      <c r="CW2443" s="41">
        <v>0.11332468572476186</v>
      </c>
      <c r="CX2443" s="41" t="e">
        <v>#N/A</v>
      </c>
      <c r="CY2443" s="41" t="e">
        <v>#N/A</v>
      </c>
      <c r="CZ2443" s="47" t="e">
        <v>#N/A</v>
      </c>
      <c r="DA2443">
        <v>0.11332468572476186</v>
      </c>
      <c r="DB2443" t="str">
        <v/>
      </c>
    </row>
    <row r="2444" spans="83:106" x14ac:dyDescent="0.2">
      <c r="CE2444"/>
      <c r="CF2444"/>
      <c r="CG2444"/>
      <c r="CH2444"/>
      <c r="CI2444"/>
      <c r="CU2444" s="21">
        <v>2439</v>
      </c>
      <c r="CV2444" s="41">
        <v>4</v>
      </c>
      <c r="CW2444" s="41">
        <v>0.11332468572476186</v>
      </c>
      <c r="CX2444" s="41" t="e">
        <v>#N/A</v>
      </c>
      <c r="CY2444" s="41" t="e">
        <v>#N/A</v>
      </c>
      <c r="CZ2444" s="47" t="e">
        <v>#N/A</v>
      </c>
      <c r="DA2444">
        <v>0.11332468572476186</v>
      </c>
      <c r="DB2444" t="str">
        <v/>
      </c>
    </row>
    <row r="2445" spans="83:106" x14ac:dyDescent="0.2">
      <c r="CE2445"/>
      <c r="CF2445"/>
      <c r="CG2445"/>
      <c r="CH2445"/>
      <c r="CI2445"/>
      <c r="CU2445" s="21">
        <v>2440</v>
      </c>
      <c r="CV2445" s="41">
        <v>4</v>
      </c>
      <c r="CW2445" s="41">
        <v>0.11332468572476186</v>
      </c>
      <c r="CX2445" s="41" t="e">
        <v>#N/A</v>
      </c>
      <c r="CY2445" s="41" t="e">
        <v>#N/A</v>
      </c>
      <c r="CZ2445" s="47" t="e">
        <v>#N/A</v>
      </c>
      <c r="DA2445">
        <v>0.11332468572476186</v>
      </c>
      <c r="DB2445" t="str">
        <v/>
      </c>
    </row>
    <row r="2446" spans="83:106" x14ac:dyDescent="0.2">
      <c r="CE2446"/>
      <c r="CF2446"/>
      <c r="CG2446"/>
      <c r="CH2446"/>
      <c r="CI2446"/>
      <c r="CU2446" s="21">
        <v>2441</v>
      </c>
      <c r="CV2446" s="41">
        <v>4</v>
      </c>
      <c r="CW2446" s="41">
        <v>0.11332468572476186</v>
      </c>
      <c r="CX2446" s="41" t="e">
        <v>#N/A</v>
      </c>
      <c r="CY2446" s="41" t="e">
        <v>#N/A</v>
      </c>
      <c r="CZ2446" s="47" t="e">
        <v>#N/A</v>
      </c>
      <c r="DA2446">
        <v>0.11332468572476186</v>
      </c>
      <c r="DB2446" t="str">
        <v/>
      </c>
    </row>
    <row r="2447" spans="83:106" x14ac:dyDescent="0.2">
      <c r="CE2447"/>
      <c r="CF2447"/>
      <c r="CG2447"/>
      <c r="CH2447"/>
      <c r="CI2447"/>
      <c r="CU2447" s="21">
        <v>2442</v>
      </c>
      <c r="CV2447" s="41">
        <v>4</v>
      </c>
      <c r="CW2447" s="41">
        <v>0.11332468572476186</v>
      </c>
      <c r="CX2447" s="41" t="e">
        <v>#N/A</v>
      </c>
      <c r="CY2447" s="41" t="e">
        <v>#N/A</v>
      </c>
      <c r="CZ2447" s="47" t="e">
        <v>#N/A</v>
      </c>
      <c r="DA2447">
        <v>0.11332468572476186</v>
      </c>
      <c r="DB2447" t="str">
        <v/>
      </c>
    </row>
    <row r="2448" spans="83:106" x14ac:dyDescent="0.2">
      <c r="CE2448"/>
      <c r="CF2448"/>
      <c r="CG2448"/>
      <c r="CH2448"/>
      <c r="CI2448"/>
      <c r="CU2448" s="21">
        <v>2443</v>
      </c>
      <c r="CV2448" s="41">
        <v>4</v>
      </c>
      <c r="CW2448" s="41">
        <v>0.11332468572476186</v>
      </c>
      <c r="CX2448" s="41" t="e">
        <v>#N/A</v>
      </c>
      <c r="CY2448" s="41" t="e">
        <v>#N/A</v>
      </c>
      <c r="CZ2448" s="47" t="e">
        <v>#N/A</v>
      </c>
      <c r="DA2448">
        <v>0.11332468572476186</v>
      </c>
      <c r="DB2448" t="str">
        <v/>
      </c>
    </row>
    <row r="2449" spans="83:106" x14ac:dyDescent="0.2">
      <c r="CE2449"/>
      <c r="CF2449"/>
      <c r="CG2449"/>
      <c r="CH2449"/>
      <c r="CI2449"/>
      <c r="CU2449" s="21">
        <v>2444</v>
      </c>
      <c r="CV2449" s="41">
        <v>4</v>
      </c>
      <c r="CW2449" s="41">
        <v>0.11332468572476186</v>
      </c>
      <c r="CX2449" s="41" t="e">
        <v>#N/A</v>
      </c>
      <c r="CY2449" s="41" t="e">
        <v>#N/A</v>
      </c>
      <c r="CZ2449" s="47" t="e">
        <v>#N/A</v>
      </c>
      <c r="DA2449">
        <v>0.11332468572476186</v>
      </c>
      <c r="DB2449" t="str">
        <v/>
      </c>
    </row>
    <row r="2450" spans="83:106" x14ac:dyDescent="0.2">
      <c r="CE2450"/>
      <c r="CF2450"/>
      <c r="CG2450"/>
      <c r="CH2450"/>
      <c r="CI2450"/>
      <c r="CU2450" s="21">
        <v>2445</v>
      </c>
      <c r="CV2450" s="41">
        <v>4</v>
      </c>
      <c r="CW2450" s="41">
        <v>0.11332468572476186</v>
      </c>
      <c r="CX2450" s="41" t="e">
        <v>#N/A</v>
      </c>
      <c r="CY2450" s="41" t="e">
        <v>#N/A</v>
      </c>
      <c r="CZ2450" s="47" t="e">
        <v>#N/A</v>
      </c>
      <c r="DA2450">
        <v>0.11332468572476186</v>
      </c>
      <c r="DB2450" t="str">
        <v/>
      </c>
    </row>
    <row r="2451" spans="83:106" x14ac:dyDescent="0.2">
      <c r="CE2451"/>
      <c r="CF2451"/>
      <c r="CG2451"/>
      <c r="CH2451"/>
      <c r="CI2451"/>
      <c r="CU2451" s="21">
        <v>2446</v>
      </c>
      <c r="CV2451" s="41">
        <v>4</v>
      </c>
      <c r="CW2451" s="41">
        <v>0.11332468572476186</v>
      </c>
      <c r="CX2451" s="41" t="e">
        <v>#N/A</v>
      </c>
      <c r="CY2451" s="41" t="e">
        <v>#N/A</v>
      </c>
      <c r="CZ2451" s="47" t="e">
        <v>#N/A</v>
      </c>
      <c r="DA2451">
        <v>0.11332468572476186</v>
      </c>
      <c r="DB2451" t="str">
        <v/>
      </c>
    </row>
    <row r="2452" spans="83:106" x14ac:dyDescent="0.2">
      <c r="CE2452"/>
      <c r="CF2452"/>
      <c r="CG2452"/>
      <c r="CH2452"/>
      <c r="CI2452"/>
      <c r="CU2452" s="21">
        <v>2447</v>
      </c>
      <c r="CV2452" s="41">
        <v>4</v>
      </c>
      <c r="CW2452" s="41">
        <v>0.11332468572476186</v>
      </c>
      <c r="CX2452" s="41" t="e">
        <v>#N/A</v>
      </c>
      <c r="CY2452" s="41" t="e">
        <v>#N/A</v>
      </c>
      <c r="CZ2452" s="47" t="e">
        <v>#N/A</v>
      </c>
      <c r="DA2452">
        <v>0.11332468572476186</v>
      </c>
      <c r="DB2452" t="str">
        <v/>
      </c>
    </row>
    <row r="2453" spans="83:106" x14ac:dyDescent="0.2">
      <c r="CE2453"/>
      <c r="CF2453"/>
      <c r="CG2453"/>
      <c r="CH2453"/>
      <c r="CI2453"/>
      <c r="CU2453" s="21">
        <v>2448</v>
      </c>
      <c r="CV2453" s="41">
        <v>4</v>
      </c>
      <c r="CW2453" s="41">
        <v>0.11332468572476186</v>
      </c>
      <c r="CX2453" s="41" t="e">
        <v>#N/A</v>
      </c>
      <c r="CY2453" s="41" t="e">
        <v>#N/A</v>
      </c>
      <c r="CZ2453" s="47" t="e">
        <v>#N/A</v>
      </c>
      <c r="DA2453">
        <v>0.11332468572476186</v>
      </c>
      <c r="DB2453" t="str">
        <v/>
      </c>
    </row>
    <row r="2454" spans="83:106" x14ac:dyDescent="0.2">
      <c r="CE2454"/>
      <c r="CF2454"/>
      <c r="CG2454"/>
      <c r="CH2454"/>
      <c r="CI2454"/>
      <c r="CU2454" s="21">
        <v>2449</v>
      </c>
      <c r="CV2454" s="41">
        <v>4</v>
      </c>
      <c r="CW2454" s="41">
        <v>0.11332468572476186</v>
      </c>
      <c r="CX2454" s="41" t="e">
        <v>#N/A</v>
      </c>
      <c r="CY2454" s="41" t="e">
        <v>#N/A</v>
      </c>
      <c r="CZ2454" s="47" t="e">
        <v>#N/A</v>
      </c>
      <c r="DA2454">
        <v>0.11332468572476186</v>
      </c>
      <c r="DB2454" t="str">
        <v/>
      </c>
    </row>
    <row r="2455" spans="83:106" x14ac:dyDescent="0.2">
      <c r="CE2455"/>
      <c r="CF2455"/>
      <c r="CG2455"/>
      <c r="CH2455"/>
      <c r="CI2455"/>
      <c r="CU2455" s="21">
        <v>2450</v>
      </c>
      <c r="CV2455" s="41">
        <v>4</v>
      </c>
      <c r="CW2455" s="41">
        <v>0.11332468572476186</v>
      </c>
      <c r="CX2455" s="41" t="e">
        <v>#N/A</v>
      </c>
      <c r="CY2455" s="41" t="e">
        <v>#N/A</v>
      </c>
      <c r="CZ2455" s="47" t="e">
        <v>#N/A</v>
      </c>
      <c r="DA2455">
        <v>0.11332468572476186</v>
      </c>
      <c r="DB2455" t="str">
        <v/>
      </c>
    </row>
    <row r="2456" spans="83:106" x14ac:dyDescent="0.2">
      <c r="CE2456"/>
      <c r="CF2456"/>
      <c r="CG2456"/>
      <c r="CH2456"/>
      <c r="CI2456"/>
      <c r="CU2456" s="21">
        <v>2451</v>
      </c>
      <c r="CV2456" s="41">
        <v>4</v>
      </c>
      <c r="CW2456" s="41">
        <v>0.11332468572476186</v>
      </c>
      <c r="CX2456" s="41" t="e">
        <v>#N/A</v>
      </c>
      <c r="CY2456" s="41" t="e">
        <v>#N/A</v>
      </c>
      <c r="CZ2456" s="47" t="e">
        <v>#N/A</v>
      </c>
      <c r="DA2456">
        <v>0.11332468572476186</v>
      </c>
      <c r="DB2456" t="str">
        <v/>
      </c>
    </row>
    <row r="2457" spans="83:106" x14ac:dyDescent="0.2">
      <c r="CE2457"/>
      <c r="CF2457"/>
      <c r="CG2457"/>
      <c r="CH2457"/>
      <c r="CI2457"/>
      <c r="CU2457" s="21">
        <v>2452</v>
      </c>
      <c r="CV2457" s="41">
        <v>4</v>
      </c>
      <c r="CW2457" s="41">
        <v>0.11332468572476186</v>
      </c>
      <c r="CX2457" s="41" t="e">
        <v>#N/A</v>
      </c>
      <c r="CY2457" s="41" t="e">
        <v>#N/A</v>
      </c>
      <c r="CZ2457" s="47" t="e">
        <v>#N/A</v>
      </c>
      <c r="DA2457">
        <v>0.11332468572476186</v>
      </c>
      <c r="DB2457" t="str">
        <v/>
      </c>
    </row>
    <row r="2458" spans="83:106" x14ac:dyDescent="0.2">
      <c r="CE2458"/>
      <c r="CF2458"/>
      <c r="CG2458"/>
      <c r="CH2458"/>
      <c r="CI2458"/>
      <c r="CU2458" s="21">
        <v>2453</v>
      </c>
      <c r="CV2458" s="41">
        <v>4</v>
      </c>
      <c r="CW2458" s="41">
        <v>0.11332468572476186</v>
      </c>
      <c r="CX2458" s="41" t="e">
        <v>#N/A</v>
      </c>
      <c r="CY2458" s="41" t="e">
        <v>#N/A</v>
      </c>
      <c r="CZ2458" s="47" t="e">
        <v>#N/A</v>
      </c>
      <c r="DA2458">
        <v>0.11332468572476186</v>
      </c>
      <c r="DB2458" t="str">
        <v/>
      </c>
    </row>
    <row r="2459" spans="83:106" x14ac:dyDescent="0.2">
      <c r="CE2459"/>
      <c r="CF2459"/>
      <c r="CG2459"/>
      <c r="CH2459"/>
      <c r="CI2459"/>
      <c r="CU2459" s="21">
        <v>2454</v>
      </c>
      <c r="CV2459" s="41">
        <v>4</v>
      </c>
      <c r="CW2459" s="41">
        <v>0.11332468572476186</v>
      </c>
      <c r="CX2459" s="41" t="e">
        <v>#N/A</v>
      </c>
      <c r="CY2459" s="41" t="e">
        <v>#N/A</v>
      </c>
      <c r="CZ2459" s="47" t="e">
        <v>#N/A</v>
      </c>
      <c r="DA2459">
        <v>0.11332468572476186</v>
      </c>
      <c r="DB2459" t="str">
        <v/>
      </c>
    </row>
    <row r="2460" spans="83:106" x14ac:dyDescent="0.2">
      <c r="CE2460"/>
      <c r="CF2460"/>
      <c r="CG2460"/>
      <c r="CH2460"/>
      <c r="CI2460"/>
      <c r="CU2460" s="21">
        <v>2455</v>
      </c>
      <c r="CV2460" s="41">
        <v>4</v>
      </c>
      <c r="CW2460" s="41">
        <v>0.11332468572476186</v>
      </c>
      <c r="CX2460" s="41" t="e">
        <v>#N/A</v>
      </c>
      <c r="CY2460" s="41" t="e">
        <v>#N/A</v>
      </c>
      <c r="CZ2460" s="47" t="e">
        <v>#N/A</v>
      </c>
      <c r="DA2460">
        <v>0.11332468572476186</v>
      </c>
      <c r="DB2460" t="str">
        <v/>
      </c>
    </row>
    <row r="2461" spans="83:106" x14ac:dyDescent="0.2">
      <c r="CE2461"/>
      <c r="CF2461"/>
      <c r="CG2461"/>
      <c r="CH2461"/>
      <c r="CI2461"/>
      <c r="CU2461" s="21">
        <v>2456</v>
      </c>
      <c r="CV2461" s="41">
        <v>4</v>
      </c>
      <c r="CW2461" s="41">
        <v>0.11332468572476186</v>
      </c>
      <c r="CX2461" s="41" t="e">
        <v>#N/A</v>
      </c>
      <c r="CY2461" s="41" t="e">
        <v>#N/A</v>
      </c>
      <c r="CZ2461" s="47" t="e">
        <v>#N/A</v>
      </c>
      <c r="DA2461">
        <v>0.11332468572476186</v>
      </c>
      <c r="DB2461" t="str">
        <v/>
      </c>
    </row>
    <row r="2462" spans="83:106" x14ac:dyDescent="0.2">
      <c r="CE2462"/>
      <c r="CF2462"/>
      <c r="CG2462"/>
      <c r="CH2462"/>
      <c r="CI2462"/>
      <c r="CU2462" s="21">
        <v>2457</v>
      </c>
      <c r="CV2462" s="41">
        <v>4</v>
      </c>
      <c r="CW2462" s="41">
        <v>0.11332468572476186</v>
      </c>
      <c r="CX2462" s="41" t="e">
        <v>#N/A</v>
      </c>
      <c r="CY2462" s="41" t="e">
        <v>#N/A</v>
      </c>
      <c r="CZ2462" s="47" t="e">
        <v>#N/A</v>
      </c>
      <c r="DA2462">
        <v>0.11332468572476186</v>
      </c>
      <c r="DB2462" t="str">
        <v/>
      </c>
    </row>
    <row r="2463" spans="83:106" x14ac:dyDescent="0.2">
      <c r="CE2463"/>
      <c r="CF2463"/>
      <c r="CG2463"/>
      <c r="CH2463"/>
      <c r="CI2463"/>
      <c r="CU2463" s="21">
        <v>2458</v>
      </c>
      <c r="CV2463" s="41">
        <v>4</v>
      </c>
      <c r="CW2463" s="41">
        <v>0.11332468572476186</v>
      </c>
      <c r="CX2463" s="41" t="e">
        <v>#N/A</v>
      </c>
      <c r="CY2463" s="41" t="e">
        <v>#N/A</v>
      </c>
      <c r="CZ2463" s="47" t="e">
        <v>#N/A</v>
      </c>
      <c r="DA2463">
        <v>0.11332468572476186</v>
      </c>
      <c r="DB2463" t="str">
        <v/>
      </c>
    </row>
    <row r="2464" spans="83:106" x14ac:dyDescent="0.2">
      <c r="CE2464"/>
      <c r="CF2464"/>
      <c r="CG2464"/>
      <c r="CH2464"/>
      <c r="CI2464"/>
      <c r="CU2464" s="21">
        <v>2459</v>
      </c>
      <c r="CV2464" s="41">
        <v>4</v>
      </c>
      <c r="CW2464" s="41">
        <v>0.11332468572476186</v>
      </c>
      <c r="CX2464" s="41" t="e">
        <v>#N/A</v>
      </c>
      <c r="CY2464" s="41" t="e">
        <v>#N/A</v>
      </c>
      <c r="CZ2464" s="47" t="e">
        <v>#N/A</v>
      </c>
      <c r="DA2464">
        <v>0.11332468572476186</v>
      </c>
      <c r="DB2464" t="str">
        <v/>
      </c>
    </row>
    <row r="2465" spans="83:106" x14ac:dyDescent="0.2">
      <c r="CE2465"/>
      <c r="CF2465"/>
      <c r="CG2465"/>
      <c r="CH2465"/>
      <c r="CI2465"/>
      <c r="CU2465" s="21">
        <v>2460</v>
      </c>
      <c r="CV2465" s="41">
        <v>4</v>
      </c>
      <c r="CW2465" s="41">
        <v>0.11332468572476186</v>
      </c>
      <c r="CX2465" s="41" t="e">
        <v>#N/A</v>
      </c>
      <c r="CY2465" s="41" t="e">
        <v>#N/A</v>
      </c>
      <c r="CZ2465" s="47" t="e">
        <v>#N/A</v>
      </c>
      <c r="DA2465">
        <v>0.11332468572476186</v>
      </c>
      <c r="DB2465" t="str">
        <v/>
      </c>
    </row>
    <row r="2466" spans="83:106" x14ac:dyDescent="0.2">
      <c r="CE2466"/>
      <c r="CF2466"/>
      <c r="CG2466"/>
      <c r="CH2466"/>
      <c r="CI2466"/>
      <c r="CU2466" s="21">
        <v>2461</v>
      </c>
      <c r="CV2466" s="41">
        <v>4</v>
      </c>
      <c r="CW2466" s="41">
        <v>0.11332468572476186</v>
      </c>
      <c r="CX2466" s="41" t="e">
        <v>#N/A</v>
      </c>
      <c r="CY2466" s="41" t="e">
        <v>#N/A</v>
      </c>
      <c r="CZ2466" s="47" t="e">
        <v>#N/A</v>
      </c>
      <c r="DA2466">
        <v>0.11332468572476186</v>
      </c>
      <c r="DB2466" t="str">
        <v/>
      </c>
    </row>
    <row r="2467" spans="83:106" x14ac:dyDescent="0.2">
      <c r="CE2467"/>
      <c r="CF2467"/>
      <c r="CG2467"/>
      <c r="CH2467"/>
      <c r="CI2467"/>
      <c r="CU2467" s="21">
        <v>2462</v>
      </c>
      <c r="CV2467" s="41">
        <v>4</v>
      </c>
      <c r="CW2467" s="41">
        <v>0.11332468572476186</v>
      </c>
      <c r="CX2467" s="41" t="e">
        <v>#N/A</v>
      </c>
      <c r="CY2467" s="41" t="e">
        <v>#N/A</v>
      </c>
      <c r="CZ2467" s="47" t="e">
        <v>#N/A</v>
      </c>
      <c r="DA2467">
        <v>0.11332468572476186</v>
      </c>
      <c r="DB2467" t="str">
        <v/>
      </c>
    </row>
    <row r="2468" spans="83:106" x14ac:dyDescent="0.2">
      <c r="CE2468"/>
      <c r="CF2468"/>
      <c r="CG2468"/>
      <c r="CH2468"/>
      <c r="CI2468"/>
      <c r="CU2468" s="21">
        <v>2463</v>
      </c>
      <c r="CV2468" s="41">
        <v>4</v>
      </c>
      <c r="CW2468" s="41">
        <v>0.11332468572476186</v>
      </c>
      <c r="CX2468" s="41" t="e">
        <v>#N/A</v>
      </c>
      <c r="CY2468" s="41" t="e">
        <v>#N/A</v>
      </c>
      <c r="CZ2468" s="47" t="e">
        <v>#N/A</v>
      </c>
      <c r="DA2468">
        <v>0.11332468572476186</v>
      </c>
      <c r="DB2468" t="str">
        <v/>
      </c>
    </row>
    <row r="2469" spans="83:106" x14ac:dyDescent="0.2">
      <c r="CE2469"/>
      <c r="CF2469"/>
      <c r="CG2469"/>
      <c r="CH2469"/>
      <c r="CI2469"/>
      <c r="CU2469" s="21">
        <v>2464</v>
      </c>
      <c r="CV2469" s="41">
        <v>4</v>
      </c>
      <c r="CW2469" s="41">
        <v>0.11332468572476186</v>
      </c>
      <c r="CX2469" s="41" t="e">
        <v>#N/A</v>
      </c>
      <c r="CY2469" s="41" t="e">
        <v>#N/A</v>
      </c>
      <c r="CZ2469" s="47" t="e">
        <v>#N/A</v>
      </c>
      <c r="DA2469">
        <v>0.11332468572476186</v>
      </c>
      <c r="DB2469" t="str">
        <v/>
      </c>
    </row>
    <row r="2470" spans="83:106" x14ac:dyDescent="0.2">
      <c r="CE2470"/>
      <c r="CF2470"/>
      <c r="CG2470"/>
      <c r="CH2470"/>
      <c r="CI2470"/>
      <c r="CU2470" s="21">
        <v>2465</v>
      </c>
      <c r="CV2470" s="41">
        <v>4</v>
      </c>
      <c r="CW2470" s="41">
        <v>0.11332468572476186</v>
      </c>
      <c r="CX2470" s="41" t="e">
        <v>#N/A</v>
      </c>
      <c r="CY2470" s="41" t="e">
        <v>#N/A</v>
      </c>
      <c r="CZ2470" s="47" t="e">
        <v>#N/A</v>
      </c>
      <c r="DA2470">
        <v>0.11332468572476186</v>
      </c>
      <c r="DB2470" t="str">
        <v/>
      </c>
    </row>
    <row r="2471" spans="83:106" x14ac:dyDescent="0.2">
      <c r="CE2471"/>
      <c r="CF2471"/>
      <c r="CG2471"/>
      <c r="CH2471"/>
      <c r="CI2471"/>
      <c r="CU2471" s="21">
        <v>2466</v>
      </c>
      <c r="CV2471" s="41">
        <v>4</v>
      </c>
      <c r="CW2471" s="41">
        <v>0.11332468572476186</v>
      </c>
      <c r="CX2471" s="41" t="e">
        <v>#N/A</v>
      </c>
      <c r="CY2471" s="41" t="e">
        <v>#N/A</v>
      </c>
      <c r="CZ2471" s="47" t="e">
        <v>#N/A</v>
      </c>
      <c r="DA2471">
        <v>0.11332468572476186</v>
      </c>
      <c r="DB2471" t="str">
        <v/>
      </c>
    </row>
    <row r="2472" spans="83:106" x14ac:dyDescent="0.2">
      <c r="CE2472"/>
      <c r="CF2472"/>
      <c r="CG2472"/>
      <c r="CH2472"/>
      <c r="CI2472"/>
      <c r="CU2472" s="21">
        <v>2467</v>
      </c>
      <c r="CV2472" s="41">
        <v>4</v>
      </c>
      <c r="CW2472" s="41">
        <v>0.11332468572476186</v>
      </c>
      <c r="CX2472" s="41" t="e">
        <v>#N/A</v>
      </c>
      <c r="CY2472" s="41" t="e">
        <v>#N/A</v>
      </c>
      <c r="CZ2472" s="47" t="e">
        <v>#N/A</v>
      </c>
      <c r="DA2472">
        <v>0.11332468572476186</v>
      </c>
      <c r="DB2472" t="str">
        <v/>
      </c>
    </row>
    <row r="2473" spans="83:106" x14ac:dyDescent="0.2">
      <c r="CE2473"/>
      <c r="CF2473"/>
      <c r="CG2473"/>
      <c r="CH2473"/>
      <c r="CI2473"/>
      <c r="CU2473" s="21">
        <v>2468</v>
      </c>
      <c r="CV2473" s="41">
        <v>4</v>
      </c>
      <c r="CW2473" s="41">
        <v>0.11332468572476186</v>
      </c>
      <c r="CX2473" s="41" t="e">
        <v>#N/A</v>
      </c>
      <c r="CY2473" s="41" t="e">
        <v>#N/A</v>
      </c>
      <c r="CZ2473" s="47" t="e">
        <v>#N/A</v>
      </c>
      <c r="DA2473">
        <v>0.11332468572476186</v>
      </c>
      <c r="DB2473" t="str">
        <v/>
      </c>
    </row>
    <row r="2474" spans="83:106" x14ac:dyDescent="0.2">
      <c r="CE2474"/>
      <c r="CF2474"/>
      <c r="CG2474"/>
      <c r="CH2474"/>
      <c r="CI2474"/>
      <c r="CU2474" s="21">
        <v>2469</v>
      </c>
      <c r="CV2474" s="41">
        <v>4</v>
      </c>
      <c r="CW2474" s="41">
        <v>0.11332468572476186</v>
      </c>
      <c r="CX2474" s="41" t="e">
        <v>#N/A</v>
      </c>
      <c r="CY2474" s="41" t="e">
        <v>#N/A</v>
      </c>
      <c r="CZ2474" s="47" t="e">
        <v>#N/A</v>
      </c>
      <c r="DA2474">
        <v>0.11332468572476186</v>
      </c>
      <c r="DB2474" t="str">
        <v/>
      </c>
    </row>
    <row r="2475" spans="83:106" x14ac:dyDescent="0.2">
      <c r="CE2475"/>
      <c r="CF2475"/>
      <c r="CG2475"/>
      <c r="CH2475"/>
      <c r="CI2475"/>
      <c r="CU2475" s="21">
        <v>2470</v>
      </c>
      <c r="CV2475" s="41">
        <v>4</v>
      </c>
      <c r="CW2475" s="41">
        <v>0.11332468572476186</v>
      </c>
      <c r="CX2475" s="41" t="e">
        <v>#N/A</v>
      </c>
      <c r="CY2475" s="41" t="e">
        <v>#N/A</v>
      </c>
      <c r="CZ2475" s="47" t="e">
        <v>#N/A</v>
      </c>
      <c r="DA2475">
        <v>0.11332468572476186</v>
      </c>
      <c r="DB2475" t="str">
        <v/>
      </c>
    </row>
    <row r="2476" spans="83:106" x14ac:dyDescent="0.2">
      <c r="CE2476"/>
      <c r="CF2476"/>
      <c r="CG2476"/>
      <c r="CH2476"/>
      <c r="CI2476"/>
      <c r="CU2476" s="21">
        <v>2471</v>
      </c>
      <c r="CV2476" s="41">
        <v>4</v>
      </c>
      <c r="CW2476" s="41">
        <v>0.11332468572476186</v>
      </c>
      <c r="CX2476" s="41" t="e">
        <v>#N/A</v>
      </c>
      <c r="CY2476" s="41" t="e">
        <v>#N/A</v>
      </c>
      <c r="CZ2476" s="47" t="e">
        <v>#N/A</v>
      </c>
      <c r="DA2476">
        <v>0.11332468572476186</v>
      </c>
      <c r="DB2476" t="str">
        <v/>
      </c>
    </row>
    <row r="2477" spans="83:106" x14ac:dyDescent="0.2">
      <c r="CE2477"/>
      <c r="CF2477"/>
      <c r="CG2477"/>
      <c r="CH2477"/>
      <c r="CI2477"/>
      <c r="CU2477" s="21">
        <v>2472</v>
      </c>
      <c r="CV2477" s="41">
        <v>4</v>
      </c>
      <c r="CW2477" s="41">
        <v>0.11332468572476186</v>
      </c>
      <c r="CX2477" s="41" t="e">
        <v>#N/A</v>
      </c>
      <c r="CY2477" s="41" t="e">
        <v>#N/A</v>
      </c>
      <c r="CZ2477" s="47" t="e">
        <v>#N/A</v>
      </c>
      <c r="DA2477">
        <v>0.11332468572476186</v>
      </c>
      <c r="DB2477" t="str">
        <v/>
      </c>
    </row>
    <row r="2478" spans="83:106" x14ac:dyDescent="0.2">
      <c r="CE2478"/>
      <c r="CF2478"/>
      <c r="CG2478"/>
      <c r="CH2478"/>
      <c r="CI2478"/>
      <c r="CU2478" s="21">
        <v>2473</v>
      </c>
      <c r="CV2478" s="41">
        <v>4</v>
      </c>
      <c r="CW2478" s="41">
        <v>0.11332468572476186</v>
      </c>
      <c r="CX2478" s="41" t="e">
        <v>#N/A</v>
      </c>
      <c r="CY2478" s="41" t="e">
        <v>#N/A</v>
      </c>
      <c r="CZ2478" s="47" t="e">
        <v>#N/A</v>
      </c>
      <c r="DA2478">
        <v>0.11332468572476186</v>
      </c>
      <c r="DB2478" t="str">
        <v/>
      </c>
    </row>
    <row r="2479" spans="83:106" x14ac:dyDescent="0.2">
      <c r="CE2479"/>
      <c r="CF2479"/>
      <c r="CG2479"/>
      <c r="CH2479"/>
      <c r="CI2479"/>
      <c r="CU2479" s="21">
        <v>2474</v>
      </c>
      <c r="CV2479" s="41">
        <v>4</v>
      </c>
      <c r="CW2479" s="41">
        <v>0.11332468572476186</v>
      </c>
      <c r="CX2479" s="41" t="e">
        <v>#N/A</v>
      </c>
      <c r="CY2479" s="41" t="e">
        <v>#N/A</v>
      </c>
      <c r="CZ2479" s="47" t="e">
        <v>#N/A</v>
      </c>
      <c r="DA2479">
        <v>0.11332468572476186</v>
      </c>
      <c r="DB2479" t="str">
        <v/>
      </c>
    </row>
    <row r="2480" spans="83:106" x14ac:dyDescent="0.2">
      <c r="CE2480"/>
      <c r="CF2480"/>
      <c r="CG2480"/>
      <c r="CH2480"/>
      <c r="CI2480"/>
      <c r="CU2480" s="21">
        <v>2475</v>
      </c>
      <c r="CV2480" s="41">
        <v>4</v>
      </c>
      <c r="CW2480" s="41">
        <v>0.11332468572476186</v>
      </c>
      <c r="CX2480" s="41" t="e">
        <v>#N/A</v>
      </c>
      <c r="CY2480" s="41" t="e">
        <v>#N/A</v>
      </c>
      <c r="CZ2480" s="47" t="e">
        <v>#N/A</v>
      </c>
      <c r="DA2480">
        <v>0.11332468572476186</v>
      </c>
      <c r="DB2480" t="str">
        <v/>
      </c>
    </row>
    <row r="2481" spans="83:106" x14ac:dyDescent="0.2">
      <c r="CE2481"/>
      <c r="CF2481"/>
      <c r="CG2481"/>
      <c r="CH2481"/>
      <c r="CI2481"/>
      <c r="CU2481" s="21">
        <v>2476</v>
      </c>
      <c r="CV2481" s="41">
        <v>4</v>
      </c>
      <c r="CW2481" s="41">
        <v>0.11332468572476186</v>
      </c>
      <c r="CX2481" s="41" t="e">
        <v>#N/A</v>
      </c>
      <c r="CY2481" s="41" t="e">
        <v>#N/A</v>
      </c>
      <c r="CZ2481" s="47" t="e">
        <v>#N/A</v>
      </c>
      <c r="DA2481">
        <v>0.11332468572476186</v>
      </c>
      <c r="DB2481" t="str">
        <v/>
      </c>
    </row>
    <row r="2482" spans="83:106" x14ac:dyDescent="0.2">
      <c r="CE2482"/>
      <c r="CF2482"/>
      <c r="CG2482"/>
      <c r="CH2482"/>
      <c r="CI2482"/>
      <c r="CU2482" s="21">
        <v>2477</v>
      </c>
      <c r="CV2482" s="41">
        <v>4</v>
      </c>
      <c r="CW2482" s="41">
        <v>0.11332468572476186</v>
      </c>
      <c r="CX2482" s="41" t="e">
        <v>#N/A</v>
      </c>
      <c r="CY2482" s="41" t="e">
        <v>#N/A</v>
      </c>
      <c r="CZ2482" s="47" t="e">
        <v>#N/A</v>
      </c>
      <c r="DA2482">
        <v>0.11332468572476186</v>
      </c>
      <c r="DB2482" t="str">
        <v/>
      </c>
    </row>
    <row r="2483" spans="83:106" x14ac:dyDescent="0.2">
      <c r="CE2483"/>
      <c r="CF2483"/>
      <c r="CG2483"/>
      <c r="CH2483"/>
      <c r="CI2483"/>
      <c r="CU2483" s="21">
        <v>2478</v>
      </c>
      <c r="CV2483" s="41">
        <v>4</v>
      </c>
      <c r="CW2483" s="41">
        <v>0.11332468572476186</v>
      </c>
      <c r="CX2483" s="41" t="e">
        <v>#N/A</v>
      </c>
      <c r="CY2483" s="41" t="e">
        <v>#N/A</v>
      </c>
      <c r="CZ2483" s="47" t="e">
        <v>#N/A</v>
      </c>
      <c r="DA2483">
        <v>0.11332468572476186</v>
      </c>
      <c r="DB2483" t="str">
        <v/>
      </c>
    </row>
    <row r="2484" spans="83:106" x14ac:dyDescent="0.2">
      <c r="CE2484"/>
      <c r="CF2484"/>
      <c r="CG2484"/>
      <c r="CH2484"/>
      <c r="CI2484"/>
      <c r="CU2484" s="21">
        <v>2479</v>
      </c>
      <c r="CV2484" s="41">
        <v>4</v>
      </c>
      <c r="CW2484" s="41">
        <v>0.11332468572476186</v>
      </c>
      <c r="CX2484" s="41" t="e">
        <v>#N/A</v>
      </c>
      <c r="CY2484" s="41" t="e">
        <v>#N/A</v>
      </c>
      <c r="CZ2484" s="47" t="e">
        <v>#N/A</v>
      </c>
      <c r="DA2484">
        <v>0.11332468572476186</v>
      </c>
      <c r="DB2484" t="str">
        <v/>
      </c>
    </row>
    <row r="2485" spans="83:106" x14ac:dyDescent="0.2">
      <c r="CE2485"/>
      <c r="CF2485"/>
      <c r="CG2485"/>
      <c r="CH2485"/>
      <c r="CI2485"/>
      <c r="CU2485" s="21">
        <v>2480</v>
      </c>
      <c r="CV2485" s="41">
        <v>4</v>
      </c>
      <c r="CW2485" s="41">
        <v>0.11332468572476186</v>
      </c>
      <c r="CX2485" s="41" t="e">
        <v>#N/A</v>
      </c>
      <c r="CY2485" s="41" t="e">
        <v>#N/A</v>
      </c>
      <c r="CZ2485" s="47" t="e">
        <v>#N/A</v>
      </c>
      <c r="DA2485">
        <v>0.11332468572476186</v>
      </c>
      <c r="DB2485" t="str">
        <v/>
      </c>
    </row>
    <row r="2486" spans="83:106" x14ac:dyDescent="0.2">
      <c r="CE2486"/>
      <c r="CF2486"/>
      <c r="CG2486"/>
      <c r="CH2486"/>
      <c r="CI2486"/>
      <c r="CU2486" s="21">
        <v>2481</v>
      </c>
      <c r="CV2486" s="41">
        <v>4</v>
      </c>
      <c r="CW2486" s="41">
        <v>0.11332468572476186</v>
      </c>
      <c r="CX2486" s="41" t="e">
        <v>#N/A</v>
      </c>
      <c r="CY2486" s="41" t="e">
        <v>#N/A</v>
      </c>
      <c r="CZ2486" s="47" t="e">
        <v>#N/A</v>
      </c>
      <c r="DA2486">
        <v>0.11332468572476186</v>
      </c>
      <c r="DB2486" t="str">
        <v/>
      </c>
    </row>
    <row r="2487" spans="83:106" x14ac:dyDescent="0.2">
      <c r="CE2487"/>
      <c r="CF2487"/>
      <c r="CG2487"/>
      <c r="CH2487"/>
      <c r="CI2487"/>
      <c r="CU2487" s="21">
        <v>2482</v>
      </c>
      <c r="CV2487" s="41">
        <v>4</v>
      </c>
      <c r="CW2487" s="41">
        <v>0.11332468572476186</v>
      </c>
      <c r="CX2487" s="41" t="e">
        <v>#N/A</v>
      </c>
      <c r="CY2487" s="41" t="e">
        <v>#N/A</v>
      </c>
      <c r="CZ2487" s="47" t="e">
        <v>#N/A</v>
      </c>
      <c r="DA2487">
        <v>0.11332468572476186</v>
      </c>
      <c r="DB2487" t="str">
        <v/>
      </c>
    </row>
    <row r="2488" spans="83:106" x14ac:dyDescent="0.2">
      <c r="CE2488"/>
      <c r="CF2488"/>
      <c r="CG2488"/>
      <c r="CH2488"/>
      <c r="CI2488"/>
      <c r="CU2488" s="21">
        <v>2483</v>
      </c>
      <c r="CV2488" s="41">
        <v>4</v>
      </c>
      <c r="CW2488" s="41">
        <v>0.11332468572476186</v>
      </c>
      <c r="CX2488" s="41" t="e">
        <v>#N/A</v>
      </c>
      <c r="CY2488" s="41" t="e">
        <v>#N/A</v>
      </c>
      <c r="CZ2488" s="47" t="e">
        <v>#N/A</v>
      </c>
      <c r="DA2488">
        <v>0.11332468572476186</v>
      </c>
      <c r="DB2488" t="str">
        <v/>
      </c>
    </row>
    <row r="2489" spans="83:106" x14ac:dyDescent="0.2">
      <c r="CE2489"/>
      <c r="CF2489"/>
      <c r="CG2489"/>
      <c r="CH2489"/>
      <c r="CI2489"/>
      <c r="CU2489" s="21">
        <v>2484</v>
      </c>
      <c r="CV2489" s="41">
        <v>4</v>
      </c>
      <c r="CW2489" s="41">
        <v>0.11332468572476186</v>
      </c>
      <c r="CX2489" s="41" t="e">
        <v>#N/A</v>
      </c>
      <c r="CY2489" s="41" t="e">
        <v>#N/A</v>
      </c>
      <c r="CZ2489" s="47" t="e">
        <v>#N/A</v>
      </c>
      <c r="DA2489">
        <v>0.11332468572476186</v>
      </c>
      <c r="DB2489" t="str">
        <v/>
      </c>
    </row>
    <row r="2490" spans="83:106" x14ac:dyDescent="0.2">
      <c r="CE2490"/>
      <c r="CF2490"/>
      <c r="CG2490"/>
      <c r="CH2490"/>
      <c r="CI2490"/>
      <c r="CU2490" s="21">
        <v>2485</v>
      </c>
      <c r="CV2490" s="41">
        <v>4</v>
      </c>
      <c r="CW2490" s="41">
        <v>0.11332468572476186</v>
      </c>
      <c r="CX2490" s="41" t="e">
        <v>#N/A</v>
      </c>
      <c r="CY2490" s="41" t="e">
        <v>#N/A</v>
      </c>
      <c r="CZ2490" s="47" t="e">
        <v>#N/A</v>
      </c>
      <c r="DA2490">
        <v>0.11332468572476186</v>
      </c>
      <c r="DB2490" t="str">
        <v/>
      </c>
    </row>
    <row r="2491" spans="83:106" x14ac:dyDescent="0.2">
      <c r="CE2491"/>
      <c r="CF2491"/>
      <c r="CG2491"/>
      <c r="CH2491"/>
      <c r="CI2491"/>
      <c r="CU2491" s="21">
        <v>2486</v>
      </c>
      <c r="CV2491" s="41">
        <v>4</v>
      </c>
      <c r="CW2491" s="41">
        <v>0.11332468572476186</v>
      </c>
      <c r="CX2491" s="41" t="e">
        <v>#N/A</v>
      </c>
      <c r="CY2491" s="41" t="e">
        <v>#N/A</v>
      </c>
      <c r="CZ2491" s="47" t="e">
        <v>#N/A</v>
      </c>
      <c r="DA2491">
        <v>0.11332468572476186</v>
      </c>
      <c r="DB2491" t="str">
        <v/>
      </c>
    </row>
    <row r="2492" spans="83:106" x14ac:dyDescent="0.2">
      <c r="CE2492"/>
      <c r="CF2492"/>
      <c r="CG2492"/>
      <c r="CH2492"/>
      <c r="CI2492"/>
      <c r="CU2492" s="21">
        <v>2487</v>
      </c>
      <c r="CV2492" s="41">
        <v>4</v>
      </c>
      <c r="CW2492" s="41">
        <v>0.11332468572476186</v>
      </c>
      <c r="CX2492" s="41" t="e">
        <v>#N/A</v>
      </c>
      <c r="CY2492" s="41" t="e">
        <v>#N/A</v>
      </c>
      <c r="CZ2492" s="47" t="e">
        <v>#N/A</v>
      </c>
      <c r="DA2492">
        <v>0.11332468572476186</v>
      </c>
      <c r="DB2492" t="str">
        <v/>
      </c>
    </row>
    <row r="2493" spans="83:106" x14ac:dyDescent="0.2">
      <c r="CE2493"/>
      <c r="CF2493"/>
      <c r="CG2493"/>
      <c r="CH2493"/>
      <c r="CI2493"/>
      <c r="CU2493" s="21">
        <v>2488</v>
      </c>
      <c r="CV2493" s="41">
        <v>4</v>
      </c>
      <c r="CW2493" s="41">
        <v>0.11332468572476186</v>
      </c>
      <c r="CX2493" s="41" t="e">
        <v>#N/A</v>
      </c>
      <c r="CY2493" s="41" t="e">
        <v>#N/A</v>
      </c>
      <c r="CZ2493" s="47" t="e">
        <v>#N/A</v>
      </c>
      <c r="DA2493">
        <v>0.11332468572476186</v>
      </c>
      <c r="DB2493" t="str">
        <v/>
      </c>
    </row>
    <row r="2494" spans="83:106" x14ac:dyDescent="0.2">
      <c r="CE2494"/>
      <c r="CF2494"/>
      <c r="CG2494"/>
      <c r="CH2494"/>
      <c r="CI2494"/>
      <c r="CU2494" s="21">
        <v>2489</v>
      </c>
      <c r="CV2494" s="41">
        <v>4</v>
      </c>
      <c r="CW2494" s="41">
        <v>0.11332468572476186</v>
      </c>
      <c r="CX2494" s="41" t="e">
        <v>#N/A</v>
      </c>
      <c r="CY2494" s="41" t="e">
        <v>#N/A</v>
      </c>
      <c r="CZ2494" s="47" t="e">
        <v>#N/A</v>
      </c>
      <c r="DA2494">
        <v>0.11332468572476186</v>
      </c>
      <c r="DB2494" t="str">
        <v/>
      </c>
    </row>
    <row r="2495" spans="83:106" x14ac:dyDescent="0.2">
      <c r="CE2495"/>
      <c r="CF2495"/>
      <c r="CG2495"/>
      <c r="CH2495"/>
      <c r="CI2495"/>
      <c r="CU2495" s="21">
        <v>2490</v>
      </c>
      <c r="CV2495" s="41">
        <v>4</v>
      </c>
      <c r="CW2495" s="41">
        <v>0.11332468572476186</v>
      </c>
      <c r="CX2495" s="41" t="e">
        <v>#N/A</v>
      </c>
      <c r="CY2495" s="41" t="e">
        <v>#N/A</v>
      </c>
      <c r="CZ2495" s="47" t="e">
        <v>#N/A</v>
      </c>
      <c r="DA2495">
        <v>0.11332468572476186</v>
      </c>
      <c r="DB2495" t="str">
        <v/>
      </c>
    </row>
    <row r="2496" spans="83:106" x14ac:dyDescent="0.2">
      <c r="CE2496"/>
      <c r="CF2496"/>
      <c r="CG2496"/>
      <c r="CH2496"/>
      <c r="CI2496"/>
      <c r="CU2496" s="21">
        <v>2491</v>
      </c>
      <c r="CV2496" s="41">
        <v>4</v>
      </c>
      <c r="CW2496" s="41">
        <v>0.11332468572476186</v>
      </c>
      <c r="CX2496" s="41" t="e">
        <v>#N/A</v>
      </c>
      <c r="CY2496" s="41" t="e">
        <v>#N/A</v>
      </c>
      <c r="CZ2496" s="47" t="e">
        <v>#N/A</v>
      </c>
      <c r="DA2496">
        <v>0.11332468572476186</v>
      </c>
      <c r="DB2496" t="str">
        <v/>
      </c>
    </row>
    <row r="2497" spans="83:106" x14ac:dyDescent="0.2">
      <c r="CE2497"/>
      <c r="CF2497"/>
      <c r="CG2497"/>
      <c r="CH2497"/>
      <c r="CI2497"/>
      <c r="CU2497" s="21">
        <v>2492</v>
      </c>
      <c r="CV2497" s="41">
        <v>4</v>
      </c>
      <c r="CW2497" s="41">
        <v>0.11332468572476186</v>
      </c>
      <c r="CX2497" s="41" t="e">
        <v>#N/A</v>
      </c>
      <c r="CY2497" s="41" t="e">
        <v>#N/A</v>
      </c>
      <c r="CZ2497" s="47" t="e">
        <v>#N/A</v>
      </c>
      <c r="DA2497">
        <v>0.11332468572476186</v>
      </c>
      <c r="DB2497" t="str">
        <v/>
      </c>
    </row>
    <row r="2498" spans="83:106" x14ac:dyDescent="0.2">
      <c r="CE2498"/>
      <c r="CF2498"/>
      <c r="CG2498"/>
      <c r="CH2498"/>
      <c r="CI2498"/>
      <c r="CU2498" s="21">
        <v>2493</v>
      </c>
      <c r="CV2498" s="41">
        <v>4</v>
      </c>
      <c r="CW2498" s="41">
        <v>0.11332468572476186</v>
      </c>
      <c r="CX2498" s="41" t="e">
        <v>#N/A</v>
      </c>
      <c r="CY2498" s="41" t="e">
        <v>#N/A</v>
      </c>
      <c r="CZ2498" s="47" t="e">
        <v>#N/A</v>
      </c>
      <c r="DA2498">
        <v>0.11332468572476186</v>
      </c>
      <c r="DB2498" t="str">
        <v/>
      </c>
    </row>
    <row r="2499" spans="83:106" x14ac:dyDescent="0.2">
      <c r="CE2499"/>
      <c r="CF2499"/>
      <c r="CG2499"/>
      <c r="CH2499"/>
      <c r="CI2499"/>
      <c r="CU2499" s="21">
        <v>2494</v>
      </c>
      <c r="CV2499" s="41">
        <v>4</v>
      </c>
      <c r="CW2499" s="41">
        <v>0.11332468572476186</v>
      </c>
      <c r="CX2499" s="41" t="e">
        <v>#N/A</v>
      </c>
      <c r="CY2499" s="41" t="e">
        <v>#N/A</v>
      </c>
      <c r="CZ2499" s="47" t="e">
        <v>#N/A</v>
      </c>
      <c r="DA2499">
        <v>0.11332468572476186</v>
      </c>
      <c r="DB2499" t="str">
        <v/>
      </c>
    </row>
    <row r="2500" spans="83:106" x14ac:dyDescent="0.2">
      <c r="CE2500"/>
      <c r="CF2500"/>
      <c r="CG2500"/>
      <c r="CH2500"/>
      <c r="CI2500"/>
      <c r="CU2500" s="21">
        <v>2495</v>
      </c>
      <c r="CV2500" s="41">
        <v>4</v>
      </c>
      <c r="CW2500" s="41">
        <v>0.11332468572476186</v>
      </c>
      <c r="CX2500" s="41" t="e">
        <v>#N/A</v>
      </c>
      <c r="CY2500" s="41" t="e">
        <v>#N/A</v>
      </c>
      <c r="CZ2500" s="47" t="e">
        <v>#N/A</v>
      </c>
      <c r="DA2500">
        <v>0.11332468572476186</v>
      </c>
      <c r="DB2500" t="str">
        <v/>
      </c>
    </row>
    <row r="2501" spans="83:106" x14ac:dyDescent="0.2">
      <c r="CE2501"/>
      <c r="CF2501"/>
      <c r="CG2501"/>
      <c r="CH2501"/>
      <c r="CI2501"/>
      <c r="CU2501" s="21">
        <v>2496</v>
      </c>
      <c r="CV2501" s="41">
        <v>4</v>
      </c>
      <c r="CW2501" s="41">
        <v>0.11332468572476186</v>
      </c>
      <c r="CX2501" s="41" t="e">
        <v>#N/A</v>
      </c>
      <c r="CY2501" s="41" t="e">
        <v>#N/A</v>
      </c>
      <c r="CZ2501" s="47" t="e">
        <v>#N/A</v>
      </c>
      <c r="DA2501">
        <v>0.11332468572476186</v>
      </c>
      <c r="DB2501" t="str">
        <v/>
      </c>
    </row>
    <row r="2502" spans="83:106" x14ac:dyDescent="0.2">
      <c r="CE2502"/>
      <c r="CF2502"/>
      <c r="CG2502"/>
      <c r="CH2502"/>
      <c r="CI2502"/>
      <c r="CU2502" s="21">
        <v>2497</v>
      </c>
      <c r="CV2502" s="41">
        <v>4</v>
      </c>
      <c r="CW2502" s="41">
        <v>0.11332468572476186</v>
      </c>
      <c r="CX2502" s="41" t="e">
        <v>#N/A</v>
      </c>
      <c r="CY2502" s="41" t="e">
        <v>#N/A</v>
      </c>
      <c r="CZ2502" s="47" t="e">
        <v>#N/A</v>
      </c>
      <c r="DA2502">
        <v>0.11332468572476186</v>
      </c>
      <c r="DB2502" t="str">
        <v/>
      </c>
    </row>
    <row r="2503" spans="83:106" x14ac:dyDescent="0.2">
      <c r="CE2503"/>
      <c r="CF2503"/>
      <c r="CG2503"/>
      <c r="CH2503"/>
      <c r="CI2503"/>
      <c r="CU2503" s="21">
        <v>2498</v>
      </c>
      <c r="CV2503" s="41">
        <v>4</v>
      </c>
      <c r="CW2503" s="41">
        <v>0.11332468572476186</v>
      </c>
      <c r="CX2503" s="41" t="e">
        <v>#N/A</v>
      </c>
      <c r="CY2503" s="41" t="e">
        <v>#N/A</v>
      </c>
      <c r="CZ2503" s="47" t="e">
        <v>#N/A</v>
      </c>
      <c r="DA2503">
        <v>0.11332468572476186</v>
      </c>
      <c r="DB2503" t="str">
        <v/>
      </c>
    </row>
    <row r="2504" spans="83:106" x14ac:dyDescent="0.2">
      <c r="CE2504"/>
      <c r="CF2504"/>
      <c r="CG2504"/>
      <c r="CH2504"/>
      <c r="CI2504"/>
      <c r="CU2504" s="21">
        <v>2499</v>
      </c>
      <c r="CV2504" s="41">
        <v>4</v>
      </c>
      <c r="CW2504" s="41">
        <v>0.11332468572476186</v>
      </c>
      <c r="CX2504" s="41" t="e">
        <v>#N/A</v>
      </c>
      <c r="CY2504" s="41" t="e">
        <v>#N/A</v>
      </c>
      <c r="CZ2504" s="47" t="e">
        <v>#N/A</v>
      </c>
      <c r="DA2504">
        <v>0.11332468572476186</v>
      </c>
      <c r="DB2504" t="str">
        <v/>
      </c>
    </row>
    <row r="2505" spans="83:106" x14ac:dyDescent="0.2">
      <c r="CE2505"/>
      <c r="CF2505"/>
      <c r="CG2505"/>
      <c r="CH2505"/>
      <c r="CI2505"/>
      <c r="CU2505" s="21">
        <v>2500</v>
      </c>
      <c r="CV2505" s="41">
        <v>4</v>
      </c>
      <c r="CW2505" s="41">
        <v>0.11332468572476186</v>
      </c>
      <c r="CX2505" s="41" t="e">
        <v>#N/A</v>
      </c>
      <c r="CY2505" s="41" t="e">
        <v>#N/A</v>
      </c>
      <c r="CZ2505" s="47" t="e">
        <v>#N/A</v>
      </c>
      <c r="DA2505">
        <v>0.11332468572476186</v>
      </c>
      <c r="DB2505" t="str">
        <v/>
      </c>
    </row>
    <row r="2506" spans="83:106" x14ac:dyDescent="0.2">
      <c r="CE2506"/>
      <c r="CF2506"/>
      <c r="CG2506"/>
      <c r="CH2506"/>
      <c r="CI2506"/>
      <c r="CU2506" s="21">
        <v>2501</v>
      </c>
      <c r="CV2506" s="41">
        <v>4</v>
      </c>
      <c r="CW2506" s="41">
        <v>0.11332468572476186</v>
      </c>
      <c r="CX2506" s="41" t="e">
        <v>#N/A</v>
      </c>
      <c r="CY2506" s="41" t="e">
        <v>#N/A</v>
      </c>
      <c r="CZ2506" s="47" t="e">
        <v>#N/A</v>
      </c>
      <c r="DA2506">
        <v>0.11332468572476186</v>
      </c>
      <c r="DB2506" t="str">
        <v/>
      </c>
    </row>
    <row r="2507" spans="83:106" x14ac:dyDescent="0.2">
      <c r="CE2507"/>
      <c r="CF2507"/>
      <c r="CG2507"/>
      <c r="CH2507"/>
      <c r="CI2507"/>
      <c r="CU2507" s="21">
        <v>2502</v>
      </c>
      <c r="CV2507" s="41">
        <v>4</v>
      </c>
      <c r="CW2507" s="41">
        <v>0.11332468572476186</v>
      </c>
      <c r="CX2507" s="41" t="e">
        <v>#N/A</v>
      </c>
      <c r="CY2507" s="41" t="e">
        <v>#N/A</v>
      </c>
      <c r="CZ2507" s="47" t="e">
        <v>#N/A</v>
      </c>
      <c r="DA2507">
        <v>0.11332468572476186</v>
      </c>
      <c r="DB2507" t="str">
        <v/>
      </c>
    </row>
    <row r="2508" spans="83:106" x14ac:dyDescent="0.2">
      <c r="CE2508"/>
      <c r="CF2508"/>
      <c r="CG2508"/>
      <c r="CH2508"/>
      <c r="CI2508"/>
      <c r="CU2508" s="21">
        <v>2503</v>
      </c>
      <c r="CV2508" s="41">
        <v>4</v>
      </c>
      <c r="CW2508" s="41">
        <v>0.11332468572476186</v>
      </c>
      <c r="CX2508" s="41" t="e">
        <v>#N/A</v>
      </c>
      <c r="CY2508" s="41" t="e">
        <v>#N/A</v>
      </c>
      <c r="CZ2508" s="47" t="e">
        <v>#N/A</v>
      </c>
      <c r="DA2508">
        <v>0.11332468572476186</v>
      </c>
      <c r="DB2508" t="str">
        <v/>
      </c>
    </row>
    <row r="2509" spans="83:106" x14ac:dyDescent="0.2">
      <c r="CE2509"/>
      <c r="CF2509"/>
      <c r="CG2509"/>
      <c r="CH2509"/>
      <c r="CI2509"/>
      <c r="CU2509" s="21">
        <v>2504</v>
      </c>
      <c r="CV2509" s="41">
        <v>4</v>
      </c>
      <c r="CW2509" s="41">
        <v>0.11332468572476186</v>
      </c>
      <c r="CX2509" s="41" t="e">
        <v>#N/A</v>
      </c>
      <c r="CY2509" s="41" t="e">
        <v>#N/A</v>
      </c>
      <c r="CZ2509" s="47" t="e">
        <v>#N/A</v>
      </c>
      <c r="DA2509">
        <v>0.11332468572476186</v>
      </c>
      <c r="DB2509" t="str">
        <v/>
      </c>
    </row>
    <row r="2510" spans="83:106" x14ac:dyDescent="0.2">
      <c r="CE2510"/>
      <c r="CF2510"/>
      <c r="CG2510"/>
      <c r="CH2510"/>
      <c r="CI2510"/>
      <c r="CU2510" s="21">
        <v>2505</v>
      </c>
      <c r="CV2510" s="41">
        <v>4</v>
      </c>
      <c r="CW2510" s="41">
        <v>0.11332468572476186</v>
      </c>
      <c r="CX2510" s="41" t="e">
        <v>#N/A</v>
      </c>
      <c r="CY2510" s="41" t="e">
        <v>#N/A</v>
      </c>
      <c r="CZ2510" s="47" t="e">
        <v>#N/A</v>
      </c>
      <c r="DA2510">
        <v>0.11332468572476186</v>
      </c>
      <c r="DB2510" t="str">
        <v/>
      </c>
    </row>
    <row r="2511" spans="83:106" x14ac:dyDescent="0.2">
      <c r="CE2511"/>
      <c r="CF2511"/>
      <c r="CG2511"/>
      <c r="CH2511"/>
      <c r="CI2511"/>
      <c r="CU2511" s="21">
        <v>2506</v>
      </c>
      <c r="CV2511" s="41">
        <v>4</v>
      </c>
      <c r="CW2511" s="41">
        <v>0.11332468572476186</v>
      </c>
      <c r="CX2511" s="41" t="e">
        <v>#N/A</v>
      </c>
      <c r="CY2511" s="41" t="e">
        <v>#N/A</v>
      </c>
      <c r="CZ2511" s="47" t="e">
        <v>#N/A</v>
      </c>
      <c r="DA2511">
        <v>0.11332468572476186</v>
      </c>
      <c r="DB2511" t="str">
        <v/>
      </c>
    </row>
    <row r="2512" spans="83:106" x14ac:dyDescent="0.2">
      <c r="CE2512"/>
      <c r="CF2512"/>
      <c r="CG2512"/>
      <c r="CH2512"/>
      <c r="CI2512"/>
      <c r="CU2512" s="21">
        <v>2507</v>
      </c>
      <c r="CV2512" s="41">
        <v>4</v>
      </c>
      <c r="CW2512" s="41">
        <v>0.11332468572476186</v>
      </c>
      <c r="CX2512" s="41" t="e">
        <v>#N/A</v>
      </c>
      <c r="CY2512" s="41" t="e">
        <v>#N/A</v>
      </c>
      <c r="CZ2512" s="47" t="e">
        <v>#N/A</v>
      </c>
      <c r="DA2512">
        <v>0.11332468572476186</v>
      </c>
      <c r="DB2512" t="str">
        <v/>
      </c>
    </row>
    <row r="2513" spans="83:106" x14ac:dyDescent="0.2">
      <c r="CE2513"/>
      <c r="CF2513"/>
      <c r="CG2513"/>
      <c r="CH2513"/>
      <c r="CI2513"/>
      <c r="CU2513" s="21">
        <v>2508</v>
      </c>
      <c r="CV2513" s="41">
        <v>4</v>
      </c>
      <c r="CW2513" s="41">
        <v>0.11332468572476186</v>
      </c>
      <c r="CX2513" s="41" t="e">
        <v>#N/A</v>
      </c>
      <c r="CY2513" s="41" t="e">
        <v>#N/A</v>
      </c>
      <c r="CZ2513" s="47" t="e">
        <v>#N/A</v>
      </c>
      <c r="DA2513">
        <v>0.11332468572476186</v>
      </c>
      <c r="DB2513" t="str">
        <v/>
      </c>
    </row>
    <row r="2514" spans="83:106" x14ac:dyDescent="0.2">
      <c r="CE2514"/>
      <c r="CF2514"/>
      <c r="CG2514"/>
      <c r="CH2514"/>
      <c r="CI2514"/>
      <c r="CU2514" s="21">
        <v>2509</v>
      </c>
      <c r="CV2514" s="41">
        <v>4</v>
      </c>
      <c r="CW2514" s="41">
        <v>0.11332468572476186</v>
      </c>
      <c r="CX2514" s="41" t="e">
        <v>#N/A</v>
      </c>
      <c r="CY2514" s="41" t="e">
        <v>#N/A</v>
      </c>
      <c r="CZ2514" s="47" t="e">
        <v>#N/A</v>
      </c>
      <c r="DA2514">
        <v>0.11332468572476186</v>
      </c>
      <c r="DB2514" t="str">
        <v/>
      </c>
    </row>
    <row r="2515" spans="83:106" x14ac:dyDescent="0.2">
      <c r="CE2515"/>
      <c r="CF2515"/>
      <c r="CG2515"/>
      <c r="CH2515"/>
      <c r="CI2515"/>
      <c r="CU2515" s="21">
        <v>2510</v>
      </c>
      <c r="CV2515" s="41">
        <v>4</v>
      </c>
      <c r="CW2515" s="41">
        <v>0.11332468572476186</v>
      </c>
      <c r="CX2515" s="41" t="e">
        <v>#N/A</v>
      </c>
      <c r="CY2515" s="41" t="e">
        <v>#N/A</v>
      </c>
      <c r="CZ2515" s="47" t="e">
        <v>#N/A</v>
      </c>
      <c r="DA2515">
        <v>0.11332468572476186</v>
      </c>
      <c r="DB2515" t="str">
        <v/>
      </c>
    </row>
    <row r="2516" spans="83:106" x14ac:dyDescent="0.2">
      <c r="CE2516"/>
      <c r="CF2516"/>
      <c r="CG2516"/>
      <c r="CH2516"/>
      <c r="CI2516"/>
      <c r="CU2516" s="21">
        <v>2511</v>
      </c>
      <c r="CV2516" s="41">
        <v>4</v>
      </c>
      <c r="CW2516" s="41">
        <v>0.11332468572476186</v>
      </c>
      <c r="CX2516" s="41" t="e">
        <v>#N/A</v>
      </c>
      <c r="CY2516" s="41" t="e">
        <v>#N/A</v>
      </c>
      <c r="CZ2516" s="47" t="e">
        <v>#N/A</v>
      </c>
      <c r="DA2516">
        <v>0.11332468572476186</v>
      </c>
      <c r="DB2516" t="str">
        <v/>
      </c>
    </row>
    <row r="2517" spans="83:106" x14ac:dyDescent="0.2">
      <c r="CE2517"/>
      <c r="CF2517"/>
      <c r="CG2517"/>
      <c r="CH2517"/>
      <c r="CI2517"/>
      <c r="CU2517" s="21">
        <v>2512</v>
      </c>
      <c r="CV2517" s="41">
        <v>4</v>
      </c>
      <c r="CW2517" s="41">
        <v>0.11332468572476186</v>
      </c>
      <c r="CX2517" s="41" t="e">
        <v>#N/A</v>
      </c>
      <c r="CY2517" s="41" t="e">
        <v>#N/A</v>
      </c>
      <c r="CZ2517" s="47" t="e">
        <v>#N/A</v>
      </c>
      <c r="DA2517">
        <v>0.11332468572476186</v>
      </c>
      <c r="DB2517" t="str">
        <v/>
      </c>
    </row>
    <row r="2518" spans="83:106" x14ac:dyDescent="0.2">
      <c r="CE2518"/>
      <c r="CF2518"/>
      <c r="CG2518"/>
      <c r="CH2518"/>
      <c r="CI2518"/>
      <c r="CU2518" s="21">
        <v>2513</v>
      </c>
      <c r="CV2518" s="41">
        <v>4</v>
      </c>
      <c r="CW2518" s="41">
        <v>0.11332468572476186</v>
      </c>
      <c r="CX2518" s="41" t="e">
        <v>#N/A</v>
      </c>
      <c r="CY2518" s="41" t="e">
        <v>#N/A</v>
      </c>
      <c r="CZ2518" s="47" t="e">
        <v>#N/A</v>
      </c>
      <c r="DA2518">
        <v>0.11332468572476186</v>
      </c>
      <c r="DB2518" t="str">
        <v/>
      </c>
    </row>
    <row r="2519" spans="83:106" x14ac:dyDescent="0.2">
      <c r="CE2519"/>
      <c r="CF2519"/>
      <c r="CG2519"/>
      <c r="CH2519"/>
      <c r="CI2519"/>
      <c r="CU2519" s="21">
        <v>2514</v>
      </c>
      <c r="CV2519" s="41">
        <v>4</v>
      </c>
      <c r="CW2519" s="41">
        <v>0.11332468572476186</v>
      </c>
      <c r="CX2519" s="41" t="e">
        <v>#N/A</v>
      </c>
      <c r="CY2519" s="41" t="e">
        <v>#N/A</v>
      </c>
      <c r="CZ2519" s="47" t="e">
        <v>#N/A</v>
      </c>
      <c r="DA2519">
        <v>0.11332468572476186</v>
      </c>
      <c r="DB2519" t="str">
        <v/>
      </c>
    </row>
    <row r="2520" spans="83:106" x14ac:dyDescent="0.2">
      <c r="CE2520"/>
      <c r="CF2520"/>
      <c r="CG2520"/>
      <c r="CH2520"/>
      <c r="CI2520"/>
      <c r="CU2520" s="21">
        <v>2515</v>
      </c>
      <c r="CV2520" s="41">
        <v>4</v>
      </c>
      <c r="CW2520" s="41">
        <v>0.11332468572476186</v>
      </c>
      <c r="CX2520" s="41" t="e">
        <v>#N/A</v>
      </c>
      <c r="CY2520" s="41" t="e">
        <v>#N/A</v>
      </c>
      <c r="CZ2520" s="47" t="e">
        <v>#N/A</v>
      </c>
      <c r="DA2520">
        <v>0.11332468572476186</v>
      </c>
      <c r="DB2520" t="str">
        <v/>
      </c>
    </row>
    <row r="2521" spans="83:106" x14ac:dyDescent="0.2">
      <c r="CE2521"/>
      <c r="CF2521"/>
      <c r="CG2521"/>
      <c r="CH2521"/>
      <c r="CI2521"/>
      <c r="CU2521" s="21">
        <v>2516</v>
      </c>
      <c r="CV2521" s="41">
        <v>4</v>
      </c>
      <c r="CW2521" s="41">
        <v>0.11332468572476186</v>
      </c>
      <c r="CX2521" s="41" t="e">
        <v>#N/A</v>
      </c>
      <c r="CY2521" s="41" t="e">
        <v>#N/A</v>
      </c>
      <c r="CZ2521" s="47" t="e">
        <v>#N/A</v>
      </c>
      <c r="DA2521">
        <v>0.11332468572476186</v>
      </c>
      <c r="DB2521" t="str">
        <v/>
      </c>
    </row>
    <row r="2522" spans="83:106" x14ac:dyDescent="0.2">
      <c r="CE2522"/>
      <c r="CF2522"/>
      <c r="CG2522"/>
      <c r="CH2522"/>
      <c r="CI2522"/>
      <c r="CU2522" s="21">
        <v>2517</v>
      </c>
      <c r="CV2522" s="41">
        <v>4</v>
      </c>
      <c r="CW2522" s="41">
        <v>0.11332468572476186</v>
      </c>
      <c r="CX2522" s="41" t="e">
        <v>#N/A</v>
      </c>
      <c r="CY2522" s="41" t="e">
        <v>#N/A</v>
      </c>
      <c r="CZ2522" s="47" t="e">
        <v>#N/A</v>
      </c>
      <c r="DA2522">
        <v>0.11332468572476186</v>
      </c>
      <c r="DB2522" t="str">
        <v/>
      </c>
    </row>
    <row r="2523" spans="83:106" x14ac:dyDescent="0.2">
      <c r="CE2523"/>
      <c r="CF2523"/>
      <c r="CG2523"/>
      <c r="CH2523"/>
      <c r="CI2523"/>
      <c r="CU2523" s="21">
        <v>2518</v>
      </c>
      <c r="CV2523" s="41">
        <v>4</v>
      </c>
      <c r="CW2523" s="41">
        <v>0.11332468572476186</v>
      </c>
      <c r="CX2523" s="41" t="e">
        <v>#N/A</v>
      </c>
      <c r="CY2523" s="41" t="e">
        <v>#N/A</v>
      </c>
      <c r="CZ2523" s="47" t="e">
        <v>#N/A</v>
      </c>
      <c r="DA2523">
        <v>0.11332468572476186</v>
      </c>
      <c r="DB2523" t="str">
        <v/>
      </c>
    </row>
    <row r="2524" spans="83:106" x14ac:dyDescent="0.2">
      <c r="CE2524"/>
      <c r="CF2524"/>
      <c r="CG2524"/>
      <c r="CH2524"/>
      <c r="CI2524"/>
      <c r="CU2524" s="21">
        <v>2519</v>
      </c>
      <c r="CV2524" s="41">
        <v>4</v>
      </c>
      <c r="CW2524" s="41">
        <v>0.11332468572476186</v>
      </c>
      <c r="CX2524" s="41" t="e">
        <v>#N/A</v>
      </c>
      <c r="CY2524" s="41" t="e">
        <v>#N/A</v>
      </c>
      <c r="CZ2524" s="47" t="e">
        <v>#N/A</v>
      </c>
      <c r="DA2524">
        <v>0.11332468572476186</v>
      </c>
      <c r="DB2524" t="str">
        <v/>
      </c>
    </row>
    <row r="2525" spans="83:106" x14ac:dyDescent="0.2">
      <c r="CE2525"/>
      <c r="CF2525"/>
      <c r="CG2525"/>
      <c r="CH2525"/>
      <c r="CI2525"/>
      <c r="CU2525" s="21">
        <v>2520</v>
      </c>
      <c r="CV2525" s="41">
        <v>4</v>
      </c>
      <c r="CW2525" s="41">
        <v>0.11332468572476186</v>
      </c>
      <c r="CX2525" s="41" t="e">
        <v>#N/A</v>
      </c>
      <c r="CY2525" s="41" t="e">
        <v>#N/A</v>
      </c>
      <c r="CZ2525" s="47" t="e">
        <v>#N/A</v>
      </c>
      <c r="DA2525">
        <v>0.11332468572476186</v>
      </c>
      <c r="DB2525" t="str">
        <v/>
      </c>
    </row>
    <row r="2526" spans="83:106" x14ac:dyDescent="0.2">
      <c r="CE2526"/>
      <c r="CF2526"/>
      <c r="CG2526"/>
      <c r="CH2526"/>
      <c r="CI2526"/>
      <c r="CU2526" s="21">
        <v>2521</v>
      </c>
      <c r="CV2526" s="41">
        <v>4</v>
      </c>
      <c r="CW2526" s="41">
        <v>0.11332468572476186</v>
      </c>
      <c r="CX2526" s="41" t="e">
        <v>#N/A</v>
      </c>
      <c r="CY2526" s="41" t="e">
        <v>#N/A</v>
      </c>
      <c r="CZ2526" s="47" t="e">
        <v>#N/A</v>
      </c>
      <c r="DA2526">
        <v>0.11332468572476186</v>
      </c>
      <c r="DB2526" t="str">
        <v/>
      </c>
    </row>
    <row r="2527" spans="83:106" x14ac:dyDescent="0.2">
      <c r="CE2527"/>
      <c r="CF2527"/>
      <c r="CG2527"/>
      <c r="CH2527"/>
      <c r="CI2527"/>
      <c r="CU2527" s="21">
        <v>2522</v>
      </c>
      <c r="CV2527" s="41">
        <v>4</v>
      </c>
      <c r="CW2527" s="41">
        <v>0.11332468572476186</v>
      </c>
      <c r="CX2527" s="41" t="e">
        <v>#N/A</v>
      </c>
      <c r="CY2527" s="41" t="e">
        <v>#N/A</v>
      </c>
      <c r="CZ2527" s="47" t="e">
        <v>#N/A</v>
      </c>
      <c r="DA2527">
        <v>0.11332468572476186</v>
      </c>
      <c r="DB2527" t="str">
        <v/>
      </c>
    </row>
    <row r="2528" spans="83:106" x14ac:dyDescent="0.2">
      <c r="CE2528"/>
      <c r="CF2528"/>
      <c r="CG2528"/>
      <c r="CH2528"/>
      <c r="CI2528"/>
      <c r="CU2528" s="21">
        <v>2523</v>
      </c>
      <c r="CV2528" s="41">
        <v>4</v>
      </c>
      <c r="CW2528" s="41">
        <v>0.11332468572476186</v>
      </c>
      <c r="CX2528" s="41" t="e">
        <v>#N/A</v>
      </c>
      <c r="CY2528" s="41" t="e">
        <v>#N/A</v>
      </c>
      <c r="CZ2528" s="47" t="e">
        <v>#N/A</v>
      </c>
      <c r="DA2528">
        <v>0.11332468572476186</v>
      </c>
      <c r="DB2528" t="str">
        <v/>
      </c>
    </row>
    <row r="2529" spans="83:106" x14ac:dyDescent="0.2">
      <c r="CE2529"/>
      <c r="CF2529"/>
      <c r="CG2529"/>
      <c r="CH2529"/>
      <c r="CI2529"/>
      <c r="CU2529" s="21">
        <v>2524</v>
      </c>
      <c r="CV2529" s="41">
        <v>4</v>
      </c>
      <c r="CW2529" s="41">
        <v>0.11332468572476186</v>
      </c>
      <c r="CX2529" s="41" t="e">
        <v>#N/A</v>
      </c>
      <c r="CY2529" s="41" t="e">
        <v>#N/A</v>
      </c>
      <c r="CZ2529" s="47" t="e">
        <v>#N/A</v>
      </c>
      <c r="DA2529">
        <v>0.11332468572476186</v>
      </c>
      <c r="DB2529" t="str">
        <v/>
      </c>
    </row>
    <row r="2530" spans="83:106" x14ac:dyDescent="0.2">
      <c r="CE2530"/>
      <c r="CF2530"/>
      <c r="CG2530"/>
      <c r="CH2530"/>
      <c r="CI2530"/>
      <c r="CU2530" s="21">
        <v>2525</v>
      </c>
      <c r="CV2530" s="41">
        <v>4</v>
      </c>
      <c r="CW2530" s="41">
        <v>0.11332468572476186</v>
      </c>
      <c r="CX2530" s="41" t="e">
        <v>#N/A</v>
      </c>
      <c r="CY2530" s="41" t="e">
        <v>#N/A</v>
      </c>
      <c r="CZ2530" s="47" t="e">
        <v>#N/A</v>
      </c>
      <c r="DA2530">
        <v>0.11332468572476186</v>
      </c>
      <c r="DB2530" t="str">
        <v/>
      </c>
    </row>
    <row r="2531" spans="83:106" x14ac:dyDescent="0.2">
      <c r="CE2531"/>
      <c r="CF2531"/>
      <c r="CG2531"/>
      <c r="CH2531"/>
      <c r="CI2531"/>
      <c r="CU2531" s="21">
        <v>2526</v>
      </c>
      <c r="CV2531" s="41">
        <v>4</v>
      </c>
      <c r="CW2531" s="41">
        <v>0.11332468572476186</v>
      </c>
      <c r="CX2531" s="41" t="e">
        <v>#N/A</v>
      </c>
      <c r="CY2531" s="41" t="e">
        <v>#N/A</v>
      </c>
      <c r="CZ2531" s="47" t="e">
        <v>#N/A</v>
      </c>
      <c r="DA2531">
        <v>0.11332468572476186</v>
      </c>
      <c r="DB2531" t="str">
        <v/>
      </c>
    </row>
    <row r="2532" spans="83:106" x14ac:dyDescent="0.2">
      <c r="CE2532"/>
      <c r="CF2532"/>
      <c r="CG2532"/>
      <c r="CH2532"/>
      <c r="CI2532"/>
      <c r="CU2532" s="21">
        <v>2527</v>
      </c>
      <c r="CV2532" s="41">
        <v>4</v>
      </c>
      <c r="CW2532" s="41">
        <v>0.11332468572476186</v>
      </c>
      <c r="CX2532" s="41" t="e">
        <v>#N/A</v>
      </c>
      <c r="CY2532" s="41" t="e">
        <v>#N/A</v>
      </c>
      <c r="CZ2532" s="47" t="e">
        <v>#N/A</v>
      </c>
      <c r="DA2532">
        <v>0.11332468572476186</v>
      </c>
      <c r="DB2532" t="str">
        <v/>
      </c>
    </row>
    <row r="2533" spans="83:106" x14ac:dyDescent="0.2">
      <c r="CE2533"/>
      <c r="CF2533"/>
      <c r="CG2533"/>
      <c r="CH2533"/>
      <c r="CI2533"/>
      <c r="CU2533" s="21">
        <v>2528</v>
      </c>
      <c r="CV2533" s="41">
        <v>4</v>
      </c>
      <c r="CW2533" s="41">
        <v>0.11332468572476186</v>
      </c>
      <c r="CX2533" s="41" t="e">
        <v>#N/A</v>
      </c>
      <c r="CY2533" s="41" t="e">
        <v>#N/A</v>
      </c>
      <c r="CZ2533" s="47" t="e">
        <v>#N/A</v>
      </c>
      <c r="DA2533">
        <v>0.11332468572476186</v>
      </c>
      <c r="DB2533" t="str">
        <v/>
      </c>
    </row>
    <row r="2534" spans="83:106" x14ac:dyDescent="0.2">
      <c r="CE2534"/>
      <c r="CF2534"/>
      <c r="CG2534"/>
      <c r="CH2534"/>
      <c r="CI2534"/>
      <c r="CU2534" s="21">
        <v>2529</v>
      </c>
      <c r="CV2534" s="41">
        <v>4</v>
      </c>
      <c r="CW2534" s="41">
        <v>0.11332468572476186</v>
      </c>
      <c r="CX2534" s="41" t="e">
        <v>#N/A</v>
      </c>
      <c r="CY2534" s="41" t="e">
        <v>#N/A</v>
      </c>
      <c r="CZ2534" s="47" t="e">
        <v>#N/A</v>
      </c>
      <c r="DA2534">
        <v>0.11332468572476186</v>
      </c>
      <c r="DB2534" t="str">
        <v/>
      </c>
    </row>
    <row r="2535" spans="83:106" x14ac:dyDescent="0.2">
      <c r="CE2535"/>
      <c r="CF2535"/>
      <c r="CG2535"/>
      <c r="CH2535"/>
      <c r="CI2535"/>
      <c r="CU2535" s="21">
        <v>2530</v>
      </c>
      <c r="CV2535" s="41">
        <v>4</v>
      </c>
      <c r="CW2535" s="41">
        <v>0.11332468572476186</v>
      </c>
      <c r="CX2535" s="41" t="e">
        <v>#N/A</v>
      </c>
      <c r="CY2535" s="41" t="e">
        <v>#N/A</v>
      </c>
      <c r="CZ2535" s="47" t="e">
        <v>#N/A</v>
      </c>
      <c r="DA2535">
        <v>0.11332468572476186</v>
      </c>
      <c r="DB2535" t="str">
        <v/>
      </c>
    </row>
    <row r="2536" spans="83:106" x14ac:dyDescent="0.2">
      <c r="CE2536"/>
      <c r="CF2536"/>
      <c r="CG2536"/>
      <c r="CH2536"/>
      <c r="CI2536"/>
      <c r="CU2536" s="21">
        <v>2531</v>
      </c>
      <c r="CV2536" s="41">
        <v>4</v>
      </c>
      <c r="CW2536" s="41">
        <v>0.11332468572476186</v>
      </c>
      <c r="CX2536" s="41" t="e">
        <v>#N/A</v>
      </c>
      <c r="CY2536" s="41" t="e">
        <v>#N/A</v>
      </c>
      <c r="CZ2536" s="47" t="e">
        <v>#N/A</v>
      </c>
      <c r="DA2536">
        <v>0.11332468572476186</v>
      </c>
      <c r="DB2536" t="str">
        <v/>
      </c>
    </row>
    <row r="2537" spans="83:106" x14ac:dyDescent="0.2">
      <c r="CE2537"/>
      <c r="CF2537"/>
      <c r="CG2537"/>
      <c r="CH2537"/>
      <c r="CI2537"/>
      <c r="CU2537" s="21">
        <v>2532</v>
      </c>
      <c r="CV2537" s="41">
        <v>4</v>
      </c>
      <c r="CW2537" s="41">
        <v>0.11332468572476186</v>
      </c>
      <c r="CX2537" s="41" t="e">
        <v>#N/A</v>
      </c>
      <c r="CY2537" s="41" t="e">
        <v>#N/A</v>
      </c>
      <c r="CZ2537" s="47" t="e">
        <v>#N/A</v>
      </c>
      <c r="DA2537">
        <v>0.11332468572476186</v>
      </c>
      <c r="DB2537" t="str">
        <v/>
      </c>
    </row>
    <row r="2538" spans="83:106" x14ac:dyDescent="0.2">
      <c r="CE2538"/>
      <c r="CF2538"/>
      <c r="CG2538"/>
      <c r="CH2538"/>
      <c r="CI2538"/>
      <c r="CU2538" s="21">
        <v>2533</v>
      </c>
      <c r="CV2538" s="41">
        <v>4</v>
      </c>
      <c r="CW2538" s="41">
        <v>0.11332468572476186</v>
      </c>
      <c r="CX2538" s="41" t="e">
        <v>#N/A</v>
      </c>
      <c r="CY2538" s="41" t="e">
        <v>#N/A</v>
      </c>
      <c r="CZ2538" s="47" t="e">
        <v>#N/A</v>
      </c>
      <c r="DA2538">
        <v>0.11332468572476186</v>
      </c>
      <c r="DB2538" t="str">
        <v/>
      </c>
    </row>
    <row r="2539" spans="83:106" x14ac:dyDescent="0.2">
      <c r="CE2539"/>
      <c r="CF2539"/>
      <c r="CG2539"/>
      <c r="CH2539"/>
      <c r="CI2539"/>
      <c r="CU2539" s="21">
        <v>2534</v>
      </c>
      <c r="CV2539" s="41">
        <v>4</v>
      </c>
      <c r="CW2539" s="41">
        <v>0.11332468572476186</v>
      </c>
      <c r="CX2539" s="41" t="e">
        <v>#N/A</v>
      </c>
      <c r="CY2539" s="41" t="e">
        <v>#N/A</v>
      </c>
      <c r="CZ2539" s="47" t="e">
        <v>#N/A</v>
      </c>
      <c r="DA2539">
        <v>0.11332468572476186</v>
      </c>
      <c r="DB2539" t="str">
        <v/>
      </c>
    </row>
    <row r="2540" spans="83:106" x14ac:dyDescent="0.2">
      <c r="CE2540"/>
      <c r="CF2540"/>
      <c r="CG2540"/>
      <c r="CH2540"/>
      <c r="CI2540"/>
      <c r="CU2540" s="21">
        <v>2535</v>
      </c>
      <c r="CV2540" s="41">
        <v>4</v>
      </c>
      <c r="CW2540" s="41">
        <v>0.11332468572476186</v>
      </c>
      <c r="CX2540" s="41" t="e">
        <v>#N/A</v>
      </c>
      <c r="CY2540" s="41" t="e">
        <v>#N/A</v>
      </c>
      <c r="CZ2540" s="47" t="e">
        <v>#N/A</v>
      </c>
      <c r="DA2540">
        <v>0.11332468572476186</v>
      </c>
      <c r="DB2540" t="str">
        <v/>
      </c>
    </row>
    <row r="2541" spans="83:106" x14ac:dyDescent="0.2">
      <c r="CE2541"/>
      <c r="CF2541"/>
      <c r="CG2541"/>
      <c r="CH2541"/>
      <c r="CI2541"/>
      <c r="CU2541" s="21">
        <v>2536</v>
      </c>
      <c r="CV2541" s="41">
        <v>4</v>
      </c>
      <c r="CW2541" s="41">
        <v>0.11332468572476186</v>
      </c>
      <c r="CX2541" s="41" t="e">
        <v>#N/A</v>
      </c>
      <c r="CY2541" s="41" t="e">
        <v>#N/A</v>
      </c>
      <c r="CZ2541" s="47" t="e">
        <v>#N/A</v>
      </c>
      <c r="DA2541">
        <v>0.11332468572476186</v>
      </c>
      <c r="DB2541" t="str">
        <v/>
      </c>
    </row>
    <row r="2542" spans="83:106" x14ac:dyDescent="0.2">
      <c r="CE2542"/>
      <c r="CF2542"/>
      <c r="CG2542"/>
      <c r="CH2542"/>
      <c r="CI2542"/>
      <c r="CU2542" s="21">
        <v>2537</v>
      </c>
      <c r="CV2542" s="41">
        <v>4</v>
      </c>
      <c r="CW2542" s="41">
        <v>0.11332468572476186</v>
      </c>
      <c r="CX2542" s="41" t="e">
        <v>#N/A</v>
      </c>
      <c r="CY2542" s="41" t="e">
        <v>#N/A</v>
      </c>
      <c r="CZ2542" s="47" t="e">
        <v>#N/A</v>
      </c>
      <c r="DA2542">
        <v>0.11332468572476186</v>
      </c>
      <c r="DB2542" t="str">
        <v/>
      </c>
    </row>
    <row r="2543" spans="83:106" x14ac:dyDescent="0.2">
      <c r="CE2543"/>
      <c r="CF2543"/>
      <c r="CG2543"/>
      <c r="CH2543"/>
      <c r="CI2543"/>
      <c r="CU2543" s="21">
        <v>2538</v>
      </c>
      <c r="CV2543" s="41">
        <v>4</v>
      </c>
      <c r="CW2543" s="41">
        <v>0.11332468572476186</v>
      </c>
      <c r="CX2543" s="41" t="e">
        <v>#N/A</v>
      </c>
      <c r="CY2543" s="41" t="e">
        <v>#N/A</v>
      </c>
      <c r="CZ2543" s="47" t="e">
        <v>#N/A</v>
      </c>
      <c r="DA2543">
        <v>0.11332468572476186</v>
      </c>
      <c r="DB2543" t="str">
        <v/>
      </c>
    </row>
    <row r="2544" spans="83:106" x14ac:dyDescent="0.2">
      <c r="CE2544"/>
      <c r="CF2544"/>
      <c r="CG2544"/>
      <c r="CH2544"/>
      <c r="CI2544"/>
      <c r="CU2544" s="21">
        <v>2539</v>
      </c>
      <c r="CV2544" s="41">
        <v>4</v>
      </c>
      <c r="CW2544" s="41">
        <v>0.11332468572476186</v>
      </c>
      <c r="CX2544" s="41" t="e">
        <v>#N/A</v>
      </c>
      <c r="CY2544" s="41" t="e">
        <v>#N/A</v>
      </c>
      <c r="CZ2544" s="47" t="e">
        <v>#N/A</v>
      </c>
      <c r="DA2544">
        <v>0.11332468572476186</v>
      </c>
      <c r="DB2544" t="str">
        <v/>
      </c>
    </row>
    <row r="2545" spans="83:106" x14ac:dyDescent="0.2">
      <c r="CE2545"/>
      <c r="CF2545"/>
      <c r="CG2545"/>
      <c r="CH2545"/>
      <c r="CI2545"/>
      <c r="CU2545" s="21">
        <v>2540</v>
      </c>
      <c r="CV2545" s="41">
        <v>4</v>
      </c>
      <c r="CW2545" s="41">
        <v>0.11332468572476186</v>
      </c>
      <c r="CX2545" s="41" t="e">
        <v>#N/A</v>
      </c>
      <c r="CY2545" s="41" t="e">
        <v>#N/A</v>
      </c>
      <c r="CZ2545" s="47" t="e">
        <v>#N/A</v>
      </c>
      <c r="DA2545">
        <v>0.11332468572476186</v>
      </c>
      <c r="DB2545" t="str">
        <v/>
      </c>
    </row>
    <row r="2546" spans="83:106" x14ac:dyDescent="0.2">
      <c r="CE2546"/>
      <c r="CF2546"/>
      <c r="CG2546"/>
      <c r="CH2546"/>
      <c r="CI2546"/>
      <c r="CU2546" s="21">
        <v>2541</v>
      </c>
      <c r="CV2546" s="41">
        <v>4</v>
      </c>
      <c r="CW2546" s="41">
        <v>0.11332468572476186</v>
      </c>
      <c r="CX2546" s="41" t="e">
        <v>#N/A</v>
      </c>
      <c r="CY2546" s="41" t="e">
        <v>#N/A</v>
      </c>
      <c r="CZ2546" s="47" t="e">
        <v>#N/A</v>
      </c>
      <c r="DA2546">
        <v>0.11332468572476186</v>
      </c>
      <c r="DB2546" t="str">
        <v/>
      </c>
    </row>
    <row r="2547" spans="83:106" x14ac:dyDescent="0.2">
      <c r="CE2547"/>
      <c r="CF2547"/>
      <c r="CG2547"/>
      <c r="CH2547"/>
      <c r="CI2547"/>
      <c r="CU2547" s="21">
        <v>2542</v>
      </c>
      <c r="CV2547" s="41">
        <v>4</v>
      </c>
      <c r="CW2547" s="41">
        <v>0.11332468572476186</v>
      </c>
      <c r="CX2547" s="41" t="e">
        <v>#N/A</v>
      </c>
      <c r="CY2547" s="41" t="e">
        <v>#N/A</v>
      </c>
      <c r="CZ2547" s="47" t="e">
        <v>#N/A</v>
      </c>
      <c r="DA2547">
        <v>0.11332468572476186</v>
      </c>
      <c r="DB2547" t="str">
        <v/>
      </c>
    </row>
    <row r="2548" spans="83:106" x14ac:dyDescent="0.2">
      <c r="CE2548"/>
      <c r="CF2548"/>
      <c r="CG2548"/>
      <c r="CH2548"/>
      <c r="CI2548"/>
      <c r="CU2548" s="21">
        <v>2543</v>
      </c>
      <c r="CV2548" s="41">
        <v>4</v>
      </c>
      <c r="CW2548" s="41">
        <v>0.11332468572476186</v>
      </c>
      <c r="CX2548" s="41" t="e">
        <v>#N/A</v>
      </c>
      <c r="CY2548" s="41" t="e">
        <v>#N/A</v>
      </c>
      <c r="CZ2548" s="47" t="e">
        <v>#N/A</v>
      </c>
      <c r="DA2548">
        <v>0.11332468572476186</v>
      </c>
      <c r="DB2548" t="str">
        <v/>
      </c>
    </row>
    <row r="2549" spans="83:106" x14ac:dyDescent="0.2">
      <c r="CE2549"/>
      <c r="CF2549"/>
      <c r="CG2549"/>
      <c r="CH2549"/>
      <c r="CI2549"/>
      <c r="CU2549" s="21">
        <v>2544</v>
      </c>
      <c r="CV2549" s="41">
        <v>4</v>
      </c>
      <c r="CW2549" s="41">
        <v>0.11332468572476186</v>
      </c>
      <c r="CX2549" s="41" t="e">
        <v>#N/A</v>
      </c>
      <c r="CY2549" s="41" t="e">
        <v>#N/A</v>
      </c>
      <c r="CZ2549" s="47" t="e">
        <v>#N/A</v>
      </c>
      <c r="DA2549">
        <v>0.11332468572476186</v>
      </c>
      <c r="DB2549" t="str">
        <v/>
      </c>
    </row>
    <row r="2550" spans="83:106" x14ac:dyDescent="0.2">
      <c r="CE2550"/>
      <c r="CF2550"/>
      <c r="CG2550"/>
      <c r="CH2550"/>
      <c r="CI2550"/>
      <c r="CU2550" s="21">
        <v>2545</v>
      </c>
      <c r="CV2550" s="41">
        <v>4</v>
      </c>
      <c r="CW2550" s="41">
        <v>0.11332468572476186</v>
      </c>
      <c r="CX2550" s="41" t="e">
        <v>#N/A</v>
      </c>
      <c r="CY2550" s="41" t="e">
        <v>#N/A</v>
      </c>
      <c r="CZ2550" s="47" t="e">
        <v>#N/A</v>
      </c>
      <c r="DA2550">
        <v>0.11332468572476186</v>
      </c>
      <c r="DB2550" t="str">
        <v/>
      </c>
    </row>
    <row r="2551" spans="83:106" x14ac:dyDescent="0.2">
      <c r="CE2551"/>
      <c r="CF2551"/>
      <c r="CG2551"/>
      <c r="CH2551"/>
      <c r="CI2551"/>
      <c r="CU2551" s="21">
        <v>2546</v>
      </c>
      <c r="CV2551" s="41">
        <v>4</v>
      </c>
      <c r="CW2551" s="41">
        <v>0.11332468572476186</v>
      </c>
      <c r="CX2551" s="41" t="e">
        <v>#N/A</v>
      </c>
      <c r="CY2551" s="41" t="e">
        <v>#N/A</v>
      </c>
      <c r="CZ2551" s="47" t="e">
        <v>#N/A</v>
      </c>
      <c r="DA2551">
        <v>0.11332468572476186</v>
      </c>
      <c r="DB2551" t="str">
        <v/>
      </c>
    </row>
    <row r="2552" spans="83:106" x14ac:dyDescent="0.2">
      <c r="CE2552"/>
      <c r="CF2552"/>
      <c r="CG2552"/>
      <c r="CH2552"/>
      <c r="CI2552"/>
      <c r="CU2552" s="21">
        <v>2547</v>
      </c>
      <c r="CV2552" s="41">
        <v>4</v>
      </c>
      <c r="CW2552" s="41">
        <v>0.11332468572476186</v>
      </c>
      <c r="CX2552" s="41" t="e">
        <v>#N/A</v>
      </c>
      <c r="CY2552" s="41" t="e">
        <v>#N/A</v>
      </c>
      <c r="CZ2552" s="47" t="e">
        <v>#N/A</v>
      </c>
      <c r="DA2552">
        <v>0.11332468572476186</v>
      </c>
      <c r="DB2552" t="str">
        <v/>
      </c>
    </row>
    <row r="2553" spans="83:106" x14ac:dyDescent="0.2">
      <c r="CE2553"/>
      <c r="CF2553"/>
      <c r="CG2553"/>
      <c r="CH2553"/>
      <c r="CI2553"/>
      <c r="CU2553" s="21">
        <v>2548</v>
      </c>
      <c r="CV2553" s="41">
        <v>4</v>
      </c>
      <c r="CW2553" s="41">
        <v>0.11332468572476186</v>
      </c>
      <c r="CX2553" s="41" t="e">
        <v>#N/A</v>
      </c>
      <c r="CY2553" s="41" t="e">
        <v>#N/A</v>
      </c>
      <c r="CZ2553" s="47" t="e">
        <v>#N/A</v>
      </c>
      <c r="DA2553">
        <v>0.11332468572476186</v>
      </c>
      <c r="DB2553" t="str">
        <v/>
      </c>
    </row>
    <row r="2554" spans="83:106" x14ac:dyDescent="0.2">
      <c r="CE2554"/>
      <c r="CF2554"/>
      <c r="CG2554"/>
      <c r="CH2554"/>
      <c r="CI2554"/>
      <c r="CU2554" s="21">
        <v>2549</v>
      </c>
      <c r="CV2554" s="41">
        <v>4</v>
      </c>
      <c r="CW2554" s="41">
        <v>0.11332468572476186</v>
      </c>
      <c r="CX2554" s="41" t="e">
        <v>#N/A</v>
      </c>
      <c r="CY2554" s="41" t="e">
        <v>#N/A</v>
      </c>
      <c r="CZ2554" s="47" t="e">
        <v>#N/A</v>
      </c>
      <c r="DA2554">
        <v>0.11332468572476186</v>
      </c>
      <c r="DB2554" t="str">
        <v/>
      </c>
    </row>
    <row r="2555" spans="83:106" x14ac:dyDescent="0.2">
      <c r="CE2555"/>
      <c r="CF2555"/>
      <c r="CG2555"/>
      <c r="CH2555"/>
      <c r="CI2555"/>
      <c r="CU2555" s="21">
        <v>2550</v>
      </c>
      <c r="CV2555" s="41">
        <v>4</v>
      </c>
      <c r="CW2555" s="41">
        <v>0.11332468572476186</v>
      </c>
      <c r="CX2555" s="41" t="e">
        <v>#N/A</v>
      </c>
      <c r="CY2555" s="41" t="e">
        <v>#N/A</v>
      </c>
      <c r="CZ2555" s="47" t="e">
        <v>#N/A</v>
      </c>
      <c r="DA2555">
        <v>0.11332468572476186</v>
      </c>
      <c r="DB2555" t="str">
        <v/>
      </c>
    </row>
    <row r="2556" spans="83:106" x14ac:dyDescent="0.2">
      <c r="CE2556"/>
      <c r="CF2556"/>
      <c r="CG2556"/>
      <c r="CH2556"/>
      <c r="CI2556"/>
      <c r="CU2556" s="21">
        <v>2551</v>
      </c>
      <c r="CV2556" s="41">
        <v>4</v>
      </c>
      <c r="CW2556" s="41">
        <v>0.11332468572476186</v>
      </c>
      <c r="CX2556" s="41" t="e">
        <v>#N/A</v>
      </c>
      <c r="CY2556" s="41" t="e">
        <v>#N/A</v>
      </c>
      <c r="CZ2556" s="47" t="e">
        <v>#N/A</v>
      </c>
      <c r="DA2556">
        <v>0.11332468572476186</v>
      </c>
      <c r="DB2556" t="str">
        <v/>
      </c>
    </row>
    <row r="2557" spans="83:106" x14ac:dyDescent="0.2">
      <c r="CE2557"/>
      <c r="CF2557"/>
      <c r="CG2557"/>
      <c r="CH2557"/>
      <c r="CI2557"/>
      <c r="CU2557" s="21">
        <v>2552</v>
      </c>
      <c r="CV2557" s="41">
        <v>4</v>
      </c>
      <c r="CW2557" s="41">
        <v>0.11332468572476186</v>
      </c>
      <c r="CX2557" s="41" t="e">
        <v>#N/A</v>
      </c>
      <c r="CY2557" s="41" t="e">
        <v>#N/A</v>
      </c>
      <c r="CZ2557" s="47" t="e">
        <v>#N/A</v>
      </c>
      <c r="DA2557">
        <v>0.11332468572476186</v>
      </c>
      <c r="DB2557" t="str">
        <v/>
      </c>
    </row>
    <row r="2558" spans="83:106" x14ac:dyDescent="0.2">
      <c r="CE2558"/>
      <c r="CF2558"/>
      <c r="CG2558"/>
      <c r="CH2558"/>
      <c r="CI2558"/>
      <c r="CU2558" s="21">
        <v>2553</v>
      </c>
      <c r="CV2558" s="41">
        <v>4</v>
      </c>
      <c r="CW2558" s="41">
        <v>0.11332468572476186</v>
      </c>
      <c r="CX2558" s="41" t="e">
        <v>#N/A</v>
      </c>
      <c r="CY2558" s="41" t="e">
        <v>#N/A</v>
      </c>
      <c r="CZ2558" s="47" t="e">
        <v>#N/A</v>
      </c>
      <c r="DA2558">
        <v>0.11332468572476186</v>
      </c>
      <c r="DB2558" t="str">
        <v/>
      </c>
    </row>
    <row r="2559" spans="83:106" x14ac:dyDescent="0.2">
      <c r="CE2559"/>
      <c r="CF2559"/>
      <c r="CG2559"/>
      <c r="CH2559"/>
      <c r="CI2559"/>
      <c r="CU2559" s="21">
        <v>2554</v>
      </c>
      <c r="CV2559" s="41">
        <v>4</v>
      </c>
      <c r="CW2559" s="41">
        <v>0.11332468572476186</v>
      </c>
      <c r="CX2559" s="41" t="e">
        <v>#N/A</v>
      </c>
      <c r="CY2559" s="41" t="e">
        <v>#N/A</v>
      </c>
      <c r="CZ2559" s="47" t="e">
        <v>#N/A</v>
      </c>
      <c r="DA2559">
        <v>0.11332468572476186</v>
      </c>
      <c r="DB2559" t="str">
        <v/>
      </c>
    </row>
    <row r="2560" spans="83:106" x14ac:dyDescent="0.2">
      <c r="CE2560"/>
      <c r="CF2560"/>
      <c r="CG2560"/>
      <c r="CH2560"/>
      <c r="CI2560"/>
      <c r="CU2560" s="21">
        <v>2555</v>
      </c>
      <c r="CV2560" s="41">
        <v>4</v>
      </c>
      <c r="CW2560" s="41">
        <v>0.11332468572476186</v>
      </c>
      <c r="CX2560" s="41" t="e">
        <v>#N/A</v>
      </c>
      <c r="CY2560" s="41" t="e">
        <v>#N/A</v>
      </c>
      <c r="CZ2560" s="47" t="e">
        <v>#N/A</v>
      </c>
      <c r="DA2560">
        <v>0.11332468572476186</v>
      </c>
      <c r="DB2560" t="str">
        <v/>
      </c>
    </row>
    <row r="2561" spans="83:106" x14ac:dyDescent="0.2">
      <c r="CE2561"/>
      <c r="CF2561"/>
      <c r="CG2561"/>
      <c r="CH2561"/>
      <c r="CI2561"/>
      <c r="CU2561" s="21">
        <v>2556</v>
      </c>
      <c r="CV2561" s="41">
        <v>4</v>
      </c>
      <c r="CW2561" s="41">
        <v>0.11332468572476186</v>
      </c>
      <c r="CX2561" s="41" t="e">
        <v>#N/A</v>
      </c>
      <c r="CY2561" s="41" t="e">
        <v>#N/A</v>
      </c>
      <c r="CZ2561" s="47" t="e">
        <v>#N/A</v>
      </c>
      <c r="DA2561">
        <v>0.11332468572476186</v>
      </c>
      <c r="DB2561" t="str">
        <v/>
      </c>
    </row>
    <row r="2562" spans="83:106" x14ac:dyDescent="0.2">
      <c r="CE2562"/>
      <c r="CF2562"/>
      <c r="CG2562"/>
      <c r="CH2562"/>
      <c r="CI2562"/>
      <c r="CU2562" s="21">
        <v>2557</v>
      </c>
      <c r="CV2562" s="41">
        <v>4</v>
      </c>
      <c r="CW2562" s="41">
        <v>0.11332468572476186</v>
      </c>
      <c r="CX2562" s="41" t="e">
        <v>#N/A</v>
      </c>
      <c r="CY2562" s="41" t="e">
        <v>#N/A</v>
      </c>
      <c r="CZ2562" s="47" t="e">
        <v>#N/A</v>
      </c>
      <c r="DA2562">
        <v>0.11332468572476186</v>
      </c>
      <c r="DB2562" t="str">
        <v/>
      </c>
    </row>
    <row r="2563" spans="83:106" x14ac:dyDescent="0.2">
      <c r="CE2563"/>
      <c r="CF2563"/>
      <c r="CG2563"/>
      <c r="CH2563"/>
      <c r="CI2563"/>
      <c r="CU2563" s="21">
        <v>2558</v>
      </c>
      <c r="CV2563" s="41">
        <v>4</v>
      </c>
      <c r="CW2563" s="41">
        <v>0.11332468572476186</v>
      </c>
      <c r="CX2563" s="41" t="e">
        <v>#N/A</v>
      </c>
      <c r="CY2563" s="41" t="e">
        <v>#N/A</v>
      </c>
      <c r="CZ2563" s="47" t="e">
        <v>#N/A</v>
      </c>
      <c r="DA2563">
        <v>0.11332468572476186</v>
      </c>
      <c r="DB2563" t="str">
        <v/>
      </c>
    </row>
    <row r="2564" spans="83:106" x14ac:dyDescent="0.2">
      <c r="CE2564"/>
      <c r="CF2564"/>
      <c r="CG2564"/>
      <c r="CH2564"/>
      <c r="CI2564"/>
      <c r="CU2564" s="21">
        <v>2559</v>
      </c>
      <c r="CV2564" s="41">
        <v>4</v>
      </c>
      <c r="CW2564" s="41">
        <v>0.11332468572476186</v>
      </c>
      <c r="CX2564" s="41" t="e">
        <v>#N/A</v>
      </c>
      <c r="CY2564" s="41" t="e">
        <v>#N/A</v>
      </c>
      <c r="CZ2564" s="47" t="e">
        <v>#N/A</v>
      </c>
      <c r="DA2564">
        <v>0.11332468572476186</v>
      </c>
      <c r="DB2564" t="str">
        <v/>
      </c>
    </row>
    <row r="2565" spans="83:106" x14ac:dyDescent="0.2">
      <c r="CE2565"/>
      <c r="CF2565"/>
      <c r="CG2565"/>
      <c r="CH2565"/>
      <c r="CI2565"/>
      <c r="CU2565" s="21">
        <v>2560</v>
      </c>
      <c r="CV2565" s="41">
        <v>4</v>
      </c>
      <c r="CW2565" s="41">
        <v>0.11332468572476186</v>
      </c>
      <c r="CX2565" s="41" t="e">
        <v>#N/A</v>
      </c>
      <c r="CY2565" s="41" t="e">
        <v>#N/A</v>
      </c>
      <c r="CZ2565" s="47" t="e">
        <v>#N/A</v>
      </c>
      <c r="DA2565">
        <v>0.11332468572476186</v>
      </c>
      <c r="DB2565" t="str">
        <v/>
      </c>
    </row>
    <row r="2566" spans="83:106" x14ac:dyDescent="0.2">
      <c r="CE2566"/>
      <c r="CF2566"/>
      <c r="CG2566"/>
      <c r="CH2566"/>
      <c r="CI2566"/>
      <c r="CU2566" s="21">
        <v>2561</v>
      </c>
      <c r="CV2566" s="41">
        <v>4</v>
      </c>
      <c r="CW2566" s="41">
        <v>0.11332468572476186</v>
      </c>
      <c r="CX2566" s="41" t="e">
        <v>#N/A</v>
      </c>
      <c r="CY2566" s="41" t="e">
        <v>#N/A</v>
      </c>
      <c r="CZ2566" s="47" t="e">
        <v>#N/A</v>
      </c>
      <c r="DA2566">
        <v>0.11332468572476186</v>
      </c>
      <c r="DB2566" t="str">
        <v/>
      </c>
    </row>
    <row r="2567" spans="83:106" x14ac:dyDescent="0.2">
      <c r="CE2567"/>
      <c r="CF2567"/>
      <c r="CG2567"/>
      <c r="CH2567"/>
      <c r="CI2567"/>
      <c r="CU2567" s="21">
        <v>2562</v>
      </c>
      <c r="CV2567" s="41">
        <v>4</v>
      </c>
      <c r="CW2567" s="41">
        <v>0.11332468572476186</v>
      </c>
      <c r="CX2567" s="41" t="e">
        <v>#N/A</v>
      </c>
      <c r="CY2567" s="41" t="e">
        <v>#N/A</v>
      </c>
      <c r="CZ2567" s="47" t="e">
        <v>#N/A</v>
      </c>
      <c r="DA2567">
        <v>0.11332468572476186</v>
      </c>
      <c r="DB2567" t="str">
        <v/>
      </c>
    </row>
    <row r="2568" spans="83:106" x14ac:dyDescent="0.2">
      <c r="CE2568"/>
      <c r="CF2568"/>
      <c r="CG2568"/>
      <c r="CH2568"/>
      <c r="CI2568"/>
      <c r="CU2568" s="21">
        <v>2563</v>
      </c>
      <c r="CV2568" s="41">
        <v>4</v>
      </c>
      <c r="CW2568" s="41">
        <v>0.11332468572476186</v>
      </c>
      <c r="CX2568" s="41" t="e">
        <v>#N/A</v>
      </c>
      <c r="CY2568" s="41" t="e">
        <v>#N/A</v>
      </c>
      <c r="CZ2568" s="47" t="e">
        <v>#N/A</v>
      </c>
      <c r="DA2568">
        <v>0.11332468572476186</v>
      </c>
      <c r="DB2568" t="str">
        <v/>
      </c>
    </row>
    <row r="2569" spans="83:106" x14ac:dyDescent="0.2">
      <c r="CE2569"/>
      <c r="CF2569"/>
      <c r="CG2569"/>
      <c r="CH2569"/>
      <c r="CI2569"/>
      <c r="CU2569" s="21">
        <v>2564</v>
      </c>
      <c r="CV2569" s="41">
        <v>4</v>
      </c>
      <c r="CW2569" s="41">
        <v>0.11332468572476186</v>
      </c>
      <c r="CX2569" s="41" t="e">
        <v>#N/A</v>
      </c>
      <c r="CY2569" s="41" t="e">
        <v>#N/A</v>
      </c>
      <c r="CZ2569" s="47" t="e">
        <v>#N/A</v>
      </c>
      <c r="DA2569">
        <v>0.11332468572476186</v>
      </c>
      <c r="DB2569" t="str">
        <v/>
      </c>
    </row>
    <row r="2570" spans="83:106" x14ac:dyDescent="0.2">
      <c r="CE2570"/>
      <c r="CF2570"/>
      <c r="CG2570"/>
      <c r="CH2570"/>
      <c r="CI2570"/>
      <c r="CU2570" s="21">
        <v>2565</v>
      </c>
      <c r="CV2570" s="41">
        <v>4</v>
      </c>
      <c r="CW2570" s="41">
        <v>0.11332468572476186</v>
      </c>
      <c r="CX2570" s="41" t="e">
        <v>#N/A</v>
      </c>
      <c r="CY2570" s="41" t="e">
        <v>#N/A</v>
      </c>
      <c r="CZ2570" s="47" t="e">
        <v>#N/A</v>
      </c>
      <c r="DA2570">
        <v>0.11332468572476186</v>
      </c>
      <c r="DB2570" t="str">
        <v/>
      </c>
    </row>
    <row r="2571" spans="83:106" x14ac:dyDescent="0.2">
      <c r="CE2571"/>
      <c r="CF2571"/>
      <c r="CG2571"/>
      <c r="CH2571"/>
      <c r="CI2571"/>
      <c r="CU2571" s="21">
        <v>2566</v>
      </c>
      <c r="CV2571" s="41">
        <v>4</v>
      </c>
      <c r="CW2571" s="41">
        <v>0.11332468572476186</v>
      </c>
      <c r="CX2571" s="41" t="e">
        <v>#N/A</v>
      </c>
      <c r="CY2571" s="41" t="e">
        <v>#N/A</v>
      </c>
      <c r="CZ2571" s="47" t="e">
        <v>#N/A</v>
      </c>
      <c r="DA2571">
        <v>0.11332468572476186</v>
      </c>
      <c r="DB2571" t="str">
        <v/>
      </c>
    </row>
    <row r="2572" spans="83:106" x14ac:dyDescent="0.2">
      <c r="CE2572"/>
      <c r="CF2572"/>
      <c r="CG2572"/>
      <c r="CH2572"/>
      <c r="CI2572"/>
      <c r="CU2572" s="21">
        <v>2567</v>
      </c>
      <c r="CV2572" s="41">
        <v>4</v>
      </c>
      <c r="CW2572" s="41">
        <v>0.11332468572476186</v>
      </c>
      <c r="CX2572" s="41" t="e">
        <v>#N/A</v>
      </c>
      <c r="CY2572" s="41" t="e">
        <v>#N/A</v>
      </c>
      <c r="CZ2572" s="47" t="e">
        <v>#N/A</v>
      </c>
      <c r="DA2572">
        <v>0.11332468572476186</v>
      </c>
      <c r="DB2572" t="str">
        <v/>
      </c>
    </row>
    <row r="2573" spans="83:106" x14ac:dyDescent="0.2">
      <c r="CE2573"/>
      <c r="CF2573"/>
      <c r="CG2573"/>
      <c r="CH2573"/>
      <c r="CI2573"/>
      <c r="CU2573" s="21">
        <v>2568</v>
      </c>
      <c r="CV2573" s="41">
        <v>4</v>
      </c>
      <c r="CW2573" s="41">
        <v>0.11332468572476186</v>
      </c>
      <c r="CX2573" s="41" t="e">
        <v>#N/A</v>
      </c>
      <c r="CY2573" s="41" t="e">
        <v>#N/A</v>
      </c>
      <c r="CZ2573" s="47" t="e">
        <v>#N/A</v>
      </c>
      <c r="DA2573">
        <v>0.11332468572476186</v>
      </c>
      <c r="DB2573" t="str">
        <v/>
      </c>
    </row>
    <row r="2574" spans="83:106" x14ac:dyDescent="0.2">
      <c r="CE2574"/>
      <c r="CF2574"/>
      <c r="CG2574"/>
      <c r="CH2574"/>
      <c r="CI2574"/>
      <c r="CU2574" s="21">
        <v>2569</v>
      </c>
      <c r="CV2574" s="41">
        <v>4</v>
      </c>
      <c r="CW2574" s="41">
        <v>0.11332468572476186</v>
      </c>
      <c r="CX2574" s="41" t="e">
        <v>#N/A</v>
      </c>
      <c r="CY2574" s="41" t="e">
        <v>#N/A</v>
      </c>
      <c r="CZ2574" s="47" t="e">
        <v>#N/A</v>
      </c>
      <c r="DA2574">
        <v>0.11332468572476186</v>
      </c>
      <c r="DB2574" t="str">
        <v/>
      </c>
    </row>
    <row r="2575" spans="83:106" x14ac:dyDescent="0.2">
      <c r="CE2575"/>
      <c r="CF2575"/>
      <c r="CG2575"/>
      <c r="CH2575"/>
      <c r="CI2575"/>
      <c r="CU2575" s="21">
        <v>2570</v>
      </c>
      <c r="CV2575" s="41">
        <v>4</v>
      </c>
      <c r="CW2575" s="41">
        <v>0.11332468572476186</v>
      </c>
      <c r="CX2575" s="41" t="e">
        <v>#N/A</v>
      </c>
      <c r="CY2575" s="41" t="e">
        <v>#N/A</v>
      </c>
      <c r="CZ2575" s="47" t="e">
        <v>#N/A</v>
      </c>
      <c r="DA2575">
        <v>0.11332468572476186</v>
      </c>
      <c r="DB2575" t="str">
        <v/>
      </c>
    </row>
    <row r="2576" spans="83:106" x14ac:dyDescent="0.2">
      <c r="CE2576"/>
      <c r="CF2576"/>
      <c r="CG2576"/>
      <c r="CH2576"/>
      <c r="CI2576"/>
      <c r="CU2576" s="21">
        <v>2571</v>
      </c>
      <c r="CV2576" s="41">
        <v>4</v>
      </c>
      <c r="CW2576" s="41">
        <v>0.11332468572476186</v>
      </c>
      <c r="CX2576" s="41" t="e">
        <v>#N/A</v>
      </c>
      <c r="CY2576" s="41" t="e">
        <v>#N/A</v>
      </c>
      <c r="CZ2576" s="47" t="e">
        <v>#N/A</v>
      </c>
      <c r="DA2576">
        <v>0.11332468572476186</v>
      </c>
      <c r="DB2576" t="str">
        <v/>
      </c>
    </row>
    <row r="2577" spans="83:106" x14ac:dyDescent="0.2">
      <c r="CE2577"/>
      <c r="CF2577"/>
      <c r="CG2577"/>
      <c r="CH2577"/>
      <c r="CI2577"/>
      <c r="CU2577" s="21">
        <v>2572</v>
      </c>
      <c r="CV2577" s="41">
        <v>4</v>
      </c>
      <c r="CW2577" s="41">
        <v>0.11332468572476186</v>
      </c>
      <c r="CX2577" s="41" t="e">
        <v>#N/A</v>
      </c>
      <c r="CY2577" s="41" t="e">
        <v>#N/A</v>
      </c>
      <c r="CZ2577" s="47" t="e">
        <v>#N/A</v>
      </c>
      <c r="DA2577">
        <v>0.11332468572476186</v>
      </c>
      <c r="DB2577" t="str">
        <v/>
      </c>
    </row>
    <row r="2578" spans="83:106" x14ac:dyDescent="0.2">
      <c r="CE2578"/>
      <c r="CF2578"/>
      <c r="CG2578"/>
      <c r="CH2578"/>
      <c r="CI2578"/>
      <c r="CU2578" s="21">
        <v>2573</v>
      </c>
      <c r="CV2578" s="41">
        <v>4</v>
      </c>
      <c r="CW2578" s="41">
        <v>0.11332468572476186</v>
      </c>
      <c r="CX2578" s="41" t="e">
        <v>#N/A</v>
      </c>
      <c r="CY2578" s="41" t="e">
        <v>#N/A</v>
      </c>
      <c r="CZ2578" s="47" t="e">
        <v>#N/A</v>
      </c>
      <c r="DA2578">
        <v>0.11332468572476186</v>
      </c>
      <c r="DB2578" t="str">
        <v/>
      </c>
    </row>
    <row r="2579" spans="83:106" x14ac:dyDescent="0.2">
      <c r="CE2579"/>
      <c r="CF2579"/>
      <c r="CG2579"/>
      <c r="CH2579"/>
      <c r="CI2579"/>
      <c r="CU2579" s="21">
        <v>2574</v>
      </c>
      <c r="CV2579" s="41">
        <v>4</v>
      </c>
      <c r="CW2579" s="41">
        <v>0.11332468572476186</v>
      </c>
      <c r="CX2579" s="41" t="e">
        <v>#N/A</v>
      </c>
      <c r="CY2579" s="41" t="e">
        <v>#N/A</v>
      </c>
      <c r="CZ2579" s="47" t="e">
        <v>#N/A</v>
      </c>
      <c r="DA2579">
        <v>0.11332468572476186</v>
      </c>
      <c r="DB2579" t="str">
        <v/>
      </c>
    </row>
    <row r="2580" spans="83:106" x14ac:dyDescent="0.2">
      <c r="CE2580"/>
      <c r="CF2580"/>
      <c r="CG2580"/>
      <c r="CH2580"/>
      <c r="CI2580"/>
      <c r="CU2580" s="21">
        <v>2575</v>
      </c>
      <c r="CV2580" s="41">
        <v>4</v>
      </c>
      <c r="CW2580" s="41">
        <v>0.11332468572476186</v>
      </c>
      <c r="CX2580" s="41" t="e">
        <v>#N/A</v>
      </c>
      <c r="CY2580" s="41" t="e">
        <v>#N/A</v>
      </c>
      <c r="CZ2580" s="47" t="e">
        <v>#N/A</v>
      </c>
      <c r="DA2580">
        <v>0.11332468572476186</v>
      </c>
      <c r="DB2580" t="str">
        <v/>
      </c>
    </row>
    <row r="2581" spans="83:106" x14ac:dyDescent="0.2">
      <c r="CE2581"/>
      <c r="CF2581"/>
      <c r="CG2581"/>
      <c r="CH2581"/>
      <c r="CI2581"/>
      <c r="CU2581" s="21">
        <v>2576</v>
      </c>
      <c r="CV2581" s="41">
        <v>4</v>
      </c>
      <c r="CW2581" s="41">
        <v>0.11332468572476186</v>
      </c>
      <c r="CX2581" s="41" t="e">
        <v>#N/A</v>
      </c>
      <c r="CY2581" s="41" t="e">
        <v>#N/A</v>
      </c>
      <c r="CZ2581" s="47" t="e">
        <v>#N/A</v>
      </c>
      <c r="DA2581">
        <v>0.11332468572476186</v>
      </c>
      <c r="DB2581" t="str">
        <v/>
      </c>
    </row>
    <row r="2582" spans="83:106" x14ac:dyDescent="0.2">
      <c r="CE2582"/>
      <c r="CF2582"/>
      <c r="CG2582"/>
      <c r="CH2582"/>
      <c r="CI2582"/>
      <c r="CU2582" s="21">
        <v>2577</v>
      </c>
      <c r="CV2582" s="41">
        <v>4</v>
      </c>
      <c r="CW2582" s="41">
        <v>0.11332468572476186</v>
      </c>
      <c r="CX2582" s="41" t="e">
        <v>#N/A</v>
      </c>
      <c r="CY2582" s="41" t="e">
        <v>#N/A</v>
      </c>
      <c r="CZ2582" s="47" t="e">
        <v>#N/A</v>
      </c>
      <c r="DA2582">
        <v>0.11332468572476186</v>
      </c>
      <c r="DB2582" t="str">
        <v/>
      </c>
    </row>
    <row r="2583" spans="83:106" x14ac:dyDescent="0.2">
      <c r="CE2583"/>
      <c r="CF2583"/>
      <c r="CG2583"/>
      <c r="CH2583"/>
      <c r="CI2583"/>
      <c r="CU2583" s="21">
        <v>2578</v>
      </c>
      <c r="CV2583" s="41">
        <v>4</v>
      </c>
      <c r="CW2583" s="41">
        <v>0.11332468572476186</v>
      </c>
      <c r="CX2583" s="41" t="e">
        <v>#N/A</v>
      </c>
      <c r="CY2583" s="41" t="e">
        <v>#N/A</v>
      </c>
      <c r="CZ2583" s="47" t="e">
        <v>#N/A</v>
      </c>
      <c r="DA2583">
        <v>0.11332468572476186</v>
      </c>
      <c r="DB2583" t="str">
        <v/>
      </c>
    </row>
    <row r="2584" spans="83:106" x14ac:dyDescent="0.2">
      <c r="CE2584"/>
      <c r="CF2584"/>
      <c r="CG2584"/>
      <c r="CH2584"/>
      <c r="CI2584"/>
      <c r="CU2584" s="21">
        <v>2579</v>
      </c>
      <c r="CV2584" s="41">
        <v>4</v>
      </c>
      <c r="CW2584" s="41">
        <v>0.11332468572476186</v>
      </c>
      <c r="CX2584" s="41" t="e">
        <v>#N/A</v>
      </c>
      <c r="CY2584" s="41" t="e">
        <v>#N/A</v>
      </c>
      <c r="CZ2584" s="47" t="e">
        <v>#N/A</v>
      </c>
      <c r="DA2584">
        <v>0.11332468572476186</v>
      </c>
      <c r="DB2584" t="str">
        <v/>
      </c>
    </row>
    <row r="2585" spans="83:106" x14ac:dyDescent="0.2">
      <c r="CE2585"/>
      <c r="CF2585"/>
      <c r="CG2585"/>
      <c r="CH2585"/>
      <c r="CI2585"/>
      <c r="CU2585" s="21">
        <v>2580</v>
      </c>
      <c r="CV2585" s="41">
        <v>4</v>
      </c>
      <c r="CW2585" s="41">
        <v>0.11332468572476186</v>
      </c>
      <c r="CX2585" s="41" t="e">
        <v>#N/A</v>
      </c>
      <c r="CY2585" s="41" t="e">
        <v>#N/A</v>
      </c>
      <c r="CZ2585" s="47" t="e">
        <v>#N/A</v>
      </c>
      <c r="DA2585">
        <v>0.11332468572476186</v>
      </c>
      <c r="DB2585" t="str">
        <v/>
      </c>
    </row>
    <row r="2586" spans="83:106" x14ac:dyDescent="0.2">
      <c r="CE2586"/>
      <c r="CF2586"/>
      <c r="CG2586"/>
      <c r="CH2586"/>
      <c r="CI2586"/>
      <c r="CU2586" s="21">
        <v>2581</v>
      </c>
      <c r="CV2586" s="41">
        <v>4</v>
      </c>
      <c r="CW2586" s="41">
        <v>0.11332468572476186</v>
      </c>
      <c r="CX2586" s="41" t="e">
        <v>#N/A</v>
      </c>
      <c r="CY2586" s="41" t="e">
        <v>#N/A</v>
      </c>
      <c r="CZ2586" s="47" t="e">
        <v>#N/A</v>
      </c>
      <c r="DA2586">
        <v>0.11332468572476186</v>
      </c>
      <c r="DB2586" t="str">
        <v/>
      </c>
    </row>
    <row r="2587" spans="83:106" x14ac:dyDescent="0.2">
      <c r="CE2587"/>
      <c r="CF2587"/>
      <c r="CG2587"/>
      <c r="CH2587"/>
      <c r="CI2587"/>
      <c r="CU2587" s="21">
        <v>2582</v>
      </c>
      <c r="CV2587" s="41">
        <v>4</v>
      </c>
      <c r="CW2587" s="41">
        <v>0.11332468572476186</v>
      </c>
      <c r="CX2587" s="41" t="e">
        <v>#N/A</v>
      </c>
      <c r="CY2587" s="41" t="e">
        <v>#N/A</v>
      </c>
      <c r="CZ2587" s="47" t="e">
        <v>#N/A</v>
      </c>
      <c r="DA2587">
        <v>0.11332468572476186</v>
      </c>
      <c r="DB2587" t="str">
        <v/>
      </c>
    </row>
    <row r="2588" spans="83:106" x14ac:dyDescent="0.2">
      <c r="CE2588"/>
      <c r="CF2588"/>
      <c r="CG2588"/>
      <c r="CH2588"/>
      <c r="CI2588"/>
      <c r="CU2588" s="21">
        <v>2583</v>
      </c>
      <c r="CV2588" s="41">
        <v>4</v>
      </c>
      <c r="CW2588" s="41">
        <v>0.11332468572476186</v>
      </c>
      <c r="CX2588" s="41" t="e">
        <v>#N/A</v>
      </c>
      <c r="CY2588" s="41" t="e">
        <v>#N/A</v>
      </c>
      <c r="CZ2588" s="47" t="e">
        <v>#N/A</v>
      </c>
      <c r="DA2588">
        <v>0.11332468572476186</v>
      </c>
      <c r="DB2588" t="str">
        <v/>
      </c>
    </row>
    <row r="2589" spans="83:106" x14ac:dyDescent="0.2">
      <c r="CE2589"/>
      <c r="CF2589"/>
      <c r="CG2589"/>
      <c r="CH2589"/>
      <c r="CI2589"/>
      <c r="CU2589" s="21">
        <v>2584</v>
      </c>
      <c r="CV2589" s="41">
        <v>4</v>
      </c>
      <c r="CW2589" s="41">
        <v>0.11332468572476186</v>
      </c>
      <c r="CX2589" s="41" t="e">
        <v>#N/A</v>
      </c>
      <c r="CY2589" s="41" t="e">
        <v>#N/A</v>
      </c>
      <c r="CZ2589" s="47" t="e">
        <v>#N/A</v>
      </c>
      <c r="DA2589">
        <v>0.11332468572476186</v>
      </c>
      <c r="DB2589" t="str">
        <v/>
      </c>
    </row>
    <row r="2590" spans="83:106" x14ac:dyDescent="0.2">
      <c r="CE2590"/>
      <c r="CF2590"/>
      <c r="CG2590"/>
      <c r="CH2590"/>
      <c r="CI2590"/>
      <c r="CU2590" s="21">
        <v>2585</v>
      </c>
      <c r="CV2590" s="41">
        <v>4</v>
      </c>
      <c r="CW2590" s="41">
        <v>0.11332468572476186</v>
      </c>
      <c r="CX2590" s="41" t="e">
        <v>#N/A</v>
      </c>
      <c r="CY2590" s="41" t="e">
        <v>#N/A</v>
      </c>
      <c r="CZ2590" s="47" t="e">
        <v>#N/A</v>
      </c>
      <c r="DA2590">
        <v>0.11332468572476186</v>
      </c>
      <c r="DB2590" t="str">
        <v/>
      </c>
    </row>
    <row r="2591" spans="83:106" x14ac:dyDescent="0.2">
      <c r="CE2591"/>
      <c r="CF2591"/>
      <c r="CG2591"/>
      <c r="CH2591"/>
      <c r="CI2591"/>
      <c r="CU2591" s="21">
        <v>2586</v>
      </c>
      <c r="CV2591" s="41">
        <v>4</v>
      </c>
      <c r="CW2591" s="41">
        <v>0.11332468572476186</v>
      </c>
      <c r="CX2591" s="41" t="e">
        <v>#N/A</v>
      </c>
      <c r="CY2591" s="41" t="e">
        <v>#N/A</v>
      </c>
      <c r="CZ2591" s="47" t="e">
        <v>#N/A</v>
      </c>
      <c r="DA2591">
        <v>0.11332468572476186</v>
      </c>
      <c r="DB2591" t="str">
        <v/>
      </c>
    </row>
    <row r="2592" spans="83:106" x14ac:dyDescent="0.2">
      <c r="CE2592"/>
      <c r="CF2592"/>
      <c r="CG2592"/>
      <c r="CH2592"/>
      <c r="CI2592"/>
      <c r="CU2592" s="21">
        <v>2587</v>
      </c>
      <c r="CV2592" s="41">
        <v>4</v>
      </c>
      <c r="CW2592" s="41">
        <v>0.11332468572476186</v>
      </c>
      <c r="CX2592" s="41" t="e">
        <v>#N/A</v>
      </c>
      <c r="CY2592" s="41" t="e">
        <v>#N/A</v>
      </c>
      <c r="CZ2592" s="47" t="e">
        <v>#N/A</v>
      </c>
      <c r="DA2592">
        <v>0.11332468572476186</v>
      </c>
      <c r="DB2592" t="str">
        <v/>
      </c>
    </row>
    <row r="2593" spans="83:106" x14ac:dyDescent="0.2">
      <c r="CE2593"/>
      <c r="CF2593"/>
      <c r="CG2593"/>
      <c r="CH2593"/>
      <c r="CI2593"/>
      <c r="CU2593" s="21">
        <v>2588</v>
      </c>
      <c r="CV2593" s="41">
        <v>4</v>
      </c>
      <c r="CW2593" s="41">
        <v>0.11332468572476186</v>
      </c>
      <c r="CX2593" s="41" t="e">
        <v>#N/A</v>
      </c>
      <c r="CY2593" s="41" t="e">
        <v>#N/A</v>
      </c>
      <c r="CZ2593" s="47" t="e">
        <v>#N/A</v>
      </c>
      <c r="DA2593">
        <v>0.11332468572476186</v>
      </c>
      <c r="DB2593" t="str">
        <v/>
      </c>
    </row>
    <row r="2594" spans="83:106" x14ac:dyDescent="0.2">
      <c r="CE2594"/>
      <c r="CF2594"/>
      <c r="CG2594"/>
      <c r="CH2594"/>
      <c r="CI2594"/>
      <c r="CU2594" s="21">
        <v>2589</v>
      </c>
      <c r="CV2594" s="41">
        <v>4</v>
      </c>
      <c r="CW2594" s="41">
        <v>0.11332468572476186</v>
      </c>
      <c r="CX2594" s="41" t="e">
        <v>#N/A</v>
      </c>
      <c r="CY2594" s="41" t="e">
        <v>#N/A</v>
      </c>
      <c r="CZ2594" s="47" t="e">
        <v>#N/A</v>
      </c>
      <c r="DA2594">
        <v>0.11332468572476186</v>
      </c>
      <c r="DB2594" t="str">
        <v/>
      </c>
    </row>
    <row r="2595" spans="83:106" x14ac:dyDescent="0.2">
      <c r="CE2595"/>
      <c r="CF2595"/>
      <c r="CG2595"/>
      <c r="CH2595"/>
      <c r="CI2595"/>
      <c r="CU2595" s="21">
        <v>2590</v>
      </c>
      <c r="CV2595" s="41">
        <v>4</v>
      </c>
      <c r="CW2595" s="41">
        <v>0.11332468572476186</v>
      </c>
      <c r="CX2595" s="41" t="e">
        <v>#N/A</v>
      </c>
      <c r="CY2595" s="41" t="e">
        <v>#N/A</v>
      </c>
      <c r="CZ2595" s="47" t="e">
        <v>#N/A</v>
      </c>
      <c r="DA2595">
        <v>0.11332468572476186</v>
      </c>
      <c r="DB2595" t="str">
        <v/>
      </c>
    </row>
    <row r="2596" spans="83:106" x14ac:dyDescent="0.2">
      <c r="CE2596"/>
      <c r="CF2596"/>
      <c r="CG2596"/>
      <c r="CH2596"/>
      <c r="CI2596"/>
      <c r="CU2596" s="21">
        <v>2591</v>
      </c>
      <c r="CV2596" s="41">
        <v>4</v>
      </c>
      <c r="CW2596" s="41">
        <v>0.11332468572476186</v>
      </c>
      <c r="CX2596" s="41" t="e">
        <v>#N/A</v>
      </c>
      <c r="CY2596" s="41" t="e">
        <v>#N/A</v>
      </c>
      <c r="CZ2596" s="47" t="e">
        <v>#N/A</v>
      </c>
      <c r="DA2596">
        <v>0.11332468572476186</v>
      </c>
      <c r="DB2596" t="str">
        <v/>
      </c>
    </row>
    <row r="2597" spans="83:106" x14ac:dyDescent="0.2">
      <c r="CE2597"/>
      <c r="CF2597"/>
      <c r="CG2597"/>
      <c r="CH2597"/>
      <c r="CI2597"/>
      <c r="CU2597" s="21">
        <v>2592</v>
      </c>
      <c r="CV2597" s="41">
        <v>4</v>
      </c>
      <c r="CW2597" s="41">
        <v>0.11332468572476186</v>
      </c>
      <c r="CX2597" s="41" t="e">
        <v>#N/A</v>
      </c>
      <c r="CY2597" s="41" t="e">
        <v>#N/A</v>
      </c>
      <c r="CZ2597" s="47" t="e">
        <v>#N/A</v>
      </c>
      <c r="DA2597">
        <v>0.11332468572476186</v>
      </c>
      <c r="DB2597" t="str">
        <v/>
      </c>
    </row>
    <row r="2598" spans="83:106" x14ac:dyDescent="0.2">
      <c r="CE2598"/>
      <c r="CF2598"/>
      <c r="CG2598"/>
      <c r="CH2598"/>
      <c r="CI2598"/>
      <c r="CU2598" s="21">
        <v>2593</v>
      </c>
      <c r="CV2598" s="41">
        <v>4</v>
      </c>
      <c r="CW2598" s="41">
        <v>0.11332468572476186</v>
      </c>
      <c r="CX2598" s="41" t="e">
        <v>#N/A</v>
      </c>
      <c r="CY2598" s="41" t="e">
        <v>#N/A</v>
      </c>
      <c r="CZ2598" s="47" t="e">
        <v>#N/A</v>
      </c>
      <c r="DA2598">
        <v>0.11332468572476186</v>
      </c>
      <c r="DB2598" t="str">
        <v/>
      </c>
    </row>
    <row r="2599" spans="83:106" x14ac:dyDescent="0.2">
      <c r="CE2599"/>
      <c r="CF2599"/>
      <c r="CG2599"/>
      <c r="CH2599"/>
      <c r="CI2599"/>
      <c r="CU2599" s="21">
        <v>2594</v>
      </c>
      <c r="CV2599" s="41">
        <v>4</v>
      </c>
      <c r="CW2599" s="41">
        <v>0.11332468572476186</v>
      </c>
      <c r="CX2599" s="41" t="e">
        <v>#N/A</v>
      </c>
      <c r="CY2599" s="41" t="e">
        <v>#N/A</v>
      </c>
      <c r="CZ2599" s="47" t="e">
        <v>#N/A</v>
      </c>
      <c r="DA2599">
        <v>0.11332468572476186</v>
      </c>
      <c r="DB2599" t="str">
        <v/>
      </c>
    </row>
    <row r="2600" spans="83:106" x14ac:dyDescent="0.2">
      <c r="CE2600"/>
      <c r="CF2600"/>
      <c r="CG2600"/>
      <c r="CH2600"/>
      <c r="CI2600"/>
      <c r="CU2600" s="21">
        <v>2595</v>
      </c>
      <c r="CV2600" s="41">
        <v>4</v>
      </c>
      <c r="CW2600" s="41">
        <v>0.11332468572476186</v>
      </c>
      <c r="CX2600" s="41" t="e">
        <v>#N/A</v>
      </c>
      <c r="CY2600" s="41" t="e">
        <v>#N/A</v>
      </c>
      <c r="CZ2600" s="47" t="e">
        <v>#N/A</v>
      </c>
      <c r="DA2600">
        <v>0.11332468572476186</v>
      </c>
      <c r="DB2600" t="str">
        <v/>
      </c>
    </row>
    <row r="2601" spans="83:106" x14ac:dyDescent="0.2">
      <c r="CE2601"/>
      <c r="CF2601"/>
      <c r="CG2601"/>
      <c r="CH2601"/>
      <c r="CI2601"/>
      <c r="CU2601" s="21">
        <v>2596</v>
      </c>
      <c r="CV2601" s="41">
        <v>4</v>
      </c>
      <c r="CW2601" s="41">
        <v>0.11332468572476186</v>
      </c>
      <c r="CX2601" s="41" t="e">
        <v>#N/A</v>
      </c>
      <c r="CY2601" s="41" t="e">
        <v>#N/A</v>
      </c>
      <c r="CZ2601" s="47" t="e">
        <v>#N/A</v>
      </c>
      <c r="DA2601">
        <v>0.11332468572476186</v>
      </c>
      <c r="DB2601" t="str">
        <v/>
      </c>
    </row>
    <row r="2602" spans="83:106" x14ac:dyDescent="0.2">
      <c r="CE2602"/>
      <c r="CF2602"/>
      <c r="CG2602"/>
      <c r="CH2602"/>
      <c r="CI2602"/>
      <c r="CU2602" s="21">
        <v>2597</v>
      </c>
      <c r="CV2602" s="41">
        <v>4</v>
      </c>
      <c r="CW2602" s="41">
        <v>0.11332468572476186</v>
      </c>
      <c r="CX2602" s="41" t="e">
        <v>#N/A</v>
      </c>
      <c r="CY2602" s="41" t="e">
        <v>#N/A</v>
      </c>
      <c r="CZ2602" s="47" t="e">
        <v>#N/A</v>
      </c>
      <c r="DA2602">
        <v>0.11332468572476186</v>
      </c>
      <c r="DB2602" t="str">
        <v/>
      </c>
    </row>
    <row r="2603" spans="83:106" x14ac:dyDescent="0.2">
      <c r="CE2603"/>
      <c r="CF2603"/>
      <c r="CG2603"/>
      <c r="CH2603"/>
      <c r="CI2603"/>
      <c r="CU2603" s="21">
        <v>2598</v>
      </c>
      <c r="CV2603" s="41">
        <v>4</v>
      </c>
      <c r="CW2603" s="41">
        <v>0.11332468572476186</v>
      </c>
      <c r="CX2603" s="41" t="e">
        <v>#N/A</v>
      </c>
      <c r="CY2603" s="41" t="e">
        <v>#N/A</v>
      </c>
      <c r="CZ2603" s="47" t="e">
        <v>#N/A</v>
      </c>
      <c r="DA2603">
        <v>0.11332468572476186</v>
      </c>
      <c r="DB2603" t="str">
        <v/>
      </c>
    </row>
    <row r="2604" spans="83:106" x14ac:dyDescent="0.2">
      <c r="CE2604"/>
      <c r="CF2604"/>
      <c r="CG2604"/>
      <c r="CH2604"/>
      <c r="CI2604"/>
      <c r="CU2604" s="21">
        <v>2599</v>
      </c>
      <c r="CV2604" s="41">
        <v>4</v>
      </c>
      <c r="CW2604" s="41">
        <v>0.11332468572476186</v>
      </c>
      <c r="CX2604" s="41" t="e">
        <v>#N/A</v>
      </c>
      <c r="CY2604" s="41" t="e">
        <v>#N/A</v>
      </c>
      <c r="CZ2604" s="47" t="e">
        <v>#N/A</v>
      </c>
      <c r="DA2604">
        <v>0.11332468572476186</v>
      </c>
      <c r="DB2604" t="str">
        <v/>
      </c>
    </row>
    <row r="2605" spans="83:106" x14ac:dyDescent="0.2">
      <c r="CE2605"/>
      <c r="CF2605"/>
      <c r="CG2605"/>
      <c r="CH2605"/>
      <c r="CI2605"/>
      <c r="CU2605" s="21">
        <v>2600</v>
      </c>
      <c r="CV2605" s="41">
        <v>4</v>
      </c>
      <c r="CW2605" s="41">
        <v>0.11332468572476186</v>
      </c>
      <c r="CX2605" s="41" t="e">
        <v>#N/A</v>
      </c>
      <c r="CY2605" s="41" t="e">
        <v>#N/A</v>
      </c>
      <c r="CZ2605" s="47" t="e">
        <v>#N/A</v>
      </c>
      <c r="DA2605">
        <v>0.11332468572476186</v>
      </c>
      <c r="DB2605" t="str">
        <v/>
      </c>
    </row>
    <row r="2606" spans="83:106" x14ac:dyDescent="0.2">
      <c r="CE2606"/>
      <c r="CF2606"/>
      <c r="CG2606"/>
      <c r="CH2606"/>
      <c r="CI2606"/>
      <c r="CU2606" s="21">
        <v>2601</v>
      </c>
      <c r="CV2606" s="41">
        <v>4</v>
      </c>
      <c r="CW2606" s="41">
        <v>0.11332468572476186</v>
      </c>
      <c r="CX2606" s="41" t="e">
        <v>#N/A</v>
      </c>
      <c r="CY2606" s="41" t="e">
        <v>#N/A</v>
      </c>
      <c r="CZ2606" s="47" t="e">
        <v>#N/A</v>
      </c>
      <c r="DA2606">
        <v>0.11332468572476186</v>
      </c>
      <c r="DB2606" t="str">
        <v/>
      </c>
    </row>
    <row r="2607" spans="83:106" x14ac:dyDescent="0.2">
      <c r="CE2607"/>
      <c r="CF2607"/>
      <c r="CG2607"/>
      <c r="CH2607"/>
      <c r="CI2607"/>
      <c r="CU2607" s="21">
        <v>2602</v>
      </c>
      <c r="CV2607" s="41">
        <v>4</v>
      </c>
      <c r="CW2607" s="41">
        <v>0.11332468572476186</v>
      </c>
      <c r="CX2607" s="41" t="e">
        <v>#N/A</v>
      </c>
      <c r="CY2607" s="41" t="e">
        <v>#N/A</v>
      </c>
      <c r="CZ2607" s="47" t="e">
        <v>#N/A</v>
      </c>
      <c r="DA2607">
        <v>0.11332468572476186</v>
      </c>
      <c r="DB2607" t="str">
        <v/>
      </c>
    </row>
    <row r="2608" spans="83:106" x14ac:dyDescent="0.2">
      <c r="CE2608"/>
      <c r="CF2608"/>
      <c r="CG2608"/>
      <c r="CH2608"/>
      <c r="CI2608"/>
      <c r="CU2608" s="21">
        <v>2603</v>
      </c>
      <c r="CV2608" s="41">
        <v>4</v>
      </c>
      <c r="CW2608" s="41">
        <v>0.11332468572476186</v>
      </c>
      <c r="CX2608" s="41" t="e">
        <v>#N/A</v>
      </c>
      <c r="CY2608" s="41" t="e">
        <v>#N/A</v>
      </c>
      <c r="CZ2608" s="47" t="e">
        <v>#N/A</v>
      </c>
      <c r="DA2608">
        <v>0.11332468572476186</v>
      </c>
      <c r="DB2608" t="str">
        <v/>
      </c>
    </row>
    <row r="2609" spans="83:106" x14ac:dyDescent="0.2">
      <c r="CE2609"/>
      <c r="CF2609"/>
      <c r="CG2609"/>
      <c r="CH2609"/>
      <c r="CI2609"/>
      <c r="CU2609" s="21">
        <v>2604</v>
      </c>
      <c r="CV2609" s="41">
        <v>4</v>
      </c>
      <c r="CW2609" s="41">
        <v>0.11332468572476186</v>
      </c>
      <c r="CX2609" s="41" t="e">
        <v>#N/A</v>
      </c>
      <c r="CY2609" s="41" t="e">
        <v>#N/A</v>
      </c>
      <c r="CZ2609" s="47" t="e">
        <v>#N/A</v>
      </c>
      <c r="DA2609">
        <v>0.11332468572476186</v>
      </c>
      <c r="DB2609" t="str">
        <v/>
      </c>
    </row>
    <row r="2610" spans="83:106" x14ac:dyDescent="0.2">
      <c r="CE2610"/>
      <c r="CF2610"/>
      <c r="CG2610"/>
      <c r="CH2610"/>
      <c r="CI2610"/>
      <c r="CU2610" s="21">
        <v>2605</v>
      </c>
      <c r="CV2610" s="41">
        <v>4</v>
      </c>
      <c r="CW2610" s="41">
        <v>0.11332468572476186</v>
      </c>
      <c r="CX2610" s="41" t="e">
        <v>#N/A</v>
      </c>
      <c r="CY2610" s="41" t="e">
        <v>#N/A</v>
      </c>
      <c r="CZ2610" s="47" t="e">
        <v>#N/A</v>
      </c>
      <c r="DA2610">
        <v>0.11332468572476186</v>
      </c>
      <c r="DB2610" t="str">
        <v/>
      </c>
    </row>
    <row r="2611" spans="83:106" x14ac:dyDescent="0.2">
      <c r="CE2611"/>
      <c r="CF2611"/>
      <c r="CG2611"/>
      <c r="CH2611"/>
      <c r="CI2611"/>
      <c r="CU2611" s="21">
        <v>2606</v>
      </c>
      <c r="CV2611" s="41">
        <v>4</v>
      </c>
      <c r="CW2611" s="41">
        <v>0.11332468572476186</v>
      </c>
      <c r="CX2611" s="41" t="e">
        <v>#N/A</v>
      </c>
      <c r="CY2611" s="41" t="e">
        <v>#N/A</v>
      </c>
      <c r="CZ2611" s="47" t="e">
        <v>#N/A</v>
      </c>
      <c r="DA2611">
        <v>0.11332468572476186</v>
      </c>
      <c r="DB2611" t="str">
        <v/>
      </c>
    </row>
    <row r="2612" spans="83:106" x14ac:dyDescent="0.2">
      <c r="CE2612"/>
      <c r="CF2612"/>
      <c r="CG2612"/>
      <c r="CH2612"/>
      <c r="CI2612"/>
      <c r="CU2612" s="21">
        <v>2607</v>
      </c>
      <c r="CV2612" s="41">
        <v>4</v>
      </c>
      <c r="CW2612" s="41">
        <v>0.11332468572476186</v>
      </c>
      <c r="CX2612" s="41" t="e">
        <v>#N/A</v>
      </c>
      <c r="CY2612" s="41" t="e">
        <v>#N/A</v>
      </c>
      <c r="CZ2612" s="47" t="e">
        <v>#N/A</v>
      </c>
      <c r="DA2612">
        <v>0.11332468572476186</v>
      </c>
      <c r="DB2612" t="str">
        <v/>
      </c>
    </row>
    <row r="2613" spans="83:106" x14ac:dyDescent="0.2">
      <c r="CE2613"/>
      <c r="CF2613"/>
      <c r="CG2613"/>
      <c r="CH2613"/>
      <c r="CI2613"/>
      <c r="CU2613" s="21">
        <v>2608</v>
      </c>
      <c r="CV2613" s="41">
        <v>4</v>
      </c>
      <c r="CW2613" s="41">
        <v>0.11332468572476186</v>
      </c>
      <c r="CX2613" s="41" t="e">
        <v>#N/A</v>
      </c>
      <c r="CY2613" s="41" t="e">
        <v>#N/A</v>
      </c>
      <c r="CZ2613" s="47" t="e">
        <v>#N/A</v>
      </c>
      <c r="DA2613">
        <v>0.11332468572476186</v>
      </c>
      <c r="DB2613" t="str">
        <v/>
      </c>
    </row>
    <row r="2614" spans="83:106" x14ac:dyDescent="0.2">
      <c r="CE2614"/>
      <c r="CF2614"/>
      <c r="CG2614"/>
      <c r="CH2614"/>
      <c r="CI2614"/>
      <c r="CU2614" s="21">
        <v>2609</v>
      </c>
      <c r="CV2614" s="41">
        <v>4</v>
      </c>
      <c r="CW2614" s="41">
        <v>0.11332468572476186</v>
      </c>
      <c r="CX2614" s="41" t="e">
        <v>#N/A</v>
      </c>
      <c r="CY2614" s="41" t="e">
        <v>#N/A</v>
      </c>
      <c r="CZ2614" s="47" t="e">
        <v>#N/A</v>
      </c>
      <c r="DA2614">
        <v>0.11332468572476186</v>
      </c>
      <c r="DB2614" t="str">
        <v/>
      </c>
    </row>
    <row r="2615" spans="83:106" x14ac:dyDescent="0.2">
      <c r="CE2615"/>
      <c r="CF2615"/>
      <c r="CG2615"/>
      <c r="CH2615"/>
      <c r="CI2615"/>
      <c r="CU2615" s="21">
        <v>2610</v>
      </c>
      <c r="CV2615" s="41">
        <v>4</v>
      </c>
      <c r="CW2615" s="41">
        <v>0.11332468572476186</v>
      </c>
      <c r="CX2615" s="41" t="e">
        <v>#N/A</v>
      </c>
      <c r="CY2615" s="41" t="e">
        <v>#N/A</v>
      </c>
      <c r="CZ2615" s="47" t="e">
        <v>#N/A</v>
      </c>
      <c r="DA2615">
        <v>0.11332468572476186</v>
      </c>
      <c r="DB2615" t="str">
        <v/>
      </c>
    </row>
    <row r="2616" spans="83:106" x14ac:dyDescent="0.2">
      <c r="CE2616"/>
      <c r="CF2616"/>
      <c r="CG2616"/>
      <c r="CH2616"/>
      <c r="CI2616"/>
      <c r="CU2616" s="21">
        <v>2611</v>
      </c>
      <c r="CV2616" s="41">
        <v>4</v>
      </c>
      <c r="CW2616" s="41">
        <v>0.11332468572476186</v>
      </c>
      <c r="CX2616" s="41" t="e">
        <v>#N/A</v>
      </c>
      <c r="CY2616" s="41" t="e">
        <v>#N/A</v>
      </c>
      <c r="CZ2616" s="47" t="e">
        <v>#N/A</v>
      </c>
      <c r="DA2616">
        <v>0.11332468572476186</v>
      </c>
      <c r="DB2616" t="str">
        <v/>
      </c>
    </row>
    <row r="2617" spans="83:106" x14ac:dyDescent="0.2">
      <c r="CE2617"/>
      <c r="CF2617"/>
      <c r="CG2617"/>
      <c r="CH2617"/>
      <c r="CI2617"/>
      <c r="CU2617" s="21">
        <v>2612</v>
      </c>
      <c r="CV2617" s="41">
        <v>4</v>
      </c>
      <c r="CW2617" s="41">
        <v>0.11332468572476186</v>
      </c>
      <c r="CX2617" s="41" t="e">
        <v>#N/A</v>
      </c>
      <c r="CY2617" s="41" t="e">
        <v>#N/A</v>
      </c>
      <c r="CZ2617" s="47" t="e">
        <v>#N/A</v>
      </c>
      <c r="DA2617">
        <v>0.11332468572476186</v>
      </c>
      <c r="DB2617" t="str">
        <v/>
      </c>
    </row>
    <row r="2618" spans="83:106" x14ac:dyDescent="0.2">
      <c r="CE2618"/>
      <c r="CF2618"/>
      <c r="CG2618"/>
      <c r="CH2618"/>
      <c r="CI2618"/>
      <c r="CU2618" s="21">
        <v>2613</v>
      </c>
      <c r="CV2618" s="41">
        <v>4</v>
      </c>
      <c r="CW2618" s="41">
        <v>0.11332468572476186</v>
      </c>
      <c r="CX2618" s="41" t="e">
        <v>#N/A</v>
      </c>
      <c r="CY2618" s="41" t="e">
        <v>#N/A</v>
      </c>
      <c r="CZ2618" s="47" t="e">
        <v>#N/A</v>
      </c>
      <c r="DA2618">
        <v>0.11332468572476186</v>
      </c>
      <c r="DB2618" t="str">
        <v/>
      </c>
    </row>
    <row r="2619" spans="83:106" x14ac:dyDescent="0.2">
      <c r="CE2619"/>
      <c r="CF2619"/>
      <c r="CG2619"/>
      <c r="CH2619"/>
      <c r="CI2619"/>
      <c r="CU2619" s="21">
        <v>2614</v>
      </c>
      <c r="CV2619" s="41">
        <v>4</v>
      </c>
      <c r="CW2619" s="41">
        <v>0.11332468572476186</v>
      </c>
      <c r="CX2619" s="41" t="e">
        <v>#N/A</v>
      </c>
      <c r="CY2619" s="41" t="e">
        <v>#N/A</v>
      </c>
      <c r="CZ2619" s="47" t="e">
        <v>#N/A</v>
      </c>
      <c r="DA2619">
        <v>0.11332468572476186</v>
      </c>
      <c r="DB2619" t="str">
        <v/>
      </c>
    </row>
    <row r="2620" spans="83:106" x14ac:dyDescent="0.2">
      <c r="CE2620"/>
      <c r="CF2620"/>
      <c r="CG2620"/>
      <c r="CH2620"/>
      <c r="CI2620"/>
      <c r="CU2620" s="21">
        <v>2615</v>
      </c>
      <c r="CV2620" s="41">
        <v>4</v>
      </c>
      <c r="CW2620" s="41">
        <v>0.11332468572476186</v>
      </c>
      <c r="CX2620" s="41" t="e">
        <v>#N/A</v>
      </c>
      <c r="CY2620" s="41" t="e">
        <v>#N/A</v>
      </c>
      <c r="CZ2620" s="47" t="e">
        <v>#N/A</v>
      </c>
      <c r="DA2620">
        <v>0.11332468572476186</v>
      </c>
      <c r="DB2620" t="str">
        <v/>
      </c>
    </row>
    <row r="2621" spans="83:106" x14ac:dyDescent="0.2">
      <c r="CE2621"/>
      <c r="CF2621"/>
      <c r="CG2621"/>
      <c r="CH2621"/>
      <c r="CI2621"/>
      <c r="CU2621" s="21">
        <v>2616</v>
      </c>
      <c r="CV2621" s="41">
        <v>4</v>
      </c>
      <c r="CW2621" s="41">
        <v>0.11332468572476186</v>
      </c>
      <c r="CX2621" s="41" t="e">
        <v>#N/A</v>
      </c>
      <c r="CY2621" s="41" t="e">
        <v>#N/A</v>
      </c>
      <c r="CZ2621" s="47" t="e">
        <v>#N/A</v>
      </c>
      <c r="DA2621">
        <v>0.11332468572476186</v>
      </c>
      <c r="DB2621" t="str">
        <v/>
      </c>
    </row>
    <row r="2622" spans="83:106" x14ac:dyDescent="0.2">
      <c r="CE2622"/>
      <c r="CF2622"/>
      <c r="CG2622"/>
      <c r="CH2622"/>
      <c r="CI2622"/>
      <c r="CU2622" s="21">
        <v>2617</v>
      </c>
      <c r="CV2622" s="41">
        <v>4</v>
      </c>
      <c r="CW2622" s="41">
        <v>0.11332468572476186</v>
      </c>
      <c r="CX2622" s="41" t="e">
        <v>#N/A</v>
      </c>
      <c r="CY2622" s="41" t="e">
        <v>#N/A</v>
      </c>
      <c r="CZ2622" s="47" t="e">
        <v>#N/A</v>
      </c>
      <c r="DA2622">
        <v>0.11332468572476186</v>
      </c>
      <c r="DB2622" t="str">
        <v/>
      </c>
    </row>
    <row r="2623" spans="83:106" x14ac:dyDescent="0.2">
      <c r="CE2623"/>
      <c r="CF2623"/>
      <c r="CG2623"/>
      <c r="CH2623"/>
      <c r="CI2623"/>
      <c r="CU2623" s="21">
        <v>2618</v>
      </c>
      <c r="CV2623" s="41">
        <v>4</v>
      </c>
      <c r="CW2623" s="41">
        <v>0.11332468572476186</v>
      </c>
      <c r="CX2623" s="41" t="e">
        <v>#N/A</v>
      </c>
      <c r="CY2623" s="41" t="e">
        <v>#N/A</v>
      </c>
      <c r="CZ2623" s="47" t="e">
        <v>#N/A</v>
      </c>
      <c r="DA2623">
        <v>0.11332468572476186</v>
      </c>
      <c r="DB2623" t="str">
        <v/>
      </c>
    </row>
    <row r="2624" spans="83:106" x14ac:dyDescent="0.2">
      <c r="CE2624"/>
      <c r="CF2624"/>
      <c r="CG2624"/>
      <c r="CH2624"/>
      <c r="CI2624"/>
      <c r="CU2624" s="21">
        <v>2619</v>
      </c>
      <c r="CV2624" s="41">
        <v>4</v>
      </c>
      <c r="CW2624" s="41">
        <v>0.11332468572476186</v>
      </c>
      <c r="CX2624" s="41" t="e">
        <v>#N/A</v>
      </c>
      <c r="CY2624" s="41" t="e">
        <v>#N/A</v>
      </c>
      <c r="CZ2624" s="47" t="e">
        <v>#N/A</v>
      </c>
      <c r="DA2624">
        <v>0.11332468572476186</v>
      </c>
      <c r="DB2624" t="str">
        <v/>
      </c>
    </row>
    <row r="2625" spans="83:106" x14ac:dyDescent="0.2">
      <c r="CE2625"/>
      <c r="CF2625"/>
      <c r="CG2625"/>
      <c r="CH2625"/>
      <c r="CI2625"/>
      <c r="CU2625" s="21">
        <v>2620</v>
      </c>
      <c r="CV2625" s="41">
        <v>4</v>
      </c>
      <c r="CW2625" s="41">
        <v>0.11332468572476186</v>
      </c>
      <c r="CX2625" s="41" t="e">
        <v>#N/A</v>
      </c>
      <c r="CY2625" s="41" t="e">
        <v>#N/A</v>
      </c>
      <c r="CZ2625" s="47" t="e">
        <v>#N/A</v>
      </c>
      <c r="DA2625">
        <v>0.11332468572476186</v>
      </c>
      <c r="DB2625" t="str">
        <v/>
      </c>
    </row>
    <row r="2626" spans="83:106" x14ac:dyDescent="0.2">
      <c r="CE2626"/>
      <c r="CF2626"/>
      <c r="CG2626"/>
      <c r="CH2626"/>
      <c r="CI2626"/>
      <c r="CU2626" s="21">
        <v>2621</v>
      </c>
      <c r="CV2626" s="41">
        <v>4</v>
      </c>
      <c r="CW2626" s="41">
        <v>0.11332468572476186</v>
      </c>
      <c r="CX2626" s="41" t="e">
        <v>#N/A</v>
      </c>
      <c r="CY2626" s="41" t="e">
        <v>#N/A</v>
      </c>
      <c r="CZ2626" s="47" t="e">
        <v>#N/A</v>
      </c>
      <c r="DA2626">
        <v>0.11332468572476186</v>
      </c>
      <c r="DB2626" t="str">
        <v/>
      </c>
    </row>
    <row r="2627" spans="83:106" x14ac:dyDescent="0.2">
      <c r="CE2627"/>
      <c r="CF2627"/>
      <c r="CG2627"/>
      <c r="CH2627"/>
      <c r="CI2627"/>
      <c r="CU2627" s="21">
        <v>2622</v>
      </c>
      <c r="CV2627" s="41">
        <v>4</v>
      </c>
      <c r="CW2627" s="41">
        <v>0.11332468572476186</v>
      </c>
      <c r="CX2627" s="41" t="e">
        <v>#N/A</v>
      </c>
      <c r="CY2627" s="41" t="e">
        <v>#N/A</v>
      </c>
      <c r="CZ2627" s="47" t="e">
        <v>#N/A</v>
      </c>
      <c r="DA2627">
        <v>0.11332468572476186</v>
      </c>
      <c r="DB2627" t="str">
        <v/>
      </c>
    </row>
    <row r="2628" spans="83:106" x14ac:dyDescent="0.2">
      <c r="CE2628"/>
      <c r="CF2628"/>
      <c r="CG2628"/>
      <c r="CH2628"/>
      <c r="CI2628"/>
      <c r="CU2628" s="21">
        <v>2623</v>
      </c>
      <c r="CV2628" s="41">
        <v>4</v>
      </c>
      <c r="CW2628" s="41">
        <v>0.11332468572476186</v>
      </c>
      <c r="CX2628" s="41" t="e">
        <v>#N/A</v>
      </c>
      <c r="CY2628" s="41" t="e">
        <v>#N/A</v>
      </c>
      <c r="CZ2628" s="47" t="e">
        <v>#N/A</v>
      </c>
      <c r="DA2628">
        <v>0.11332468572476186</v>
      </c>
      <c r="DB2628" t="str">
        <v/>
      </c>
    </row>
    <row r="2629" spans="83:106" x14ac:dyDescent="0.2">
      <c r="CE2629"/>
      <c r="CF2629"/>
      <c r="CG2629"/>
      <c r="CH2629"/>
      <c r="CI2629"/>
      <c r="CU2629" s="21">
        <v>2624</v>
      </c>
      <c r="CV2629" s="41">
        <v>4</v>
      </c>
      <c r="CW2629" s="41">
        <v>0.11332468572476186</v>
      </c>
      <c r="CX2629" s="41" t="e">
        <v>#N/A</v>
      </c>
      <c r="CY2629" s="41" t="e">
        <v>#N/A</v>
      </c>
      <c r="CZ2629" s="47" t="e">
        <v>#N/A</v>
      </c>
      <c r="DA2629">
        <v>0.11332468572476186</v>
      </c>
      <c r="DB2629" t="str">
        <v/>
      </c>
    </row>
    <row r="2630" spans="83:106" x14ac:dyDescent="0.2">
      <c r="CE2630"/>
      <c r="CF2630"/>
      <c r="CG2630"/>
      <c r="CH2630"/>
      <c r="CI2630"/>
      <c r="CU2630" s="21">
        <v>2625</v>
      </c>
      <c r="CV2630" s="41">
        <v>4</v>
      </c>
      <c r="CW2630" s="41">
        <v>0.11332468572476186</v>
      </c>
      <c r="CX2630" s="41" t="e">
        <v>#N/A</v>
      </c>
      <c r="CY2630" s="41" t="e">
        <v>#N/A</v>
      </c>
      <c r="CZ2630" s="47" t="e">
        <v>#N/A</v>
      </c>
      <c r="DA2630">
        <v>0.11332468572476186</v>
      </c>
      <c r="DB2630" t="str">
        <v/>
      </c>
    </row>
    <row r="2631" spans="83:106" x14ac:dyDescent="0.2">
      <c r="CE2631"/>
      <c r="CF2631"/>
      <c r="CG2631"/>
      <c r="CH2631"/>
      <c r="CI2631"/>
      <c r="CU2631" s="21">
        <v>2626</v>
      </c>
      <c r="CV2631" s="41">
        <v>4</v>
      </c>
      <c r="CW2631" s="41">
        <v>0.11332468572476186</v>
      </c>
      <c r="CX2631" s="41" t="e">
        <v>#N/A</v>
      </c>
      <c r="CY2631" s="41" t="e">
        <v>#N/A</v>
      </c>
      <c r="CZ2631" s="47" t="e">
        <v>#N/A</v>
      </c>
      <c r="DA2631">
        <v>0.11332468572476186</v>
      </c>
      <c r="DB2631" t="str">
        <v/>
      </c>
    </row>
    <row r="2632" spans="83:106" x14ac:dyDescent="0.2">
      <c r="CE2632"/>
      <c r="CF2632"/>
      <c r="CG2632"/>
      <c r="CH2632"/>
      <c r="CI2632"/>
      <c r="CU2632" s="21">
        <v>2627</v>
      </c>
      <c r="CV2632" s="41">
        <v>4</v>
      </c>
      <c r="CW2632" s="41">
        <v>0.11332468572476186</v>
      </c>
      <c r="CX2632" s="41" t="e">
        <v>#N/A</v>
      </c>
      <c r="CY2632" s="41" t="e">
        <v>#N/A</v>
      </c>
      <c r="CZ2632" s="47" t="e">
        <v>#N/A</v>
      </c>
      <c r="DA2632">
        <v>0.11332468572476186</v>
      </c>
      <c r="DB2632" t="str">
        <v/>
      </c>
    </row>
    <row r="2633" spans="83:106" x14ac:dyDescent="0.2">
      <c r="CE2633"/>
      <c r="CF2633"/>
      <c r="CG2633"/>
      <c r="CH2633"/>
      <c r="CI2633"/>
      <c r="CU2633" s="21">
        <v>2628</v>
      </c>
      <c r="CV2633" s="41">
        <v>4</v>
      </c>
      <c r="CW2633" s="41">
        <v>0.11332468572476186</v>
      </c>
      <c r="CX2633" s="41" t="e">
        <v>#N/A</v>
      </c>
      <c r="CY2633" s="41" t="e">
        <v>#N/A</v>
      </c>
      <c r="CZ2633" s="47" t="e">
        <v>#N/A</v>
      </c>
      <c r="DA2633">
        <v>0.11332468572476186</v>
      </c>
      <c r="DB2633" t="str">
        <v/>
      </c>
    </row>
    <row r="2634" spans="83:106" x14ac:dyDescent="0.2">
      <c r="CE2634"/>
      <c r="CF2634"/>
      <c r="CG2634"/>
      <c r="CH2634"/>
      <c r="CI2634"/>
      <c r="CU2634" s="21">
        <v>2629</v>
      </c>
      <c r="CV2634" s="41">
        <v>4</v>
      </c>
      <c r="CW2634" s="41">
        <v>0.11332468572476186</v>
      </c>
      <c r="CX2634" s="41" t="e">
        <v>#N/A</v>
      </c>
      <c r="CY2634" s="41" t="e">
        <v>#N/A</v>
      </c>
      <c r="CZ2634" s="47" t="e">
        <v>#N/A</v>
      </c>
      <c r="DA2634">
        <v>0.11332468572476186</v>
      </c>
      <c r="DB2634" t="str">
        <v/>
      </c>
    </row>
    <row r="2635" spans="83:106" x14ac:dyDescent="0.2">
      <c r="CE2635"/>
      <c r="CF2635"/>
      <c r="CG2635"/>
      <c r="CH2635"/>
      <c r="CI2635"/>
      <c r="CU2635" s="21">
        <v>2630</v>
      </c>
      <c r="CV2635" s="41">
        <v>4</v>
      </c>
      <c r="CW2635" s="41">
        <v>0.11332468572476186</v>
      </c>
      <c r="CX2635" s="41" t="e">
        <v>#N/A</v>
      </c>
      <c r="CY2635" s="41" t="e">
        <v>#N/A</v>
      </c>
      <c r="CZ2635" s="47" t="e">
        <v>#N/A</v>
      </c>
      <c r="DA2635">
        <v>0.11332468572476186</v>
      </c>
      <c r="DB2635" t="str">
        <v/>
      </c>
    </row>
    <row r="2636" spans="83:106" x14ac:dyDescent="0.2">
      <c r="CE2636"/>
      <c r="CF2636"/>
      <c r="CG2636"/>
      <c r="CH2636"/>
      <c r="CI2636"/>
      <c r="CU2636" s="21">
        <v>2631</v>
      </c>
      <c r="CV2636" s="41">
        <v>4</v>
      </c>
      <c r="CW2636" s="41">
        <v>0.11332468572476186</v>
      </c>
      <c r="CX2636" s="41" t="e">
        <v>#N/A</v>
      </c>
      <c r="CY2636" s="41" t="e">
        <v>#N/A</v>
      </c>
      <c r="CZ2636" s="47" t="e">
        <v>#N/A</v>
      </c>
      <c r="DA2636">
        <v>0.11332468572476186</v>
      </c>
      <c r="DB2636" t="str">
        <v/>
      </c>
    </row>
    <row r="2637" spans="83:106" x14ac:dyDescent="0.2">
      <c r="CE2637"/>
      <c r="CF2637"/>
      <c r="CG2637"/>
      <c r="CH2637"/>
      <c r="CI2637"/>
      <c r="CU2637" s="21">
        <v>2632</v>
      </c>
      <c r="CV2637" s="41">
        <v>4</v>
      </c>
      <c r="CW2637" s="41">
        <v>0.11332468572476186</v>
      </c>
      <c r="CX2637" s="41" t="e">
        <v>#N/A</v>
      </c>
      <c r="CY2637" s="41" t="e">
        <v>#N/A</v>
      </c>
      <c r="CZ2637" s="47" t="e">
        <v>#N/A</v>
      </c>
      <c r="DA2637">
        <v>0.11332468572476186</v>
      </c>
      <c r="DB2637" t="str">
        <v/>
      </c>
    </row>
    <row r="2638" spans="83:106" x14ac:dyDescent="0.2">
      <c r="CE2638"/>
      <c r="CF2638"/>
      <c r="CG2638"/>
      <c r="CH2638"/>
      <c r="CI2638"/>
      <c r="CU2638" s="21">
        <v>2633</v>
      </c>
      <c r="CV2638" s="41">
        <v>4</v>
      </c>
      <c r="CW2638" s="41">
        <v>0.11332468572476186</v>
      </c>
      <c r="CX2638" s="41" t="e">
        <v>#N/A</v>
      </c>
      <c r="CY2638" s="41" t="e">
        <v>#N/A</v>
      </c>
      <c r="CZ2638" s="47" t="e">
        <v>#N/A</v>
      </c>
      <c r="DA2638">
        <v>0.11332468572476186</v>
      </c>
      <c r="DB2638" t="str">
        <v/>
      </c>
    </row>
    <row r="2639" spans="83:106" x14ac:dyDescent="0.2">
      <c r="CE2639"/>
      <c r="CF2639"/>
      <c r="CG2639"/>
      <c r="CH2639"/>
      <c r="CI2639"/>
      <c r="CU2639" s="21">
        <v>2634</v>
      </c>
      <c r="CV2639" s="41">
        <v>4</v>
      </c>
      <c r="CW2639" s="41">
        <v>0.11332468572476186</v>
      </c>
      <c r="CX2639" s="41" t="e">
        <v>#N/A</v>
      </c>
      <c r="CY2639" s="41" t="e">
        <v>#N/A</v>
      </c>
      <c r="CZ2639" s="47" t="e">
        <v>#N/A</v>
      </c>
      <c r="DA2639">
        <v>0.11332468572476186</v>
      </c>
      <c r="DB2639" t="str">
        <v/>
      </c>
    </row>
    <row r="2640" spans="83:106" x14ac:dyDescent="0.2">
      <c r="CE2640"/>
      <c r="CF2640"/>
      <c r="CG2640"/>
      <c r="CH2640"/>
      <c r="CI2640"/>
      <c r="CU2640" s="21">
        <v>2635</v>
      </c>
      <c r="CV2640" s="41">
        <v>4</v>
      </c>
      <c r="CW2640" s="41">
        <v>0.11332468572476186</v>
      </c>
      <c r="CX2640" s="41" t="e">
        <v>#N/A</v>
      </c>
      <c r="CY2640" s="41" t="e">
        <v>#N/A</v>
      </c>
      <c r="CZ2640" s="47" t="e">
        <v>#N/A</v>
      </c>
      <c r="DA2640">
        <v>0.11332468572476186</v>
      </c>
      <c r="DB2640" t="str">
        <v/>
      </c>
    </row>
    <row r="2641" spans="83:106" x14ac:dyDescent="0.2">
      <c r="CE2641"/>
      <c r="CF2641"/>
      <c r="CG2641"/>
      <c r="CH2641"/>
      <c r="CI2641"/>
      <c r="CU2641" s="21">
        <v>2636</v>
      </c>
      <c r="CV2641" s="41">
        <v>4</v>
      </c>
      <c r="CW2641" s="41">
        <v>0.11332468572476186</v>
      </c>
      <c r="CX2641" s="41" t="e">
        <v>#N/A</v>
      </c>
      <c r="CY2641" s="41" t="e">
        <v>#N/A</v>
      </c>
      <c r="CZ2641" s="47" t="e">
        <v>#N/A</v>
      </c>
      <c r="DA2641">
        <v>0.11332468572476186</v>
      </c>
      <c r="DB2641" t="str">
        <v/>
      </c>
    </row>
    <row r="2642" spans="83:106" x14ac:dyDescent="0.2">
      <c r="CE2642"/>
      <c r="CF2642"/>
      <c r="CG2642"/>
      <c r="CH2642"/>
      <c r="CI2642"/>
      <c r="CU2642" s="21">
        <v>2637</v>
      </c>
      <c r="CV2642" s="41">
        <v>4</v>
      </c>
      <c r="CW2642" s="41">
        <v>0.11332468572476186</v>
      </c>
      <c r="CX2642" s="41" t="e">
        <v>#N/A</v>
      </c>
      <c r="CY2642" s="41" t="e">
        <v>#N/A</v>
      </c>
      <c r="CZ2642" s="47" t="e">
        <v>#N/A</v>
      </c>
      <c r="DA2642">
        <v>0.11332468572476186</v>
      </c>
      <c r="DB2642" t="str">
        <v/>
      </c>
    </row>
    <row r="2643" spans="83:106" x14ac:dyDescent="0.2">
      <c r="CE2643"/>
      <c r="CF2643"/>
      <c r="CG2643"/>
      <c r="CH2643"/>
      <c r="CI2643"/>
      <c r="CU2643" s="21">
        <v>2638</v>
      </c>
      <c r="CV2643" s="41">
        <v>4</v>
      </c>
      <c r="CW2643" s="41">
        <v>0.11332468572476186</v>
      </c>
      <c r="CX2643" s="41" t="e">
        <v>#N/A</v>
      </c>
      <c r="CY2643" s="41" t="e">
        <v>#N/A</v>
      </c>
      <c r="CZ2643" s="47" t="e">
        <v>#N/A</v>
      </c>
      <c r="DA2643">
        <v>0.11332468572476186</v>
      </c>
      <c r="DB2643" t="str">
        <v/>
      </c>
    </row>
    <row r="2644" spans="83:106" x14ac:dyDescent="0.2">
      <c r="CE2644"/>
      <c r="CF2644"/>
      <c r="CG2644"/>
      <c r="CH2644"/>
      <c r="CI2644"/>
      <c r="CU2644" s="21">
        <v>2639</v>
      </c>
      <c r="CV2644" s="41">
        <v>4</v>
      </c>
      <c r="CW2644" s="41">
        <v>0.11332468572476186</v>
      </c>
      <c r="CX2644" s="41" t="e">
        <v>#N/A</v>
      </c>
      <c r="CY2644" s="41" t="e">
        <v>#N/A</v>
      </c>
      <c r="CZ2644" s="47" t="e">
        <v>#N/A</v>
      </c>
      <c r="DA2644">
        <v>0.11332468572476186</v>
      </c>
      <c r="DB2644" t="str">
        <v/>
      </c>
    </row>
    <row r="2645" spans="83:106" x14ac:dyDescent="0.2">
      <c r="CE2645"/>
      <c r="CF2645"/>
      <c r="CG2645"/>
      <c r="CH2645"/>
      <c r="CI2645"/>
      <c r="CU2645" s="21">
        <v>2640</v>
      </c>
      <c r="CV2645" s="41">
        <v>4</v>
      </c>
      <c r="CW2645" s="41">
        <v>0.11332468572476186</v>
      </c>
      <c r="CX2645" s="41" t="e">
        <v>#N/A</v>
      </c>
      <c r="CY2645" s="41" t="e">
        <v>#N/A</v>
      </c>
      <c r="CZ2645" s="47" t="e">
        <v>#N/A</v>
      </c>
      <c r="DA2645">
        <v>0.11332468572476186</v>
      </c>
      <c r="DB2645" t="str">
        <v/>
      </c>
    </row>
    <row r="2646" spans="83:106" x14ac:dyDescent="0.2">
      <c r="CE2646"/>
      <c r="CF2646"/>
      <c r="CG2646"/>
      <c r="CH2646"/>
      <c r="CI2646"/>
      <c r="CU2646" s="21">
        <v>2641</v>
      </c>
      <c r="CV2646" s="41">
        <v>4</v>
      </c>
      <c r="CW2646" s="41">
        <v>0.11332468572476186</v>
      </c>
      <c r="CX2646" s="41" t="e">
        <v>#N/A</v>
      </c>
      <c r="CY2646" s="41" t="e">
        <v>#N/A</v>
      </c>
      <c r="CZ2646" s="47" t="e">
        <v>#N/A</v>
      </c>
      <c r="DA2646">
        <v>0.11332468572476186</v>
      </c>
      <c r="DB2646" t="str">
        <v/>
      </c>
    </row>
    <row r="2647" spans="83:106" x14ac:dyDescent="0.2">
      <c r="CE2647"/>
      <c r="CF2647"/>
      <c r="CG2647"/>
      <c r="CH2647"/>
      <c r="CI2647"/>
      <c r="CU2647" s="21">
        <v>2642</v>
      </c>
      <c r="CV2647" s="41">
        <v>4</v>
      </c>
      <c r="CW2647" s="41">
        <v>0.11332468572476186</v>
      </c>
      <c r="CX2647" s="41" t="e">
        <v>#N/A</v>
      </c>
      <c r="CY2647" s="41" t="e">
        <v>#N/A</v>
      </c>
      <c r="CZ2647" s="47" t="e">
        <v>#N/A</v>
      </c>
      <c r="DA2647">
        <v>0.11332468572476186</v>
      </c>
      <c r="DB2647" t="str">
        <v/>
      </c>
    </row>
    <row r="2648" spans="83:106" x14ac:dyDescent="0.2">
      <c r="CE2648"/>
      <c r="CF2648"/>
      <c r="CG2648"/>
      <c r="CH2648"/>
      <c r="CI2648"/>
      <c r="CU2648" s="21">
        <v>2643</v>
      </c>
      <c r="CV2648" s="41">
        <v>4</v>
      </c>
      <c r="CW2648" s="41">
        <v>0.11332468572476186</v>
      </c>
      <c r="CX2648" s="41" t="e">
        <v>#N/A</v>
      </c>
      <c r="CY2648" s="41" t="e">
        <v>#N/A</v>
      </c>
      <c r="CZ2648" s="47" t="e">
        <v>#N/A</v>
      </c>
      <c r="DA2648">
        <v>0.11332468572476186</v>
      </c>
      <c r="DB2648" t="str">
        <v/>
      </c>
    </row>
    <row r="2649" spans="83:106" x14ac:dyDescent="0.2">
      <c r="CE2649"/>
      <c r="CF2649"/>
      <c r="CG2649"/>
      <c r="CH2649"/>
      <c r="CI2649"/>
      <c r="CU2649" s="21">
        <v>2644</v>
      </c>
      <c r="CV2649" s="41">
        <v>4</v>
      </c>
      <c r="CW2649" s="41">
        <v>0.11332468572476186</v>
      </c>
      <c r="CX2649" s="41" t="e">
        <v>#N/A</v>
      </c>
      <c r="CY2649" s="41" t="e">
        <v>#N/A</v>
      </c>
      <c r="CZ2649" s="47" t="e">
        <v>#N/A</v>
      </c>
      <c r="DA2649">
        <v>0.11332468572476186</v>
      </c>
      <c r="DB2649" t="str">
        <v/>
      </c>
    </row>
    <row r="2650" spans="83:106" x14ac:dyDescent="0.2">
      <c r="CE2650"/>
      <c r="CF2650"/>
      <c r="CG2650"/>
      <c r="CH2650"/>
      <c r="CI2650"/>
      <c r="CU2650" s="21">
        <v>2645</v>
      </c>
      <c r="CV2650" s="41">
        <v>4</v>
      </c>
      <c r="CW2650" s="41">
        <v>0.11332468572476186</v>
      </c>
      <c r="CX2650" s="41" t="e">
        <v>#N/A</v>
      </c>
      <c r="CY2650" s="41" t="e">
        <v>#N/A</v>
      </c>
      <c r="CZ2650" s="47" t="e">
        <v>#N/A</v>
      </c>
      <c r="DA2650">
        <v>0.11332468572476186</v>
      </c>
      <c r="DB2650" t="str">
        <v/>
      </c>
    </row>
    <row r="2651" spans="83:106" x14ac:dyDescent="0.2">
      <c r="CE2651"/>
      <c r="CF2651"/>
      <c r="CG2651"/>
      <c r="CH2651"/>
      <c r="CI2651"/>
      <c r="CU2651" s="21">
        <v>2646</v>
      </c>
      <c r="CV2651" s="41">
        <v>4</v>
      </c>
      <c r="CW2651" s="41">
        <v>0.11332468572476186</v>
      </c>
      <c r="CX2651" s="41" t="e">
        <v>#N/A</v>
      </c>
      <c r="CY2651" s="41" t="e">
        <v>#N/A</v>
      </c>
      <c r="CZ2651" s="47" t="e">
        <v>#N/A</v>
      </c>
      <c r="DA2651">
        <v>0.11332468572476186</v>
      </c>
      <c r="DB2651" t="str">
        <v/>
      </c>
    </row>
    <row r="2652" spans="83:106" x14ac:dyDescent="0.2">
      <c r="CE2652"/>
      <c r="CF2652"/>
      <c r="CG2652"/>
      <c r="CH2652"/>
      <c r="CI2652"/>
      <c r="CU2652" s="21">
        <v>2647</v>
      </c>
      <c r="CV2652" s="41">
        <v>4</v>
      </c>
      <c r="CW2652" s="41">
        <v>0.11332468572476186</v>
      </c>
      <c r="CX2652" s="41" t="e">
        <v>#N/A</v>
      </c>
      <c r="CY2652" s="41" t="e">
        <v>#N/A</v>
      </c>
      <c r="CZ2652" s="47" t="e">
        <v>#N/A</v>
      </c>
      <c r="DA2652">
        <v>0.11332468572476186</v>
      </c>
      <c r="DB2652" t="str">
        <v/>
      </c>
    </row>
    <row r="2653" spans="83:106" x14ac:dyDescent="0.2">
      <c r="CE2653"/>
      <c r="CF2653"/>
      <c r="CG2653"/>
      <c r="CH2653"/>
      <c r="CI2653"/>
      <c r="CU2653" s="21">
        <v>2648</v>
      </c>
      <c r="CV2653" s="41">
        <v>4</v>
      </c>
      <c r="CW2653" s="41">
        <v>0.11332468572476186</v>
      </c>
      <c r="CX2653" s="41" t="e">
        <v>#N/A</v>
      </c>
      <c r="CY2653" s="41" t="e">
        <v>#N/A</v>
      </c>
      <c r="CZ2653" s="47" t="e">
        <v>#N/A</v>
      </c>
      <c r="DA2653">
        <v>0.11332468572476186</v>
      </c>
      <c r="DB2653" t="str">
        <v/>
      </c>
    </row>
    <row r="2654" spans="83:106" x14ac:dyDescent="0.2">
      <c r="CE2654"/>
      <c r="CF2654"/>
      <c r="CG2654"/>
      <c r="CH2654"/>
      <c r="CI2654"/>
      <c r="CU2654" s="21">
        <v>2649</v>
      </c>
      <c r="CV2654" s="41">
        <v>4</v>
      </c>
      <c r="CW2654" s="41">
        <v>0.11332468572476186</v>
      </c>
      <c r="CX2654" s="41" t="e">
        <v>#N/A</v>
      </c>
      <c r="CY2654" s="41" t="e">
        <v>#N/A</v>
      </c>
      <c r="CZ2654" s="47" t="e">
        <v>#N/A</v>
      </c>
      <c r="DA2654">
        <v>0.11332468572476186</v>
      </c>
      <c r="DB2654" t="str">
        <v/>
      </c>
    </row>
    <row r="2655" spans="83:106" x14ac:dyDescent="0.2">
      <c r="CE2655"/>
      <c r="CF2655"/>
      <c r="CG2655"/>
      <c r="CH2655"/>
      <c r="CI2655"/>
      <c r="CU2655" s="21">
        <v>2650</v>
      </c>
      <c r="CV2655" s="41">
        <v>4</v>
      </c>
      <c r="CW2655" s="41">
        <v>0.11332468572476186</v>
      </c>
      <c r="CX2655" s="41" t="e">
        <v>#N/A</v>
      </c>
      <c r="CY2655" s="41" t="e">
        <v>#N/A</v>
      </c>
      <c r="CZ2655" s="47" t="e">
        <v>#N/A</v>
      </c>
      <c r="DA2655">
        <v>0.11332468572476186</v>
      </c>
      <c r="DB2655" t="str">
        <v/>
      </c>
    </row>
    <row r="2656" spans="83:106" x14ac:dyDescent="0.2">
      <c r="CE2656"/>
      <c r="CF2656"/>
      <c r="CG2656"/>
      <c r="CH2656"/>
      <c r="CI2656"/>
      <c r="CU2656" s="21">
        <v>2651</v>
      </c>
      <c r="CV2656" s="41">
        <v>4</v>
      </c>
      <c r="CW2656" s="41">
        <v>0.11332468572476186</v>
      </c>
      <c r="CX2656" s="41" t="e">
        <v>#N/A</v>
      </c>
      <c r="CY2656" s="41" t="e">
        <v>#N/A</v>
      </c>
      <c r="CZ2656" s="47" t="e">
        <v>#N/A</v>
      </c>
      <c r="DA2656">
        <v>0.11332468572476186</v>
      </c>
      <c r="DB2656" t="str">
        <v/>
      </c>
    </row>
    <row r="2657" spans="83:106" x14ac:dyDescent="0.2">
      <c r="CE2657"/>
      <c r="CF2657"/>
      <c r="CG2657"/>
      <c r="CH2657"/>
      <c r="CI2657"/>
      <c r="CU2657" s="21">
        <v>2652</v>
      </c>
      <c r="CV2657" s="41">
        <v>4</v>
      </c>
      <c r="CW2657" s="41">
        <v>0.11332468572476186</v>
      </c>
      <c r="CX2657" s="41" t="e">
        <v>#N/A</v>
      </c>
      <c r="CY2657" s="41" t="e">
        <v>#N/A</v>
      </c>
      <c r="CZ2657" s="47" t="e">
        <v>#N/A</v>
      </c>
      <c r="DA2657">
        <v>0.11332468572476186</v>
      </c>
      <c r="DB2657" t="str">
        <v/>
      </c>
    </row>
    <row r="2658" spans="83:106" x14ac:dyDescent="0.2">
      <c r="CE2658"/>
      <c r="CF2658"/>
      <c r="CG2658"/>
      <c r="CH2658"/>
      <c r="CI2658"/>
      <c r="CU2658" s="21">
        <v>2653</v>
      </c>
      <c r="CV2658" s="41">
        <v>4</v>
      </c>
      <c r="CW2658" s="41">
        <v>0.11332468572476186</v>
      </c>
      <c r="CX2658" s="41" t="e">
        <v>#N/A</v>
      </c>
      <c r="CY2658" s="41" t="e">
        <v>#N/A</v>
      </c>
      <c r="CZ2658" s="47" t="e">
        <v>#N/A</v>
      </c>
      <c r="DA2658">
        <v>0.11332468572476186</v>
      </c>
      <c r="DB2658" t="str">
        <v/>
      </c>
    </row>
    <row r="2659" spans="83:106" x14ac:dyDescent="0.2">
      <c r="CE2659"/>
      <c r="CF2659"/>
      <c r="CG2659"/>
      <c r="CH2659"/>
      <c r="CI2659"/>
      <c r="CU2659" s="21">
        <v>2654</v>
      </c>
      <c r="CV2659" s="41">
        <v>4</v>
      </c>
      <c r="CW2659" s="41">
        <v>0.11332468572476186</v>
      </c>
      <c r="CX2659" s="41" t="e">
        <v>#N/A</v>
      </c>
      <c r="CY2659" s="41" t="e">
        <v>#N/A</v>
      </c>
      <c r="CZ2659" s="47" t="e">
        <v>#N/A</v>
      </c>
      <c r="DA2659">
        <v>0.11332468572476186</v>
      </c>
      <c r="DB2659" t="str">
        <v/>
      </c>
    </row>
    <row r="2660" spans="83:106" x14ac:dyDescent="0.2">
      <c r="CE2660"/>
      <c r="CF2660"/>
      <c r="CG2660"/>
      <c r="CH2660"/>
      <c r="CI2660"/>
      <c r="CU2660" s="21">
        <v>2655</v>
      </c>
      <c r="CV2660" s="41">
        <v>4</v>
      </c>
      <c r="CW2660" s="41">
        <v>0.11332468572476186</v>
      </c>
      <c r="CX2660" s="41" t="e">
        <v>#N/A</v>
      </c>
      <c r="CY2660" s="41" t="e">
        <v>#N/A</v>
      </c>
      <c r="CZ2660" s="47" t="e">
        <v>#N/A</v>
      </c>
      <c r="DA2660">
        <v>0.11332468572476186</v>
      </c>
      <c r="DB2660" t="str">
        <v/>
      </c>
    </row>
    <row r="2661" spans="83:106" x14ac:dyDescent="0.2">
      <c r="CE2661"/>
      <c r="CF2661"/>
      <c r="CG2661"/>
      <c r="CH2661"/>
      <c r="CI2661"/>
      <c r="CU2661" s="21">
        <v>2656</v>
      </c>
      <c r="CV2661" s="41">
        <v>4</v>
      </c>
      <c r="CW2661" s="41">
        <v>0.11332468572476186</v>
      </c>
      <c r="CX2661" s="41" t="e">
        <v>#N/A</v>
      </c>
      <c r="CY2661" s="41" t="e">
        <v>#N/A</v>
      </c>
      <c r="CZ2661" s="47" t="e">
        <v>#N/A</v>
      </c>
      <c r="DA2661">
        <v>0.11332468572476186</v>
      </c>
      <c r="DB2661" t="str">
        <v/>
      </c>
    </row>
    <row r="2662" spans="83:106" x14ac:dyDescent="0.2">
      <c r="CE2662"/>
      <c r="CF2662"/>
      <c r="CG2662"/>
      <c r="CH2662"/>
      <c r="CI2662"/>
      <c r="CU2662" s="21">
        <v>2657</v>
      </c>
      <c r="CV2662" s="41">
        <v>4</v>
      </c>
      <c r="CW2662" s="41">
        <v>0.11332468572476186</v>
      </c>
      <c r="CX2662" s="41" t="e">
        <v>#N/A</v>
      </c>
      <c r="CY2662" s="41" t="e">
        <v>#N/A</v>
      </c>
      <c r="CZ2662" s="47" t="e">
        <v>#N/A</v>
      </c>
      <c r="DA2662">
        <v>0.11332468572476186</v>
      </c>
      <c r="DB2662" t="str">
        <v/>
      </c>
    </row>
    <row r="2663" spans="83:106" x14ac:dyDescent="0.2">
      <c r="CE2663"/>
      <c r="CF2663"/>
      <c r="CG2663"/>
      <c r="CH2663"/>
      <c r="CI2663"/>
      <c r="CU2663" s="21">
        <v>2658</v>
      </c>
      <c r="CV2663" s="41">
        <v>4</v>
      </c>
      <c r="CW2663" s="41">
        <v>0.11332468572476186</v>
      </c>
      <c r="CX2663" s="41" t="e">
        <v>#N/A</v>
      </c>
      <c r="CY2663" s="41" t="e">
        <v>#N/A</v>
      </c>
      <c r="CZ2663" s="47" t="e">
        <v>#N/A</v>
      </c>
      <c r="DA2663">
        <v>0.11332468572476186</v>
      </c>
      <c r="DB2663" t="str">
        <v/>
      </c>
    </row>
    <row r="2664" spans="83:106" x14ac:dyDescent="0.2">
      <c r="CE2664"/>
      <c r="CF2664"/>
      <c r="CG2664"/>
      <c r="CH2664"/>
      <c r="CI2664"/>
      <c r="CU2664" s="21">
        <v>2659</v>
      </c>
      <c r="CV2664" s="41">
        <v>4</v>
      </c>
      <c r="CW2664" s="41">
        <v>0.11332468572476186</v>
      </c>
      <c r="CX2664" s="41" t="e">
        <v>#N/A</v>
      </c>
      <c r="CY2664" s="41" t="e">
        <v>#N/A</v>
      </c>
      <c r="CZ2664" s="47" t="e">
        <v>#N/A</v>
      </c>
      <c r="DA2664">
        <v>0.11332468572476186</v>
      </c>
      <c r="DB2664" t="str">
        <v/>
      </c>
    </row>
    <row r="2665" spans="83:106" x14ac:dyDescent="0.2">
      <c r="CE2665"/>
      <c r="CF2665"/>
      <c r="CG2665"/>
      <c r="CH2665"/>
      <c r="CI2665"/>
      <c r="CU2665" s="21">
        <v>2660</v>
      </c>
      <c r="CV2665" s="41">
        <v>4</v>
      </c>
      <c r="CW2665" s="41">
        <v>0.11332468572476186</v>
      </c>
      <c r="CX2665" s="41" t="e">
        <v>#N/A</v>
      </c>
      <c r="CY2665" s="41" t="e">
        <v>#N/A</v>
      </c>
      <c r="CZ2665" s="47" t="e">
        <v>#N/A</v>
      </c>
      <c r="DA2665">
        <v>0.11332468572476186</v>
      </c>
      <c r="DB2665" t="str">
        <v/>
      </c>
    </row>
    <row r="2666" spans="83:106" x14ac:dyDescent="0.2">
      <c r="CE2666"/>
      <c r="CF2666"/>
      <c r="CG2666"/>
      <c r="CH2666"/>
      <c r="CI2666"/>
      <c r="CU2666" s="21">
        <v>2661</v>
      </c>
      <c r="CV2666" s="41">
        <v>4</v>
      </c>
      <c r="CW2666" s="41">
        <v>0.11332468572476186</v>
      </c>
      <c r="CX2666" s="41" t="e">
        <v>#N/A</v>
      </c>
      <c r="CY2666" s="41" t="e">
        <v>#N/A</v>
      </c>
      <c r="CZ2666" s="47" t="e">
        <v>#N/A</v>
      </c>
      <c r="DA2666">
        <v>0.11332468572476186</v>
      </c>
      <c r="DB2666" t="str">
        <v/>
      </c>
    </row>
    <row r="2667" spans="83:106" x14ac:dyDescent="0.2">
      <c r="CE2667"/>
      <c r="CF2667"/>
      <c r="CG2667"/>
      <c r="CH2667"/>
      <c r="CI2667"/>
      <c r="CU2667" s="21">
        <v>2662</v>
      </c>
      <c r="CV2667" s="41">
        <v>4</v>
      </c>
      <c r="CW2667" s="41">
        <v>0.11332468572476186</v>
      </c>
      <c r="CX2667" s="41" t="e">
        <v>#N/A</v>
      </c>
      <c r="CY2667" s="41" t="e">
        <v>#N/A</v>
      </c>
      <c r="CZ2667" s="47" t="e">
        <v>#N/A</v>
      </c>
      <c r="DA2667">
        <v>0.11332468572476186</v>
      </c>
      <c r="DB2667" t="str">
        <v/>
      </c>
    </row>
    <row r="2668" spans="83:106" x14ac:dyDescent="0.2">
      <c r="CE2668"/>
      <c r="CF2668"/>
      <c r="CG2668"/>
      <c r="CH2668"/>
      <c r="CI2668"/>
      <c r="CU2668" s="21">
        <v>2663</v>
      </c>
      <c r="CV2668" s="41">
        <v>4</v>
      </c>
      <c r="CW2668" s="41">
        <v>0.11332468572476186</v>
      </c>
      <c r="CX2668" s="41" t="e">
        <v>#N/A</v>
      </c>
      <c r="CY2668" s="41" t="e">
        <v>#N/A</v>
      </c>
      <c r="CZ2668" s="47" t="e">
        <v>#N/A</v>
      </c>
      <c r="DA2668">
        <v>0.11332468572476186</v>
      </c>
      <c r="DB2668" t="str">
        <v/>
      </c>
    </row>
    <row r="2669" spans="83:106" x14ac:dyDescent="0.2">
      <c r="CE2669"/>
      <c r="CF2669"/>
      <c r="CG2669"/>
      <c r="CH2669"/>
      <c r="CI2669"/>
      <c r="CU2669" s="21">
        <v>2664</v>
      </c>
      <c r="CV2669" s="41">
        <v>4</v>
      </c>
      <c r="CW2669" s="41">
        <v>0.11332468572476186</v>
      </c>
      <c r="CX2669" s="41" t="e">
        <v>#N/A</v>
      </c>
      <c r="CY2669" s="41" t="e">
        <v>#N/A</v>
      </c>
      <c r="CZ2669" s="47" t="e">
        <v>#N/A</v>
      </c>
      <c r="DA2669">
        <v>0.11332468572476186</v>
      </c>
      <c r="DB2669" t="str">
        <v/>
      </c>
    </row>
    <row r="2670" spans="83:106" x14ac:dyDescent="0.2">
      <c r="CE2670"/>
      <c r="CF2670"/>
      <c r="CG2670"/>
      <c r="CH2670"/>
      <c r="CI2670"/>
      <c r="CU2670" s="21">
        <v>2665</v>
      </c>
      <c r="CV2670" s="41">
        <v>4</v>
      </c>
      <c r="CW2670" s="41">
        <v>0.11332468572476186</v>
      </c>
      <c r="CX2670" s="41" t="e">
        <v>#N/A</v>
      </c>
      <c r="CY2670" s="41" t="e">
        <v>#N/A</v>
      </c>
      <c r="CZ2670" s="47" t="e">
        <v>#N/A</v>
      </c>
      <c r="DA2670">
        <v>0.11332468572476186</v>
      </c>
      <c r="DB2670" t="str">
        <v/>
      </c>
    </row>
    <row r="2671" spans="83:106" x14ac:dyDescent="0.2">
      <c r="CE2671"/>
      <c r="CF2671"/>
      <c r="CG2671"/>
      <c r="CH2671"/>
      <c r="CI2671"/>
      <c r="CU2671" s="21">
        <v>2666</v>
      </c>
      <c r="CV2671" s="41">
        <v>4</v>
      </c>
      <c r="CW2671" s="41">
        <v>0.11332468572476186</v>
      </c>
      <c r="CX2671" s="41" t="e">
        <v>#N/A</v>
      </c>
      <c r="CY2671" s="41" t="e">
        <v>#N/A</v>
      </c>
      <c r="CZ2671" s="47" t="e">
        <v>#N/A</v>
      </c>
      <c r="DA2671">
        <v>0.11332468572476186</v>
      </c>
      <c r="DB2671" t="str">
        <v/>
      </c>
    </row>
    <row r="2672" spans="83:106" x14ac:dyDescent="0.2">
      <c r="CE2672"/>
      <c r="CF2672"/>
      <c r="CG2672"/>
      <c r="CH2672"/>
      <c r="CI2672"/>
      <c r="CU2672" s="21">
        <v>2667</v>
      </c>
      <c r="CV2672" s="41">
        <v>4</v>
      </c>
      <c r="CW2672" s="41">
        <v>0.11332468572476186</v>
      </c>
      <c r="CX2672" s="41" t="e">
        <v>#N/A</v>
      </c>
      <c r="CY2672" s="41" t="e">
        <v>#N/A</v>
      </c>
      <c r="CZ2672" s="47" t="e">
        <v>#N/A</v>
      </c>
      <c r="DA2672">
        <v>0.11332468572476186</v>
      </c>
      <c r="DB2672" t="str">
        <v/>
      </c>
    </row>
    <row r="2673" spans="83:106" x14ac:dyDescent="0.2">
      <c r="CE2673"/>
      <c r="CF2673"/>
      <c r="CG2673"/>
      <c r="CH2673"/>
      <c r="CI2673"/>
      <c r="CU2673" s="21">
        <v>2668</v>
      </c>
      <c r="CV2673" s="41">
        <v>4</v>
      </c>
      <c r="CW2673" s="41">
        <v>0.11332468572476186</v>
      </c>
      <c r="CX2673" s="41" t="e">
        <v>#N/A</v>
      </c>
      <c r="CY2673" s="41" t="e">
        <v>#N/A</v>
      </c>
      <c r="CZ2673" s="47" t="e">
        <v>#N/A</v>
      </c>
      <c r="DA2673">
        <v>0.11332468572476186</v>
      </c>
      <c r="DB2673" t="str">
        <v/>
      </c>
    </row>
    <row r="2674" spans="83:106" x14ac:dyDescent="0.2">
      <c r="CE2674"/>
      <c r="CF2674"/>
      <c r="CG2674"/>
      <c r="CH2674"/>
      <c r="CI2674"/>
      <c r="CU2674" s="21">
        <v>2669</v>
      </c>
      <c r="CV2674" s="41">
        <v>4</v>
      </c>
      <c r="CW2674" s="41">
        <v>0.11332468572476186</v>
      </c>
      <c r="CX2674" s="41" t="e">
        <v>#N/A</v>
      </c>
      <c r="CY2674" s="41" t="e">
        <v>#N/A</v>
      </c>
      <c r="CZ2674" s="47" t="e">
        <v>#N/A</v>
      </c>
      <c r="DA2674">
        <v>0.11332468572476186</v>
      </c>
      <c r="DB2674" t="str">
        <v/>
      </c>
    </row>
    <row r="2675" spans="83:106" x14ac:dyDescent="0.2">
      <c r="CE2675"/>
      <c r="CF2675"/>
      <c r="CG2675"/>
      <c r="CH2675"/>
      <c r="CI2675"/>
      <c r="CU2675" s="21">
        <v>2670</v>
      </c>
      <c r="CV2675" s="41">
        <v>4</v>
      </c>
      <c r="CW2675" s="41">
        <v>0.11332468572476186</v>
      </c>
      <c r="CX2675" s="41" t="e">
        <v>#N/A</v>
      </c>
      <c r="CY2675" s="41" t="e">
        <v>#N/A</v>
      </c>
      <c r="CZ2675" s="47" t="e">
        <v>#N/A</v>
      </c>
      <c r="DA2675">
        <v>0.11332468572476186</v>
      </c>
      <c r="DB2675" t="str">
        <v/>
      </c>
    </row>
    <row r="2676" spans="83:106" x14ac:dyDescent="0.2">
      <c r="CE2676"/>
      <c r="CF2676"/>
      <c r="CG2676"/>
      <c r="CH2676"/>
      <c r="CI2676"/>
      <c r="CU2676" s="21">
        <v>2671</v>
      </c>
      <c r="CV2676" s="41">
        <v>4</v>
      </c>
      <c r="CW2676" s="41">
        <v>0.11332468572476186</v>
      </c>
      <c r="CX2676" s="41" t="e">
        <v>#N/A</v>
      </c>
      <c r="CY2676" s="41" t="e">
        <v>#N/A</v>
      </c>
      <c r="CZ2676" s="47" t="e">
        <v>#N/A</v>
      </c>
      <c r="DA2676">
        <v>0.11332468572476186</v>
      </c>
      <c r="DB2676" t="str">
        <v/>
      </c>
    </row>
    <row r="2677" spans="83:106" x14ac:dyDescent="0.2">
      <c r="CE2677"/>
      <c r="CF2677"/>
      <c r="CG2677"/>
      <c r="CH2677"/>
      <c r="CI2677"/>
      <c r="CU2677" s="21">
        <v>2672</v>
      </c>
      <c r="CV2677" s="41">
        <v>4</v>
      </c>
      <c r="CW2677" s="41">
        <v>0.11332468572476186</v>
      </c>
      <c r="CX2677" s="41" t="e">
        <v>#N/A</v>
      </c>
      <c r="CY2677" s="41" t="e">
        <v>#N/A</v>
      </c>
      <c r="CZ2677" s="47" t="e">
        <v>#N/A</v>
      </c>
      <c r="DA2677">
        <v>0.11332468572476186</v>
      </c>
      <c r="DB2677" t="str">
        <v/>
      </c>
    </row>
    <row r="2678" spans="83:106" x14ac:dyDescent="0.2">
      <c r="CE2678"/>
      <c r="CF2678"/>
      <c r="CG2678"/>
      <c r="CH2678"/>
      <c r="CI2678"/>
      <c r="CU2678" s="21">
        <v>2673</v>
      </c>
      <c r="CV2678" s="41">
        <v>4</v>
      </c>
      <c r="CW2678" s="41">
        <v>0.11332468572476186</v>
      </c>
      <c r="CX2678" s="41" t="e">
        <v>#N/A</v>
      </c>
      <c r="CY2678" s="41" t="e">
        <v>#N/A</v>
      </c>
      <c r="CZ2678" s="47" t="e">
        <v>#N/A</v>
      </c>
      <c r="DA2678">
        <v>0.11332468572476186</v>
      </c>
      <c r="DB2678" t="str">
        <v/>
      </c>
    </row>
    <row r="2679" spans="83:106" x14ac:dyDescent="0.2">
      <c r="CE2679"/>
      <c r="CF2679"/>
      <c r="CG2679"/>
      <c r="CH2679"/>
      <c r="CI2679"/>
      <c r="CU2679" s="21">
        <v>2674</v>
      </c>
      <c r="CV2679" s="41">
        <v>4</v>
      </c>
      <c r="CW2679" s="41">
        <v>0.11332468572476186</v>
      </c>
      <c r="CX2679" s="41" t="e">
        <v>#N/A</v>
      </c>
      <c r="CY2679" s="41" t="e">
        <v>#N/A</v>
      </c>
      <c r="CZ2679" s="47" t="e">
        <v>#N/A</v>
      </c>
      <c r="DA2679">
        <v>0.11332468572476186</v>
      </c>
      <c r="DB2679" t="str">
        <v/>
      </c>
    </row>
    <row r="2680" spans="83:106" x14ac:dyDescent="0.2">
      <c r="CE2680"/>
      <c r="CF2680"/>
      <c r="CG2680"/>
      <c r="CH2680"/>
      <c r="CI2680"/>
      <c r="CU2680" s="21">
        <v>2675</v>
      </c>
      <c r="CV2680" s="41">
        <v>4</v>
      </c>
      <c r="CW2680" s="41">
        <v>0.11332468572476186</v>
      </c>
      <c r="CX2680" s="41" t="e">
        <v>#N/A</v>
      </c>
      <c r="CY2680" s="41" t="e">
        <v>#N/A</v>
      </c>
      <c r="CZ2680" s="47" t="e">
        <v>#N/A</v>
      </c>
      <c r="DA2680">
        <v>0.11332468572476186</v>
      </c>
      <c r="DB2680" t="str">
        <v/>
      </c>
    </row>
    <row r="2681" spans="83:106" x14ac:dyDescent="0.2">
      <c r="CE2681"/>
      <c r="CF2681"/>
      <c r="CG2681"/>
      <c r="CH2681"/>
      <c r="CI2681"/>
      <c r="CU2681" s="21">
        <v>2676</v>
      </c>
      <c r="CV2681" s="41">
        <v>4</v>
      </c>
      <c r="CW2681" s="41">
        <v>0.11332468572476186</v>
      </c>
      <c r="CX2681" s="41" t="e">
        <v>#N/A</v>
      </c>
      <c r="CY2681" s="41" t="e">
        <v>#N/A</v>
      </c>
      <c r="CZ2681" s="47" t="e">
        <v>#N/A</v>
      </c>
      <c r="DA2681">
        <v>0.11332468572476186</v>
      </c>
      <c r="DB2681" t="str">
        <v/>
      </c>
    </row>
    <row r="2682" spans="83:106" x14ac:dyDescent="0.2">
      <c r="CE2682"/>
      <c r="CF2682"/>
      <c r="CG2682"/>
      <c r="CH2682"/>
      <c r="CI2682"/>
      <c r="CU2682" s="21">
        <v>2677</v>
      </c>
      <c r="CV2682" s="41">
        <v>4</v>
      </c>
      <c r="CW2682" s="41">
        <v>0.11332468572476186</v>
      </c>
      <c r="CX2682" s="41" t="e">
        <v>#N/A</v>
      </c>
      <c r="CY2682" s="41" t="e">
        <v>#N/A</v>
      </c>
      <c r="CZ2682" s="47" t="e">
        <v>#N/A</v>
      </c>
      <c r="DA2682">
        <v>0.11332468572476186</v>
      </c>
      <c r="DB2682" t="str">
        <v/>
      </c>
    </row>
    <row r="2683" spans="83:106" x14ac:dyDescent="0.2">
      <c r="CE2683"/>
      <c r="CF2683"/>
      <c r="CG2683"/>
      <c r="CH2683"/>
      <c r="CI2683"/>
      <c r="CU2683" s="21">
        <v>2678</v>
      </c>
      <c r="CV2683" s="41">
        <v>4</v>
      </c>
      <c r="CW2683" s="41">
        <v>0.11332468572476186</v>
      </c>
      <c r="CX2683" s="41" t="e">
        <v>#N/A</v>
      </c>
      <c r="CY2683" s="41" t="e">
        <v>#N/A</v>
      </c>
      <c r="CZ2683" s="47" t="e">
        <v>#N/A</v>
      </c>
      <c r="DA2683">
        <v>0.11332468572476186</v>
      </c>
      <c r="DB2683" t="str">
        <v/>
      </c>
    </row>
    <row r="2684" spans="83:106" x14ac:dyDescent="0.2">
      <c r="CE2684"/>
      <c r="CF2684"/>
      <c r="CG2684"/>
      <c r="CH2684"/>
      <c r="CI2684"/>
      <c r="CU2684" s="21">
        <v>2679</v>
      </c>
      <c r="CV2684" s="41">
        <v>4</v>
      </c>
      <c r="CW2684" s="41">
        <v>0.11332468572476186</v>
      </c>
      <c r="CX2684" s="41" t="e">
        <v>#N/A</v>
      </c>
      <c r="CY2684" s="41" t="e">
        <v>#N/A</v>
      </c>
      <c r="CZ2684" s="47" t="e">
        <v>#N/A</v>
      </c>
      <c r="DA2684">
        <v>0.11332468572476186</v>
      </c>
      <c r="DB2684" t="str">
        <v/>
      </c>
    </row>
    <row r="2685" spans="83:106" x14ac:dyDescent="0.2">
      <c r="CE2685"/>
      <c r="CF2685"/>
      <c r="CG2685"/>
      <c r="CH2685"/>
      <c r="CI2685"/>
      <c r="CU2685" s="21">
        <v>2680</v>
      </c>
      <c r="CV2685" s="41">
        <v>4</v>
      </c>
      <c r="CW2685" s="41">
        <v>0.11332468572476186</v>
      </c>
      <c r="CX2685" s="41" t="e">
        <v>#N/A</v>
      </c>
      <c r="CY2685" s="41" t="e">
        <v>#N/A</v>
      </c>
      <c r="CZ2685" s="47" t="e">
        <v>#N/A</v>
      </c>
      <c r="DA2685">
        <v>0.11332468572476186</v>
      </c>
      <c r="DB2685" t="str">
        <v/>
      </c>
    </row>
    <row r="2686" spans="83:106" x14ac:dyDescent="0.2">
      <c r="CE2686"/>
      <c r="CF2686"/>
      <c r="CG2686"/>
      <c r="CH2686"/>
      <c r="CI2686"/>
      <c r="CU2686" s="21">
        <v>2681</v>
      </c>
      <c r="CV2686" s="41">
        <v>4</v>
      </c>
      <c r="CW2686" s="41">
        <v>0.11332468572476186</v>
      </c>
      <c r="CX2686" s="41" t="e">
        <v>#N/A</v>
      </c>
      <c r="CY2686" s="41" t="e">
        <v>#N/A</v>
      </c>
      <c r="CZ2686" s="47" t="e">
        <v>#N/A</v>
      </c>
      <c r="DA2686">
        <v>0.11332468572476186</v>
      </c>
      <c r="DB2686" t="str">
        <v/>
      </c>
    </row>
    <row r="2687" spans="83:106" x14ac:dyDescent="0.2">
      <c r="CE2687"/>
      <c r="CF2687"/>
      <c r="CG2687"/>
      <c r="CH2687"/>
      <c r="CI2687"/>
      <c r="CU2687" s="21">
        <v>2682</v>
      </c>
      <c r="CV2687" s="41">
        <v>4</v>
      </c>
      <c r="CW2687" s="41">
        <v>0.11332468572476186</v>
      </c>
      <c r="CX2687" s="41" t="e">
        <v>#N/A</v>
      </c>
      <c r="CY2687" s="41" t="e">
        <v>#N/A</v>
      </c>
      <c r="CZ2687" s="47" t="e">
        <v>#N/A</v>
      </c>
      <c r="DA2687">
        <v>0.11332468572476186</v>
      </c>
      <c r="DB2687" t="str">
        <v/>
      </c>
    </row>
    <row r="2688" spans="83:106" x14ac:dyDescent="0.2">
      <c r="CE2688"/>
      <c r="CF2688"/>
      <c r="CG2688"/>
      <c r="CH2688"/>
      <c r="CI2688"/>
      <c r="CU2688" s="21">
        <v>2683</v>
      </c>
      <c r="CV2688" s="41">
        <v>4</v>
      </c>
      <c r="CW2688" s="41">
        <v>0.11332468572476186</v>
      </c>
      <c r="CX2688" s="41" t="e">
        <v>#N/A</v>
      </c>
      <c r="CY2688" s="41" t="e">
        <v>#N/A</v>
      </c>
      <c r="CZ2688" s="47" t="e">
        <v>#N/A</v>
      </c>
      <c r="DA2688">
        <v>0.11332468572476186</v>
      </c>
      <c r="DB2688" t="str">
        <v/>
      </c>
    </row>
    <row r="2689" spans="83:106" x14ac:dyDescent="0.2">
      <c r="CE2689"/>
      <c r="CF2689"/>
      <c r="CG2689"/>
      <c r="CH2689"/>
      <c r="CI2689"/>
      <c r="CU2689" s="21">
        <v>2684</v>
      </c>
      <c r="CV2689" s="41">
        <v>4</v>
      </c>
      <c r="CW2689" s="41">
        <v>0.11332468572476186</v>
      </c>
      <c r="CX2689" s="41" t="e">
        <v>#N/A</v>
      </c>
      <c r="CY2689" s="41" t="e">
        <v>#N/A</v>
      </c>
      <c r="CZ2689" s="47" t="e">
        <v>#N/A</v>
      </c>
      <c r="DA2689">
        <v>0.11332468572476186</v>
      </c>
      <c r="DB2689" t="str">
        <v/>
      </c>
    </row>
    <row r="2690" spans="83:106" x14ac:dyDescent="0.2">
      <c r="CE2690"/>
      <c r="CF2690"/>
      <c r="CG2690"/>
      <c r="CH2690"/>
      <c r="CI2690"/>
      <c r="CU2690" s="21">
        <v>2685</v>
      </c>
      <c r="CV2690" s="41">
        <v>4</v>
      </c>
      <c r="CW2690" s="41">
        <v>0.11332468572476186</v>
      </c>
      <c r="CX2690" s="41" t="e">
        <v>#N/A</v>
      </c>
      <c r="CY2690" s="41" t="e">
        <v>#N/A</v>
      </c>
      <c r="CZ2690" s="47" t="e">
        <v>#N/A</v>
      </c>
      <c r="DA2690">
        <v>0.11332468572476186</v>
      </c>
      <c r="DB2690" t="str">
        <v/>
      </c>
    </row>
    <row r="2691" spans="83:106" x14ac:dyDescent="0.2">
      <c r="CE2691"/>
      <c r="CF2691"/>
      <c r="CG2691"/>
      <c r="CH2691"/>
      <c r="CI2691"/>
      <c r="CU2691" s="21">
        <v>2686</v>
      </c>
      <c r="CV2691" s="41">
        <v>4</v>
      </c>
      <c r="CW2691" s="41">
        <v>0.11332468572476186</v>
      </c>
      <c r="CX2691" s="41" t="e">
        <v>#N/A</v>
      </c>
      <c r="CY2691" s="41" t="e">
        <v>#N/A</v>
      </c>
      <c r="CZ2691" s="47" t="e">
        <v>#N/A</v>
      </c>
      <c r="DA2691">
        <v>0.11332468572476186</v>
      </c>
      <c r="DB2691" t="str">
        <v/>
      </c>
    </row>
    <row r="2692" spans="83:106" x14ac:dyDescent="0.2">
      <c r="CE2692"/>
      <c r="CF2692"/>
      <c r="CG2692"/>
      <c r="CH2692"/>
      <c r="CI2692"/>
      <c r="CU2692" s="21">
        <v>2687</v>
      </c>
      <c r="CV2692" s="41">
        <v>4</v>
      </c>
      <c r="CW2692" s="41">
        <v>0.11332468572476186</v>
      </c>
      <c r="CX2692" s="41" t="e">
        <v>#N/A</v>
      </c>
      <c r="CY2692" s="41" t="e">
        <v>#N/A</v>
      </c>
      <c r="CZ2692" s="47" t="e">
        <v>#N/A</v>
      </c>
      <c r="DA2692">
        <v>0.11332468572476186</v>
      </c>
      <c r="DB2692" t="str">
        <v/>
      </c>
    </row>
    <row r="2693" spans="83:106" x14ac:dyDescent="0.2">
      <c r="CE2693"/>
      <c r="CF2693"/>
      <c r="CG2693"/>
      <c r="CH2693"/>
      <c r="CI2693"/>
      <c r="CU2693" s="21">
        <v>2688</v>
      </c>
      <c r="CV2693" s="41">
        <v>4</v>
      </c>
      <c r="CW2693" s="41">
        <v>0.11332468572476186</v>
      </c>
      <c r="CX2693" s="41" t="e">
        <v>#N/A</v>
      </c>
      <c r="CY2693" s="41" t="e">
        <v>#N/A</v>
      </c>
      <c r="CZ2693" s="47" t="e">
        <v>#N/A</v>
      </c>
      <c r="DA2693">
        <v>0.11332468572476186</v>
      </c>
      <c r="DB2693" t="str">
        <v/>
      </c>
    </row>
    <row r="2694" spans="83:106" x14ac:dyDescent="0.2">
      <c r="CE2694"/>
      <c r="CF2694"/>
      <c r="CG2694"/>
      <c r="CH2694"/>
      <c r="CI2694"/>
      <c r="CU2694" s="21">
        <v>2689</v>
      </c>
      <c r="CV2694" s="41">
        <v>4</v>
      </c>
      <c r="CW2694" s="41">
        <v>0.11332468572476186</v>
      </c>
      <c r="CX2694" s="41" t="e">
        <v>#N/A</v>
      </c>
      <c r="CY2694" s="41" t="e">
        <v>#N/A</v>
      </c>
      <c r="CZ2694" s="47" t="e">
        <v>#N/A</v>
      </c>
      <c r="DA2694">
        <v>0.11332468572476186</v>
      </c>
      <c r="DB2694" t="str">
        <v/>
      </c>
    </row>
    <row r="2695" spans="83:106" x14ac:dyDescent="0.2">
      <c r="CE2695"/>
      <c r="CF2695"/>
      <c r="CG2695"/>
      <c r="CH2695"/>
      <c r="CI2695"/>
      <c r="CU2695" s="21">
        <v>2690</v>
      </c>
      <c r="CV2695" s="41">
        <v>4</v>
      </c>
      <c r="CW2695" s="41">
        <v>0.11332468572476186</v>
      </c>
      <c r="CX2695" s="41" t="e">
        <v>#N/A</v>
      </c>
      <c r="CY2695" s="41" t="e">
        <v>#N/A</v>
      </c>
      <c r="CZ2695" s="47" t="e">
        <v>#N/A</v>
      </c>
      <c r="DA2695">
        <v>0.11332468572476186</v>
      </c>
      <c r="DB2695" t="str">
        <v/>
      </c>
    </row>
    <row r="2696" spans="83:106" x14ac:dyDescent="0.2">
      <c r="CE2696"/>
      <c r="CF2696"/>
      <c r="CG2696"/>
      <c r="CH2696"/>
      <c r="CI2696"/>
      <c r="CU2696" s="21">
        <v>2691</v>
      </c>
      <c r="CV2696" s="41">
        <v>4</v>
      </c>
      <c r="CW2696" s="41">
        <v>0.11332468572476186</v>
      </c>
      <c r="CX2696" s="41" t="e">
        <v>#N/A</v>
      </c>
      <c r="CY2696" s="41" t="e">
        <v>#N/A</v>
      </c>
      <c r="CZ2696" s="47" t="e">
        <v>#N/A</v>
      </c>
      <c r="DA2696">
        <v>0.11332468572476186</v>
      </c>
      <c r="DB2696" t="str">
        <v/>
      </c>
    </row>
    <row r="2697" spans="83:106" x14ac:dyDescent="0.2">
      <c r="CE2697"/>
      <c r="CF2697"/>
      <c r="CG2697"/>
      <c r="CH2697"/>
      <c r="CI2697"/>
      <c r="CU2697" s="21">
        <v>2692</v>
      </c>
      <c r="CV2697" s="41">
        <v>4</v>
      </c>
      <c r="CW2697" s="41">
        <v>0.11332468572476186</v>
      </c>
      <c r="CX2697" s="41" t="e">
        <v>#N/A</v>
      </c>
      <c r="CY2697" s="41" t="e">
        <v>#N/A</v>
      </c>
      <c r="CZ2697" s="47" t="e">
        <v>#N/A</v>
      </c>
      <c r="DA2697">
        <v>0.11332468572476186</v>
      </c>
      <c r="DB2697" t="str">
        <v/>
      </c>
    </row>
    <row r="2698" spans="83:106" x14ac:dyDescent="0.2">
      <c r="CE2698"/>
      <c r="CF2698"/>
      <c r="CG2698"/>
      <c r="CH2698"/>
      <c r="CI2698"/>
      <c r="CU2698" s="21">
        <v>2693</v>
      </c>
      <c r="CV2698" s="41">
        <v>4</v>
      </c>
      <c r="CW2698" s="41">
        <v>0.11332468572476186</v>
      </c>
      <c r="CX2698" s="41" t="e">
        <v>#N/A</v>
      </c>
      <c r="CY2698" s="41" t="e">
        <v>#N/A</v>
      </c>
      <c r="CZ2698" s="47" t="e">
        <v>#N/A</v>
      </c>
      <c r="DA2698">
        <v>0.11332468572476186</v>
      </c>
      <c r="DB2698" t="str">
        <v/>
      </c>
    </row>
    <row r="2699" spans="83:106" x14ac:dyDescent="0.2">
      <c r="CE2699"/>
      <c r="CF2699"/>
      <c r="CG2699"/>
      <c r="CH2699"/>
      <c r="CI2699"/>
      <c r="CU2699" s="21">
        <v>2694</v>
      </c>
      <c r="CV2699" s="41">
        <v>4</v>
      </c>
      <c r="CW2699" s="41">
        <v>0.11332468572476186</v>
      </c>
      <c r="CX2699" s="41" t="e">
        <v>#N/A</v>
      </c>
      <c r="CY2699" s="41" t="e">
        <v>#N/A</v>
      </c>
      <c r="CZ2699" s="47" t="e">
        <v>#N/A</v>
      </c>
      <c r="DA2699">
        <v>0.11332468572476186</v>
      </c>
      <c r="DB2699" t="str">
        <v/>
      </c>
    </row>
    <row r="2700" spans="83:106" x14ac:dyDescent="0.2">
      <c r="CE2700"/>
      <c r="CF2700"/>
      <c r="CG2700"/>
      <c r="CH2700"/>
      <c r="CI2700"/>
      <c r="CU2700" s="21">
        <v>2695</v>
      </c>
      <c r="CV2700" s="41">
        <v>4</v>
      </c>
      <c r="CW2700" s="41">
        <v>0.11332468572476186</v>
      </c>
      <c r="CX2700" s="41" t="e">
        <v>#N/A</v>
      </c>
      <c r="CY2700" s="41" t="e">
        <v>#N/A</v>
      </c>
      <c r="CZ2700" s="47" t="e">
        <v>#N/A</v>
      </c>
      <c r="DA2700">
        <v>0.11332468572476186</v>
      </c>
      <c r="DB2700" t="str">
        <v/>
      </c>
    </row>
    <row r="2701" spans="83:106" x14ac:dyDescent="0.2">
      <c r="CE2701"/>
      <c r="CF2701"/>
      <c r="CG2701"/>
      <c r="CH2701"/>
      <c r="CI2701"/>
      <c r="CU2701" s="21">
        <v>2696</v>
      </c>
      <c r="CV2701" s="41">
        <v>4</v>
      </c>
      <c r="CW2701" s="41">
        <v>0.11332468572476186</v>
      </c>
      <c r="CX2701" s="41" t="e">
        <v>#N/A</v>
      </c>
      <c r="CY2701" s="41" t="e">
        <v>#N/A</v>
      </c>
      <c r="CZ2701" s="47" t="e">
        <v>#N/A</v>
      </c>
      <c r="DA2701">
        <v>0.11332468572476186</v>
      </c>
      <c r="DB2701" t="str">
        <v/>
      </c>
    </row>
    <row r="2702" spans="83:106" x14ac:dyDescent="0.2">
      <c r="CE2702"/>
      <c r="CF2702"/>
      <c r="CG2702"/>
      <c r="CH2702"/>
      <c r="CI2702"/>
      <c r="CU2702" s="21">
        <v>2697</v>
      </c>
      <c r="CV2702" s="41">
        <v>4</v>
      </c>
      <c r="CW2702" s="41">
        <v>0.11332468572476186</v>
      </c>
      <c r="CX2702" s="41" t="e">
        <v>#N/A</v>
      </c>
      <c r="CY2702" s="41" t="e">
        <v>#N/A</v>
      </c>
      <c r="CZ2702" s="47" t="e">
        <v>#N/A</v>
      </c>
      <c r="DA2702">
        <v>0.11332468572476186</v>
      </c>
      <c r="DB2702" t="str">
        <v/>
      </c>
    </row>
    <row r="2703" spans="83:106" x14ac:dyDescent="0.2">
      <c r="CE2703"/>
      <c r="CF2703"/>
      <c r="CG2703"/>
      <c r="CH2703"/>
      <c r="CI2703"/>
      <c r="CU2703" s="21">
        <v>2698</v>
      </c>
      <c r="CV2703" s="41">
        <v>4</v>
      </c>
      <c r="CW2703" s="41">
        <v>0.11332468572476186</v>
      </c>
      <c r="CX2703" s="41" t="e">
        <v>#N/A</v>
      </c>
      <c r="CY2703" s="41" t="e">
        <v>#N/A</v>
      </c>
      <c r="CZ2703" s="47" t="e">
        <v>#N/A</v>
      </c>
      <c r="DA2703">
        <v>0.11332468572476186</v>
      </c>
      <c r="DB2703" t="str">
        <v/>
      </c>
    </row>
    <row r="2704" spans="83:106" x14ac:dyDescent="0.2">
      <c r="CE2704"/>
      <c r="CF2704"/>
      <c r="CG2704"/>
      <c r="CH2704"/>
      <c r="CI2704"/>
      <c r="CU2704" s="21">
        <v>2699</v>
      </c>
      <c r="CV2704" s="41">
        <v>4</v>
      </c>
      <c r="CW2704" s="41">
        <v>0.11332468572476186</v>
      </c>
      <c r="CX2704" s="41" t="e">
        <v>#N/A</v>
      </c>
      <c r="CY2704" s="41" t="e">
        <v>#N/A</v>
      </c>
      <c r="CZ2704" s="47" t="e">
        <v>#N/A</v>
      </c>
      <c r="DA2704">
        <v>0.11332468572476186</v>
      </c>
      <c r="DB2704" t="str">
        <v/>
      </c>
    </row>
    <row r="2705" spans="83:106" x14ac:dyDescent="0.2">
      <c r="CE2705"/>
      <c r="CF2705"/>
      <c r="CG2705"/>
      <c r="CH2705"/>
      <c r="CI2705"/>
      <c r="CU2705" s="21">
        <v>2700</v>
      </c>
      <c r="CV2705" s="41">
        <v>4</v>
      </c>
      <c r="CW2705" s="41">
        <v>0.11332468572476186</v>
      </c>
      <c r="CX2705" s="41" t="e">
        <v>#N/A</v>
      </c>
      <c r="CY2705" s="41" t="e">
        <v>#N/A</v>
      </c>
      <c r="CZ2705" s="47" t="e">
        <v>#N/A</v>
      </c>
      <c r="DA2705">
        <v>0.11332468572476186</v>
      </c>
      <c r="DB2705" t="str">
        <v/>
      </c>
    </row>
    <row r="2706" spans="83:106" x14ac:dyDescent="0.2">
      <c r="CE2706"/>
      <c r="CF2706"/>
      <c r="CG2706"/>
      <c r="CH2706"/>
      <c r="CI2706"/>
      <c r="CU2706" s="21">
        <v>2701</v>
      </c>
      <c r="CV2706" s="41">
        <v>4</v>
      </c>
      <c r="CW2706" s="41">
        <v>0.11332468572476186</v>
      </c>
      <c r="CX2706" s="41" t="e">
        <v>#N/A</v>
      </c>
      <c r="CY2706" s="41" t="e">
        <v>#N/A</v>
      </c>
      <c r="CZ2706" s="47" t="e">
        <v>#N/A</v>
      </c>
      <c r="DA2706">
        <v>0.11332468572476186</v>
      </c>
      <c r="DB2706" t="str">
        <v/>
      </c>
    </row>
    <row r="2707" spans="83:106" x14ac:dyDescent="0.2">
      <c r="CE2707"/>
      <c r="CF2707"/>
      <c r="CG2707"/>
      <c r="CH2707"/>
      <c r="CI2707"/>
      <c r="CU2707" s="21">
        <v>2702</v>
      </c>
      <c r="CV2707" s="41">
        <v>4</v>
      </c>
      <c r="CW2707" s="41">
        <v>0.11332468572476186</v>
      </c>
      <c r="CX2707" s="41" t="e">
        <v>#N/A</v>
      </c>
      <c r="CY2707" s="41" t="e">
        <v>#N/A</v>
      </c>
      <c r="CZ2707" s="47" t="e">
        <v>#N/A</v>
      </c>
      <c r="DA2707">
        <v>0.11332468572476186</v>
      </c>
      <c r="DB2707" t="str">
        <v/>
      </c>
    </row>
    <row r="2708" spans="83:106" x14ac:dyDescent="0.2">
      <c r="CE2708"/>
      <c r="CF2708"/>
      <c r="CG2708"/>
      <c r="CH2708"/>
      <c r="CI2708"/>
      <c r="CU2708" s="21">
        <v>2703</v>
      </c>
      <c r="CV2708" s="41">
        <v>4</v>
      </c>
      <c r="CW2708" s="41">
        <v>0.11332468572476186</v>
      </c>
      <c r="CX2708" s="41" t="e">
        <v>#N/A</v>
      </c>
      <c r="CY2708" s="41" t="e">
        <v>#N/A</v>
      </c>
      <c r="CZ2708" s="47" t="e">
        <v>#N/A</v>
      </c>
      <c r="DA2708">
        <v>0.11332468572476186</v>
      </c>
      <c r="DB2708" t="str">
        <v/>
      </c>
    </row>
    <row r="2709" spans="83:106" x14ac:dyDescent="0.2">
      <c r="CE2709"/>
      <c r="CF2709"/>
      <c r="CG2709"/>
      <c r="CH2709"/>
      <c r="CI2709"/>
      <c r="CU2709" s="21">
        <v>2704</v>
      </c>
      <c r="CV2709" s="41">
        <v>4</v>
      </c>
      <c r="CW2709" s="41">
        <v>0.11332468572476186</v>
      </c>
      <c r="CX2709" s="41" t="e">
        <v>#N/A</v>
      </c>
      <c r="CY2709" s="41" t="e">
        <v>#N/A</v>
      </c>
      <c r="CZ2709" s="47" t="e">
        <v>#N/A</v>
      </c>
      <c r="DA2709">
        <v>0.11332468572476186</v>
      </c>
      <c r="DB2709" t="str">
        <v/>
      </c>
    </row>
    <row r="2710" spans="83:106" x14ac:dyDescent="0.2">
      <c r="CE2710"/>
      <c r="CF2710"/>
      <c r="CG2710"/>
      <c r="CH2710"/>
      <c r="CI2710"/>
      <c r="CU2710" s="21">
        <v>2705</v>
      </c>
      <c r="CV2710" s="41">
        <v>4</v>
      </c>
      <c r="CW2710" s="41">
        <v>0.11332468572476186</v>
      </c>
      <c r="CX2710" s="41" t="e">
        <v>#N/A</v>
      </c>
      <c r="CY2710" s="41" t="e">
        <v>#N/A</v>
      </c>
      <c r="CZ2710" s="47" t="e">
        <v>#N/A</v>
      </c>
      <c r="DA2710">
        <v>0.11332468572476186</v>
      </c>
      <c r="DB2710" t="str">
        <v/>
      </c>
    </row>
    <row r="2711" spans="83:106" x14ac:dyDescent="0.2">
      <c r="CE2711"/>
      <c r="CF2711"/>
      <c r="CG2711"/>
      <c r="CH2711"/>
      <c r="CI2711"/>
      <c r="CU2711" s="21">
        <v>2706</v>
      </c>
      <c r="CV2711" s="41">
        <v>4</v>
      </c>
      <c r="CW2711" s="41">
        <v>0.11332468572476186</v>
      </c>
      <c r="CX2711" s="41" t="e">
        <v>#N/A</v>
      </c>
      <c r="CY2711" s="41" t="e">
        <v>#N/A</v>
      </c>
      <c r="CZ2711" s="47" t="e">
        <v>#N/A</v>
      </c>
      <c r="DA2711">
        <v>0.11332468572476186</v>
      </c>
      <c r="DB2711" t="str">
        <v/>
      </c>
    </row>
    <row r="2712" spans="83:106" x14ac:dyDescent="0.2">
      <c r="CE2712"/>
      <c r="CF2712"/>
      <c r="CG2712"/>
      <c r="CH2712"/>
      <c r="CI2712"/>
      <c r="CU2712" s="21">
        <v>2707</v>
      </c>
      <c r="CV2712" s="41">
        <v>4</v>
      </c>
      <c r="CW2712" s="41">
        <v>0.11332468572476186</v>
      </c>
      <c r="CX2712" s="41" t="e">
        <v>#N/A</v>
      </c>
      <c r="CY2712" s="41" t="e">
        <v>#N/A</v>
      </c>
      <c r="CZ2712" s="47" t="e">
        <v>#N/A</v>
      </c>
      <c r="DA2712">
        <v>0.11332468572476186</v>
      </c>
      <c r="DB2712" t="str">
        <v/>
      </c>
    </row>
    <row r="2713" spans="83:106" x14ac:dyDescent="0.2">
      <c r="CE2713"/>
      <c r="CF2713"/>
      <c r="CG2713"/>
      <c r="CH2713"/>
      <c r="CI2713"/>
      <c r="CU2713" s="21">
        <v>2708</v>
      </c>
      <c r="CV2713" s="41">
        <v>4</v>
      </c>
      <c r="CW2713" s="41">
        <v>0.11332468572476186</v>
      </c>
      <c r="CX2713" s="41" t="e">
        <v>#N/A</v>
      </c>
      <c r="CY2713" s="41" t="e">
        <v>#N/A</v>
      </c>
      <c r="CZ2713" s="47" t="e">
        <v>#N/A</v>
      </c>
      <c r="DA2713">
        <v>0.11332468572476186</v>
      </c>
      <c r="DB2713" t="str">
        <v/>
      </c>
    </row>
    <row r="2714" spans="83:106" x14ac:dyDescent="0.2">
      <c r="CE2714"/>
      <c r="CF2714"/>
      <c r="CG2714"/>
      <c r="CH2714"/>
      <c r="CI2714"/>
      <c r="CU2714" s="21">
        <v>2709</v>
      </c>
      <c r="CV2714" s="41">
        <v>4</v>
      </c>
      <c r="CW2714" s="41">
        <v>0.11332468572476186</v>
      </c>
      <c r="CX2714" s="41" t="e">
        <v>#N/A</v>
      </c>
      <c r="CY2714" s="41" t="e">
        <v>#N/A</v>
      </c>
      <c r="CZ2714" s="47" t="e">
        <v>#N/A</v>
      </c>
      <c r="DA2714">
        <v>0.11332468572476186</v>
      </c>
      <c r="DB2714" t="str">
        <v/>
      </c>
    </row>
    <row r="2715" spans="83:106" x14ac:dyDescent="0.2">
      <c r="CE2715"/>
      <c r="CF2715"/>
      <c r="CG2715"/>
      <c r="CH2715"/>
      <c r="CI2715"/>
      <c r="CU2715" s="21">
        <v>2710</v>
      </c>
      <c r="CV2715" s="41">
        <v>4</v>
      </c>
      <c r="CW2715" s="41">
        <v>0.11332468572476186</v>
      </c>
      <c r="CX2715" s="41" t="e">
        <v>#N/A</v>
      </c>
      <c r="CY2715" s="41" t="e">
        <v>#N/A</v>
      </c>
      <c r="CZ2715" s="47" t="e">
        <v>#N/A</v>
      </c>
      <c r="DA2715">
        <v>0.11332468572476186</v>
      </c>
      <c r="DB2715" t="str">
        <v/>
      </c>
    </row>
    <row r="2716" spans="83:106" x14ac:dyDescent="0.2">
      <c r="CE2716"/>
      <c r="CF2716"/>
      <c r="CG2716"/>
      <c r="CH2716"/>
      <c r="CI2716"/>
      <c r="CU2716" s="21">
        <v>2711</v>
      </c>
      <c r="CV2716" s="41">
        <v>4</v>
      </c>
      <c r="CW2716" s="41">
        <v>0.11332468572476186</v>
      </c>
      <c r="CX2716" s="41" t="e">
        <v>#N/A</v>
      </c>
      <c r="CY2716" s="41" t="e">
        <v>#N/A</v>
      </c>
      <c r="CZ2716" s="47" t="e">
        <v>#N/A</v>
      </c>
      <c r="DA2716">
        <v>0.11332468572476186</v>
      </c>
      <c r="DB2716" t="str">
        <v/>
      </c>
    </row>
    <row r="2717" spans="83:106" x14ac:dyDescent="0.2">
      <c r="CE2717"/>
      <c r="CF2717"/>
      <c r="CG2717"/>
      <c r="CH2717"/>
      <c r="CI2717"/>
      <c r="CU2717" s="21">
        <v>2712</v>
      </c>
      <c r="CV2717" s="41">
        <v>4</v>
      </c>
      <c r="CW2717" s="41">
        <v>0.11332468572476186</v>
      </c>
      <c r="CX2717" s="41" t="e">
        <v>#N/A</v>
      </c>
      <c r="CY2717" s="41" t="e">
        <v>#N/A</v>
      </c>
      <c r="CZ2717" s="47" t="e">
        <v>#N/A</v>
      </c>
      <c r="DA2717">
        <v>0.11332468572476186</v>
      </c>
      <c r="DB2717" t="str">
        <v/>
      </c>
    </row>
    <row r="2718" spans="83:106" x14ac:dyDescent="0.2">
      <c r="CE2718"/>
      <c r="CF2718"/>
      <c r="CG2718"/>
      <c r="CH2718"/>
      <c r="CI2718"/>
      <c r="CU2718" s="21">
        <v>2713</v>
      </c>
      <c r="CV2718" s="41">
        <v>4</v>
      </c>
      <c r="CW2718" s="41">
        <v>0.11332468572476186</v>
      </c>
      <c r="CX2718" s="41" t="e">
        <v>#N/A</v>
      </c>
      <c r="CY2718" s="41" t="e">
        <v>#N/A</v>
      </c>
      <c r="CZ2718" s="47" t="e">
        <v>#N/A</v>
      </c>
      <c r="DA2718">
        <v>0.11332468572476186</v>
      </c>
      <c r="DB2718" t="str">
        <v/>
      </c>
    </row>
    <row r="2719" spans="83:106" x14ac:dyDescent="0.2">
      <c r="CE2719"/>
      <c r="CF2719"/>
      <c r="CG2719"/>
      <c r="CH2719"/>
      <c r="CI2719"/>
      <c r="CU2719" s="21">
        <v>2714</v>
      </c>
      <c r="CV2719" s="41">
        <v>4</v>
      </c>
      <c r="CW2719" s="41">
        <v>0.11332468572476186</v>
      </c>
      <c r="CX2719" s="41" t="e">
        <v>#N/A</v>
      </c>
      <c r="CY2719" s="41" t="e">
        <v>#N/A</v>
      </c>
      <c r="CZ2719" s="47" t="e">
        <v>#N/A</v>
      </c>
      <c r="DA2719">
        <v>0.11332468572476186</v>
      </c>
      <c r="DB2719" t="str">
        <v/>
      </c>
    </row>
    <row r="2720" spans="83:106" x14ac:dyDescent="0.2">
      <c r="CE2720"/>
      <c r="CF2720"/>
      <c r="CG2720"/>
      <c r="CH2720"/>
      <c r="CI2720"/>
      <c r="CU2720" s="21">
        <v>2715</v>
      </c>
      <c r="CV2720" s="41">
        <v>4</v>
      </c>
      <c r="CW2720" s="41">
        <v>0.11332468572476186</v>
      </c>
      <c r="CX2720" s="41" t="e">
        <v>#N/A</v>
      </c>
      <c r="CY2720" s="41" t="e">
        <v>#N/A</v>
      </c>
      <c r="CZ2720" s="47" t="e">
        <v>#N/A</v>
      </c>
      <c r="DA2720">
        <v>0.11332468572476186</v>
      </c>
      <c r="DB2720" t="str">
        <v/>
      </c>
    </row>
    <row r="2721" spans="83:106" x14ac:dyDescent="0.2">
      <c r="CE2721"/>
      <c r="CF2721"/>
      <c r="CG2721"/>
      <c r="CH2721"/>
      <c r="CI2721"/>
      <c r="CU2721" s="21">
        <v>2716</v>
      </c>
      <c r="CV2721" s="41">
        <v>4</v>
      </c>
      <c r="CW2721" s="41">
        <v>0.11332468572476186</v>
      </c>
      <c r="CX2721" s="41" t="e">
        <v>#N/A</v>
      </c>
      <c r="CY2721" s="41" t="e">
        <v>#N/A</v>
      </c>
      <c r="CZ2721" s="47" t="e">
        <v>#N/A</v>
      </c>
      <c r="DA2721">
        <v>0.11332468572476186</v>
      </c>
      <c r="DB2721" t="str">
        <v/>
      </c>
    </row>
    <row r="2722" spans="83:106" x14ac:dyDescent="0.2">
      <c r="CE2722"/>
      <c r="CF2722"/>
      <c r="CG2722"/>
      <c r="CH2722"/>
      <c r="CI2722"/>
      <c r="CU2722" s="21">
        <v>2717</v>
      </c>
      <c r="CV2722" s="41">
        <v>4</v>
      </c>
      <c r="CW2722" s="41">
        <v>0.11332468572476186</v>
      </c>
      <c r="CX2722" s="41" t="e">
        <v>#N/A</v>
      </c>
      <c r="CY2722" s="41" t="e">
        <v>#N/A</v>
      </c>
      <c r="CZ2722" s="47" t="e">
        <v>#N/A</v>
      </c>
      <c r="DA2722">
        <v>0.11332468572476186</v>
      </c>
      <c r="DB2722" t="str">
        <v/>
      </c>
    </row>
    <row r="2723" spans="83:106" x14ac:dyDescent="0.2">
      <c r="CE2723"/>
      <c r="CF2723"/>
      <c r="CG2723"/>
      <c r="CH2723"/>
      <c r="CI2723"/>
      <c r="CU2723" s="21">
        <v>2718</v>
      </c>
      <c r="CV2723" s="41">
        <v>4</v>
      </c>
      <c r="CW2723" s="41">
        <v>0.11332468572476186</v>
      </c>
      <c r="CX2723" s="41" t="e">
        <v>#N/A</v>
      </c>
      <c r="CY2723" s="41" t="e">
        <v>#N/A</v>
      </c>
      <c r="CZ2723" s="47" t="e">
        <v>#N/A</v>
      </c>
      <c r="DA2723">
        <v>0.11332468572476186</v>
      </c>
      <c r="DB2723" t="str">
        <v/>
      </c>
    </row>
    <row r="2724" spans="83:106" x14ac:dyDescent="0.2">
      <c r="CE2724"/>
      <c r="CF2724"/>
      <c r="CG2724"/>
      <c r="CH2724"/>
      <c r="CI2724"/>
      <c r="CU2724" s="21">
        <v>2719</v>
      </c>
      <c r="CV2724" s="41">
        <v>4</v>
      </c>
      <c r="CW2724" s="41">
        <v>0.11332468572476186</v>
      </c>
      <c r="CX2724" s="41" t="e">
        <v>#N/A</v>
      </c>
      <c r="CY2724" s="41" t="e">
        <v>#N/A</v>
      </c>
      <c r="CZ2724" s="47" t="e">
        <v>#N/A</v>
      </c>
      <c r="DA2724">
        <v>0.11332468572476186</v>
      </c>
      <c r="DB2724" t="str">
        <v/>
      </c>
    </row>
    <row r="2725" spans="83:106" x14ac:dyDescent="0.2">
      <c r="CE2725"/>
      <c r="CF2725"/>
      <c r="CG2725"/>
      <c r="CH2725"/>
      <c r="CI2725"/>
      <c r="CU2725" s="21">
        <v>2720</v>
      </c>
      <c r="CV2725" s="41">
        <v>4</v>
      </c>
      <c r="CW2725" s="41">
        <v>0.11332468572476186</v>
      </c>
      <c r="CX2725" s="41" t="e">
        <v>#N/A</v>
      </c>
      <c r="CY2725" s="41" t="e">
        <v>#N/A</v>
      </c>
      <c r="CZ2725" s="47" t="e">
        <v>#N/A</v>
      </c>
      <c r="DA2725">
        <v>0.11332468572476186</v>
      </c>
      <c r="DB2725" t="str">
        <v/>
      </c>
    </row>
    <row r="2726" spans="83:106" x14ac:dyDescent="0.2">
      <c r="CE2726"/>
      <c r="CF2726"/>
      <c r="CG2726"/>
      <c r="CH2726"/>
      <c r="CI2726"/>
      <c r="CU2726" s="21">
        <v>2721</v>
      </c>
      <c r="CV2726" s="41">
        <v>4</v>
      </c>
      <c r="CW2726" s="41">
        <v>0.11332468572476186</v>
      </c>
      <c r="CX2726" s="41" t="e">
        <v>#N/A</v>
      </c>
      <c r="CY2726" s="41" t="e">
        <v>#N/A</v>
      </c>
      <c r="CZ2726" s="47" t="e">
        <v>#N/A</v>
      </c>
      <c r="DA2726">
        <v>0.11332468572476186</v>
      </c>
      <c r="DB2726" t="str">
        <v/>
      </c>
    </row>
    <row r="2727" spans="83:106" x14ac:dyDescent="0.2">
      <c r="CE2727"/>
      <c r="CF2727"/>
      <c r="CG2727"/>
      <c r="CH2727"/>
      <c r="CI2727"/>
      <c r="CU2727" s="21">
        <v>2722</v>
      </c>
      <c r="CV2727" s="41">
        <v>4</v>
      </c>
      <c r="CW2727" s="41">
        <v>0.11332468572476186</v>
      </c>
      <c r="CX2727" s="41" t="e">
        <v>#N/A</v>
      </c>
      <c r="CY2727" s="41" t="e">
        <v>#N/A</v>
      </c>
      <c r="CZ2727" s="47" t="e">
        <v>#N/A</v>
      </c>
      <c r="DA2727">
        <v>0.11332468572476186</v>
      </c>
      <c r="DB2727" t="str">
        <v/>
      </c>
    </row>
    <row r="2728" spans="83:106" x14ac:dyDescent="0.2">
      <c r="CE2728"/>
      <c r="CF2728"/>
      <c r="CG2728"/>
      <c r="CH2728"/>
      <c r="CI2728"/>
      <c r="CU2728" s="21">
        <v>2723</v>
      </c>
      <c r="CV2728" s="41">
        <v>4</v>
      </c>
      <c r="CW2728" s="41">
        <v>0.11332468572476186</v>
      </c>
      <c r="CX2728" s="41" t="e">
        <v>#N/A</v>
      </c>
      <c r="CY2728" s="41" t="e">
        <v>#N/A</v>
      </c>
      <c r="CZ2728" s="47" t="e">
        <v>#N/A</v>
      </c>
      <c r="DA2728">
        <v>0.11332468572476186</v>
      </c>
      <c r="DB2728" t="str">
        <v/>
      </c>
    </row>
    <row r="2729" spans="83:106" x14ac:dyDescent="0.2">
      <c r="CE2729"/>
      <c r="CF2729"/>
      <c r="CG2729"/>
      <c r="CH2729"/>
      <c r="CI2729"/>
      <c r="CU2729" s="21">
        <v>2724</v>
      </c>
      <c r="CV2729" s="41">
        <v>4</v>
      </c>
      <c r="CW2729" s="41">
        <v>0.11332468572476186</v>
      </c>
      <c r="CX2729" s="41" t="e">
        <v>#N/A</v>
      </c>
      <c r="CY2729" s="41" t="e">
        <v>#N/A</v>
      </c>
      <c r="CZ2729" s="47" t="e">
        <v>#N/A</v>
      </c>
      <c r="DA2729">
        <v>0.11332468572476186</v>
      </c>
      <c r="DB2729" t="str">
        <v/>
      </c>
    </row>
    <row r="2730" spans="83:106" x14ac:dyDescent="0.2">
      <c r="CE2730"/>
      <c r="CF2730"/>
      <c r="CG2730"/>
      <c r="CH2730"/>
      <c r="CI2730"/>
      <c r="CU2730" s="21">
        <v>2725</v>
      </c>
      <c r="CV2730" s="41">
        <v>4</v>
      </c>
      <c r="CW2730" s="41">
        <v>0.11332468572476186</v>
      </c>
      <c r="CX2730" s="41" t="e">
        <v>#N/A</v>
      </c>
      <c r="CY2730" s="41" t="e">
        <v>#N/A</v>
      </c>
      <c r="CZ2730" s="47" t="e">
        <v>#N/A</v>
      </c>
      <c r="DA2730">
        <v>0.11332468572476186</v>
      </c>
      <c r="DB2730" t="str">
        <v/>
      </c>
    </row>
    <row r="2731" spans="83:106" x14ac:dyDescent="0.2">
      <c r="CE2731"/>
      <c r="CF2731"/>
      <c r="CG2731"/>
      <c r="CH2731"/>
      <c r="CI2731"/>
      <c r="CU2731" s="21">
        <v>2726</v>
      </c>
      <c r="CV2731" s="41">
        <v>4</v>
      </c>
      <c r="CW2731" s="41">
        <v>0.11332468572476186</v>
      </c>
      <c r="CX2731" s="41" t="e">
        <v>#N/A</v>
      </c>
      <c r="CY2731" s="41" t="e">
        <v>#N/A</v>
      </c>
      <c r="CZ2731" s="47" t="e">
        <v>#N/A</v>
      </c>
      <c r="DA2731">
        <v>0.11332468572476186</v>
      </c>
      <c r="DB2731" t="str">
        <v/>
      </c>
    </row>
    <row r="2732" spans="83:106" x14ac:dyDescent="0.2">
      <c r="CE2732"/>
      <c r="CF2732"/>
      <c r="CG2732"/>
      <c r="CH2732"/>
      <c r="CI2732"/>
      <c r="CU2732" s="21">
        <v>2727</v>
      </c>
      <c r="CV2732" s="41">
        <v>4</v>
      </c>
      <c r="CW2732" s="41">
        <v>0.11332468572476186</v>
      </c>
      <c r="CX2732" s="41" t="e">
        <v>#N/A</v>
      </c>
      <c r="CY2732" s="41" t="e">
        <v>#N/A</v>
      </c>
      <c r="CZ2732" s="47" t="e">
        <v>#N/A</v>
      </c>
      <c r="DA2732">
        <v>0.11332468572476186</v>
      </c>
      <c r="DB2732" t="str">
        <v/>
      </c>
    </row>
    <row r="2733" spans="83:106" x14ac:dyDescent="0.2">
      <c r="CE2733"/>
      <c r="CF2733"/>
      <c r="CG2733"/>
      <c r="CH2733"/>
      <c r="CI2733"/>
      <c r="CU2733" s="21">
        <v>2728</v>
      </c>
      <c r="CV2733" s="41">
        <v>4</v>
      </c>
      <c r="CW2733" s="41">
        <v>0.11332468572476186</v>
      </c>
      <c r="CX2733" s="41" t="e">
        <v>#N/A</v>
      </c>
      <c r="CY2733" s="41" t="e">
        <v>#N/A</v>
      </c>
      <c r="CZ2733" s="47" t="e">
        <v>#N/A</v>
      </c>
      <c r="DA2733">
        <v>0.11332468572476186</v>
      </c>
      <c r="DB2733" t="str">
        <v/>
      </c>
    </row>
    <row r="2734" spans="83:106" x14ac:dyDescent="0.2">
      <c r="CE2734"/>
      <c r="CF2734"/>
      <c r="CG2734"/>
      <c r="CH2734"/>
      <c r="CI2734"/>
      <c r="CU2734" s="21">
        <v>2729</v>
      </c>
      <c r="CV2734" s="41">
        <v>4</v>
      </c>
      <c r="CW2734" s="41">
        <v>0.11332468572476186</v>
      </c>
      <c r="CX2734" s="41" t="e">
        <v>#N/A</v>
      </c>
      <c r="CY2734" s="41" t="e">
        <v>#N/A</v>
      </c>
      <c r="CZ2734" s="47" t="e">
        <v>#N/A</v>
      </c>
      <c r="DA2734">
        <v>0.11332468572476186</v>
      </c>
      <c r="DB2734" t="str">
        <v/>
      </c>
    </row>
    <row r="2735" spans="83:106" x14ac:dyDescent="0.2">
      <c r="CE2735"/>
      <c r="CF2735"/>
      <c r="CG2735"/>
      <c r="CH2735"/>
      <c r="CI2735"/>
      <c r="CU2735" s="21">
        <v>2730</v>
      </c>
      <c r="CV2735" s="41">
        <v>4</v>
      </c>
      <c r="CW2735" s="41">
        <v>0.11332468572476186</v>
      </c>
      <c r="CX2735" s="41" t="e">
        <v>#N/A</v>
      </c>
      <c r="CY2735" s="41" t="e">
        <v>#N/A</v>
      </c>
      <c r="CZ2735" s="47" t="e">
        <v>#N/A</v>
      </c>
      <c r="DA2735">
        <v>0.11332468572476186</v>
      </c>
      <c r="DB2735" t="str">
        <v/>
      </c>
    </row>
    <row r="2736" spans="83:106" x14ac:dyDescent="0.2">
      <c r="CE2736"/>
      <c r="CF2736"/>
      <c r="CG2736"/>
      <c r="CH2736"/>
      <c r="CI2736"/>
      <c r="CU2736" s="21">
        <v>2731</v>
      </c>
      <c r="CV2736" s="41">
        <v>4</v>
      </c>
      <c r="CW2736" s="41">
        <v>0.11332468572476186</v>
      </c>
      <c r="CX2736" s="41" t="e">
        <v>#N/A</v>
      </c>
      <c r="CY2736" s="41" t="e">
        <v>#N/A</v>
      </c>
      <c r="CZ2736" s="47" t="e">
        <v>#N/A</v>
      </c>
      <c r="DA2736">
        <v>0.11332468572476186</v>
      </c>
      <c r="DB2736" t="str">
        <v/>
      </c>
    </row>
    <row r="2737" spans="83:106" x14ac:dyDescent="0.2">
      <c r="CE2737"/>
      <c r="CF2737"/>
      <c r="CG2737"/>
      <c r="CH2737"/>
      <c r="CI2737"/>
      <c r="CU2737" s="21">
        <v>2732</v>
      </c>
      <c r="CV2737" s="41">
        <v>4</v>
      </c>
      <c r="CW2737" s="41">
        <v>0.11332468572476186</v>
      </c>
      <c r="CX2737" s="41" t="e">
        <v>#N/A</v>
      </c>
      <c r="CY2737" s="41" t="e">
        <v>#N/A</v>
      </c>
      <c r="CZ2737" s="47" t="e">
        <v>#N/A</v>
      </c>
      <c r="DA2737">
        <v>0.11332468572476186</v>
      </c>
      <c r="DB2737" t="str">
        <v/>
      </c>
    </row>
    <row r="2738" spans="83:106" x14ac:dyDescent="0.2">
      <c r="CE2738"/>
      <c r="CF2738"/>
      <c r="CG2738"/>
      <c r="CH2738"/>
      <c r="CI2738"/>
      <c r="CU2738" s="21">
        <v>2733</v>
      </c>
      <c r="CV2738" s="41">
        <v>4</v>
      </c>
      <c r="CW2738" s="41">
        <v>0.11332468572476186</v>
      </c>
      <c r="CX2738" s="41" t="e">
        <v>#N/A</v>
      </c>
      <c r="CY2738" s="41" t="e">
        <v>#N/A</v>
      </c>
      <c r="CZ2738" s="47" t="e">
        <v>#N/A</v>
      </c>
      <c r="DA2738">
        <v>0.11332468572476186</v>
      </c>
      <c r="DB2738" t="str">
        <v/>
      </c>
    </row>
    <row r="2739" spans="83:106" x14ac:dyDescent="0.2">
      <c r="CE2739"/>
      <c r="CF2739"/>
      <c r="CG2739"/>
      <c r="CH2739"/>
      <c r="CI2739"/>
      <c r="CU2739" s="21">
        <v>2734</v>
      </c>
      <c r="CV2739" s="41">
        <v>4</v>
      </c>
      <c r="CW2739" s="41">
        <v>0.11332468572476186</v>
      </c>
      <c r="CX2739" s="41" t="e">
        <v>#N/A</v>
      </c>
      <c r="CY2739" s="41" t="e">
        <v>#N/A</v>
      </c>
      <c r="CZ2739" s="47" t="e">
        <v>#N/A</v>
      </c>
      <c r="DA2739">
        <v>0.11332468572476186</v>
      </c>
      <c r="DB2739" t="str">
        <v/>
      </c>
    </row>
    <row r="2740" spans="83:106" x14ac:dyDescent="0.2">
      <c r="CE2740"/>
      <c r="CF2740"/>
      <c r="CG2740"/>
      <c r="CH2740"/>
      <c r="CI2740"/>
      <c r="CU2740" s="21">
        <v>2735</v>
      </c>
      <c r="CV2740" s="41">
        <v>4</v>
      </c>
      <c r="CW2740" s="41">
        <v>0.11332468572476186</v>
      </c>
      <c r="CX2740" s="41" t="e">
        <v>#N/A</v>
      </c>
      <c r="CY2740" s="41" t="e">
        <v>#N/A</v>
      </c>
      <c r="CZ2740" s="47" t="e">
        <v>#N/A</v>
      </c>
      <c r="DA2740">
        <v>0.11332468572476186</v>
      </c>
      <c r="DB2740" t="str">
        <v/>
      </c>
    </row>
    <row r="2741" spans="83:106" x14ac:dyDescent="0.2">
      <c r="CE2741"/>
      <c r="CF2741"/>
      <c r="CG2741"/>
      <c r="CH2741"/>
      <c r="CI2741"/>
      <c r="CU2741" s="21">
        <v>2736</v>
      </c>
      <c r="CV2741" s="41">
        <v>4</v>
      </c>
      <c r="CW2741" s="41">
        <v>0.11332468572476186</v>
      </c>
      <c r="CX2741" s="41" t="e">
        <v>#N/A</v>
      </c>
      <c r="CY2741" s="41" t="e">
        <v>#N/A</v>
      </c>
      <c r="CZ2741" s="47" t="e">
        <v>#N/A</v>
      </c>
      <c r="DA2741">
        <v>0.11332468572476186</v>
      </c>
      <c r="DB2741" t="str">
        <v/>
      </c>
    </row>
    <row r="2742" spans="83:106" x14ac:dyDescent="0.2">
      <c r="CE2742"/>
      <c r="CF2742"/>
      <c r="CG2742"/>
      <c r="CH2742"/>
      <c r="CI2742"/>
      <c r="CU2742" s="21">
        <v>2737</v>
      </c>
      <c r="CV2742" s="41">
        <v>4</v>
      </c>
      <c r="CW2742" s="41">
        <v>0.11332468572476186</v>
      </c>
      <c r="CX2742" s="41" t="e">
        <v>#N/A</v>
      </c>
      <c r="CY2742" s="41" t="e">
        <v>#N/A</v>
      </c>
      <c r="CZ2742" s="47" t="e">
        <v>#N/A</v>
      </c>
      <c r="DA2742">
        <v>0.11332468572476186</v>
      </c>
      <c r="DB2742" t="str">
        <v/>
      </c>
    </row>
    <row r="2743" spans="83:106" x14ac:dyDescent="0.2">
      <c r="CE2743"/>
      <c r="CF2743"/>
      <c r="CG2743"/>
      <c r="CH2743"/>
      <c r="CI2743"/>
      <c r="CU2743" s="21">
        <v>2738</v>
      </c>
      <c r="CV2743" s="41">
        <v>4</v>
      </c>
      <c r="CW2743" s="41">
        <v>0.11332468572476186</v>
      </c>
      <c r="CX2743" s="41" t="e">
        <v>#N/A</v>
      </c>
      <c r="CY2743" s="41" t="e">
        <v>#N/A</v>
      </c>
      <c r="CZ2743" s="47" t="e">
        <v>#N/A</v>
      </c>
      <c r="DA2743">
        <v>0.11332468572476186</v>
      </c>
      <c r="DB2743" t="str">
        <v/>
      </c>
    </row>
    <row r="2744" spans="83:106" x14ac:dyDescent="0.2">
      <c r="CE2744"/>
      <c r="CF2744"/>
      <c r="CG2744"/>
      <c r="CH2744"/>
      <c r="CI2744"/>
      <c r="CU2744" s="21">
        <v>2739</v>
      </c>
      <c r="CV2744" s="41">
        <v>4</v>
      </c>
      <c r="CW2744" s="41">
        <v>0.11332468572476186</v>
      </c>
      <c r="CX2744" s="41" t="e">
        <v>#N/A</v>
      </c>
      <c r="CY2744" s="41" t="e">
        <v>#N/A</v>
      </c>
      <c r="CZ2744" s="47" t="e">
        <v>#N/A</v>
      </c>
      <c r="DA2744">
        <v>0.11332468572476186</v>
      </c>
      <c r="DB2744" t="str">
        <v/>
      </c>
    </row>
    <row r="2745" spans="83:106" x14ac:dyDescent="0.2">
      <c r="CE2745"/>
      <c r="CF2745"/>
      <c r="CG2745"/>
      <c r="CH2745"/>
      <c r="CI2745"/>
      <c r="CU2745" s="21">
        <v>2740</v>
      </c>
      <c r="CV2745" s="41">
        <v>4</v>
      </c>
      <c r="CW2745" s="41">
        <v>0.11332468572476186</v>
      </c>
      <c r="CX2745" s="41" t="e">
        <v>#N/A</v>
      </c>
      <c r="CY2745" s="41" t="e">
        <v>#N/A</v>
      </c>
      <c r="CZ2745" s="47" t="e">
        <v>#N/A</v>
      </c>
      <c r="DA2745">
        <v>0.11332468572476186</v>
      </c>
      <c r="DB2745" t="str">
        <v/>
      </c>
    </row>
    <row r="2746" spans="83:106" x14ac:dyDescent="0.2">
      <c r="CE2746"/>
      <c r="CF2746"/>
      <c r="CG2746"/>
      <c r="CH2746"/>
      <c r="CI2746"/>
      <c r="CU2746" s="21">
        <v>2741</v>
      </c>
      <c r="CV2746" s="41">
        <v>4</v>
      </c>
      <c r="CW2746" s="41">
        <v>0.11332468572476186</v>
      </c>
      <c r="CX2746" s="41" t="e">
        <v>#N/A</v>
      </c>
      <c r="CY2746" s="41" t="e">
        <v>#N/A</v>
      </c>
      <c r="CZ2746" s="47" t="e">
        <v>#N/A</v>
      </c>
      <c r="DA2746">
        <v>0.11332468572476186</v>
      </c>
      <c r="DB2746" t="str">
        <v/>
      </c>
    </row>
    <row r="2747" spans="83:106" x14ac:dyDescent="0.2">
      <c r="CE2747"/>
      <c r="CF2747"/>
      <c r="CG2747"/>
      <c r="CH2747"/>
      <c r="CI2747"/>
      <c r="CU2747" s="21">
        <v>2742</v>
      </c>
      <c r="CV2747" s="41">
        <v>4</v>
      </c>
      <c r="CW2747" s="41">
        <v>0.11332468572476186</v>
      </c>
      <c r="CX2747" s="41" t="e">
        <v>#N/A</v>
      </c>
      <c r="CY2747" s="41" t="e">
        <v>#N/A</v>
      </c>
      <c r="CZ2747" s="47" t="e">
        <v>#N/A</v>
      </c>
      <c r="DA2747">
        <v>0.11332468572476186</v>
      </c>
      <c r="DB2747" t="str">
        <v/>
      </c>
    </row>
    <row r="2748" spans="83:106" x14ac:dyDescent="0.2">
      <c r="CE2748"/>
      <c r="CF2748"/>
      <c r="CG2748"/>
      <c r="CH2748"/>
      <c r="CI2748"/>
      <c r="CU2748" s="21">
        <v>2743</v>
      </c>
      <c r="CV2748" s="41">
        <v>4</v>
      </c>
      <c r="CW2748" s="41">
        <v>0.11332468572476186</v>
      </c>
      <c r="CX2748" s="41" t="e">
        <v>#N/A</v>
      </c>
      <c r="CY2748" s="41" t="e">
        <v>#N/A</v>
      </c>
      <c r="CZ2748" s="47" t="e">
        <v>#N/A</v>
      </c>
      <c r="DA2748">
        <v>0.11332468572476186</v>
      </c>
      <c r="DB2748" t="str">
        <v/>
      </c>
    </row>
    <row r="2749" spans="83:106" x14ac:dyDescent="0.2">
      <c r="CE2749"/>
      <c r="CF2749"/>
      <c r="CG2749"/>
      <c r="CH2749"/>
      <c r="CI2749"/>
      <c r="CU2749" s="21">
        <v>2744</v>
      </c>
      <c r="CV2749" s="41">
        <v>4</v>
      </c>
      <c r="CW2749" s="41">
        <v>0.11332468572476186</v>
      </c>
      <c r="CX2749" s="41" t="e">
        <v>#N/A</v>
      </c>
      <c r="CY2749" s="41" t="e">
        <v>#N/A</v>
      </c>
      <c r="CZ2749" s="47" t="e">
        <v>#N/A</v>
      </c>
      <c r="DA2749">
        <v>0.11332468572476186</v>
      </c>
      <c r="DB2749" t="str">
        <v/>
      </c>
    </row>
    <row r="2750" spans="83:106" x14ac:dyDescent="0.2">
      <c r="CE2750"/>
      <c r="CF2750"/>
      <c r="CG2750"/>
      <c r="CH2750"/>
      <c r="CI2750"/>
      <c r="CU2750" s="21">
        <v>2745</v>
      </c>
      <c r="CV2750" s="41">
        <v>4</v>
      </c>
      <c r="CW2750" s="41">
        <v>0.11332468572476186</v>
      </c>
      <c r="CX2750" s="41" t="e">
        <v>#N/A</v>
      </c>
      <c r="CY2750" s="41" t="e">
        <v>#N/A</v>
      </c>
      <c r="CZ2750" s="47" t="e">
        <v>#N/A</v>
      </c>
      <c r="DA2750">
        <v>0.11332468572476186</v>
      </c>
      <c r="DB2750" t="str">
        <v/>
      </c>
    </row>
    <row r="2751" spans="83:106" x14ac:dyDescent="0.2">
      <c r="CE2751"/>
      <c r="CF2751"/>
      <c r="CG2751"/>
      <c r="CH2751"/>
      <c r="CI2751"/>
      <c r="CU2751" s="21">
        <v>2746</v>
      </c>
      <c r="CV2751" s="41">
        <v>4</v>
      </c>
      <c r="CW2751" s="41">
        <v>0.11332468572476186</v>
      </c>
      <c r="CX2751" s="41" t="e">
        <v>#N/A</v>
      </c>
      <c r="CY2751" s="41" t="e">
        <v>#N/A</v>
      </c>
      <c r="CZ2751" s="47" t="e">
        <v>#N/A</v>
      </c>
      <c r="DA2751">
        <v>0.11332468572476186</v>
      </c>
      <c r="DB2751" t="str">
        <v/>
      </c>
    </row>
    <row r="2752" spans="83:106" x14ac:dyDescent="0.2">
      <c r="CE2752"/>
      <c r="CF2752"/>
      <c r="CG2752"/>
      <c r="CH2752"/>
      <c r="CI2752"/>
      <c r="CU2752" s="21">
        <v>2747</v>
      </c>
      <c r="CV2752" s="41">
        <v>4</v>
      </c>
      <c r="CW2752" s="41">
        <v>0.11332468572476186</v>
      </c>
      <c r="CX2752" s="41" t="e">
        <v>#N/A</v>
      </c>
      <c r="CY2752" s="41" t="e">
        <v>#N/A</v>
      </c>
      <c r="CZ2752" s="47" t="e">
        <v>#N/A</v>
      </c>
      <c r="DA2752">
        <v>0.11332468572476186</v>
      </c>
      <c r="DB2752" t="str">
        <v/>
      </c>
    </row>
    <row r="2753" spans="83:106" x14ac:dyDescent="0.2">
      <c r="CE2753"/>
      <c r="CF2753"/>
      <c r="CG2753"/>
      <c r="CH2753"/>
      <c r="CI2753"/>
      <c r="CU2753" s="21">
        <v>2748</v>
      </c>
      <c r="CV2753" s="41">
        <v>4</v>
      </c>
      <c r="CW2753" s="41">
        <v>0.11332468572476186</v>
      </c>
      <c r="CX2753" s="41" t="e">
        <v>#N/A</v>
      </c>
      <c r="CY2753" s="41" t="e">
        <v>#N/A</v>
      </c>
      <c r="CZ2753" s="47" t="e">
        <v>#N/A</v>
      </c>
      <c r="DA2753">
        <v>0.11332468572476186</v>
      </c>
      <c r="DB2753" t="str">
        <v/>
      </c>
    </row>
    <row r="2754" spans="83:106" x14ac:dyDescent="0.2">
      <c r="CE2754"/>
      <c r="CF2754"/>
      <c r="CG2754"/>
      <c r="CH2754"/>
      <c r="CI2754"/>
      <c r="CU2754" s="21">
        <v>2749</v>
      </c>
      <c r="CV2754" s="41">
        <v>4</v>
      </c>
      <c r="CW2754" s="41">
        <v>0.11332468572476186</v>
      </c>
      <c r="CX2754" s="41" t="e">
        <v>#N/A</v>
      </c>
      <c r="CY2754" s="41" t="e">
        <v>#N/A</v>
      </c>
      <c r="CZ2754" s="47" t="e">
        <v>#N/A</v>
      </c>
      <c r="DA2754">
        <v>0.11332468572476186</v>
      </c>
      <c r="DB2754" t="str">
        <v/>
      </c>
    </row>
    <row r="2755" spans="83:106" x14ac:dyDescent="0.2">
      <c r="CE2755"/>
      <c r="CF2755"/>
      <c r="CG2755"/>
      <c r="CH2755"/>
      <c r="CI2755"/>
      <c r="CU2755" s="21">
        <v>2750</v>
      </c>
      <c r="CV2755" s="41">
        <v>4</v>
      </c>
      <c r="CW2755" s="41">
        <v>0.11332468572476186</v>
      </c>
      <c r="CX2755" s="41" t="e">
        <v>#N/A</v>
      </c>
      <c r="CY2755" s="41" t="e">
        <v>#N/A</v>
      </c>
      <c r="CZ2755" s="47" t="e">
        <v>#N/A</v>
      </c>
      <c r="DA2755">
        <v>0.11332468572476186</v>
      </c>
      <c r="DB2755" t="str">
        <v/>
      </c>
    </row>
    <row r="2756" spans="83:106" x14ac:dyDescent="0.2">
      <c r="CE2756"/>
      <c r="CF2756"/>
      <c r="CG2756"/>
      <c r="CH2756"/>
      <c r="CI2756"/>
      <c r="CU2756" s="21">
        <v>2751</v>
      </c>
      <c r="CV2756" s="41">
        <v>4</v>
      </c>
      <c r="CW2756" s="41">
        <v>0.11332468572476186</v>
      </c>
      <c r="CX2756" s="41" t="e">
        <v>#N/A</v>
      </c>
      <c r="CY2756" s="41" t="e">
        <v>#N/A</v>
      </c>
      <c r="CZ2756" s="47" t="e">
        <v>#N/A</v>
      </c>
      <c r="DA2756">
        <v>0.11332468572476186</v>
      </c>
      <c r="DB2756" t="str">
        <v/>
      </c>
    </row>
    <row r="2757" spans="83:106" x14ac:dyDescent="0.2">
      <c r="CE2757"/>
      <c r="CF2757"/>
      <c r="CG2757"/>
      <c r="CH2757"/>
      <c r="CI2757"/>
      <c r="CU2757" s="21">
        <v>2752</v>
      </c>
      <c r="CV2757" s="41">
        <v>4</v>
      </c>
      <c r="CW2757" s="41">
        <v>0.11332468572476186</v>
      </c>
      <c r="CX2757" s="41" t="e">
        <v>#N/A</v>
      </c>
      <c r="CY2757" s="41" t="e">
        <v>#N/A</v>
      </c>
      <c r="CZ2757" s="47" t="e">
        <v>#N/A</v>
      </c>
      <c r="DA2757">
        <v>0.11332468572476186</v>
      </c>
      <c r="DB2757" t="str">
        <v/>
      </c>
    </row>
    <row r="2758" spans="83:106" x14ac:dyDescent="0.2">
      <c r="CE2758"/>
      <c r="CF2758"/>
      <c r="CG2758"/>
      <c r="CH2758"/>
      <c r="CI2758"/>
      <c r="CU2758" s="21">
        <v>2753</v>
      </c>
      <c r="CV2758" s="41">
        <v>4</v>
      </c>
      <c r="CW2758" s="41">
        <v>0.11332468572476186</v>
      </c>
      <c r="CX2758" s="41" t="e">
        <v>#N/A</v>
      </c>
      <c r="CY2758" s="41" t="e">
        <v>#N/A</v>
      </c>
      <c r="CZ2758" s="47" t="e">
        <v>#N/A</v>
      </c>
      <c r="DA2758">
        <v>0.11332468572476186</v>
      </c>
      <c r="DB2758" t="str">
        <v/>
      </c>
    </row>
    <row r="2759" spans="83:106" x14ac:dyDescent="0.2">
      <c r="CE2759"/>
      <c r="CF2759"/>
      <c r="CG2759"/>
      <c r="CH2759"/>
      <c r="CI2759"/>
      <c r="CU2759" s="21">
        <v>2754</v>
      </c>
      <c r="CV2759" s="41">
        <v>4</v>
      </c>
      <c r="CW2759" s="41">
        <v>0.11332468572476186</v>
      </c>
      <c r="CX2759" s="41" t="e">
        <v>#N/A</v>
      </c>
      <c r="CY2759" s="41" t="e">
        <v>#N/A</v>
      </c>
      <c r="CZ2759" s="47" t="e">
        <v>#N/A</v>
      </c>
      <c r="DA2759">
        <v>0.11332468572476186</v>
      </c>
      <c r="DB2759" t="str">
        <v/>
      </c>
    </row>
    <row r="2760" spans="83:106" x14ac:dyDescent="0.2">
      <c r="CE2760"/>
      <c r="CF2760"/>
      <c r="CG2760"/>
      <c r="CH2760"/>
      <c r="CI2760"/>
      <c r="CU2760" s="21">
        <v>2755</v>
      </c>
      <c r="CV2760" s="41">
        <v>4</v>
      </c>
      <c r="CW2760" s="41">
        <v>0.11332468572476186</v>
      </c>
      <c r="CX2760" s="41" t="e">
        <v>#N/A</v>
      </c>
      <c r="CY2760" s="41" t="e">
        <v>#N/A</v>
      </c>
      <c r="CZ2760" s="47" t="e">
        <v>#N/A</v>
      </c>
      <c r="DA2760">
        <v>0.11332468572476186</v>
      </c>
      <c r="DB2760" t="str">
        <v/>
      </c>
    </row>
    <row r="2761" spans="83:106" x14ac:dyDescent="0.2">
      <c r="CE2761"/>
      <c r="CF2761"/>
      <c r="CG2761"/>
      <c r="CH2761"/>
      <c r="CI2761"/>
      <c r="CU2761" s="21">
        <v>2756</v>
      </c>
      <c r="CV2761" s="41">
        <v>4</v>
      </c>
      <c r="CW2761" s="41">
        <v>0.11332468572476186</v>
      </c>
      <c r="CX2761" s="41" t="e">
        <v>#N/A</v>
      </c>
      <c r="CY2761" s="41" t="e">
        <v>#N/A</v>
      </c>
      <c r="CZ2761" s="47" t="e">
        <v>#N/A</v>
      </c>
      <c r="DA2761">
        <v>0.11332468572476186</v>
      </c>
      <c r="DB2761" t="str">
        <v/>
      </c>
    </row>
    <row r="2762" spans="83:106" x14ac:dyDescent="0.2">
      <c r="CE2762"/>
      <c r="CF2762"/>
      <c r="CG2762"/>
      <c r="CH2762"/>
      <c r="CI2762"/>
      <c r="CU2762" s="21">
        <v>2757</v>
      </c>
      <c r="CV2762" s="41">
        <v>4</v>
      </c>
      <c r="CW2762" s="41">
        <v>0.11332468572476186</v>
      </c>
      <c r="CX2762" s="41" t="e">
        <v>#N/A</v>
      </c>
      <c r="CY2762" s="41" t="e">
        <v>#N/A</v>
      </c>
      <c r="CZ2762" s="47" t="e">
        <v>#N/A</v>
      </c>
      <c r="DA2762">
        <v>0.11332468572476186</v>
      </c>
      <c r="DB2762" t="str">
        <v/>
      </c>
    </row>
    <row r="2763" spans="83:106" x14ac:dyDescent="0.2">
      <c r="CE2763"/>
      <c r="CF2763"/>
      <c r="CG2763"/>
      <c r="CH2763"/>
      <c r="CI2763"/>
      <c r="CU2763" s="21">
        <v>2758</v>
      </c>
      <c r="CV2763" s="41">
        <v>4</v>
      </c>
      <c r="CW2763" s="41">
        <v>0.11332468572476186</v>
      </c>
      <c r="CX2763" s="41" t="e">
        <v>#N/A</v>
      </c>
      <c r="CY2763" s="41" t="e">
        <v>#N/A</v>
      </c>
      <c r="CZ2763" s="47" t="e">
        <v>#N/A</v>
      </c>
      <c r="DA2763">
        <v>0.11332468572476186</v>
      </c>
      <c r="DB2763" t="str">
        <v/>
      </c>
    </row>
    <row r="2764" spans="83:106" x14ac:dyDescent="0.2">
      <c r="CE2764"/>
      <c r="CF2764"/>
      <c r="CG2764"/>
      <c r="CH2764"/>
      <c r="CI2764"/>
      <c r="CU2764" s="21">
        <v>2759</v>
      </c>
      <c r="CV2764" s="41">
        <v>4</v>
      </c>
      <c r="CW2764" s="41">
        <v>0.11332468572476186</v>
      </c>
      <c r="CX2764" s="41" t="e">
        <v>#N/A</v>
      </c>
      <c r="CY2764" s="41" t="e">
        <v>#N/A</v>
      </c>
      <c r="CZ2764" s="47" t="e">
        <v>#N/A</v>
      </c>
      <c r="DA2764">
        <v>0.11332468572476186</v>
      </c>
      <c r="DB2764" t="str">
        <v/>
      </c>
    </row>
    <row r="2765" spans="83:106" x14ac:dyDescent="0.2">
      <c r="CE2765"/>
      <c r="CF2765"/>
      <c r="CG2765"/>
      <c r="CH2765"/>
      <c r="CI2765"/>
      <c r="CU2765" s="21">
        <v>2760</v>
      </c>
      <c r="CV2765" s="41">
        <v>4</v>
      </c>
      <c r="CW2765" s="41">
        <v>0.11332468572476186</v>
      </c>
      <c r="CX2765" s="41" t="e">
        <v>#N/A</v>
      </c>
      <c r="CY2765" s="41" t="e">
        <v>#N/A</v>
      </c>
      <c r="CZ2765" s="47" t="e">
        <v>#N/A</v>
      </c>
      <c r="DA2765">
        <v>0.11332468572476186</v>
      </c>
      <c r="DB2765" t="str">
        <v/>
      </c>
    </row>
    <row r="2766" spans="83:106" x14ac:dyDescent="0.2">
      <c r="CE2766"/>
      <c r="CF2766"/>
      <c r="CG2766"/>
      <c r="CH2766"/>
      <c r="CI2766"/>
      <c r="CU2766" s="21">
        <v>2761</v>
      </c>
      <c r="CV2766" s="41">
        <v>4</v>
      </c>
      <c r="CW2766" s="41">
        <v>0.11332468572476186</v>
      </c>
      <c r="CX2766" s="41" t="e">
        <v>#N/A</v>
      </c>
      <c r="CY2766" s="41" t="e">
        <v>#N/A</v>
      </c>
      <c r="CZ2766" s="47" t="e">
        <v>#N/A</v>
      </c>
      <c r="DA2766">
        <v>0.11332468572476186</v>
      </c>
      <c r="DB2766" t="str">
        <v/>
      </c>
    </row>
    <row r="2767" spans="83:106" x14ac:dyDescent="0.2">
      <c r="CE2767"/>
      <c r="CF2767"/>
      <c r="CG2767"/>
      <c r="CH2767"/>
      <c r="CI2767"/>
      <c r="CU2767" s="21">
        <v>2762</v>
      </c>
      <c r="CV2767" s="41">
        <v>4</v>
      </c>
      <c r="CW2767" s="41">
        <v>0.11332468572476186</v>
      </c>
      <c r="CX2767" s="41" t="e">
        <v>#N/A</v>
      </c>
      <c r="CY2767" s="41" t="e">
        <v>#N/A</v>
      </c>
      <c r="CZ2767" s="47" t="e">
        <v>#N/A</v>
      </c>
      <c r="DA2767">
        <v>0.11332468572476186</v>
      </c>
      <c r="DB2767" t="str">
        <v/>
      </c>
    </row>
    <row r="2768" spans="83:106" x14ac:dyDescent="0.2">
      <c r="CE2768"/>
      <c r="CF2768"/>
      <c r="CG2768"/>
      <c r="CH2768"/>
      <c r="CI2768"/>
      <c r="CU2768" s="21">
        <v>2763</v>
      </c>
      <c r="CV2768" s="41">
        <v>4</v>
      </c>
      <c r="CW2768" s="41">
        <v>0.11332468572476186</v>
      </c>
      <c r="CX2768" s="41" t="e">
        <v>#N/A</v>
      </c>
      <c r="CY2768" s="41" t="e">
        <v>#N/A</v>
      </c>
      <c r="CZ2768" s="47" t="e">
        <v>#N/A</v>
      </c>
      <c r="DA2768">
        <v>0.11332468572476186</v>
      </c>
      <c r="DB2768" t="str">
        <v/>
      </c>
    </row>
    <row r="2769" spans="83:106" x14ac:dyDescent="0.2">
      <c r="CE2769"/>
      <c r="CF2769"/>
      <c r="CG2769"/>
      <c r="CH2769"/>
      <c r="CI2769"/>
      <c r="CU2769" s="21">
        <v>2764</v>
      </c>
      <c r="CV2769" s="41">
        <v>4</v>
      </c>
      <c r="CW2769" s="41">
        <v>0.11332468572476186</v>
      </c>
      <c r="CX2769" s="41" t="e">
        <v>#N/A</v>
      </c>
      <c r="CY2769" s="41" t="e">
        <v>#N/A</v>
      </c>
      <c r="CZ2769" s="47" t="e">
        <v>#N/A</v>
      </c>
      <c r="DA2769">
        <v>0.11332468572476186</v>
      </c>
      <c r="DB2769" t="str">
        <v/>
      </c>
    </row>
    <row r="2770" spans="83:106" x14ac:dyDescent="0.2">
      <c r="CE2770"/>
      <c r="CF2770"/>
      <c r="CG2770"/>
      <c r="CH2770"/>
      <c r="CI2770"/>
      <c r="CU2770" s="21">
        <v>2765</v>
      </c>
      <c r="CV2770" s="41">
        <v>4</v>
      </c>
      <c r="CW2770" s="41">
        <v>0.11332468572476186</v>
      </c>
      <c r="CX2770" s="41" t="e">
        <v>#N/A</v>
      </c>
      <c r="CY2770" s="41" t="e">
        <v>#N/A</v>
      </c>
      <c r="CZ2770" s="47" t="e">
        <v>#N/A</v>
      </c>
      <c r="DA2770">
        <v>0.11332468572476186</v>
      </c>
      <c r="DB2770" t="str">
        <v/>
      </c>
    </row>
    <row r="2771" spans="83:106" x14ac:dyDescent="0.2">
      <c r="CE2771"/>
      <c r="CF2771"/>
      <c r="CG2771"/>
      <c r="CH2771"/>
      <c r="CI2771"/>
      <c r="CU2771" s="21">
        <v>2766</v>
      </c>
      <c r="CV2771" s="41">
        <v>4</v>
      </c>
      <c r="CW2771" s="41">
        <v>0.11332468572476186</v>
      </c>
      <c r="CX2771" s="41" t="e">
        <v>#N/A</v>
      </c>
      <c r="CY2771" s="41" t="e">
        <v>#N/A</v>
      </c>
      <c r="CZ2771" s="47" t="e">
        <v>#N/A</v>
      </c>
      <c r="DA2771">
        <v>0.11332468572476186</v>
      </c>
      <c r="DB2771" t="str">
        <v/>
      </c>
    </row>
    <row r="2772" spans="83:106" x14ac:dyDescent="0.2">
      <c r="CE2772"/>
      <c r="CF2772"/>
      <c r="CG2772"/>
      <c r="CH2772"/>
      <c r="CI2772"/>
      <c r="CU2772" s="21">
        <v>2767</v>
      </c>
      <c r="CV2772" s="41">
        <v>4</v>
      </c>
      <c r="CW2772" s="41">
        <v>0.11332468572476186</v>
      </c>
      <c r="CX2772" s="41" t="e">
        <v>#N/A</v>
      </c>
      <c r="CY2772" s="41" t="e">
        <v>#N/A</v>
      </c>
      <c r="CZ2772" s="47" t="e">
        <v>#N/A</v>
      </c>
      <c r="DA2772">
        <v>0.11332468572476186</v>
      </c>
      <c r="DB2772" t="str">
        <v/>
      </c>
    </row>
    <row r="2773" spans="83:106" x14ac:dyDescent="0.2">
      <c r="CE2773"/>
      <c r="CF2773"/>
      <c r="CG2773"/>
      <c r="CH2773"/>
      <c r="CI2773"/>
      <c r="CU2773" s="21">
        <v>2768</v>
      </c>
      <c r="CV2773" s="41">
        <v>4</v>
      </c>
      <c r="CW2773" s="41">
        <v>0.11332468572476186</v>
      </c>
      <c r="CX2773" s="41" t="e">
        <v>#N/A</v>
      </c>
      <c r="CY2773" s="41" t="e">
        <v>#N/A</v>
      </c>
      <c r="CZ2773" s="47" t="e">
        <v>#N/A</v>
      </c>
      <c r="DA2773">
        <v>0.11332468572476186</v>
      </c>
      <c r="DB2773" t="str">
        <v/>
      </c>
    </row>
    <row r="2774" spans="83:106" x14ac:dyDescent="0.2">
      <c r="CE2774"/>
      <c r="CF2774"/>
      <c r="CG2774"/>
      <c r="CH2774"/>
      <c r="CI2774"/>
      <c r="CU2774" s="21">
        <v>2769</v>
      </c>
      <c r="CV2774" s="41">
        <v>4</v>
      </c>
      <c r="CW2774" s="41">
        <v>0.11332468572476186</v>
      </c>
      <c r="CX2774" s="41" t="e">
        <v>#N/A</v>
      </c>
      <c r="CY2774" s="41" t="e">
        <v>#N/A</v>
      </c>
      <c r="CZ2774" s="47" t="e">
        <v>#N/A</v>
      </c>
      <c r="DA2774">
        <v>0.11332468572476186</v>
      </c>
      <c r="DB2774" t="str">
        <v/>
      </c>
    </row>
    <row r="2775" spans="83:106" x14ac:dyDescent="0.2">
      <c r="CE2775"/>
      <c r="CF2775"/>
      <c r="CG2775"/>
      <c r="CH2775"/>
      <c r="CI2775"/>
      <c r="CU2775" s="21">
        <v>2770</v>
      </c>
      <c r="CV2775" s="41">
        <v>4</v>
      </c>
      <c r="CW2775" s="41">
        <v>0.11332468572476186</v>
      </c>
      <c r="CX2775" s="41" t="e">
        <v>#N/A</v>
      </c>
      <c r="CY2775" s="41" t="e">
        <v>#N/A</v>
      </c>
      <c r="CZ2775" s="47" t="e">
        <v>#N/A</v>
      </c>
      <c r="DA2775">
        <v>0.11332468572476186</v>
      </c>
      <c r="DB2775" t="str">
        <v/>
      </c>
    </row>
    <row r="2776" spans="83:106" x14ac:dyDescent="0.2">
      <c r="CE2776"/>
      <c r="CF2776"/>
      <c r="CG2776"/>
      <c r="CH2776"/>
      <c r="CI2776"/>
      <c r="CU2776" s="21">
        <v>2771</v>
      </c>
      <c r="CV2776" s="41">
        <v>4</v>
      </c>
      <c r="CW2776" s="41">
        <v>0.11332468572476186</v>
      </c>
      <c r="CX2776" s="41" t="e">
        <v>#N/A</v>
      </c>
      <c r="CY2776" s="41" t="e">
        <v>#N/A</v>
      </c>
      <c r="CZ2776" s="47" t="e">
        <v>#N/A</v>
      </c>
      <c r="DA2776">
        <v>0.11332468572476186</v>
      </c>
      <c r="DB2776" t="str">
        <v/>
      </c>
    </row>
    <row r="2777" spans="83:106" x14ac:dyDescent="0.2">
      <c r="CE2777"/>
      <c r="CF2777"/>
      <c r="CG2777"/>
      <c r="CH2777"/>
      <c r="CI2777"/>
      <c r="CU2777" s="21">
        <v>2772</v>
      </c>
      <c r="CV2777" s="41">
        <v>4</v>
      </c>
      <c r="CW2777" s="41">
        <v>0.11332468572476186</v>
      </c>
      <c r="CX2777" s="41" t="e">
        <v>#N/A</v>
      </c>
      <c r="CY2777" s="41" t="e">
        <v>#N/A</v>
      </c>
      <c r="CZ2777" s="47" t="e">
        <v>#N/A</v>
      </c>
      <c r="DA2777">
        <v>0.11332468572476186</v>
      </c>
      <c r="DB2777" t="str">
        <v/>
      </c>
    </row>
    <row r="2778" spans="83:106" x14ac:dyDescent="0.2">
      <c r="CE2778"/>
      <c r="CF2778"/>
      <c r="CG2778"/>
      <c r="CH2778"/>
      <c r="CI2778"/>
      <c r="CU2778" s="21">
        <v>2773</v>
      </c>
      <c r="CV2778" s="41">
        <v>4</v>
      </c>
      <c r="CW2778" s="41">
        <v>0.11332468572476186</v>
      </c>
      <c r="CX2778" s="41" t="e">
        <v>#N/A</v>
      </c>
      <c r="CY2778" s="41" t="e">
        <v>#N/A</v>
      </c>
      <c r="CZ2778" s="47" t="e">
        <v>#N/A</v>
      </c>
      <c r="DA2778">
        <v>0.11332468572476186</v>
      </c>
      <c r="DB2778" t="str">
        <v/>
      </c>
    </row>
    <row r="2779" spans="83:106" x14ac:dyDescent="0.2">
      <c r="CE2779"/>
      <c r="CF2779"/>
      <c r="CG2779"/>
      <c r="CH2779"/>
      <c r="CI2779"/>
      <c r="CU2779" s="21">
        <v>2774</v>
      </c>
      <c r="CV2779" s="41">
        <v>4</v>
      </c>
      <c r="CW2779" s="41">
        <v>0.11332468572476186</v>
      </c>
      <c r="CX2779" s="41" t="e">
        <v>#N/A</v>
      </c>
      <c r="CY2779" s="41" t="e">
        <v>#N/A</v>
      </c>
      <c r="CZ2779" s="47" t="e">
        <v>#N/A</v>
      </c>
      <c r="DA2779">
        <v>0.11332468572476186</v>
      </c>
      <c r="DB2779" t="str">
        <v/>
      </c>
    </row>
    <row r="2780" spans="83:106" x14ac:dyDescent="0.2">
      <c r="CE2780"/>
      <c r="CF2780"/>
      <c r="CG2780"/>
      <c r="CH2780"/>
      <c r="CI2780"/>
      <c r="CU2780" s="21">
        <v>2775</v>
      </c>
      <c r="CV2780" s="41">
        <v>4</v>
      </c>
      <c r="CW2780" s="41">
        <v>0.11332468572476186</v>
      </c>
      <c r="CX2780" s="41" t="e">
        <v>#N/A</v>
      </c>
      <c r="CY2780" s="41" t="e">
        <v>#N/A</v>
      </c>
      <c r="CZ2780" s="47" t="e">
        <v>#N/A</v>
      </c>
      <c r="DA2780">
        <v>0.11332468572476186</v>
      </c>
      <c r="DB2780" t="str">
        <v/>
      </c>
    </row>
    <row r="2781" spans="83:106" x14ac:dyDescent="0.2">
      <c r="CE2781"/>
      <c r="CF2781"/>
      <c r="CG2781"/>
      <c r="CH2781"/>
      <c r="CI2781"/>
      <c r="CU2781" s="21">
        <v>2776</v>
      </c>
      <c r="CV2781" s="41">
        <v>4</v>
      </c>
      <c r="CW2781" s="41">
        <v>0.11332468572476186</v>
      </c>
      <c r="CX2781" s="41" t="e">
        <v>#N/A</v>
      </c>
      <c r="CY2781" s="41" t="e">
        <v>#N/A</v>
      </c>
      <c r="CZ2781" s="47" t="e">
        <v>#N/A</v>
      </c>
      <c r="DA2781">
        <v>0.11332468572476186</v>
      </c>
      <c r="DB2781" t="str">
        <v/>
      </c>
    </row>
    <row r="2782" spans="83:106" x14ac:dyDescent="0.2">
      <c r="CE2782"/>
      <c r="CF2782"/>
      <c r="CG2782"/>
      <c r="CH2782"/>
      <c r="CI2782"/>
      <c r="CU2782" s="21">
        <v>2777</v>
      </c>
      <c r="CV2782" s="41">
        <v>4</v>
      </c>
      <c r="CW2782" s="41">
        <v>0.11332468572476186</v>
      </c>
      <c r="CX2782" s="41" t="e">
        <v>#N/A</v>
      </c>
      <c r="CY2782" s="41" t="e">
        <v>#N/A</v>
      </c>
      <c r="CZ2782" s="47" t="e">
        <v>#N/A</v>
      </c>
      <c r="DA2782">
        <v>0.11332468572476186</v>
      </c>
      <c r="DB2782" t="str">
        <v/>
      </c>
    </row>
    <row r="2783" spans="83:106" x14ac:dyDescent="0.2">
      <c r="CE2783"/>
      <c r="CF2783"/>
      <c r="CG2783"/>
      <c r="CH2783"/>
      <c r="CI2783"/>
      <c r="CU2783" s="21">
        <v>2778</v>
      </c>
      <c r="CV2783" s="41">
        <v>4</v>
      </c>
      <c r="CW2783" s="41">
        <v>0.11332468572476186</v>
      </c>
      <c r="CX2783" s="41" t="e">
        <v>#N/A</v>
      </c>
      <c r="CY2783" s="41" t="e">
        <v>#N/A</v>
      </c>
      <c r="CZ2783" s="47" t="e">
        <v>#N/A</v>
      </c>
      <c r="DA2783">
        <v>0.11332468572476186</v>
      </c>
      <c r="DB2783" t="str">
        <v/>
      </c>
    </row>
    <row r="2784" spans="83:106" x14ac:dyDescent="0.2">
      <c r="CE2784"/>
      <c r="CF2784"/>
      <c r="CG2784"/>
      <c r="CH2784"/>
      <c r="CI2784"/>
      <c r="CU2784" s="21">
        <v>2779</v>
      </c>
      <c r="CV2784" s="41">
        <v>4</v>
      </c>
      <c r="CW2784" s="41">
        <v>0.11332468572476186</v>
      </c>
      <c r="CX2784" s="41" t="e">
        <v>#N/A</v>
      </c>
      <c r="CY2784" s="41" t="e">
        <v>#N/A</v>
      </c>
      <c r="CZ2784" s="47" t="e">
        <v>#N/A</v>
      </c>
      <c r="DA2784">
        <v>0.11332468572476186</v>
      </c>
      <c r="DB2784" t="str">
        <v/>
      </c>
    </row>
    <row r="2785" spans="83:106" x14ac:dyDescent="0.2">
      <c r="CE2785"/>
      <c r="CF2785"/>
      <c r="CG2785"/>
      <c r="CH2785"/>
      <c r="CI2785"/>
      <c r="CU2785" s="21">
        <v>2780</v>
      </c>
      <c r="CV2785" s="41">
        <v>4</v>
      </c>
      <c r="CW2785" s="41">
        <v>0.11332468572476186</v>
      </c>
      <c r="CX2785" s="41" t="e">
        <v>#N/A</v>
      </c>
      <c r="CY2785" s="41" t="e">
        <v>#N/A</v>
      </c>
      <c r="CZ2785" s="47" t="e">
        <v>#N/A</v>
      </c>
      <c r="DA2785">
        <v>0.11332468572476186</v>
      </c>
      <c r="DB2785" t="str">
        <v/>
      </c>
    </row>
    <row r="2786" spans="83:106" x14ac:dyDescent="0.2">
      <c r="CE2786"/>
      <c r="CF2786"/>
      <c r="CG2786"/>
      <c r="CH2786"/>
      <c r="CI2786"/>
      <c r="CU2786" s="21">
        <v>2781</v>
      </c>
      <c r="CV2786" s="41">
        <v>4</v>
      </c>
      <c r="CW2786" s="41">
        <v>0.11332468572476186</v>
      </c>
      <c r="CX2786" s="41" t="e">
        <v>#N/A</v>
      </c>
      <c r="CY2786" s="41" t="e">
        <v>#N/A</v>
      </c>
      <c r="CZ2786" s="47" t="e">
        <v>#N/A</v>
      </c>
      <c r="DA2786">
        <v>0.11332468572476186</v>
      </c>
      <c r="DB2786" t="str">
        <v/>
      </c>
    </row>
    <row r="2787" spans="83:106" x14ac:dyDescent="0.2">
      <c r="CE2787"/>
      <c r="CF2787"/>
      <c r="CG2787"/>
      <c r="CH2787"/>
      <c r="CI2787"/>
      <c r="CU2787" s="21">
        <v>2782</v>
      </c>
      <c r="CV2787" s="41">
        <v>4</v>
      </c>
      <c r="CW2787" s="41">
        <v>0.11332468572476186</v>
      </c>
      <c r="CX2787" s="41" t="e">
        <v>#N/A</v>
      </c>
      <c r="CY2787" s="41" t="e">
        <v>#N/A</v>
      </c>
      <c r="CZ2787" s="47" t="e">
        <v>#N/A</v>
      </c>
      <c r="DA2787">
        <v>0.11332468572476186</v>
      </c>
      <c r="DB2787" t="str">
        <v/>
      </c>
    </row>
    <row r="2788" spans="83:106" x14ac:dyDescent="0.2">
      <c r="CE2788"/>
      <c r="CF2788"/>
      <c r="CG2788"/>
      <c r="CH2788"/>
      <c r="CI2788"/>
      <c r="CU2788" s="21">
        <v>2783</v>
      </c>
      <c r="CV2788" s="41">
        <v>4</v>
      </c>
      <c r="CW2788" s="41">
        <v>0.11332468572476186</v>
      </c>
      <c r="CX2788" s="41" t="e">
        <v>#N/A</v>
      </c>
      <c r="CY2788" s="41" t="e">
        <v>#N/A</v>
      </c>
      <c r="CZ2788" s="47" t="e">
        <v>#N/A</v>
      </c>
      <c r="DA2788">
        <v>0.11332468572476186</v>
      </c>
      <c r="DB2788" t="str">
        <v/>
      </c>
    </row>
    <row r="2789" spans="83:106" x14ac:dyDescent="0.2">
      <c r="CE2789"/>
      <c r="CF2789"/>
      <c r="CG2789"/>
      <c r="CH2789"/>
      <c r="CI2789"/>
      <c r="CU2789" s="21">
        <v>2784</v>
      </c>
      <c r="CV2789" s="41">
        <v>4</v>
      </c>
      <c r="CW2789" s="41">
        <v>0.11332468572476186</v>
      </c>
      <c r="CX2789" s="41" t="e">
        <v>#N/A</v>
      </c>
      <c r="CY2789" s="41" t="e">
        <v>#N/A</v>
      </c>
      <c r="CZ2789" s="47" t="e">
        <v>#N/A</v>
      </c>
      <c r="DA2789">
        <v>0.11332468572476186</v>
      </c>
      <c r="DB2789" t="str">
        <v/>
      </c>
    </row>
    <row r="2790" spans="83:106" x14ac:dyDescent="0.2">
      <c r="CE2790"/>
      <c r="CF2790"/>
      <c r="CG2790"/>
      <c r="CH2790"/>
      <c r="CI2790"/>
      <c r="CU2790" s="21">
        <v>2785</v>
      </c>
      <c r="CV2790" s="41">
        <v>4</v>
      </c>
      <c r="CW2790" s="41">
        <v>0.11332468572476186</v>
      </c>
      <c r="CX2790" s="41" t="e">
        <v>#N/A</v>
      </c>
      <c r="CY2790" s="41" t="e">
        <v>#N/A</v>
      </c>
      <c r="CZ2790" s="47" t="e">
        <v>#N/A</v>
      </c>
      <c r="DA2790">
        <v>0.11332468572476186</v>
      </c>
      <c r="DB2790" t="str">
        <v/>
      </c>
    </row>
    <row r="2791" spans="83:106" x14ac:dyDescent="0.2">
      <c r="CE2791"/>
      <c r="CF2791"/>
      <c r="CG2791"/>
      <c r="CH2791"/>
      <c r="CI2791"/>
      <c r="CU2791" s="21">
        <v>2786</v>
      </c>
      <c r="CV2791" s="41">
        <v>4</v>
      </c>
      <c r="CW2791" s="41">
        <v>0.11332468572476186</v>
      </c>
      <c r="CX2791" s="41" t="e">
        <v>#N/A</v>
      </c>
      <c r="CY2791" s="41" t="e">
        <v>#N/A</v>
      </c>
      <c r="CZ2791" s="47" t="e">
        <v>#N/A</v>
      </c>
      <c r="DA2791">
        <v>0.11332468572476186</v>
      </c>
      <c r="DB2791" t="str">
        <v/>
      </c>
    </row>
    <row r="2792" spans="83:106" x14ac:dyDescent="0.2">
      <c r="CE2792"/>
      <c r="CF2792"/>
      <c r="CG2792"/>
      <c r="CH2792"/>
      <c r="CI2792"/>
      <c r="CU2792" s="21">
        <v>2787</v>
      </c>
      <c r="CV2792" s="41">
        <v>4</v>
      </c>
      <c r="CW2792" s="41">
        <v>0.11332468572476186</v>
      </c>
      <c r="CX2792" s="41" t="e">
        <v>#N/A</v>
      </c>
      <c r="CY2792" s="41" t="e">
        <v>#N/A</v>
      </c>
      <c r="CZ2792" s="47" t="e">
        <v>#N/A</v>
      </c>
      <c r="DA2792">
        <v>0.11332468572476186</v>
      </c>
      <c r="DB2792" t="str">
        <v/>
      </c>
    </row>
    <row r="2793" spans="83:106" x14ac:dyDescent="0.2">
      <c r="CE2793"/>
      <c r="CF2793"/>
      <c r="CG2793"/>
      <c r="CH2793"/>
      <c r="CI2793"/>
      <c r="CU2793" s="21">
        <v>2788</v>
      </c>
      <c r="CV2793" s="41">
        <v>4</v>
      </c>
      <c r="CW2793" s="41">
        <v>0.11332468572476186</v>
      </c>
      <c r="CX2793" s="41" t="e">
        <v>#N/A</v>
      </c>
      <c r="CY2793" s="41" t="e">
        <v>#N/A</v>
      </c>
      <c r="CZ2793" s="47" t="e">
        <v>#N/A</v>
      </c>
      <c r="DA2793">
        <v>0.11332468572476186</v>
      </c>
      <c r="DB2793" t="str">
        <v/>
      </c>
    </row>
    <row r="2794" spans="83:106" x14ac:dyDescent="0.2">
      <c r="CE2794"/>
      <c r="CF2794"/>
      <c r="CG2794"/>
      <c r="CH2794"/>
      <c r="CI2794"/>
      <c r="CU2794" s="21">
        <v>2789</v>
      </c>
      <c r="CV2794" s="41">
        <v>4</v>
      </c>
      <c r="CW2794" s="41">
        <v>0.11332468572476186</v>
      </c>
      <c r="CX2794" s="41" t="e">
        <v>#N/A</v>
      </c>
      <c r="CY2794" s="41" t="e">
        <v>#N/A</v>
      </c>
      <c r="CZ2794" s="47" t="e">
        <v>#N/A</v>
      </c>
      <c r="DA2794">
        <v>0.11332468572476186</v>
      </c>
      <c r="DB2794" t="str">
        <v/>
      </c>
    </row>
    <row r="2795" spans="83:106" x14ac:dyDescent="0.2">
      <c r="CE2795"/>
      <c r="CF2795"/>
      <c r="CG2795"/>
      <c r="CH2795"/>
      <c r="CI2795"/>
      <c r="CU2795" s="21">
        <v>2790</v>
      </c>
      <c r="CV2795" s="41">
        <v>4</v>
      </c>
      <c r="CW2795" s="41">
        <v>0.11332468572476186</v>
      </c>
      <c r="CX2795" s="41" t="e">
        <v>#N/A</v>
      </c>
      <c r="CY2795" s="41" t="e">
        <v>#N/A</v>
      </c>
      <c r="CZ2795" s="47" t="e">
        <v>#N/A</v>
      </c>
      <c r="DA2795">
        <v>0.11332468572476186</v>
      </c>
      <c r="DB2795" t="str">
        <v/>
      </c>
    </row>
    <row r="2796" spans="83:106" x14ac:dyDescent="0.2">
      <c r="CE2796"/>
      <c r="CF2796"/>
      <c r="CG2796"/>
      <c r="CH2796"/>
      <c r="CI2796"/>
      <c r="CU2796" s="21">
        <v>2791</v>
      </c>
      <c r="CV2796" s="41">
        <v>4</v>
      </c>
      <c r="CW2796" s="41">
        <v>0.11332468572476186</v>
      </c>
      <c r="CX2796" s="41" t="e">
        <v>#N/A</v>
      </c>
      <c r="CY2796" s="41" t="e">
        <v>#N/A</v>
      </c>
      <c r="CZ2796" s="47" t="e">
        <v>#N/A</v>
      </c>
      <c r="DA2796">
        <v>0.11332468572476186</v>
      </c>
      <c r="DB2796" t="str">
        <v/>
      </c>
    </row>
    <row r="2797" spans="83:106" x14ac:dyDescent="0.2">
      <c r="CE2797"/>
      <c r="CF2797"/>
      <c r="CG2797"/>
      <c r="CH2797"/>
      <c r="CI2797"/>
      <c r="CU2797" s="21">
        <v>2792</v>
      </c>
      <c r="CV2797" s="41">
        <v>4</v>
      </c>
      <c r="CW2797" s="41">
        <v>0.11332468572476186</v>
      </c>
      <c r="CX2797" s="41" t="e">
        <v>#N/A</v>
      </c>
      <c r="CY2797" s="41" t="e">
        <v>#N/A</v>
      </c>
      <c r="CZ2797" s="47" t="e">
        <v>#N/A</v>
      </c>
      <c r="DA2797">
        <v>0.11332468572476186</v>
      </c>
      <c r="DB2797" t="str">
        <v/>
      </c>
    </row>
    <row r="2798" spans="83:106" x14ac:dyDescent="0.2">
      <c r="CE2798"/>
      <c r="CF2798"/>
      <c r="CG2798"/>
      <c r="CH2798"/>
      <c r="CI2798"/>
      <c r="CU2798" s="21">
        <v>2793</v>
      </c>
      <c r="CV2798" s="41">
        <v>4</v>
      </c>
      <c r="CW2798" s="41">
        <v>0.11332468572476186</v>
      </c>
      <c r="CX2798" s="41" t="e">
        <v>#N/A</v>
      </c>
      <c r="CY2798" s="41" t="e">
        <v>#N/A</v>
      </c>
      <c r="CZ2798" s="47" t="e">
        <v>#N/A</v>
      </c>
      <c r="DA2798">
        <v>0.11332468572476186</v>
      </c>
      <c r="DB2798" t="str">
        <v/>
      </c>
    </row>
    <row r="2799" spans="83:106" x14ac:dyDescent="0.2">
      <c r="CE2799"/>
      <c r="CF2799"/>
      <c r="CG2799"/>
      <c r="CH2799"/>
      <c r="CI2799"/>
      <c r="CU2799" s="21">
        <v>2794</v>
      </c>
      <c r="CV2799" s="41">
        <v>4</v>
      </c>
      <c r="CW2799" s="41">
        <v>0.11332468572476186</v>
      </c>
      <c r="CX2799" s="41" t="e">
        <v>#N/A</v>
      </c>
      <c r="CY2799" s="41" t="e">
        <v>#N/A</v>
      </c>
      <c r="CZ2799" s="47" t="e">
        <v>#N/A</v>
      </c>
      <c r="DA2799">
        <v>0.11332468572476186</v>
      </c>
      <c r="DB2799" t="str">
        <v/>
      </c>
    </row>
    <row r="2800" spans="83:106" x14ac:dyDescent="0.2">
      <c r="CE2800"/>
      <c r="CF2800"/>
      <c r="CG2800"/>
      <c r="CH2800"/>
      <c r="CI2800"/>
      <c r="CU2800" s="21">
        <v>2795</v>
      </c>
      <c r="CV2800" s="41">
        <v>4</v>
      </c>
      <c r="CW2800" s="41">
        <v>0.11332468572476186</v>
      </c>
      <c r="CX2800" s="41" t="e">
        <v>#N/A</v>
      </c>
      <c r="CY2800" s="41" t="e">
        <v>#N/A</v>
      </c>
      <c r="CZ2800" s="47" t="e">
        <v>#N/A</v>
      </c>
      <c r="DA2800">
        <v>0.11332468572476186</v>
      </c>
      <c r="DB2800" t="str">
        <v/>
      </c>
    </row>
    <row r="2801" spans="83:106" x14ac:dyDescent="0.2">
      <c r="CE2801"/>
      <c r="CF2801"/>
      <c r="CG2801"/>
      <c r="CH2801"/>
      <c r="CI2801"/>
      <c r="CU2801" s="21">
        <v>2796</v>
      </c>
      <c r="CV2801" s="41">
        <v>4</v>
      </c>
      <c r="CW2801" s="41">
        <v>0.11332468572476186</v>
      </c>
      <c r="CX2801" s="41" t="e">
        <v>#N/A</v>
      </c>
      <c r="CY2801" s="41" t="e">
        <v>#N/A</v>
      </c>
      <c r="CZ2801" s="47" t="e">
        <v>#N/A</v>
      </c>
      <c r="DA2801">
        <v>0.11332468572476186</v>
      </c>
      <c r="DB2801" t="str">
        <v/>
      </c>
    </row>
    <row r="2802" spans="83:106" x14ac:dyDescent="0.2">
      <c r="CE2802"/>
      <c r="CF2802"/>
      <c r="CG2802"/>
      <c r="CH2802"/>
      <c r="CI2802"/>
      <c r="CU2802" s="21">
        <v>2797</v>
      </c>
      <c r="CV2802" s="41">
        <v>4</v>
      </c>
      <c r="CW2802" s="41">
        <v>0.11332468572476186</v>
      </c>
      <c r="CX2802" s="41" t="e">
        <v>#N/A</v>
      </c>
      <c r="CY2802" s="41" t="e">
        <v>#N/A</v>
      </c>
      <c r="CZ2802" s="47" t="e">
        <v>#N/A</v>
      </c>
      <c r="DA2802">
        <v>0.11332468572476186</v>
      </c>
      <c r="DB2802" t="str">
        <v/>
      </c>
    </row>
    <row r="2803" spans="83:106" x14ac:dyDescent="0.2">
      <c r="CE2803"/>
      <c r="CF2803"/>
      <c r="CG2803"/>
      <c r="CH2803"/>
      <c r="CI2803"/>
      <c r="CU2803" s="21">
        <v>2798</v>
      </c>
      <c r="CV2803" s="41">
        <v>4</v>
      </c>
      <c r="CW2803" s="41">
        <v>0.11332468572476186</v>
      </c>
      <c r="CX2803" s="41" t="e">
        <v>#N/A</v>
      </c>
      <c r="CY2803" s="41" t="e">
        <v>#N/A</v>
      </c>
      <c r="CZ2803" s="47" t="e">
        <v>#N/A</v>
      </c>
      <c r="DA2803">
        <v>0.11332468572476186</v>
      </c>
      <c r="DB2803" t="str">
        <v/>
      </c>
    </row>
    <row r="2804" spans="83:106" x14ac:dyDescent="0.2">
      <c r="CE2804"/>
      <c r="CF2804"/>
      <c r="CG2804"/>
      <c r="CH2804"/>
      <c r="CI2804"/>
      <c r="CU2804" s="21">
        <v>2799</v>
      </c>
      <c r="CV2804" s="41">
        <v>4</v>
      </c>
      <c r="CW2804" s="41">
        <v>0.11332468572476186</v>
      </c>
      <c r="CX2804" s="41" t="e">
        <v>#N/A</v>
      </c>
      <c r="CY2804" s="41" t="e">
        <v>#N/A</v>
      </c>
      <c r="CZ2804" s="47" t="e">
        <v>#N/A</v>
      </c>
      <c r="DA2804">
        <v>0.11332468572476186</v>
      </c>
      <c r="DB2804" t="str">
        <v/>
      </c>
    </row>
    <row r="2805" spans="83:106" x14ac:dyDescent="0.2">
      <c r="CE2805"/>
      <c r="CF2805"/>
      <c r="CG2805"/>
      <c r="CH2805"/>
      <c r="CI2805"/>
      <c r="CU2805" s="21">
        <v>2800</v>
      </c>
      <c r="CV2805" s="41">
        <v>4</v>
      </c>
      <c r="CW2805" s="41">
        <v>0.11332468572476186</v>
      </c>
      <c r="CX2805" s="41" t="e">
        <v>#N/A</v>
      </c>
      <c r="CY2805" s="41" t="e">
        <v>#N/A</v>
      </c>
      <c r="CZ2805" s="47" t="e">
        <v>#N/A</v>
      </c>
      <c r="DA2805">
        <v>0.11332468572476186</v>
      </c>
      <c r="DB2805" t="str">
        <v/>
      </c>
    </row>
    <row r="2806" spans="83:106" x14ac:dyDescent="0.2">
      <c r="CE2806"/>
      <c r="CF2806"/>
      <c r="CG2806"/>
      <c r="CH2806"/>
      <c r="CI2806"/>
      <c r="CU2806" s="21">
        <v>2801</v>
      </c>
      <c r="CV2806" s="41">
        <v>4</v>
      </c>
      <c r="CW2806" s="41">
        <v>0.11332468572476186</v>
      </c>
      <c r="CX2806" s="41" t="e">
        <v>#N/A</v>
      </c>
      <c r="CY2806" s="41" t="e">
        <v>#N/A</v>
      </c>
      <c r="CZ2806" s="47" t="e">
        <v>#N/A</v>
      </c>
      <c r="DA2806">
        <v>0.11332468572476186</v>
      </c>
      <c r="DB2806" t="str">
        <v/>
      </c>
    </row>
    <row r="2807" spans="83:106" x14ac:dyDescent="0.2">
      <c r="CE2807"/>
      <c r="CF2807"/>
      <c r="CG2807"/>
      <c r="CH2807"/>
      <c r="CI2807"/>
      <c r="CU2807" s="21">
        <v>2802</v>
      </c>
      <c r="CV2807" s="41">
        <v>4</v>
      </c>
      <c r="CW2807" s="41">
        <v>0.11332468572476186</v>
      </c>
      <c r="CX2807" s="41" t="e">
        <v>#N/A</v>
      </c>
      <c r="CY2807" s="41" t="e">
        <v>#N/A</v>
      </c>
      <c r="CZ2807" s="47" t="e">
        <v>#N/A</v>
      </c>
      <c r="DA2807">
        <v>0.11332468572476186</v>
      </c>
      <c r="DB2807" t="str">
        <v/>
      </c>
    </row>
    <row r="2808" spans="83:106" x14ac:dyDescent="0.2">
      <c r="CE2808"/>
      <c r="CF2808"/>
      <c r="CG2808"/>
      <c r="CH2808"/>
      <c r="CI2808"/>
      <c r="CU2808" s="21">
        <v>2803</v>
      </c>
      <c r="CV2808" s="41">
        <v>4</v>
      </c>
      <c r="CW2808" s="41">
        <v>0.11332468572476186</v>
      </c>
      <c r="CX2808" s="41" t="e">
        <v>#N/A</v>
      </c>
      <c r="CY2808" s="41" t="e">
        <v>#N/A</v>
      </c>
      <c r="CZ2808" s="47" t="e">
        <v>#N/A</v>
      </c>
      <c r="DA2808">
        <v>0.11332468572476186</v>
      </c>
      <c r="DB2808" t="str">
        <v/>
      </c>
    </row>
    <row r="2809" spans="83:106" x14ac:dyDescent="0.2">
      <c r="CE2809"/>
      <c r="CF2809"/>
      <c r="CG2809"/>
      <c r="CH2809"/>
      <c r="CI2809"/>
      <c r="CU2809" s="21">
        <v>2804</v>
      </c>
      <c r="CV2809" s="41">
        <v>4</v>
      </c>
      <c r="CW2809" s="41">
        <v>0.11332468572476186</v>
      </c>
      <c r="CX2809" s="41" t="e">
        <v>#N/A</v>
      </c>
      <c r="CY2809" s="41" t="e">
        <v>#N/A</v>
      </c>
      <c r="CZ2809" s="47" t="e">
        <v>#N/A</v>
      </c>
      <c r="DA2809">
        <v>0.11332468572476186</v>
      </c>
      <c r="DB2809" t="str">
        <v/>
      </c>
    </row>
    <row r="2810" spans="83:106" x14ac:dyDescent="0.2">
      <c r="CE2810"/>
      <c r="CF2810"/>
      <c r="CG2810"/>
      <c r="CH2810"/>
      <c r="CI2810"/>
      <c r="CU2810" s="21">
        <v>2805</v>
      </c>
      <c r="CV2810" s="41">
        <v>4</v>
      </c>
      <c r="CW2810" s="41">
        <v>0.11332468572476186</v>
      </c>
      <c r="CX2810" s="41" t="e">
        <v>#N/A</v>
      </c>
      <c r="CY2810" s="41" t="e">
        <v>#N/A</v>
      </c>
      <c r="CZ2810" s="47" t="e">
        <v>#N/A</v>
      </c>
      <c r="DA2810">
        <v>0.11332468572476186</v>
      </c>
      <c r="DB2810" t="str">
        <v/>
      </c>
    </row>
    <row r="2811" spans="83:106" x14ac:dyDescent="0.2">
      <c r="CE2811"/>
      <c r="CF2811"/>
      <c r="CG2811"/>
      <c r="CH2811"/>
      <c r="CI2811"/>
      <c r="CU2811" s="21">
        <v>2806</v>
      </c>
      <c r="CV2811" s="41">
        <v>4</v>
      </c>
      <c r="CW2811" s="41">
        <v>0.11332468572476186</v>
      </c>
      <c r="CX2811" s="41" t="e">
        <v>#N/A</v>
      </c>
      <c r="CY2811" s="41" t="e">
        <v>#N/A</v>
      </c>
      <c r="CZ2811" s="47" t="e">
        <v>#N/A</v>
      </c>
      <c r="DA2811">
        <v>0.11332468572476186</v>
      </c>
      <c r="DB2811" t="str">
        <v/>
      </c>
    </row>
    <row r="2812" spans="83:106" x14ac:dyDescent="0.2">
      <c r="CE2812"/>
      <c r="CF2812"/>
      <c r="CG2812"/>
      <c r="CH2812"/>
      <c r="CI2812"/>
      <c r="CU2812" s="21">
        <v>2807</v>
      </c>
      <c r="CV2812" s="41">
        <v>4</v>
      </c>
      <c r="CW2812" s="41">
        <v>0.11332468572476186</v>
      </c>
      <c r="CX2812" s="41" t="e">
        <v>#N/A</v>
      </c>
      <c r="CY2812" s="41" t="e">
        <v>#N/A</v>
      </c>
      <c r="CZ2812" s="47" t="e">
        <v>#N/A</v>
      </c>
      <c r="DA2812">
        <v>0.11332468572476186</v>
      </c>
      <c r="DB2812" t="str">
        <v/>
      </c>
    </row>
    <row r="2813" spans="83:106" x14ac:dyDescent="0.2">
      <c r="CE2813"/>
      <c r="CF2813"/>
      <c r="CG2813"/>
      <c r="CH2813"/>
      <c r="CI2813"/>
      <c r="CU2813" s="21">
        <v>2808</v>
      </c>
      <c r="CV2813" s="41">
        <v>4</v>
      </c>
      <c r="CW2813" s="41">
        <v>0.11332468572476186</v>
      </c>
      <c r="CX2813" s="41" t="e">
        <v>#N/A</v>
      </c>
      <c r="CY2813" s="41" t="e">
        <v>#N/A</v>
      </c>
      <c r="CZ2813" s="47" t="e">
        <v>#N/A</v>
      </c>
      <c r="DA2813">
        <v>0.11332468572476186</v>
      </c>
      <c r="DB2813" t="str">
        <v/>
      </c>
    </row>
    <row r="2814" spans="83:106" x14ac:dyDescent="0.2">
      <c r="CE2814"/>
      <c r="CF2814"/>
      <c r="CG2814"/>
      <c r="CH2814"/>
      <c r="CI2814"/>
      <c r="CU2814" s="21">
        <v>2809</v>
      </c>
      <c r="CV2814" s="41">
        <v>4</v>
      </c>
      <c r="CW2814" s="41">
        <v>0.11332468572476186</v>
      </c>
      <c r="CX2814" s="41" t="e">
        <v>#N/A</v>
      </c>
      <c r="CY2814" s="41" t="e">
        <v>#N/A</v>
      </c>
      <c r="CZ2814" s="47" t="e">
        <v>#N/A</v>
      </c>
      <c r="DA2814">
        <v>0.11332468572476186</v>
      </c>
      <c r="DB2814" t="str">
        <v/>
      </c>
    </row>
    <row r="2815" spans="83:106" x14ac:dyDescent="0.2">
      <c r="CE2815"/>
      <c r="CF2815"/>
      <c r="CG2815"/>
      <c r="CH2815"/>
      <c r="CI2815"/>
      <c r="CU2815" s="21">
        <v>2810</v>
      </c>
      <c r="CV2815" s="41">
        <v>4</v>
      </c>
      <c r="CW2815" s="41">
        <v>0.11332468572476186</v>
      </c>
      <c r="CX2815" s="41" t="e">
        <v>#N/A</v>
      </c>
      <c r="CY2815" s="41" t="e">
        <v>#N/A</v>
      </c>
      <c r="CZ2815" s="47" t="e">
        <v>#N/A</v>
      </c>
      <c r="DA2815">
        <v>0.11332468572476186</v>
      </c>
      <c r="DB2815" t="str">
        <v/>
      </c>
    </row>
    <row r="2816" spans="83:106" x14ac:dyDescent="0.2">
      <c r="CE2816"/>
      <c r="CF2816"/>
      <c r="CG2816"/>
      <c r="CH2816"/>
      <c r="CI2816"/>
      <c r="CU2816" s="21">
        <v>2811</v>
      </c>
      <c r="CV2816" s="41">
        <v>4</v>
      </c>
      <c r="CW2816" s="41">
        <v>0.11332468572476186</v>
      </c>
      <c r="CX2816" s="41" t="e">
        <v>#N/A</v>
      </c>
      <c r="CY2816" s="41" t="e">
        <v>#N/A</v>
      </c>
      <c r="CZ2816" s="47" t="e">
        <v>#N/A</v>
      </c>
      <c r="DA2816">
        <v>0.11332468572476186</v>
      </c>
      <c r="DB2816" t="str">
        <v/>
      </c>
    </row>
    <row r="2817" spans="83:106" x14ac:dyDescent="0.2">
      <c r="CE2817"/>
      <c r="CF2817"/>
      <c r="CG2817"/>
      <c r="CH2817"/>
      <c r="CI2817"/>
      <c r="CU2817" s="21">
        <v>2812</v>
      </c>
      <c r="CV2817" s="41">
        <v>4</v>
      </c>
      <c r="CW2817" s="41">
        <v>0.11332468572476186</v>
      </c>
      <c r="CX2817" s="41" t="e">
        <v>#N/A</v>
      </c>
      <c r="CY2817" s="41" t="e">
        <v>#N/A</v>
      </c>
      <c r="CZ2817" s="47" t="e">
        <v>#N/A</v>
      </c>
      <c r="DA2817">
        <v>0.11332468572476186</v>
      </c>
      <c r="DB2817" t="str">
        <v/>
      </c>
    </row>
    <row r="2818" spans="83:106" x14ac:dyDescent="0.2">
      <c r="CE2818"/>
      <c r="CF2818"/>
      <c r="CG2818"/>
      <c r="CH2818"/>
      <c r="CI2818"/>
      <c r="CU2818" s="21">
        <v>2813</v>
      </c>
      <c r="CV2818" s="41">
        <v>4</v>
      </c>
      <c r="CW2818" s="41">
        <v>0.11332468572476186</v>
      </c>
      <c r="CX2818" s="41" t="e">
        <v>#N/A</v>
      </c>
      <c r="CY2818" s="41" t="e">
        <v>#N/A</v>
      </c>
      <c r="CZ2818" s="47" t="e">
        <v>#N/A</v>
      </c>
      <c r="DA2818">
        <v>0.11332468572476186</v>
      </c>
      <c r="DB2818" t="str">
        <v/>
      </c>
    </row>
    <row r="2819" spans="83:106" x14ac:dyDescent="0.2">
      <c r="CE2819"/>
      <c r="CF2819"/>
      <c r="CG2819"/>
      <c r="CH2819"/>
      <c r="CI2819"/>
      <c r="CU2819" s="21">
        <v>2814</v>
      </c>
      <c r="CV2819" s="41">
        <v>4</v>
      </c>
      <c r="CW2819" s="41">
        <v>0.11332468572476186</v>
      </c>
      <c r="CX2819" s="41" t="e">
        <v>#N/A</v>
      </c>
      <c r="CY2819" s="41" t="e">
        <v>#N/A</v>
      </c>
      <c r="CZ2819" s="47" t="e">
        <v>#N/A</v>
      </c>
      <c r="DA2819">
        <v>0.11332468572476186</v>
      </c>
      <c r="DB2819" t="str">
        <v/>
      </c>
    </row>
    <row r="2820" spans="83:106" x14ac:dyDescent="0.2">
      <c r="CE2820"/>
      <c r="CF2820"/>
      <c r="CG2820"/>
      <c r="CH2820"/>
      <c r="CI2820"/>
      <c r="CU2820" s="21">
        <v>2815</v>
      </c>
      <c r="CV2820" s="41">
        <v>4</v>
      </c>
      <c r="CW2820" s="41">
        <v>0.11332468572476186</v>
      </c>
      <c r="CX2820" s="41" t="e">
        <v>#N/A</v>
      </c>
      <c r="CY2820" s="41" t="e">
        <v>#N/A</v>
      </c>
      <c r="CZ2820" s="47" t="e">
        <v>#N/A</v>
      </c>
      <c r="DA2820">
        <v>0.11332468572476186</v>
      </c>
      <c r="DB2820" t="str">
        <v/>
      </c>
    </row>
    <row r="2821" spans="83:106" x14ac:dyDescent="0.2">
      <c r="CE2821"/>
      <c r="CF2821"/>
      <c r="CG2821"/>
      <c r="CH2821"/>
      <c r="CI2821"/>
      <c r="CU2821" s="21">
        <v>2816</v>
      </c>
      <c r="CV2821" s="41">
        <v>4</v>
      </c>
      <c r="CW2821" s="41">
        <v>0.11332468572476186</v>
      </c>
      <c r="CX2821" s="41" t="e">
        <v>#N/A</v>
      </c>
      <c r="CY2821" s="41" t="e">
        <v>#N/A</v>
      </c>
      <c r="CZ2821" s="47" t="e">
        <v>#N/A</v>
      </c>
      <c r="DA2821">
        <v>0.11332468572476186</v>
      </c>
      <c r="DB2821" t="str">
        <v/>
      </c>
    </row>
    <row r="2822" spans="83:106" x14ac:dyDescent="0.2">
      <c r="CE2822"/>
      <c r="CF2822"/>
      <c r="CG2822"/>
      <c r="CH2822"/>
      <c r="CI2822"/>
      <c r="CU2822" s="21">
        <v>2817</v>
      </c>
      <c r="CV2822" s="41">
        <v>4</v>
      </c>
      <c r="CW2822" s="41">
        <v>0.11332468572476186</v>
      </c>
      <c r="CX2822" s="41" t="e">
        <v>#N/A</v>
      </c>
      <c r="CY2822" s="41" t="e">
        <v>#N/A</v>
      </c>
      <c r="CZ2822" s="47" t="e">
        <v>#N/A</v>
      </c>
      <c r="DA2822">
        <v>0.11332468572476186</v>
      </c>
      <c r="DB2822" t="str">
        <v/>
      </c>
    </row>
    <row r="2823" spans="83:106" x14ac:dyDescent="0.2">
      <c r="CE2823"/>
      <c r="CF2823"/>
      <c r="CG2823"/>
      <c r="CH2823"/>
      <c r="CI2823"/>
      <c r="CU2823" s="21">
        <v>2818</v>
      </c>
      <c r="CV2823" s="41">
        <v>4</v>
      </c>
      <c r="CW2823" s="41">
        <v>0.11332468572476186</v>
      </c>
      <c r="CX2823" s="41" t="e">
        <v>#N/A</v>
      </c>
      <c r="CY2823" s="41" t="e">
        <v>#N/A</v>
      </c>
      <c r="CZ2823" s="47" t="e">
        <v>#N/A</v>
      </c>
      <c r="DA2823">
        <v>0.11332468572476186</v>
      </c>
      <c r="DB2823" t="str">
        <v/>
      </c>
    </row>
    <row r="2824" spans="83:106" x14ac:dyDescent="0.2">
      <c r="CE2824"/>
      <c r="CF2824"/>
      <c r="CG2824"/>
      <c r="CH2824"/>
      <c r="CI2824"/>
      <c r="CU2824" s="21">
        <v>2819</v>
      </c>
      <c r="CV2824" s="41">
        <v>4</v>
      </c>
      <c r="CW2824" s="41">
        <v>0.11332468572476186</v>
      </c>
      <c r="CX2824" s="41" t="e">
        <v>#N/A</v>
      </c>
      <c r="CY2824" s="41" t="e">
        <v>#N/A</v>
      </c>
      <c r="CZ2824" s="47" t="e">
        <v>#N/A</v>
      </c>
      <c r="DA2824">
        <v>0.11332468572476186</v>
      </c>
      <c r="DB2824" t="str">
        <v/>
      </c>
    </row>
    <row r="2825" spans="83:106" x14ac:dyDescent="0.2">
      <c r="CE2825"/>
      <c r="CF2825"/>
      <c r="CG2825"/>
      <c r="CH2825"/>
      <c r="CI2825"/>
      <c r="CU2825" s="21">
        <v>2820</v>
      </c>
      <c r="CV2825" s="41">
        <v>4</v>
      </c>
      <c r="CW2825" s="41">
        <v>0.11332468572476186</v>
      </c>
      <c r="CX2825" s="41" t="e">
        <v>#N/A</v>
      </c>
      <c r="CY2825" s="41" t="e">
        <v>#N/A</v>
      </c>
      <c r="CZ2825" s="47" t="e">
        <v>#N/A</v>
      </c>
      <c r="DA2825">
        <v>0.11332468572476186</v>
      </c>
      <c r="DB2825" t="str">
        <v/>
      </c>
    </row>
    <row r="2826" spans="83:106" x14ac:dyDescent="0.2">
      <c r="CE2826"/>
      <c r="CF2826"/>
      <c r="CG2826"/>
      <c r="CH2826"/>
      <c r="CI2826"/>
      <c r="CU2826" s="21">
        <v>2821</v>
      </c>
      <c r="CV2826" s="41">
        <v>4</v>
      </c>
      <c r="CW2826" s="41">
        <v>0.11332468572476186</v>
      </c>
      <c r="CX2826" s="41" t="e">
        <v>#N/A</v>
      </c>
      <c r="CY2826" s="41" t="e">
        <v>#N/A</v>
      </c>
      <c r="CZ2826" s="47" t="e">
        <v>#N/A</v>
      </c>
      <c r="DA2826">
        <v>0.11332468572476186</v>
      </c>
      <c r="DB2826" t="str">
        <v/>
      </c>
    </row>
    <row r="2827" spans="83:106" x14ac:dyDescent="0.2">
      <c r="CE2827"/>
      <c r="CF2827"/>
      <c r="CG2827"/>
      <c r="CH2827"/>
      <c r="CI2827"/>
      <c r="CU2827" s="21">
        <v>2822</v>
      </c>
      <c r="CV2827" s="41">
        <v>4</v>
      </c>
      <c r="CW2827" s="41">
        <v>0.11332468572476186</v>
      </c>
      <c r="CX2827" s="41" t="e">
        <v>#N/A</v>
      </c>
      <c r="CY2827" s="41" t="e">
        <v>#N/A</v>
      </c>
      <c r="CZ2827" s="47" t="e">
        <v>#N/A</v>
      </c>
      <c r="DA2827">
        <v>0.11332468572476186</v>
      </c>
      <c r="DB2827" t="str">
        <v/>
      </c>
    </row>
    <row r="2828" spans="83:106" x14ac:dyDescent="0.2">
      <c r="CE2828"/>
      <c r="CF2828"/>
      <c r="CG2828"/>
      <c r="CH2828"/>
      <c r="CI2828"/>
      <c r="CU2828" s="21">
        <v>2823</v>
      </c>
      <c r="CV2828" s="41">
        <v>4</v>
      </c>
      <c r="CW2828" s="41">
        <v>0.11332468572476186</v>
      </c>
      <c r="CX2828" s="41" t="e">
        <v>#N/A</v>
      </c>
      <c r="CY2828" s="41" t="e">
        <v>#N/A</v>
      </c>
      <c r="CZ2828" s="47" t="e">
        <v>#N/A</v>
      </c>
      <c r="DA2828">
        <v>0.11332468572476186</v>
      </c>
      <c r="DB2828" t="str">
        <v/>
      </c>
    </row>
    <row r="2829" spans="83:106" x14ac:dyDescent="0.2">
      <c r="CE2829"/>
      <c r="CF2829"/>
      <c r="CG2829"/>
      <c r="CH2829"/>
      <c r="CI2829"/>
      <c r="CU2829" s="21">
        <v>2824</v>
      </c>
      <c r="CV2829" s="41">
        <v>4</v>
      </c>
      <c r="CW2829" s="41">
        <v>0.11332468572476186</v>
      </c>
      <c r="CX2829" s="41" t="e">
        <v>#N/A</v>
      </c>
      <c r="CY2829" s="41" t="e">
        <v>#N/A</v>
      </c>
      <c r="CZ2829" s="47" t="e">
        <v>#N/A</v>
      </c>
      <c r="DA2829">
        <v>0.11332468572476186</v>
      </c>
      <c r="DB2829" t="str">
        <v/>
      </c>
    </row>
    <row r="2830" spans="83:106" x14ac:dyDescent="0.2">
      <c r="CE2830"/>
      <c r="CF2830"/>
      <c r="CG2830"/>
      <c r="CH2830"/>
      <c r="CI2830"/>
      <c r="CU2830" s="21">
        <v>2825</v>
      </c>
      <c r="CV2830" s="41">
        <v>4</v>
      </c>
      <c r="CW2830" s="41">
        <v>0.11332468572476186</v>
      </c>
      <c r="CX2830" s="41" t="e">
        <v>#N/A</v>
      </c>
      <c r="CY2830" s="41" t="e">
        <v>#N/A</v>
      </c>
      <c r="CZ2830" s="47" t="e">
        <v>#N/A</v>
      </c>
      <c r="DA2830">
        <v>0.11332468572476186</v>
      </c>
      <c r="DB2830" t="str">
        <v/>
      </c>
    </row>
    <row r="2831" spans="83:106" x14ac:dyDescent="0.2">
      <c r="CE2831"/>
      <c r="CF2831"/>
      <c r="CG2831"/>
      <c r="CH2831"/>
      <c r="CI2831"/>
      <c r="CU2831" s="21">
        <v>2826</v>
      </c>
      <c r="CV2831" s="41">
        <v>4</v>
      </c>
      <c r="CW2831" s="41">
        <v>0.11332468572476186</v>
      </c>
      <c r="CX2831" s="41" t="e">
        <v>#N/A</v>
      </c>
      <c r="CY2831" s="41" t="e">
        <v>#N/A</v>
      </c>
      <c r="CZ2831" s="47" t="e">
        <v>#N/A</v>
      </c>
      <c r="DA2831">
        <v>0.11332468572476186</v>
      </c>
      <c r="DB2831" t="str">
        <v/>
      </c>
    </row>
    <row r="2832" spans="83:106" x14ac:dyDescent="0.2">
      <c r="CE2832"/>
      <c r="CF2832"/>
      <c r="CG2832"/>
      <c r="CH2832"/>
      <c r="CI2832"/>
      <c r="CU2832" s="21">
        <v>2827</v>
      </c>
      <c r="CV2832" s="41">
        <v>4</v>
      </c>
      <c r="CW2832" s="41">
        <v>0.11332468572476186</v>
      </c>
      <c r="CX2832" s="41" t="e">
        <v>#N/A</v>
      </c>
      <c r="CY2832" s="41" t="e">
        <v>#N/A</v>
      </c>
      <c r="CZ2832" s="47" t="e">
        <v>#N/A</v>
      </c>
      <c r="DA2832">
        <v>0.11332468572476186</v>
      </c>
      <c r="DB2832" t="str">
        <v/>
      </c>
    </row>
    <row r="2833" spans="83:106" x14ac:dyDescent="0.2">
      <c r="CE2833"/>
      <c r="CF2833"/>
      <c r="CG2833"/>
      <c r="CH2833"/>
      <c r="CI2833"/>
      <c r="CU2833" s="21">
        <v>2828</v>
      </c>
      <c r="CV2833" s="41">
        <v>4</v>
      </c>
      <c r="CW2833" s="41">
        <v>0.11332468572476186</v>
      </c>
      <c r="CX2833" s="41" t="e">
        <v>#N/A</v>
      </c>
      <c r="CY2833" s="41" t="e">
        <v>#N/A</v>
      </c>
      <c r="CZ2833" s="47" t="e">
        <v>#N/A</v>
      </c>
      <c r="DA2833">
        <v>0.11332468572476186</v>
      </c>
      <c r="DB2833" t="str">
        <v/>
      </c>
    </row>
    <row r="2834" spans="83:106" x14ac:dyDescent="0.2">
      <c r="CE2834"/>
      <c r="CF2834"/>
      <c r="CG2834"/>
      <c r="CH2834"/>
      <c r="CI2834"/>
      <c r="CU2834" s="21">
        <v>2829</v>
      </c>
      <c r="CV2834" s="41">
        <v>4</v>
      </c>
      <c r="CW2834" s="41">
        <v>0.11332468572476186</v>
      </c>
      <c r="CX2834" s="41" t="e">
        <v>#N/A</v>
      </c>
      <c r="CY2834" s="41" t="e">
        <v>#N/A</v>
      </c>
      <c r="CZ2834" s="47" t="e">
        <v>#N/A</v>
      </c>
      <c r="DA2834">
        <v>0.11332468572476186</v>
      </c>
      <c r="DB2834" t="str">
        <v/>
      </c>
    </row>
    <row r="2835" spans="83:106" x14ac:dyDescent="0.2">
      <c r="CE2835"/>
      <c r="CF2835"/>
      <c r="CG2835"/>
      <c r="CH2835"/>
      <c r="CI2835"/>
      <c r="CU2835" s="21">
        <v>2830</v>
      </c>
      <c r="CV2835" s="41">
        <v>4</v>
      </c>
      <c r="CW2835" s="41">
        <v>0.11332468572476186</v>
      </c>
      <c r="CX2835" s="41" t="e">
        <v>#N/A</v>
      </c>
      <c r="CY2835" s="41" t="e">
        <v>#N/A</v>
      </c>
      <c r="CZ2835" s="47" t="e">
        <v>#N/A</v>
      </c>
      <c r="DA2835">
        <v>0.11332468572476186</v>
      </c>
      <c r="DB2835" t="str">
        <v/>
      </c>
    </row>
    <row r="2836" spans="83:106" x14ac:dyDescent="0.2">
      <c r="CE2836"/>
      <c r="CF2836"/>
      <c r="CG2836"/>
      <c r="CH2836"/>
      <c r="CI2836"/>
      <c r="CU2836" s="21">
        <v>2831</v>
      </c>
      <c r="CV2836" s="41">
        <v>4</v>
      </c>
      <c r="CW2836" s="41">
        <v>0.11332468572476186</v>
      </c>
      <c r="CX2836" s="41" t="e">
        <v>#N/A</v>
      </c>
      <c r="CY2836" s="41" t="e">
        <v>#N/A</v>
      </c>
      <c r="CZ2836" s="47" t="e">
        <v>#N/A</v>
      </c>
      <c r="DA2836">
        <v>0.11332468572476186</v>
      </c>
      <c r="DB2836" t="str">
        <v/>
      </c>
    </row>
    <row r="2837" spans="83:106" x14ac:dyDescent="0.2">
      <c r="CE2837"/>
      <c r="CF2837"/>
      <c r="CG2837"/>
      <c r="CH2837"/>
      <c r="CI2837"/>
      <c r="CU2837" s="21">
        <v>2832</v>
      </c>
      <c r="CV2837" s="41">
        <v>4</v>
      </c>
      <c r="CW2837" s="41">
        <v>0.11332468572476186</v>
      </c>
      <c r="CX2837" s="41" t="e">
        <v>#N/A</v>
      </c>
      <c r="CY2837" s="41" t="e">
        <v>#N/A</v>
      </c>
      <c r="CZ2837" s="47" t="e">
        <v>#N/A</v>
      </c>
      <c r="DA2837">
        <v>0.11332468572476186</v>
      </c>
      <c r="DB2837" t="str">
        <v/>
      </c>
    </row>
    <row r="2838" spans="83:106" x14ac:dyDescent="0.2">
      <c r="CE2838"/>
      <c r="CF2838"/>
      <c r="CG2838"/>
      <c r="CH2838"/>
      <c r="CI2838"/>
      <c r="CU2838" s="21">
        <v>2833</v>
      </c>
      <c r="CV2838" s="41">
        <v>4</v>
      </c>
      <c r="CW2838" s="41">
        <v>0.11332468572476186</v>
      </c>
      <c r="CX2838" s="41" t="e">
        <v>#N/A</v>
      </c>
      <c r="CY2838" s="41" t="e">
        <v>#N/A</v>
      </c>
      <c r="CZ2838" s="47" t="e">
        <v>#N/A</v>
      </c>
      <c r="DA2838">
        <v>0.11332468572476186</v>
      </c>
      <c r="DB2838" t="str">
        <v/>
      </c>
    </row>
    <row r="2839" spans="83:106" x14ac:dyDescent="0.2">
      <c r="CE2839"/>
      <c r="CF2839"/>
      <c r="CG2839"/>
      <c r="CH2839"/>
      <c r="CI2839"/>
      <c r="CU2839" s="21">
        <v>2834</v>
      </c>
      <c r="CV2839" s="41">
        <v>4</v>
      </c>
      <c r="CW2839" s="41">
        <v>0.11332468572476186</v>
      </c>
      <c r="CX2839" s="41" t="e">
        <v>#N/A</v>
      </c>
      <c r="CY2839" s="41" t="e">
        <v>#N/A</v>
      </c>
      <c r="CZ2839" s="47" t="e">
        <v>#N/A</v>
      </c>
      <c r="DA2839">
        <v>0.11332468572476186</v>
      </c>
      <c r="DB2839" t="str">
        <v/>
      </c>
    </row>
    <row r="2840" spans="83:106" x14ac:dyDescent="0.2">
      <c r="CE2840"/>
      <c r="CF2840"/>
      <c r="CG2840"/>
      <c r="CH2840"/>
      <c r="CI2840"/>
      <c r="CU2840" s="21">
        <v>2835</v>
      </c>
      <c r="CV2840" s="41">
        <v>4</v>
      </c>
      <c r="CW2840" s="41">
        <v>0.11332468572476186</v>
      </c>
      <c r="CX2840" s="41" t="e">
        <v>#N/A</v>
      </c>
      <c r="CY2840" s="41" t="e">
        <v>#N/A</v>
      </c>
      <c r="CZ2840" s="47" t="e">
        <v>#N/A</v>
      </c>
      <c r="DA2840">
        <v>0.11332468572476186</v>
      </c>
      <c r="DB2840" t="str">
        <v/>
      </c>
    </row>
    <row r="2841" spans="83:106" x14ac:dyDescent="0.2">
      <c r="CE2841"/>
      <c r="CF2841"/>
      <c r="CG2841"/>
      <c r="CH2841"/>
      <c r="CI2841"/>
      <c r="CU2841" s="21">
        <v>2836</v>
      </c>
      <c r="CV2841" s="41">
        <v>4</v>
      </c>
      <c r="CW2841" s="41">
        <v>0.11332468572476186</v>
      </c>
      <c r="CX2841" s="41" t="e">
        <v>#N/A</v>
      </c>
      <c r="CY2841" s="41" t="e">
        <v>#N/A</v>
      </c>
      <c r="CZ2841" s="47" t="e">
        <v>#N/A</v>
      </c>
      <c r="DA2841">
        <v>0.11332468572476186</v>
      </c>
      <c r="DB2841" t="str">
        <v/>
      </c>
    </row>
    <row r="2842" spans="83:106" x14ac:dyDescent="0.2">
      <c r="CE2842"/>
      <c r="CF2842"/>
      <c r="CG2842"/>
      <c r="CH2842"/>
      <c r="CI2842"/>
      <c r="CU2842" s="21">
        <v>2837</v>
      </c>
      <c r="CV2842" s="41">
        <v>4</v>
      </c>
      <c r="CW2842" s="41">
        <v>0.11332468572476186</v>
      </c>
      <c r="CX2842" s="41" t="e">
        <v>#N/A</v>
      </c>
      <c r="CY2842" s="41" t="e">
        <v>#N/A</v>
      </c>
      <c r="CZ2842" s="47" t="e">
        <v>#N/A</v>
      </c>
      <c r="DA2842">
        <v>0.11332468572476186</v>
      </c>
      <c r="DB2842" t="str">
        <v/>
      </c>
    </row>
    <row r="2843" spans="83:106" x14ac:dyDescent="0.2">
      <c r="CE2843"/>
      <c r="CF2843"/>
      <c r="CG2843"/>
      <c r="CH2843"/>
      <c r="CI2843"/>
      <c r="CU2843" s="21">
        <v>2838</v>
      </c>
      <c r="CV2843" s="41">
        <v>4</v>
      </c>
      <c r="CW2843" s="41">
        <v>0.11332468572476186</v>
      </c>
      <c r="CX2843" s="41" t="e">
        <v>#N/A</v>
      </c>
      <c r="CY2843" s="41" t="e">
        <v>#N/A</v>
      </c>
      <c r="CZ2843" s="47" t="e">
        <v>#N/A</v>
      </c>
      <c r="DA2843">
        <v>0.11332468572476186</v>
      </c>
      <c r="DB2843" t="str">
        <v/>
      </c>
    </row>
    <row r="2844" spans="83:106" x14ac:dyDescent="0.2">
      <c r="CE2844"/>
      <c r="CF2844"/>
      <c r="CG2844"/>
      <c r="CH2844"/>
      <c r="CI2844"/>
      <c r="CU2844" s="21">
        <v>2839</v>
      </c>
      <c r="CV2844" s="41">
        <v>4</v>
      </c>
      <c r="CW2844" s="41">
        <v>0.11332468572476186</v>
      </c>
      <c r="CX2844" s="41" t="e">
        <v>#N/A</v>
      </c>
      <c r="CY2844" s="41" t="e">
        <v>#N/A</v>
      </c>
      <c r="CZ2844" s="47" t="e">
        <v>#N/A</v>
      </c>
      <c r="DA2844">
        <v>0.11332468572476186</v>
      </c>
      <c r="DB2844" t="str">
        <v/>
      </c>
    </row>
    <row r="2845" spans="83:106" x14ac:dyDescent="0.2">
      <c r="CE2845"/>
      <c r="CF2845"/>
      <c r="CG2845"/>
      <c r="CH2845"/>
      <c r="CI2845"/>
      <c r="CU2845" s="21">
        <v>2840</v>
      </c>
      <c r="CV2845" s="41">
        <v>4</v>
      </c>
      <c r="CW2845" s="41">
        <v>0.11332468572476186</v>
      </c>
      <c r="CX2845" s="41" t="e">
        <v>#N/A</v>
      </c>
      <c r="CY2845" s="41" t="e">
        <v>#N/A</v>
      </c>
      <c r="CZ2845" s="47" t="e">
        <v>#N/A</v>
      </c>
      <c r="DA2845">
        <v>0.11332468572476186</v>
      </c>
      <c r="DB2845" t="str">
        <v/>
      </c>
    </row>
    <row r="2846" spans="83:106" x14ac:dyDescent="0.2">
      <c r="CE2846"/>
      <c r="CF2846"/>
      <c r="CG2846"/>
      <c r="CH2846"/>
      <c r="CI2846"/>
      <c r="CU2846" s="21">
        <v>2841</v>
      </c>
      <c r="CV2846" s="41">
        <v>4</v>
      </c>
      <c r="CW2846" s="41">
        <v>0.11332468572476186</v>
      </c>
      <c r="CX2846" s="41" t="e">
        <v>#N/A</v>
      </c>
      <c r="CY2846" s="41" t="e">
        <v>#N/A</v>
      </c>
      <c r="CZ2846" s="47" t="e">
        <v>#N/A</v>
      </c>
      <c r="DA2846">
        <v>0.11332468572476186</v>
      </c>
      <c r="DB2846" t="str">
        <v/>
      </c>
    </row>
    <row r="2847" spans="83:106" x14ac:dyDescent="0.2">
      <c r="CE2847"/>
      <c r="CF2847"/>
      <c r="CG2847"/>
      <c r="CH2847"/>
      <c r="CI2847"/>
      <c r="CU2847" s="21">
        <v>2842</v>
      </c>
      <c r="CV2847" s="41">
        <v>4</v>
      </c>
      <c r="CW2847" s="41">
        <v>0.11332468572476186</v>
      </c>
      <c r="CX2847" s="41" t="e">
        <v>#N/A</v>
      </c>
      <c r="CY2847" s="41" t="e">
        <v>#N/A</v>
      </c>
      <c r="CZ2847" s="47" t="e">
        <v>#N/A</v>
      </c>
      <c r="DA2847">
        <v>0.11332468572476186</v>
      </c>
      <c r="DB2847" t="str">
        <v/>
      </c>
    </row>
    <row r="2848" spans="83:106" x14ac:dyDescent="0.2">
      <c r="CE2848"/>
      <c r="CF2848"/>
      <c r="CG2848"/>
      <c r="CH2848"/>
      <c r="CI2848"/>
      <c r="CU2848" s="21">
        <v>2843</v>
      </c>
      <c r="CV2848" s="41">
        <v>4</v>
      </c>
      <c r="CW2848" s="41">
        <v>0.11332468572476186</v>
      </c>
      <c r="CX2848" s="41" t="e">
        <v>#N/A</v>
      </c>
      <c r="CY2848" s="41" t="e">
        <v>#N/A</v>
      </c>
      <c r="CZ2848" s="47" t="e">
        <v>#N/A</v>
      </c>
      <c r="DA2848">
        <v>0.11332468572476186</v>
      </c>
      <c r="DB2848" t="str">
        <v/>
      </c>
    </row>
    <row r="2849" spans="83:106" x14ac:dyDescent="0.2">
      <c r="CE2849"/>
      <c r="CF2849"/>
      <c r="CG2849"/>
      <c r="CH2849"/>
      <c r="CI2849"/>
      <c r="CU2849" s="21">
        <v>2844</v>
      </c>
      <c r="CV2849" s="41">
        <v>4</v>
      </c>
      <c r="CW2849" s="41">
        <v>0.11332468572476186</v>
      </c>
      <c r="CX2849" s="41" t="e">
        <v>#N/A</v>
      </c>
      <c r="CY2849" s="41" t="e">
        <v>#N/A</v>
      </c>
      <c r="CZ2849" s="47" t="e">
        <v>#N/A</v>
      </c>
      <c r="DA2849">
        <v>0.11332468572476186</v>
      </c>
      <c r="DB2849" t="str">
        <v/>
      </c>
    </row>
    <row r="2850" spans="83:106" x14ac:dyDescent="0.2">
      <c r="CE2850"/>
      <c r="CF2850"/>
      <c r="CG2850"/>
      <c r="CH2850"/>
      <c r="CI2850"/>
      <c r="CU2850" s="21">
        <v>2845</v>
      </c>
      <c r="CV2850" s="41">
        <v>4</v>
      </c>
      <c r="CW2850" s="41">
        <v>0.11332468572476186</v>
      </c>
      <c r="CX2850" s="41" t="e">
        <v>#N/A</v>
      </c>
      <c r="CY2850" s="41" t="e">
        <v>#N/A</v>
      </c>
      <c r="CZ2850" s="47" t="e">
        <v>#N/A</v>
      </c>
      <c r="DA2850">
        <v>0.11332468572476186</v>
      </c>
      <c r="DB2850" t="str">
        <v/>
      </c>
    </row>
    <row r="2851" spans="83:106" x14ac:dyDescent="0.2">
      <c r="CE2851"/>
      <c r="CF2851"/>
      <c r="CG2851"/>
      <c r="CH2851"/>
      <c r="CI2851"/>
      <c r="CU2851" s="21">
        <v>2846</v>
      </c>
      <c r="CV2851" s="41">
        <v>4</v>
      </c>
      <c r="CW2851" s="41">
        <v>0.11332468572476186</v>
      </c>
      <c r="CX2851" s="41" t="e">
        <v>#N/A</v>
      </c>
      <c r="CY2851" s="41" t="e">
        <v>#N/A</v>
      </c>
      <c r="CZ2851" s="47" t="e">
        <v>#N/A</v>
      </c>
      <c r="DA2851">
        <v>0.11332468572476186</v>
      </c>
      <c r="DB2851" t="str">
        <v/>
      </c>
    </row>
    <row r="2852" spans="83:106" x14ac:dyDescent="0.2">
      <c r="CE2852"/>
      <c r="CF2852"/>
      <c r="CG2852"/>
      <c r="CH2852"/>
      <c r="CI2852"/>
      <c r="CU2852" s="21">
        <v>2847</v>
      </c>
      <c r="CV2852" s="41">
        <v>4</v>
      </c>
      <c r="CW2852" s="41">
        <v>0.11332468572476186</v>
      </c>
      <c r="CX2852" s="41" t="e">
        <v>#N/A</v>
      </c>
      <c r="CY2852" s="41" t="e">
        <v>#N/A</v>
      </c>
      <c r="CZ2852" s="47" t="e">
        <v>#N/A</v>
      </c>
      <c r="DA2852">
        <v>0.11332468572476186</v>
      </c>
      <c r="DB2852" t="str">
        <v/>
      </c>
    </row>
    <row r="2853" spans="83:106" x14ac:dyDescent="0.2">
      <c r="CE2853"/>
      <c r="CF2853"/>
      <c r="CG2853"/>
      <c r="CH2853"/>
      <c r="CI2853"/>
      <c r="CU2853" s="21">
        <v>2848</v>
      </c>
      <c r="CV2853" s="41">
        <v>4</v>
      </c>
      <c r="CW2853" s="41">
        <v>0.11332468572476186</v>
      </c>
      <c r="CX2853" s="41" t="e">
        <v>#N/A</v>
      </c>
      <c r="CY2853" s="41" t="e">
        <v>#N/A</v>
      </c>
      <c r="CZ2853" s="47" t="e">
        <v>#N/A</v>
      </c>
      <c r="DA2853">
        <v>0.11332468572476186</v>
      </c>
      <c r="DB2853" t="str">
        <v/>
      </c>
    </row>
    <row r="2854" spans="83:106" x14ac:dyDescent="0.2">
      <c r="CE2854"/>
      <c r="CF2854"/>
      <c r="CG2854"/>
      <c r="CH2854"/>
      <c r="CI2854"/>
      <c r="CU2854" s="21">
        <v>2849</v>
      </c>
      <c r="CV2854" s="41">
        <v>4</v>
      </c>
      <c r="CW2854" s="41">
        <v>0.11332468572476186</v>
      </c>
      <c r="CX2854" s="41" t="e">
        <v>#N/A</v>
      </c>
      <c r="CY2854" s="41" t="e">
        <v>#N/A</v>
      </c>
      <c r="CZ2854" s="47" t="e">
        <v>#N/A</v>
      </c>
      <c r="DA2854">
        <v>0.11332468572476186</v>
      </c>
      <c r="DB2854" t="str">
        <v/>
      </c>
    </row>
    <row r="2855" spans="83:106" x14ac:dyDescent="0.2">
      <c r="CE2855"/>
      <c r="CF2855"/>
      <c r="CG2855"/>
      <c r="CH2855"/>
      <c r="CI2855"/>
      <c r="CU2855" s="21">
        <v>2850</v>
      </c>
      <c r="CV2855" s="41">
        <v>4</v>
      </c>
      <c r="CW2855" s="41">
        <v>0.11332468572476186</v>
      </c>
      <c r="CX2855" s="41" t="e">
        <v>#N/A</v>
      </c>
      <c r="CY2855" s="41" t="e">
        <v>#N/A</v>
      </c>
      <c r="CZ2855" s="47" t="e">
        <v>#N/A</v>
      </c>
      <c r="DA2855">
        <v>0.11332468572476186</v>
      </c>
      <c r="DB2855" t="str">
        <v/>
      </c>
    </row>
    <row r="2856" spans="83:106" x14ac:dyDescent="0.2">
      <c r="CE2856"/>
      <c r="CF2856"/>
      <c r="CG2856"/>
      <c r="CH2856"/>
      <c r="CI2856"/>
      <c r="CU2856" s="21">
        <v>2851</v>
      </c>
      <c r="CV2856" s="41">
        <v>4</v>
      </c>
      <c r="CW2856" s="41">
        <v>0.11332468572476186</v>
      </c>
      <c r="CX2856" s="41" t="e">
        <v>#N/A</v>
      </c>
      <c r="CY2856" s="41" t="e">
        <v>#N/A</v>
      </c>
      <c r="CZ2856" s="47" t="e">
        <v>#N/A</v>
      </c>
      <c r="DA2856">
        <v>0.11332468572476186</v>
      </c>
      <c r="DB2856" t="str">
        <v/>
      </c>
    </row>
    <row r="2857" spans="83:106" x14ac:dyDescent="0.2">
      <c r="CE2857"/>
      <c r="CF2857"/>
      <c r="CG2857"/>
      <c r="CH2857"/>
      <c r="CI2857"/>
      <c r="CU2857" s="21">
        <v>2852</v>
      </c>
      <c r="CV2857" s="41">
        <v>4</v>
      </c>
      <c r="CW2857" s="41">
        <v>0.11332468572476186</v>
      </c>
      <c r="CX2857" s="41" t="e">
        <v>#N/A</v>
      </c>
      <c r="CY2857" s="41" t="e">
        <v>#N/A</v>
      </c>
      <c r="CZ2857" s="47" t="e">
        <v>#N/A</v>
      </c>
      <c r="DA2857">
        <v>0.11332468572476186</v>
      </c>
      <c r="DB2857" t="str">
        <v/>
      </c>
    </row>
    <row r="2858" spans="83:106" x14ac:dyDescent="0.2">
      <c r="CE2858"/>
      <c r="CF2858"/>
      <c r="CG2858"/>
      <c r="CH2858"/>
      <c r="CI2858"/>
      <c r="CU2858" s="21">
        <v>2853</v>
      </c>
      <c r="CV2858" s="41">
        <v>4</v>
      </c>
      <c r="CW2858" s="41">
        <v>0.11332468572476186</v>
      </c>
      <c r="CX2858" s="41" t="e">
        <v>#N/A</v>
      </c>
      <c r="CY2858" s="41" t="e">
        <v>#N/A</v>
      </c>
      <c r="CZ2858" s="47" t="e">
        <v>#N/A</v>
      </c>
      <c r="DA2858">
        <v>0.11332468572476186</v>
      </c>
      <c r="DB2858" t="str">
        <v/>
      </c>
    </row>
    <row r="2859" spans="83:106" x14ac:dyDescent="0.2">
      <c r="CE2859"/>
      <c r="CF2859"/>
      <c r="CG2859"/>
      <c r="CH2859"/>
      <c r="CI2859"/>
      <c r="CU2859" s="21">
        <v>2854</v>
      </c>
      <c r="CV2859" s="41">
        <v>4</v>
      </c>
      <c r="CW2859" s="41">
        <v>0.11332468572476186</v>
      </c>
      <c r="CX2859" s="41" t="e">
        <v>#N/A</v>
      </c>
      <c r="CY2859" s="41" t="e">
        <v>#N/A</v>
      </c>
      <c r="CZ2859" s="47" t="e">
        <v>#N/A</v>
      </c>
      <c r="DA2859">
        <v>0.11332468572476186</v>
      </c>
      <c r="DB2859" t="str">
        <v/>
      </c>
    </row>
    <row r="2860" spans="83:106" x14ac:dyDescent="0.2">
      <c r="CE2860"/>
      <c r="CF2860"/>
      <c r="CG2860"/>
      <c r="CH2860"/>
      <c r="CI2860"/>
      <c r="CU2860" s="21">
        <v>2855</v>
      </c>
      <c r="CV2860" s="41">
        <v>4</v>
      </c>
      <c r="CW2860" s="41">
        <v>0.11332468572476186</v>
      </c>
      <c r="CX2860" s="41" t="e">
        <v>#N/A</v>
      </c>
      <c r="CY2860" s="41" t="e">
        <v>#N/A</v>
      </c>
      <c r="CZ2860" s="47" t="e">
        <v>#N/A</v>
      </c>
      <c r="DA2860">
        <v>0.11332468572476186</v>
      </c>
      <c r="DB2860" t="str">
        <v/>
      </c>
    </row>
    <row r="2861" spans="83:106" x14ac:dyDescent="0.2">
      <c r="CE2861"/>
      <c r="CF2861"/>
      <c r="CG2861"/>
      <c r="CH2861"/>
      <c r="CI2861"/>
      <c r="CU2861" s="21">
        <v>2856</v>
      </c>
      <c r="CV2861" s="41">
        <v>4</v>
      </c>
      <c r="CW2861" s="41">
        <v>0.11332468572476186</v>
      </c>
      <c r="CX2861" s="41" t="e">
        <v>#N/A</v>
      </c>
      <c r="CY2861" s="41" t="e">
        <v>#N/A</v>
      </c>
      <c r="CZ2861" s="47" t="e">
        <v>#N/A</v>
      </c>
      <c r="DA2861">
        <v>0.11332468572476186</v>
      </c>
      <c r="DB2861" t="str">
        <v/>
      </c>
    </row>
    <row r="2862" spans="83:106" x14ac:dyDescent="0.2">
      <c r="CE2862"/>
      <c r="CF2862"/>
      <c r="CG2862"/>
      <c r="CH2862"/>
      <c r="CI2862"/>
      <c r="CU2862" s="21">
        <v>2857</v>
      </c>
      <c r="CV2862" s="41">
        <v>4</v>
      </c>
      <c r="CW2862" s="41">
        <v>0.11332468572476186</v>
      </c>
      <c r="CX2862" s="41" t="e">
        <v>#N/A</v>
      </c>
      <c r="CY2862" s="41" t="e">
        <v>#N/A</v>
      </c>
      <c r="CZ2862" s="47" t="e">
        <v>#N/A</v>
      </c>
      <c r="DA2862">
        <v>0.11332468572476186</v>
      </c>
      <c r="DB2862" t="str">
        <v/>
      </c>
    </row>
    <row r="2863" spans="83:106" x14ac:dyDescent="0.2">
      <c r="CE2863"/>
      <c r="CF2863"/>
      <c r="CG2863"/>
      <c r="CH2863"/>
      <c r="CI2863"/>
      <c r="CU2863" s="21">
        <v>2858</v>
      </c>
      <c r="CV2863" s="41">
        <v>4</v>
      </c>
      <c r="CW2863" s="41">
        <v>0.11332468572476186</v>
      </c>
      <c r="CX2863" s="41" t="e">
        <v>#N/A</v>
      </c>
      <c r="CY2863" s="41" t="e">
        <v>#N/A</v>
      </c>
      <c r="CZ2863" s="47" t="e">
        <v>#N/A</v>
      </c>
      <c r="DA2863">
        <v>0.11332468572476186</v>
      </c>
      <c r="DB2863" t="str">
        <v/>
      </c>
    </row>
    <row r="2864" spans="83:106" x14ac:dyDescent="0.2">
      <c r="CE2864"/>
      <c r="CF2864"/>
      <c r="CG2864"/>
      <c r="CH2864"/>
      <c r="CI2864"/>
      <c r="CU2864" s="21">
        <v>2859</v>
      </c>
      <c r="CV2864" s="41">
        <v>4</v>
      </c>
      <c r="CW2864" s="41">
        <v>0.11332468572476186</v>
      </c>
      <c r="CX2864" s="41" t="e">
        <v>#N/A</v>
      </c>
      <c r="CY2864" s="41" t="e">
        <v>#N/A</v>
      </c>
      <c r="CZ2864" s="47" t="e">
        <v>#N/A</v>
      </c>
      <c r="DA2864">
        <v>0.11332468572476186</v>
      </c>
      <c r="DB2864" t="str">
        <v/>
      </c>
    </row>
    <row r="2865" spans="83:106" x14ac:dyDescent="0.2">
      <c r="CE2865"/>
      <c r="CF2865"/>
      <c r="CG2865"/>
      <c r="CH2865"/>
      <c r="CI2865"/>
      <c r="CU2865" s="21">
        <v>2860</v>
      </c>
      <c r="CV2865" s="41">
        <v>4</v>
      </c>
      <c r="CW2865" s="41">
        <v>0.11332468572476186</v>
      </c>
      <c r="CX2865" s="41" t="e">
        <v>#N/A</v>
      </c>
      <c r="CY2865" s="41" t="e">
        <v>#N/A</v>
      </c>
      <c r="CZ2865" s="47" t="e">
        <v>#N/A</v>
      </c>
      <c r="DA2865">
        <v>0.11332468572476186</v>
      </c>
      <c r="DB2865" t="str">
        <v/>
      </c>
    </row>
    <row r="2866" spans="83:106" x14ac:dyDescent="0.2">
      <c r="CE2866"/>
      <c r="CF2866"/>
      <c r="CG2866"/>
      <c r="CH2866"/>
      <c r="CI2866"/>
      <c r="CU2866" s="21">
        <v>2861</v>
      </c>
      <c r="CV2866" s="41">
        <v>4</v>
      </c>
      <c r="CW2866" s="41">
        <v>0.11332468572476186</v>
      </c>
      <c r="CX2866" s="41" t="e">
        <v>#N/A</v>
      </c>
      <c r="CY2866" s="41" t="e">
        <v>#N/A</v>
      </c>
      <c r="CZ2866" s="47" t="e">
        <v>#N/A</v>
      </c>
      <c r="DA2866">
        <v>0.11332468572476186</v>
      </c>
      <c r="DB2866" t="str">
        <v/>
      </c>
    </row>
    <row r="2867" spans="83:106" x14ac:dyDescent="0.2">
      <c r="CE2867"/>
      <c r="CF2867"/>
      <c r="CG2867"/>
      <c r="CH2867"/>
      <c r="CI2867"/>
      <c r="CU2867" s="21">
        <v>2862</v>
      </c>
      <c r="CV2867" s="41">
        <v>4</v>
      </c>
      <c r="CW2867" s="41">
        <v>0.11332468572476186</v>
      </c>
      <c r="CX2867" s="41" t="e">
        <v>#N/A</v>
      </c>
      <c r="CY2867" s="41" t="e">
        <v>#N/A</v>
      </c>
      <c r="CZ2867" s="47" t="e">
        <v>#N/A</v>
      </c>
      <c r="DA2867">
        <v>0.11332468572476186</v>
      </c>
      <c r="DB2867" t="str">
        <v/>
      </c>
    </row>
    <row r="2868" spans="83:106" x14ac:dyDescent="0.2">
      <c r="CE2868"/>
      <c r="CF2868"/>
      <c r="CG2868"/>
      <c r="CH2868"/>
      <c r="CI2868"/>
      <c r="CU2868" s="21">
        <v>2863</v>
      </c>
      <c r="CV2868" s="41">
        <v>4</v>
      </c>
      <c r="CW2868" s="41">
        <v>0.11332468572476186</v>
      </c>
      <c r="CX2868" s="41" t="e">
        <v>#N/A</v>
      </c>
      <c r="CY2868" s="41" t="e">
        <v>#N/A</v>
      </c>
      <c r="CZ2868" s="47" t="e">
        <v>#N/A</v>
      </c>
      <c r="DA2868">
        <v>0.11332468572476186</v>
      </c>
      <c r="DB2868" t="str">
        <v/>
      </c>
    </row>
    <row r="2869" spans="83:106" x14ac:dyDescent="0.2">
      <c r="CE2869"/>
      <c r="CF2869"/>
      <c r="CG2869"/>
      <c r="CH2869"/>
      <c r="CI2869"/>
      <c r="CU2869" s="21">
        <v>2864</v>
      </c>
      <c r="CV2869" s="41">
        <v>4</v>
      </c>
      <c r="CW2869" s="41">
        <v>0.11332468572476186</v>
      </c>
      <c r="CX2869" s="41" t="e">
        <v>#N/A</v>
      </c>
      <c r="CY2869" s="41" t="e">
        <v>#N/A</v>
      </c>
      <c r="CZ2869" s="47" t="e">
        <v>#N/A</v>
      </c>
      <c r="DA2869">
        <v>0.11332468572476186</v>
      </c>
      <c r="DB2869" t="str">
        <v/>
      </c>
    </row>
    <row r="2870" spans="83:106" x14ac:dyDescent="0.2">
      <c r="CE2870"/>
      <c r="CF2870"/>
      <c r="CG2870"/>
      <c r="CH2870"/>
      <c r="CI2870"/>
      <c r="CU2870" s="21">
        <v>2865</v>
      </c>
      <c r="CV2870" s="41">
        <v>4</v>
      </c>
      <c r="CW2870" s="41">
        <v>0.11332468572476186</v>
      </c>
      <c r="CX2870" s="41" t="e">
        <v>#N/A</v>
      </c>
      <c r="CY2870" s="41" t="e">
        <v>#N/A</v>
      </c>
      <c r="CZ2870" s="47" t="e">
        <v>#N/A</v>
      </c>
      <c r="DA2870">
        <v>0.11332468572476186</v>
      </c>
      <c r="DB2870" t="str">
        <v/>
      </c>
    </row>
    <row r="2871" spans="83:106" x14ac:dyDescent="0.2">
      <c r="CE2871"/>
      <c r="CF2871"/>
      <c r="CG2871"/>
      <c r="CH2871"/>
      <c r="CI2871"/>
      <c r="CU2871" s="21">
        <v>2866</v>
      </c>
      <c r="CV2871" s="41">
        <v>4</v>
      </c>
      <c r="CW2871" s="41">
        <v>0.11332468572476186</v>
      </c>
      <c r="CX2871" s="41" t="e">
        <v>#N/A</v>
      </c>
      <c r="CY2871" s="41" t="e">
        <v>#N/A</v>
      </c>
      <c r="CZ2871" s="47" t="e">
        <v>#N/A</v>
      </c>
      <c r="DA2871">
        <v>0.11332468572476186</v>
      </c>
      <c r="DB2871" t="str">
        <v/>
      </c>
    </row>
    <row r="2872" spans="83:106" x14ac:dyDescent="0.2">
      <c r="CE2872"/>
      <c r="CF2872"/>
      <c r="CG2872"/>
      <c r="CH2872"/>
      <c r="CI2872"/>
      <c r="CU2872" s="21">
        <v>2867</v>
      </c>
      <c r="CV2872" s="41">
        <v>4</v>
      </c>
      <c r="CW2872" s="41">
        <v>0.11332468572476186</v>
      </c>
      <c r="CX2872" s="41" t="e">
        <v>#N/A</v>
      </c>
      <c r="CY2872" s="41" t="e">
        <v>#N/A</v>
      </c>
      <c r="CZ2872" s="47" t="e">
        <v>#N/A</v>
      </c>
      <c r="DA2872">
        <v>0.11332468572476186</v>
      </c>
      <c r="DB2872" t="str">
        <v/>
      </c>
    </row>
    <row r="2873" spans="83:106" x14ac:dyDescent="0.2">
      <c r="CE2873"/>
      <c r="CF2873"/>
      <c r="CG2873"/>
      <c r="CH2873"/>
      <c r="CI2873"/>
      <c r="CU2873" s="21">
        <v>2868</v>
      </c>
      <c r="CV2873" s="41">
        <v>4</v>
      </c>
      <c r="CW2873" s="41">
        <v>0.11332468572476186</v>
      </c>
      <c r="CX2873" s="41" t="e">
        <v>#N/A</v>
      </c>
      <c r="CY2873" s="41" t="e">
        <v>#N/A</v>
      </c>
      <c r="CZ2873" s="47" t="e">
        <v>#N/A</v>
      </c>
      <c r="DA2873">
        <v>0.11332468572476186</v>
      </c>
      <c r="DB2873" t="str">
        <v/>
      </c>
    </row>
    <row r="2874" spans="83:106" x14ac:dyDescent="0.2">
      <c r="CE2874"/>
      <c r="CF2874"/>
      <c r="CG2874"/>
      <c r="CH2874"/>
      <c r="CI2874"/>
      <c r="CU2874" s="21">
        <v>2869</v>
      </c>
      <c r="CV2874" s="41">
        <v>4</v>
      </c>
      <c r="CW2874" s="41">
        <v>0.11332468572476186</v>
      </c>
      <c r="CX2874" s="41" t="e">
        <v>#N/A</v>
      </c>
      <c r="CY2874" s="41" t="e">
        <v>#N/A</v>
      </c>
      <c r="CZ2874" s="47" t="e">
        <v>#N/A</v>
      </c>
      <c r="DA2874">
        <v>0.11332468572476186</v>
      </c>
      <c r="DB2874" t="str">
        <v/>
      </c>
    </row>
    <row r="2875" spans="83:106" x14ac:dyDescent="0.2">
      <c r="CE2875"/>
      <c r="CF2875"/>
      <c r="CG2875"/>
      <c r="CH2875"/>
      <c r="CI2875"/>
      <c r="CU2875" s="21">
        <v>2870</v>
      </c>
      <c r="CV2875" s="41">
        <v>4</v>
      </c>
      <c r="CW2875" s="41">
        <v>0.11332468572476186</v>
      </c>
      <c r="CX2875" s="41" t="e">
        <v>#N/A</v>
      </c>
      <c r="CY2875" s="41" t="e">
        <v>#N/A</v>
      </c>
      <c r="CZ2875" s="47" t="e">
        <v>#N/A</v>
      </c>
      <c r="DA2875">
        <v>0.11332468572476186</v>
      </c>
      <c r="DB2875" t="str">
        <v/>
      </c>
    </row>
    <row r="2876" spans="83:106" x14ac:dyDescent="0.2">
      <c r="CE2876"/>
      <c r="CF2876"/>
      <c r="CG2876"/>
      <c r="CH2876"/>
      <c r="CI2876"/>
      <c r="CU2876" s="21">
        <v>2871</v>
      </c>
      <c r="CV2876" s="41">
        <v>4</v>
      </c>
      <c r="CW2876" s="41">
        <v>0.11332468572476186</v>
      </c>
      <c r="CX2876" s="41" t="e">
        <v>#N/A</v>
      </c>
      <c r="CY2876" s="41" t="e">
        <v>#N/A</v>
      </c>
      <c r="CZ2876" s="47" t="e">
        <v>#N/A</v>
      </c>
      <c r="DA2876">
        <v>0.11332468572476186</v>
      </c>
      <c r="DB2876" t="str">
        <v/>
      </c>
    </row>
    <row r="2877" spans="83:106" x14ac:dyDescent="0.2">
      <c r="CE2877"/>
      <c r="CF2877"/>
      <c r="CG2877"/>
      <c r="CH2877"/>
      <c r="CI2877"/>
      <c r="CU2877" s="21">
        <v>2872</v>
      </c>
      <c r="CV2877" s="41">
        <v>4</v>
      </c>
      <c r="CW2877" s="41">
        <v>0.11332468572476186</v>
      </c>
      <c r="CX2877" s="41" t="e">
        <v>#N/A</v>
      </c>
      <c r="CY2877" s="41" t="e">
        <v>#N/A</v>
      </c>
      <c r="CZ2877" s="47" t="e">
        <v>#N/A</v>
      </c>
      <c r="DA2877">
        <v>0.11332468572476186</v>
      </c>
      <c r="DB2877" t="str">
        <v/>
      </c>
    </row>
    <row r="2878" spans="83:106" x14ac:dyDescent="0.2">
      <c r="CE2878"/>
      <c r="CF2878"/>
      <c r="CG2878"/>
      <c r="CH2878"/>
      <c r="CI2878"/>
      <c r="CU2878" s="21">
        <v>2873</v>
      </c>
      <c r="CV2878" s="41">
        <v>4</v>
      </c>
      <c r="CW2878" s="41">
        <v>0.11332468572476186</v>
      </c>
      <c r="CX2878" s="41" t="e">
        <v>#N/A</v>
      </c>
      <c r="CY2878" s="41" t="e">
        <v>#N/A</v>
      </c>
      <c r="CZ2878" s="47" t="e">
        <v>#N/A</v>
      </c>
      <c r="DA2878">
        <v>0.11332468572476186</v>
      </c>
      <c r="DB2878" t="str">
        <v/>
      </c>
    </row>
    <row r="2879" spans="83:106" x14ac:dyDescent="0.2">
      <c r="CE2879"/>
      <c r="CF2879"/>
      <c r="CG2879"/>
      <c r="CH2879"/>
      <c r="CI2879"/>
      <c r="CU2879" s="21">
        <v>2874</v>
      </c>
      <c r="CV2879" s="41">
        <v>4</v>
      </c>
      <c r="CW2879" s="41">
        <v>0.11332468572476186</v>
      </c>
      <c r="CX2879" s="41" t="e">
        <v>#N/A</v>
      </c>
      <c r="CY2879" s="41" t="e">
        <v>#N/A</v>
      </c>
      <c r="CZ2879" s="47" t="e">
        <v>#N/A</v>
      </c>
      <c r="DA2879">
        <v>0.11332468572476186</v>
      </c>
      <c r="DB2879" t="str">
        <v/>
      </c>
    </row>
    <row r="2880" spans="83:106" x14ac:dyDescent="0.2">
      <c r="CE2880"/>
      <c r="CF2880"/>
      <c r="CG2880"/>
      <c r="CH2880"/>
      <c r="CI2880"/>
      <c r="CU2880" s="21">
        <v>2875</v>
      </c>
      <c r="CV2880" s="41">
        <v>4</v>
      </c>
      <c r="CW2880" s="41">
        <v>0.11332468572476186</v>
      </c>
      <c r="CX2880" s="41" t="e">
        <v>#N/A</v>
      </c>
      <c r="CY2880" s="41" t="e">
        <v>#N/A</v>
      </c>
      <c r="CZ2880" s="47" t="e">
        <v>#N/A</v>
      </c>
      <c r="DA2880">
        <v>0.11332468572476186</v>
      </c>
      <c r="DB2880" t="str">
        <v/>
      </c>
    </row>
    <row r="2881" spans="83:106" x14ac:dyDescent="0.2">
      <c r="CE2881"/>
      <c r="CF2881"/>
      <c r="CG2881"/>
      <c r="CH2881"/>
      <c r="CI2881"/>
      <c r="CU2881" s="21">
        <v>2876</v>
      </c>
      <c r="CV2881" s="41">
        <v>4</v>
      </c>
      <c r="CW2881" s="41">
        <v>0.11332468572476186</v>
      </c>
      <c r="CX2881" s="41" t="e">
        <v>#N/A</v>
      </c>
      <c r="CY2881" s="41" t="e">
        <v>#N/A</v>
      </c>
      <c r="CZ2881" s="47" t="e">
        <v>#N/A</v>
      </c>
      <c r="DA2881">
        <v>0.11332468572476186</v>
      </c>
      <c r="DB2881" t="str">
        <v/>
      </c>
    </row>
    <row r="2882" spans="83:106" x14ac:dyDescent="0.2">
      <c r="CE2882"/>
      <c r="CF2882"/>
      <c r="CG2882"/>
      <c r="CH2882"/>
      <c r="CI2882"/>
      <c r="CU2882" s="21">
        <v>2877</v>
      </c>
      <c r="CV2882" s="41">
        <v>4</v>
      </c>
      <c r="CW2882" s="41">
        <v>0.11332468572476186</v>
      </c>
      <c r="CX2882" s="41" t="e">
        <v>#N/A</v>
      </c>
      <c r="CY2882" s="41" t="e">
        <v>#N/A</v>
      </c>
      <c r="CZ2882" s="47" t="e">
        <v>#N/A</v>
      </c>
      <c r="DA2882">
        <v>0.11332468572476186</v>
      </c>
      <c r="DB2882" t="str">
        <v/>
      </c>
    </row>
    <row r="2883" spans="83:106" x14ac:dyDescent="0.2">
      <c r="CE2883"/>
      <c r="CF2883"/>
      <c r="CG2883"/>
      <c r="CH2883"/>
      <c r="CI2883"/>
      <c r="CU2883" s="21">
        <v>2878</v>
      </c>
      <c r="CV2883" s="41">
        <v>4</v>
      </c>
      <c r="CW2883" s="41">
        <v>0.11332468572476186</v>
      </c>
      <c r="CX2883" s="41" t="e">
        <v>#N/A</v>
      </c>
      <c r="CY2883" s="41" t="e">
        <v>#N/A</v>
      </c>
      <c r="CZ2883" s="47" t="e">
        <v>#N/A</v>
      </c>
      <c r="DA2883">
        <v>0.11332468572476186</v>
      </c>
      <c r="DB2883" t="str">
        <v/>
      </c>
    </row>
    <row r="2884" spans="83:106" x14ac:dyDescent="0.2">
      <c r="CE2884"/>
      <c r="CF2884"/>
      <c r="CG2884"/>
      <c r="CH2884"/>
      <c r="CI2884"/>
      <c r="CU2884" s="21">
        <v>2879</v>
      </c>
      <c r="CV2884" s="41">
        <v>4</v>
      </c>
      <c r="CW2884" s="41">
        <v>0.11332468572476186</v>
      </c>
      <c r="CX2884" s="41" t="e">
        <v>#N/A</v>
      </c>
      <c r="CY2884" s="41" t="e">
        <v>#N/A</v>
      </c>
      <c r="CZ2884" s="47" t="e">
        <v>#N/A</v>
      </c>
      <c r="DA2884">
        <v>0.11332468572476186</v>
      </c>
      <c r="DB2884" t="str">
        <v/>
      </c>
    </row>
    <row r="2885" spans="83:106" x14ac:dyDescent="0.2">
      <c r="CE2885"/>
      <c r="CF2885"/>
      <c r="CG2885"/>
      <c r="CH2885"/>
      <c r="CI2885"/>
      <c r="CU2885" s="21">
        <v>2880</v>
      </c>
      <c r="CV2885" s="41">
        <v>4</v>
      </c>
      <c r="CW2885" s="41">
        <v>0.11332468572476186</v>
      </c>
      <c r="CX2885" s="41" t="e">
        <v>#N/A</v>
      </c>
      <c r="CY2885" s="41" t="e">
        <v>#N/A</v>
      </c>
      <c r="CZ2885" s="47" t="e">
        <v>#N/A</v>
      </c>
      <c r="DA2885">
        <v>0.11332468572476186</v>
      </c>
      <c r="DB2885" t="str">
        <v/>
      </c>
    </row>
    <row r="2886" spans="83:106" x14ac:dyDescent="0.2">
      <c r="CE2886"/>
      <c r="CF2886"/>
      <c r="CG2886"/>
      <c r="CH2886"/>
      <c r="CI2886"/>
      <c r="CU2886" s="21">
        <v>2881</v>
      </c>
      <c r="CV2886" s="41">
        <v>4</v>
      </c>
      <c r="CW2886" s="41">
        <v>0.11332468572476186</v>
      </c>
      <c r="CX2886" s="41" t="e">
        <v>#N/A</v>
      </c>
      <c r="CY2886" s="41" t="e">
        <v>#N/A</v>
      </c>
      <c r="CZ2886" s="47" t="e">
        <v>#N/A</v>
      </c>
      <c r="DA2886">
        <v>0.11332468572476186</v>
      </c>
      <c r="DB2886" t="str">
        <v/>
      </c>
    </row>
    <row r="2887" spans="83:106" x14ac:dyDescent="0.2">
      <c r="CE2887"/>
      <c r="CF2887"/>
      <c r="CG2887"/>
      <c r="CH2887"/>
      <c r="CI2887"/>
      <c r="CU2887" s="21">
        <v>2882</v>
      </c>
      <c r="CV2887" s="41">
        <v>4</v>
      </c>
      <c r="CW2887" s="41">
        <v>0.11332468572476186</v>
      </c>
      <c r="CX2887" s="41" t="e">
        <v>#N/A</v>
      </c>
      <c r="CY2887" s="41" t="e">
        <v>#N/A</v>
      </c>
      <c r="CZ2887" s="47" t="e">
        <v>#N/A</v>
      </c>
      <c r="DA2887">
        <v>0.11332468572476186</v>
      </c>
      <c r="DB2887" t="str">
        <v/>
      </c>
    </row>
    <row r="2888" spans="83:106" x14ac:dyDescent="0.2">
      <c r="CE2888"/>
      <c r="CF2888"/>
      <c r="CG2888"/>
      <c r="CH2888"/>
      <c r="CI2888"/>
      <c r="CU2888" s="21">
        <v>2883</v>
      </c>
      <c r="CV2888" s="41">
        <v>4</v>
      </c>
      <c r="CW2888" s="41">
        <v>0.11332468572476186</v>
      </c>
      <c r="CX2888" s="41" t="e">
        <v>#N/A</v>
      </c>
      <c r="CY2888" s="41" t="e">
        <v>#N/A</v>
      </c>
      <c r="CZ2888" s="47" t="e">
        <v>#N/A</v>
      </c>
      <c r="DA2888">
        <v>0.11332468572476186</v>
      </c>
      <c r="DB2888" t="str">
        <v/>
      </c>
    </row>
    <row r="2889" spans="83:106" x14ac:dyDescent="0.2">
      <c r="CE2889"/>
      <c r="CF2889"/>
      <c r="CG2889"/>
      <c r="CH2889"/>
      <c r="CI2889"/>
      <c r="CU2889" s="21">
        <v>2884</v>
      </c>
      <c r="CV2889" s="41">
        <v>4</v>
      </c>
      <c r="CW2889" s="41">
        <v>0.11332468572476186</v>
      </c>
      <c r="CX2889" s="41" t="e">
        <v>#N/A</v>
      </c>
      <c r="CY2889" s="41" t="e">
        <v>#N/A</v>
      </c>
      <c r="CZ2889" s="47" t="e">
        <v>#N/A</v>
      </c>
      <c r="DA2889">
        <v>0.11332468572476186</v>
      </c>
      <c r="DB2889" t="str">
        <v/>
      </c>
    </row>
    <row r="2890" spans="83:106" x14ac:dyDescent="0.2">
      <c r="CE2890"/>
      <c r="CF2890"/>
      <c r="CG2890"/>
      <c r="CH2890"/>
      <c r="CI2890"/>
      <c r="CU2890" s="21">
        <v>2885</v>
      </c>
      <c r="CV2890" s="41">
        <v>4</v>
      </c>
      <c r="CW2890" s="41">
        <v>0.11332468572476186</v>
      </c>
      <c r="CX2890" s="41" t="e">
        <v>#N/A</v>
      </c>
      <c r="CY2890" s="41" t="e">
        <v>#N/A</v>
      </c>
      <c r="CZ2890" s="47" t="e">
        <v>#N/A</v>
      </c>
      <c r="DA2890">
        <v>0.11332468572476186</v>
      </c>
      <c r="DB2890" t="str">
        <v/>
      </c>
    </row>
    <row r="2891" spans="83:106" x14ac:dyDescent="0.2">
      <c r="CE2891"/>
      <c r="CF2891"/>
      <c r="CG2891"/>
      <c r="CH2891"/>
      <c r="CI2891"/>
      <c r="CU2891" s="21">
        <v>2886</v>
      </c>
      <c r="CV2891" s="41">
        <v>4</v>
      </c>
      <c r="CW2891" s="41">
        <v>0.11332468572476186</v>
      </c>
      <c r="CX2891" s="41" t="e">
        <v>#N/A</v>
      </c>
      <c r="CY2891" s="41" t="e">
        <v>#N/A</v>
      </c>
      <c r="CZ2891" s="47" t="e">
        <v>#N/A</v>
      </c>
      <c r="DA2891">
        <v>0.11332468572476186</v>
      </c>
      <c r="DB2891" t="str">
        <v/>
      </c>
    </row>
    <row r="2892" spans="83:106" x14ac:dyDescent="0.2">
      <c r="CE2892"/>
      <c r="CF2892"/>
      <c r="CG2892"/>
      <c r="CH2892"/>
      <c r="CI2892"/>
      <c r="CU2892" s="21">
        <v>2887</v>
      </c>
      <c r="CV2892" s="41">
        <v>4</v>
      </c>
      <c r="CW2892" s="41">
        <v>0.11332468572476186</v>
      </c>
      <c r="CX2892" s="41" t="e">
        <v>#N/A</v>
      </c>
      <c r="CY2892" s="41" t="e">
        <v>#N/A</v>
      </c>
      <c r="CZ2892" s="47" t="e">
        <v>#N/A</v>
      </c>
      <c r="DA2892">
        <v>0.11332468572476186</v>
      </c>
      <c r="DB2892" t="str">
        <v/>
      </c>
    </row>
    <row r="2893" spans="83:106" x14ac:dyDescent="0.2">
      <c r="CE2893"/>
      <c r="CF2893"/>
      <c r="CG2893"/>
      <c r="CH2893"/>
      <c r="CI2893"/>
      <c r="CU2893" s="21">
        <v>2888</v>
      </c>
      <c r="CV2893" s="41">
        <v>4</v>
      </c>
      <c r="CW2893" s="41">
        <v>0.11332468572476186</v>
      </c>
      <c r="CX2893" s="41" t="e">
        <v>#N/A</v>
      </c>
      <c r="CY2893" s="41" t="e">
        <v>#N/A</v>
      </c>
      <c r="CZ2893" s="47" t="e">
        <v>#N/A</v>
      </c>
      <c r="DA2893">
        <v>0.11332468572476186</v>
      </c>
      <c r="DB2893" t="str">
        <v/>
      </c>
    </row>
    <row r="2894" spans="83:106" x14ac:dyDescent="0.2">
      <c r="CE2894"/>
      <c r="CF2894"/>
      <c r="CG2894"/>
      <c r="CH2894"/>
      <c r="CI2894"/>
      <c r="CU2894" s="21">
        <v>2889</v>
      </c>
      <c r="CV2894" s="41">
        <v>4</v>
      </c>
      <c r="CW2894" s="41">
        <v>0.11332468572476186</v>
      </c>
      <c r="CX2894" s="41" t="e">
        <v>#N/A</v>
      </c>
      <c r="CY2894" s="41" t="e">
        <v>#N/A</v>
      </c>
      <c r="CZ2894" s="47" t="e">
        <v>#N/A</v>
      </c>
      <c r="DA2894">
        <v>0.11332468572476186</v>
      </c>
      <c r="DB2894" t="str">
        <v/>
      </c>
    </row>
    <row r="2895" spans="83:106" x14ac:dyDescent="0.2">
      <c r="CE2895"/>
      <c r="CF2895"/>
      <c r="CG2895"/>
      <c r="CH2895"/>
      <c r="CI2895"/>
      <c r="CU2895" s="21">
        <v>2890</v>
      </c>
      <c r="CV2895" s="41">
        <v>4</v>
      </c>
      <c r="CW2895" s="41">
        <v>0.11332468572476186</v>
      </c>
      <c r="CX2895" s="41" t="e">
        <v>#N/A</v>
      </c>
      <c r="CY2895" s="41" t="e">
        <v>#N/A</v>
      </c>
      <c r="CZ2895" s="47" t="e">
        <v>#N/A</v>
      </c>
      <c r="DA2895">
        <v>0.11332468572476186</v>
      </c>
      <c r="DB2895" t="str">
        <v/>
      </c>
    </row>
    <row r="2896" spans="83:106" x14ac:dyDescent="0.2">
      <c r="CE2896"/>
      <c r="CF2896"/>
      <c r="CG2896"/>
      <c r="CH2896"/>
      <c r="CI2896"/>
      <c r="CU2896" s="21">
        <v>2891</v>
      </c>
      <c r="CV2896" s="41">
        <v>4</v>
      </c>
      <c r="CW2896" s="41">
        <v>0.11332468572476186</v>
      </c>
      <c r="CX2896" s="41" t="e">
        <v>#N/A</v>
      </c>
      <c r="CY2896" s="41" t="e">
        <v>#N/A</v>
      </c>
      <c r="CZ2896" s="47" t="e">
        <v>#N/A</v>
      </c>
      <c r="DA2896">
        <v>0.11332468572476186</v>
      </c>
      <c r="DB2896" t="str">
        <v/>
      </c>
    </row>
    <row r="2897" spans="83:106" x14ac:dyDescent="0.2">
      <c r="CE2897"/>
      <c r="CF2897"/>
      <c r="CG2897"/>
      <c r="CH2897"/>
      <c r="CI2897"/>
      <c r="CU2897" s="21">
        <v>2892</v>
      </c>
      <c r="CV2897" s="41">
        <v>4</v>
      </c>
      <c r="CW2897" s="41">
        <v>0.11332468572476186</v>
      </c>
      <c r="CX2897" s="41" t="e">
        <v>#N/A</v>
      </c>
      <c r="CY2897" s="41" t="e">
        <v>#N/A</v>
      </c>
      <c r="CZ2897" s="47" t="e">
        <v>#N/A</v>
      </c>
      <c r="DA2897">
        <v>0.11332468572476186</v>
      </c>
      <c r="DB2897" t="str">
        <v/>
      </c>
    </row>
    <row r="2898" spans="83:106" x14ac:dyDescent="0.2">
      <c r="CE2898"/>
      <c r="CF2898"/>
      <c r="CG2898"/>
      <c r="CH2898"/>
      <c r="CI2898"/>
      <c r="CU2898" s="21">
        <v>2893</v>
      </c>
      <c r="CV2898" s="41">
        <v>4</v>
      </c>
      <c r="CW2898" s="41">
        <v>0.11332468572476186</v>
      </c>
      <c r="CX2898" s="41" t="e">
        <v>#N/A</v>
      </c>
      <c r="CY2898" s="41" t="e">
        <v>#N/A</v>
      </c>
      <c r="CZ2898" s="47" t="e">
        <v>#N/A</v>
      </c>
      <c r="DA2898">
        <v>0.11332468572476186</v>
      </c>
      <c r="DB2898" t="str">
        <v/>
      </c>
    </row>
    <row r="2899" spans="83:106" x14ac:dyDescent="0.2">
      <c r="CE2899"/>
      <c r="CF2899"/>
      <c r="CG2899"/>
      <c r="CH2899"/>
      <c r="CI2899"/>
      <c r="CU2899" s="21">
        <v>2894</v>
      </c>
      <c r="CV2899" s="41">
        <v>4</v>
      </c>
      <c r="CW2899" s="41">
        <v>0.11332468572476186</v>
      </c>
      <c r="CX2899" s="41" t="e">
        <v>#N/A</v>
      </c>
      <c r="CY2899" s="41" t="e">
        <v>#N/A</v>
      </c>
      <c r="CZ2899" s="47" t="e">
        <v>#N/A</v>
      </c>
      <c r="DA2899">
        <v>0.11332468572476186</v>
      </c>
      <c r="DB2899" t="str">
        <v/>
      </c>
    </row>
    <row r="2900" spans="83:106" x14ac:dyDescent="0.2">
      <c r="CE2900"/>
      <c r="CF2900"/>
      <c r="CG2900"/>
      <c r="CH2900"/>
      <c r="CI2900"/>
      <c r="CU2900" s="21">
        <v>2895</v>
      </c>
      <c r="CV2900" s="41">
        <v>4</v>
      </c>
      <c r="CW2900" s="41">
        <v>0.11332468572476186</v>
      </c>
      <c r="CX2900" s="41" t="e">
        <v>#N/A</v>
      </c>
      <c r="CY2900" s="41" t="e">
        <v>#N/A</v>
      </c>
      <c r="CZ2900" s="47" t="e">
        <v>#N/A</v>
      </c>
      <c r="DA2900">
        <v>0.11332468572476186</v>
      </c>
      <c r="DB2900" t="str">
        <v/>
      </c>
    </row>
    <row r="2901" spans="83:106" x14ac:dyDescent="0.2">
      <c r="CE2901"/>
      <c r="CF2901"/>
      <c r="CG2901"/>
      <c r="CH2901"/>
      <c r="CI2901"/>
      <c r="CU2901" s="21">
        <v>2896</v>
      </c>
      <c r="CV2901" s="41">
        <v>4</v>
      </c>
      <c r="CW2901" s="41">
        <v>0.11332468572476186</v>
      </c>
      <c r="CX2901" s="41" t="e">
        <v>#N/A</v>
      </c>
      <c r="CY2901" s="41" t="e">
        <v>#N/A</v>
      </c>
      <c r="CZ2901" s="47" t="e">
        <v>#N/A</v>
      </c>
      <c r="DA2901">
        <v>0.11332468572476186</v>
      </c>
      <c r="DB2901" t="str">
        <v/>
      </c>
    </row>
    <row r="2902" spans="83:106" x14ac:dyDescent="0.2">
      <c r="CE2902"/>
      <c r="CF2902"/>
      <c r="CG2902"/>
      <c r="CH2902"/>
      <c r="CI2902"/>
      <c r="CU2902" s="21">
        <v>2897</v>
      </c>
      <c r="CV2902" s="41">
        <v>4</v>
      </c>
      <c r="CW2902" s="41">
        <v>0.11332468572476186</v>
      </c>
      <c r="CX2902" s="41" t="e">
        <v>#N/A</v>
      </c>
      <c r="CY2902" s="41" t="e">
        <v>#N/A</v>
      </c>
      <c r="CZ2902" s="47" t="e">
        <v>#N/A</v>
      </c>
      <c r="DA2902">
        <v>0.11332468572476186</v>
      </c>
      <c r="DB2902" t="str">
        <v/>
      </c>
    </row>
    <row r="2903" spans="83:106" x14ac:dyDescent="0.2">
      <c r="CE2903"/>
      <c r="CF2903"/>
      <c r="CG2903"/>
      <c r="CH2903"/>
      <c r="CI2903"/>
      <c r="CU2903" s="21">
        <v>2898</v>
      </c>
      <c r="CV2903" s="41">
        <v>4</v>
      </c>
      <c r="CW2903" s="41">
        <v>0.11332468572476186</v>
      </c>
      <c r="CX2903" s="41" t="e">
        <v>#N/A</v>
      </c>
      <c r="CY2903" s="41" t="e">
        <v>#N/A</v>
      </c>
      <c r="CZ2903" s="47" t="e">
        <v>#N/A</v>
      </c>
      <c r="DA2903">
        <v>0.11332468572476186</v>
      </c>
      <c r="DB2903" t="str">
        <v/>
      </c>
    </row>
    <row r="2904" spans="83:106" x14ac:dyDescent="0.2">
      <c r="CE2904"/>
      <c r="CF2904"/>
      <c r="CG2904"/>
      <c r="CH2904"/>
      <c r="CI2904"/>
      <c r="CU2904" s="21">
        <v>2899</v>
      </c>
      <c r="CV2904" s="41">
        <v>4</v>
      </c>
      <c r="CW2904" s="41">
        <v>0.11332468572476186</v>
      </c>
      <c r="CX2904" s="41" t="e">
        <v>#N/A</v>
      </c>
      <c r="CY2904" s="41" t="e">
        <v>#N/A</v>
      </c>
      <c r="CZ2904" s="47" t="e">
        <v>#N/A</v>
      </c>
      <c r="DA2904">
        <v>0.11332468572476186</v>
      </c>
      <c r="DB2904" t="str">
        <v/>
      </c>
    </row>
    <row r="2905" spans="83:106" x14ac:dyDescent="0.2">
      <c r="CE2905"/>
      <c r="CF2905"/>
      <c r="CG2905"/>
      <c r="CH2905"/>
      <c r="CI2905"/>
      <c r="CU2905" s="21">
        <v>2900</v>
      </c>
      <c r="CV2905" s="41">
        <v>4</v>
      </c>
      <c r="CW2905" s="41">
        <v>0.11332468572476186</v>
      </c>
      <c r="CX2905" s="41" t="e">
        <v>#N/A</v>
      </c>
      <c r="CY2905" s="41" t="e">
        <v>#N/A</v>
      </c>
      <c r="CZ2905" s="47" t="e">
        <v>#N/A</v>
      </c>
      <c r="DA2905">
        <v>0.11332468572476186</v>
      </c>
      <c r="DB2905" t="str">
        <v/>
      </c>
    </row>
    <row r="2906" spans="83:106" x14ac:dyDescent="0.2">
      <c r="CE2906"/>
      <c r="CF2906"/>
      <c r="CG2906"/>
      <c r="CH2906"/>
      <c r="CI2906"/>
      <c r="CU2906" s="21">
        <v>2901</v>
      </c>
      <c r="CV2906" s="41">
        <v>4</v>
      </c>
      <c r="CW2906" s="41">
        <v>0.11332468572476186</v>
      </c>
      <c r="CX2906" s="41" t="e">
        <v>#N/A</v>
      </c>
      <c r="CY2906" s="41" t="e">
        <v>#N/A</v>
      </c>
      <c r="CZ2906" s="47" t="e">
        <v>#N/A</v>
      </c>
      <c r="DA2906">
        <v>0.11332468572476186</v>
      </c>
      <c r="DB2906" t="str">
        <v/>
      </c>
    </row>
    <row r="2907" spans="83:106" x14ac:dyDescent="0.2">
      <c r="CE2907"/>
      <c r="CF2907"/>
      <c r="CG2907"/>
      <c r="CH2907"/>
      <c r="CI2907"/>
      <c r="CU2907" s="21">
        <v>2902</v>
      </c>
      <c r="CV2907" s="41">
        <v>4</v>
      </c>
      <c r="CW2907" s="41">
        <v>0.11332468572476186</v>
      </c>
      <c r="CX2907" s="41" t="e">
        <v>#N/A</v>
      </c>
      <c r="CY2907" s="41" t="e">
        <v>#N/A</v>
      </c>
      <c r="CZ2907" s="47" t="e">
        <v>#N/A</v>
      </c>
      <c r="DA2907">
        <v>0.11332468572476186</v>
      </c>
      <c r="DB2907" t="str">
        <v/>
      </c>
    </row>
    <row r="2908" spans="83:106" x14ac:dyDescent="0.2">
      <c r="CE2908"/>
      <c r="CF2908"/>
      <c r="CG2908"/>
      <c r="CH2908"/>
      <c r="CI2908"/>
      <c r="CU2908" s="21">
        <v>2903</v>
      </c>
      <c r="CV2908" s="41">
        <v>4</v>
      </c>
      <c r="CW2908" s="41">
        <v>0.11332468572476186</v>
      </c>
      <c r="CX2908" s="41" t="e">
        <v>#N/A</v>
      </c>
      <c r="CY2908" s="41" t="e">
        <v>#N/A</v>
      </c>
      <c r="CZ2908" s="47" t="e">
        <v>#N/A</v>
      </c>
      <c r="DA2908">
        <v>0.11332468572476186</v>
      </c>
      <c r="DB2908" t="str">
        <v/>
      </c>
    </row>
    <row r="2909" spans="83:106" x14ac:dyDescent="0.2">
      <c r="CE2909"/>
      <c r="CF2909"/>
      <c r="CG2909"/>
      <c r="CH2909"/>
      <c r="CI2909"/>
      <c r="CU2909" s="21">
        <v>2904</v>
      </c>
      <c r="CV2909" s="41">
        <v>4</v>
      </c>
      <c r="CW2909" s="41">
        <v>0.11332468572476186</v>
      </c>
      <c r="CX2909" s="41" t="e">
        <v>#N/A</v>
      </c>
      <c r="CY2909" s="41" t="e">
        <v>#N/A</v>
      </c>
      <c r="CZ2909" s="47" t="e">
        <v>#N/A</v>
      </c>
      <c r="DA2909">
        <v>0.11332468572476186</v>
      </c>
      <c r="DB2909" t="str">
        <v/>
      </c>
    </row>
    <row r="2910" spans="83:106" x14ac:dyDescent="0.2">
      <c r="CE2910"/>
      <c r="CF2910"/>
      <c r="CG2910"/>
      <c r="CH2910"/>
      <c r="CI2910"/>
      <c r="CU2910" s="21">
        <v>2905</v>
      </c>
      <c r="CV2910" s="41">
        <v>4</v>
      </c>
      <c r="CW2910" s="41">
        <v>0.11332468572476186</v>
      </c>
      <c r="CX2910" s="41" t="e">
        <v>#N/A</v>
      </c>
      <c r="CY2910" s="41" t="e">
        <v>#N/A</v>
      </c>
      <c r="CZ2910" s="47" t="e">
        <v>#N/A</v>
      </c>
      <c r="DA2910">
        <v>0.11332468572476186</v>
      </c>
      <c r="DB2910" t="str">
        <v/>
      </c>
    </row>
    <row r="2911" spans="83:106" x14ac:dyDescent="0.2">
      <c r="CE2911"/>
      <c r="CF2911"/>
      <c r="CG2911"/>
      <c r="CH2911"/>
      <c r="CI2911"/>
      <c r="CU2911" s="21">
        <v>2906</v>
      </c>
      <c r="CV2911" s="41">
        <v>4</v>
      </c>
      <c r="CW2911" s="41">
        <v>0.11332468572476186</v>
      </c>
      <c r="CX2911" s="41" t="e">
        <v>#N/A</v>
      </c>
      <c r="CY2911" s="41" t="e">
        <v>#N/A</v>
      </c>
      <c r="CZ2911" s="47" t="e">
        <v>#N/A</v>
      </c>
      <c r="DA2911">
        <v>0.11332468572476186</v>
      </c>
      <c r="DB2911" t="str">
        <v/>
      </c>
    </row>
    <row r="2912" spans="83:106" x14ac:dyDescent="0.2">
      <c r="CE2912"/>
      <c r="CF2912"/>
      <c r="CG2912"/>
      <c r="CH2912"/>
      <c r="CI2912"/>
      <c r="CU2912" s="21">
        <v>2907</v>
      </c>
      <c r="CV2912" s="41">
        <v>4</v>
      </c>
      <c r="CW2912" s="41">
        <v>0.11332468572476186</v>
      </c>
      <c r="CX2912" s="41" t="e">
        <v>#N/A</v>
      </c>
      <c r="CY2912" s="41" t="e">
        <v>#N/A</v>
      </c>
      <c r="CZ2912" s="47" t="e">
        <v>#N/A</v>
      </c>
      <c r="DA2912">
        <v>0.11332468572476186</v>
      </c>
      <c r="DB2912" t="str">
        <v/>
      </c>
    </row>
    <row r="2913" spans="83:106" x14ac:dyDescent="0.2">
      <c r="CE2913"/>
      <c r="CF2913"/>
      <c r="CG2913"/>
      <c r="CH2913"/>
      <c r="CI2913"/>
      <c r="CU2913" s="21">
        <v>2908</v>
      </c>
      <c r="CV2913" s="41">
        <v>4</v>
      </c>
      <c r="CW2913" s="41">
        <v>0.11332468572476186</v>
      </c>
      <c r="CX2913" s="41" t="e">
        <v>#N/A</v>
      </c>
      <c r="CY2913" s="41" t="e">
        <v>#N/A</v>
      </c>
      <c r="CZ2913" s="47" t="e">
        <v>#N/A</v>
      </c>
      <c r="DA2913">
        <v>0.11332468572476186</v>
      </c>
      <c r="DB2913" t="str">
        <v/>
      </c>
    </row>
    <row r="2914" spans="83:106" x14ac:dyDescent="0.2">
      <c r="CE2914"/>
      <c r="CF2914"/>
      <c r="CG2914"/>
      <c r="CH2914"/>
      <c r="CI2914"/>
      <c r="CU2914" s="21">
        <v>2909</v>
      </c>
      <c r="CV2914" s="41">
        <v>4</v>
      </c>
      <c r="CW2914" s="41">
        <v>0.11332468572476186</v>
      </c>
      <c r="CX2914" s="41" t="e">
        <v>#N/A</v>
      </c>
      <c r="CY2914" s="41" t="e">
        <v>#N/A</v>
      </c>
      <c r="CZ2914" s="47" t="e">
        <v>#N/A</v>
      </c>
      <c r="DA2914">
        <v>0.11332468572476186</v>
      </c>
      <c r="DB2914" t="str">
        <v/>
      </c>
    </row>
    <row r="2915" spans="83:106" x14ac:dyDescent="0.2">
      <c r="CE2915"/>
      <c r="CF2915"/>
      <c r="CG2915"/>
      <c r="CH2915"/>
      <c r="CI2915"/>
      <c r="CU2915" s="21">
        <v>2910</v>
      </c>
      <c r="CV2915" s="41">
        <v>4</v>
      </c>
      <c r="CW2915" s="41">
        <v>0.11332468572476186</v>
      </c>
      <c r="CX2915" s="41" t="e">
        <v>#N/A</v>
      </c>
      <c r="CY2915" s="41" t="e">
        <v>#N/A</v>
      </c>
      <c r="CZ2915" s="47" t="e">
        <v>#N/A</v>
      </c>
      <c r="DA2915">
        <v>0.11332468572476186</v>
      </c>
      <c r="DB2915" t="str">
        <v/>
      </c>
    </row>
    <row r="2916" spans="83:106" x14ac:dyDescent="0.2">
      <c r="CE2916"/>
      <c r="CF2916"/>
      <c r="CG2916"/>
      <c r="CH2916"/>
      <c r="CI2916"/>
      <c r="CU2916" s="21">
        <v>2911</v>
      </c>
      <c r="CV2916" s="41">
        <v>4</v>
      </c>
      <c r="CW2916" s="41">
        <v>0.11332468572476186</v>
      </c>
      <c r="CX2916" s="41" t="e">
        <v>#N/A</v>
      </c>
      <c r="CY2916" s="41" t="e">
        <v>#N/A</v>
      </c>
      <c r="CZ2916" s="47" t="e">
        <v>#N/A</v>
      </c>
      <c r="DA2916">
        <v>0.11332468572476186</v>
      </c>
      <c r="DB2916" t="str">
        <v/>
      </c>
    </row>
    <row r="2917" spans="83:106" x14ac:dyDescent="0.2">
      <c r="CE2917"/>
      <c r="CF2917"/>
      <c r="CG2917"/>
      <c r="CH2917"/>
      <c r="CI2917"/>
      <c r="CU2917" s="21">
        <v>2912</v>
      </c>
      <c r="CV2917" s="41">
        <v>4</v>
      </c>
      <c r="CW2917" s="41">
        <v>0.11332468572476186</v>
      </c>
      <c r="CX2917" s="41" t="e">
        <v>#N/A</v>
      </c>
      <c r="CY2917" s="41" t="e">
        <v>#N/A</v>
      </c>
      <c r="CZ2917" s="47" t="e">
        <v>#N/A</v>
      </c>
      <c r="DA2917">
        <v>0.11332468572476186</v>
      </c>
      <c r="DB2917" t="str">
        <v/>
      </c>
    </row>
    <row r="2918" spans="83:106" x14ac:dyDescent="0.2">
      <c r="CE2918"/>
      <c r="CF2918"/>
      <c r="CG2918"/>
      <c r="CH2918"/>
      <c r="CI2918"/>
      <c r="CU2918" s="21">
        <v>2913</v>
      </c>
      <c r="CV2918" s="41">
        <v>4</v>
      </c>
      <c r="CW2918" s="41">
        <v>0.11332468572476186</v>
      </c>
      <c r="CX2918" s="41" t="e">
        <v>#N/A</v>
      </c>
      <c r="CY2918" s="41" t="e">
        <v>#N/A</v>
      </c>
      <c r="CZ2918" s="47" t="e">
        <v>#N/A</v>
      </c>
      <c r="DA2918">
        <v>0.11332468572476186</v>
      </c>
      <c r="DB2918" t="str">
        <v/>
      </c>
    </row>
    <row r="2919" spans="83:106" x14ac:dyDescent="0.2">
      <c r="CE2919"/>
      <c r="CF2919"/>
      <c r="CG2919"/>
      <c r="CH2919"/>
      <c r="CI2919"/>
      <c r="CU2919" s="21">
        <v>2914</v>
      </c>
      <c r="CV2919" s="41">
        <v>4</v>
      </c>
      <c r="CW2919" s="41">
        <v>0.11332468572476186</v>
      </c>
      <c r="CX2919" s="41" t="e">
        <v>#N/A</v>
      </c>
      <c r="CY2919" s="41" t="e">
        <v>#N/A</v>
      </c>
      <c r="CZ2919" s="47" t="e">
        <v>#N/A</v>
      </c>
      <c r="DA2919">
        <v>0.11332468572476186</v>
      </c>
      <c r="DB2919" t="str">
        <v/>
      </c>
    </row>
    <row r="2920" spans="83:106" x14ac:dyDescent="0.2">
      <c r="CE2920"/>
      <c r="CF2920"/>
      <c r="CG2920"/>
      <c r="CH2920"/>
      <c r="CI2920"/>
      <c r="CU2920" s="21">
        <v>2915</v>
      </c>
      <c r="CV2920" s="41">
        <v>4</v>
      </c>
      <c r="CW2920" s="41">
        <v>0.11332468572476186</v>
      </c>
      <c r="CX2920" s="41" t="e">
        <v>#N/A</v>
      </c>
      <c r="CY2920" s="41" t="e">
        <v>#N/A</v>
      </c>
      <c r="CZ2920" s="47" t="e">
        <v>#N/A</v>
      </c>
      <c r="DA2920">
        <v>0.11332468572476186</v>
      </c>
      <c r="DB2920" t="str">
        <v/>
      </c>
    </row>
    <row r="2921" spans="83:106" x14ac:dyDescent="0.2">
      <c r="CE2921"/>
      <c r="CF2921"/>
      <c r="CG2921"/>
      <c r="CH2921"/>
      <c r="CI2921"/>
      <c r="CU2921" s="21">
        <v>2916</v>
      </c>
      <c r="CV2921" s="41">
        <v>4</v>
      </c>
      <c r="CW2921" s="41">
        <v>0.11332468572476186</v>
      </c>
      <c r="CX2921" s="41" t="e">
        <v>#N/A</v>
      </c>
      <c r="CY2921" s="41" t="e">
        <v>#N/A</v>
      </c>
      <c r="CZ2921" s="47" t="e">
        <v>#N/A</v>
      </c>
      <c r="DA2921">
        <v>0.11332468572476186</v>
      </c>
      <c r="DB2921" t="str">
        <v/>
      </c>
    </row>
    <row r="2922" spans="83:106" x14ac:dyDescent="0.2">
      <c r="CE2922"/>
      <c r="CF2922"/>
      <c r="CG2922"/>
      <c r="CH2922"/>
      <c r="CI2922"/>
      <c r="CU2922" s="21">
        <v>2917</v>
      </c>
      <c r="CV2922" s="41">
        <v>4</v>
      </c>
      <c r="CW2922" s="41">
        <v>0.11332468572476186</v>
      </c>
      <c r="CX2922" s="41" t="e">
        <v>#N/A</v>
      </c>
      <c r="CY2922" s="41" t="e">
        <v>#N/A</v>
      </c>
      <c r="CZ2922" s="47" t="e">
        <v>#N/A</v>
      </c>
      <c r="DA2922">
        <v>0.11332468572476186</v>
      </c>
      <c r="DB2922" t="str">
        <v/>
      </c>
    </row>
    <row r="2923" spans="83:106" x14ac:dyDescent="0.2">
      <c r="CE2923"/>
      <c r="CF2923"/>
      <c r="CG2923"/>
      <c r="CH2923"/>
      <c r="CI2923"/>
      <c r="CU2923" s="21">
        <v>2918</v>
      </c>
      <c r="CV2923" s="41">
        <v>4</v>
      </c>
      <c r="CW2923" s="41">
        <v>0.11332468572476186</v>
      </c>
      <c r="CX2923" s="41" t="e">
        <v>#N/A</v>
      </c>
      <c r="CY2923" s="41" t="e">
        <v>#N/A</v>
      </c>
      <c r="CZ2923" s="47" t="e">
        <v>#N/A</v>
      </c>
      <c r="DA2923">
        <v>0.11332468572476186</v>
      </c>
      <c r="DB2923" t="str">
        <v/>
      </c>
    </row>
    <row r="2924" spans="83:106" x14ac:dyDescent="0.2">
      <c r="CE2924"/>
      <c r="CF2924"/>
      <c r="CG2924"/>
      <c r="CH2924"/>
      <c r="CI2924"/>
      <c r="CU2924" s="21">
        <v>2919</v>
      </c>
      <c r="CV2924" s="41">
        <v>4</v>
      </c>
      <c r="CW2924" s="41">
        <v>0.11332468572476186</v>
      </c>
      <c r="CX2924" s="41" t="e">
        <v>#N/A</v>
      </c>
      <c r="CY2924" s="41" t="e">
        <v>#N/A</v>
      </c>
      <c r="CZ2924" s="47" t="e">
        <v>#N/A</v>
      </c>
      <c r="DA2924">
        <v>0.11332468572476186</v>
      </c>
      <c r="DB2924" t="str">
        <v/>
      </c>
    </row>
    <row r="2925" spans="83:106" x14ac:dyDescent="0.2">
      <c r="CE2925"/>
      <c r="CF2925"/>
      <c r="CG2925"/>
      <c r="CH2925"/>
      <c r="CI2925"/>
      <c r="CU2925" s="21">
        <v>2920</v>
      </c>
      <c r="CV2925" s="41">
        <v>4</v>
      </c>
      <c r="CW2925" s="41">
        <v>0.11332468572476186</v>
      </c>
      <c r="CX2925" s="41" t="e">
        <v>#N/A</v>
      </c>
      <c r="CY2925" s="41" t="e">
        <v>#N/A</v>
      </c>
      <c r="CZ2925" s="47" t="e">
        <v>#N/A</v>
      </c>
      <c r="DA2925">
        <v>0.11332468572476186</v>
      </c>
      <c r="DB2925" t="str">
        <v/>
      </c>
    </row>
    <row r="2926" spans="83:106" x14ac:dyDescent="0.2">
      <c r="CE2926"/>
      <c r="CF2926"/>
      <c r="CG2926"/>
      <c r="CH2926"/>
      <c r="CI2926"/>
      <c r="CU2926" s="21">
        <v>2921</v>
      </c>
      <c r="CV2926" s="41">
        <v>4</v>
      </c>
      <c r="CW2926" s="41">
        <v>0.11332468572476186</v>
      </c>
      <c r="CX2926" s="41" t="e">
        <v>#N/A</v>
      </c>
      <c r="CY2926" s="41" t="e">
        <v>#N/A</v>
      </c>
      <c r="CZ2926" s="47" t="e">
        <v>#N/A</v>
      </c>
      <c r="DA2926">
        <v>0.11332468572476186</v>
      </c>
      <c r="DB2926" t="str">
        <v/>
      </c>
    </row>
    <row r="2927" spans="83:106" x14ac:dyDescent="0.2">
      <c r="CE2927"/>
      <c r="CF2927"/>
      <c r="CG2927"/>
      <c r="CH2927"/>
      <c r="CI2927"/>
      <c r="CU2927" s="21">
        <v>2922</v>
      </c>
      <c r="CV2927" s="41">
        <v>4</v>
      </c>
      <c r="CW2927" s="41">
        <v>0.11332468572476186</v>
      </c>
      <c r="CX2927" s="41" t="e">
        <v>#N/A</v>
      </c>
      <c r="CY2927" s="41" t="e">
        <v>#N/A</v>
      </c>
      <c r="CZ2927" s="47" t="e">
        <v>#N/A</v>
      </c>
      <c r="DA2927">
        <v>0.11332468572476186</v>
      </c>
      <c r="DB2927" t="str">
        <v/>
      </c>
    </row>
    <row r="2928" spans="83:106" x14ac:dyDescent="0.2">
      <c r="CE2928"/>
      <c r="CF2928"/>
      <c r="CG2928"/>
      <c r="CH2928"/>
      <c r="CI2928"/>
      <c r="CU2928" s="21">
        <v>2923</v>
      </c>
      <c r="CV2928" s="41">
        <v>4</v>
      </c>
      <c r="CW2928" s="41">
        <v>0.11332468572476186</v>
      </c>
      <c r="CX2928" s="41" t="e">
        <v>#N/A</v>
      </c>
      <c r="CY2928" s="41" t="e">
        <v>#N/A</v>
      </c>
      <c r="CZ2928" s="47" t="e">
        <v>#N/A</v>
      </c>
      <c r="DA2928">
        <v>0.11332468572476186</v>
      </c>
      <c r="DB2928" t="str">
        <v/>
      </c>
    </row>
    <row r="2929" spans="83:106" x14ac:dyDescent="0.2">
      <c r="CE2929"/>
      <c r="CF2929"/>
      <c r="CG2929"/>
      <c r="CH2929"/>
      <c r="CI2929"/>
      <c r="CU2929" s="21">
        <v>2924</v>
      </c>
      <c r="CV2929" s="41">
        <v>4</v>
      </c>
      <c r="CW2929" s="41">
        <v>0.11332468572476186</v>
      </c>
      <c r="CX2929" s="41" t="e">
        <v>#N/A</v>
      </c>
      <c r="CY2929" s="41" t="e">
        <v>#N/A</v>
      </c>
      <c r="CZ2929" s="47" t="e">
        <v>#N/A</v>
      </c>
      <c r="DA2929">
        <v>0.11332468572476186</v>
      </c>
      <c r="DB2929" t="str">
        <v/>
      </c>
    </row>
    <row r="2930" spans="83:106" x14ac:dyDescent="0.2">
      <c r="CE2930"/>
      <c r="CF2930"/>
      <c r="CG2930"/>
      <c r="CH2930"/>
      <c r="CI2930"/>
      <c r="CU2930" s="21">
        <v>2925</v>
      </c>
      <c r="CV2930" s="41">
        <v>4</v>
      </c>
      <c r="CW2930" s="41">
        <v>0.11332468572476186</v>
      </c>
      <c r="CX2930" s="41" t="e">
        <v>#N/A</v>
      </c>
      <c r="CY2930" s="41" t="e">
        <v>#N/A</v>
      </c>
      <c r="CZ2930" s="47" t="e">
        <v>#N/A</v>
      </c>
      <c r="DA2930">
        <v>0.11332468572476186</v>
      </c>
      <c r="DB2930" t="str">
        <v/>
      </c>
    </row>
    <row r="2931" spans="83:106" x14ac:dyDescent="0.2">
      <c r="CE2931"/>
      <c r="CF2931"/>
      <c r="CG2931"/>
      <c r="CH2931"/>
      <c r="CI2931"/>
      <c r="CU2931" s="21">
        <v>2926</v>
      </c>
      <c r="CV2931" s="41">
        <v>4</v>
      </c>
      <c r="CW2931" s="41">
        <v>0.11332468572476186</v>
      </c>
      <c r="CX2931" s="41" t="e">
        <v>#N/A</v>
      </c>
      <c r="CY2931" s="41" t="e">
        <v>#N/A</v>
      </c>
      <c r="CZ2931" s="47" t="e">
        <v>#N/A</v>
      </c>
      <c r="DA2931">
        <v>0.11332468572476186</v>
      </c>
      <c r="DB2931" t="str">
        <v/>
      </c>
    </row>
    <row r="2932" spans="83:106" x14ac:dyDescent="0.2">
      <c r="CE2932"/>
      <c r="CF2932"/>
      <c r="CG2932"/>
      <c r="CH2932"/>
      <c r="CI2932"/>
      <c r="CU2932" s="21">
        <v>2927</v>
      </c>
      <c r="CV2932" s="41">
        <v>4</v>
      </c>
      <c r="CW2932" s="41">
        <v>0.11332468572476186</v>
      </c>
      <c r="CX2932" s="41" t="e">
        <v>#N/A</v>
      </c>
      <c r="CY2932" s="41" t="e">
        <v>#N/A</v>
      </c>
      <c r="CZ2932" s="47" t="e">
        <v>#N/A</v>
      </c>
      <c r="DA2932">
        <v>0.11332468572476186</v>
      </c>
      <c r="DB2932" t="str">
        <v/>
      </c>
    </row>
    <row r="2933" spans="83:106" x14ac:dyDescent="0.2">
      <c r="CE2933"/>
      <c r="CF2933"/>
      <c r="CG2933"/>
      <c r="CH2933"/>
      <c r="CI2933"/>
      <c r="CU2933" s="21">
        <v>2928</v>
      </c>
      <c r="CV2933" s="41">
        <v>4</v>
      </c>
      <c r="CW2933" s="41">
        <v>0.11332468572476186</v>
      </c>
      <c r="CX2933" s="41" t="e">
        <v>#N/A</v>
      </c>
      <c r="CY2933" s="41" t="e">
        <v>#N/A</v>
      </c>
      <c r="CZ2933" s="47" t="e">
        <v>#N/A</v>
      </c>
      <c r="DA2933">
        <v>0.11332468572476186</v>
      </c>
      <c r="DB2933" t="str">
        <v/>
      </c>
    </row>
    <row r="2934" spans="83:106" x14ac:dyDescent="0.2">
      <c r="CE2934"/>
      <c r="CF2934"/>
      <c r="CG2934"/>
      <c r="CH2934"/>
      <c r="CI2934"/>
      <c r="CU2934" s="21">
        <v>2929</v>
      </c>
      <c r="CV2934" s="41">
        <v>4</v>
      </c>
      <c r="CW2934" s="41">
        <v>0.11332468572476186</v>
      </c>
      <c r="CX2934" s="41" t="e">
        <v>#N/A</v>
      </c>
      <c r="CY2934" s="41" t="e">
        <v>#N/A</v>
      </c>
      <c r="CZ2934" s="47" t="e">
        <v>#N/A</v>
      </c>
      <c r="DA2934">
        <v>0.11332468572476186</v>
      </c>
      <c r="DB2934" t="str">
        <v/>
      </c>
    </row>
    <row r="2935" spans="83:106" x14ac:dyDescent="0.2">
      <c r="CE2935"/>
      <c r="CF2935"/>
      <c r="CG2935"/>
      <c r="CH2935"/>
      <c r="CI2935"/>
      <c r="CU2935" s="21">
        <v>2930</v>
      </c>
      <c r="CV2935" s="41">
        <v>4</v>
      </c>
      <c r="CW2935" s="41">
        <v>0.11332468572476186</v>
      </c>
      <c r="CX2935" s="41" t="e">
        <v>#N/A</v>
      </c>
      <c r="CY2935" s="41" t="e">
        <v>#N/A</v>
      </c>
      <c r="CZ2935" s="47" t="e">
        <v>#N/A</v>
      </c>
      <c r="DA2935">
        <v>0.11332468572476186</v>
      </c>
      <c r="DB2935" t="str">
        <v/>
      </c>
    </row>
    <row r="2936" spans="83:106" x14ac:dyDescent="0.2">
      <c r="CE2936"/>
      <c r="CF2936"/>
      <c r="CG2936"/>
      <c r="CH2936"/>
      <c r="CI2936"/>
      <c r="CU2936" s="21">
        <v>2931</v>
      </c>
      <c r="CV2936" s="41">
        <v>4</v>
      </c>
      <c r="CW2936" s="41">
        <v>0.11332468572476186</v>
      </c>
      <c r="CX2936" s="41" t="e">
        <v>#N/A</v>
      </c>
      <c r="CY2936" s="41" t="e">
        <v>#N/A</v>
      </c>
      <c r="CZ2936" s="47" t="e">
        <v>#N/A</v>
      </c>
      <c r="DA2936">
        <v>0.11332468572476186</v>
      </c>
      <c r="DB2936" t="str">
        <v/>
      </c>
    </row>
    <row r="2937" spans="83:106" x14ac:dyDescent="0.2">
      <c r="CE2937"/>
      <c r="CF2937"/>
      <c r="CG2937"/>
      <c r="CH2937"/>
      <c r="CI2937"/>
      <c r="CU2937" s="21">
        <v>2932</v>
      </c>
      <c r="CV2937" s="41">
        <v>4</v>
      </c>
      <c r="CW2937" s="41">
        <v>0.11332468572476186</v>
      </c>
      <c r="CX2937" s="41" t="e">
        <v>#N/A</v>
      </c>
      <c r="CY2937" s="41" t="e">
        <v>#N/A</v>
      </c>
      <c r="CZ2937" s="47" t="e">
        <v>#N/A</v>
      </c>
      <c r="DA2937">
        <v>0.11332468572476186</v>
      </c>
      <c r="DB2937" t="str">
        <v/>
      </c>
    </row>
    <row r="2938" spans="83:106" x14ac:dyDescent="0.2">
      <c r="CE2938"/>
      <c r="CF2938"/>
      <c r="CG2938"/>
      <c r="CH2938"/>
      <c r="CI2938"/>
      <c r="CU2938" s="21">
        <v>2933</v>
      </c>
      <c r="CV2938" s="41">
        <v>4</v>
      </c>
      <c r="CW2938" s="41">
        <v>0.11332468572476186</v>
      </c>
      <c r="CX2938" s="41" t="e">
        <v>#N/A</v>
      </c>
      <c r="CY2938" s="41" t="e">
        <v>#N/A</v>
      </c>
      <c r="CZ2938" s="47" t="e">
        <v>#N/A</v>
      </c>
      <c r="DA2938">
        <v>0.11332468572476186</v>
      </c>
      <c r="DB2938" t="str">
        <v/>
      </c>
    </row>
    <row r="2939" spans="83:106" x14ac:dyDescent="0.2">
      <c r="CE2939"/>
      <c r="CF2939"/>
      <c r="CG2939"/>
      <c r="CH2939"/>
      <c r="CI2939"/>
      <c r="CU2939" s="21">
        <v>2934</v>
      </c>
      <c r="CV2939" s="41">
        <v>4</v>
      </c>
      <c r="CW2939" s="41">
        <v>0.11332468572476186</v>
      </c>
      <c r="CX2939" s="41" t="e">
        <v>#N/A</v>
      </c>
      <c r="CY2939" s="41" t="e">
        <v>#N/A</v>
      </c>
      <c r="CZ2939" s="47" t="e">
        <v>#N/A</v>
      </c>
      <c r="DA2939">
        <v>0.11332468572476186</v>
      </c>
      <c r="DB2939" t="str">
        <v/>
      </c>
    </row>
    <row r="2940" spans="83:106" x14ac:dyDescent="0.2">
      <c r="CE2940"/>
      <c r="CF2940"/>
      <c r="CG2940"/>
      <c r="CH2940"/>
      <c r="CI2940"/>
      <c r="CU2940" s="21">
        <v>2935</v>
      </c>
      <c r="CV2940" s="41">
        <v>4</v>
      </c>
      <c r="CW2940" s="41">
        <v>0.11332468572476186</v>
      </c>
      <c r="CX2940" s="41" t="e">
        <v>#N/A</v>
      </c>
      <c r="CY2940" s="41" t="e">
        <v>#N/A</v>
      </c>
      <c r="CZ2940" s="47" t="e">
        <v>#N/A</v>
      </c>
      <c r="DA2940">
        <v>0.11332468572476186</v>
      </c>
      <c r="DB2940" t="str">
        <v/>
      </c>
    </row>
    <row r="2941" spans="83:106" x14ac:dyDescent="0.2">
      <c r="CE2941"/>
      <c r="CF2941"/>
      <c r="CG2941"/>
      <c r="CH2941"/>
      <c r="CI2941"/>
      <c r="CU2941" s="21">
        <v>2936</v>
      </c>
      <c r="CV2941" s="41">
        <v>4</v>
      </c>
      <c r="CW2941" s="41">
        <v>0.11332468572476186</v>
      </c>
      <c r="CX2941" s="41" t="e">
        <v>#N/A</v>
      </c>
      <c r="CY2941" s="41" t="e">
        <v>#N/A</v>
      </c>
      <c r="CZ2941" s="47" t="e">
        <v>#N/A</v>
      </c>
      <c r="DA2941">
        <v>0.11332468572476186</v>
      </c>
      <c r="DB2941" t="str">
        <v/>
      </c>
    </row>
    <row r="2942" spans="83:106" x14ac:dyDescent="0.2">
      <c r="CE2942"/>
      <c r="CF2942"/>
      <c r="CG2942"/>
      <c r="CH2942"/>
      <c r="CI2942"/>
      <c r="CU2942" s="21">
        <v>2937</v>
      </c>
      <c r="CV2942" s="41">
        <v>4</v>
      </c>
      <c r="CW2942" s="41">
        <v>0.11332468572476186</v>
      </c>
      <c r="CX2942" s="41" t="e">
        <v>#N/A</v>
      </c>
      <c r="CY2942" s="41" t="e">
        <v>#N/A</v>
      </c>
      <c r="CZ2942" s="47" t="e">
        <v>#N/A</v>
      </c>
      <c r="DA2942">
        <v>0.11332468572476186</v>
      </c>
      <c r="DB2942" t="str">
        <v/>
      </c>
    </row>
    <row r="2943" spans="83:106" x14ac:dyDescent="0.2">
      <c r="CE2943"/>
      <c r="CF2943"/>
      <c r="CG2943"/>
      <c r="CH2943"/>
      <c r="CI2943"/>
      <c r="CU2943" s="21">
        <v>2938</v>
      </c>
      <c r="CV2943" s="41">
        <v>4</v>
      </c>
      <c r="CW2943" s="41">
        <v>0.11332468572476186</v>
      </c>
      <c r="CX2943" s="41" t="e">
        <v>#N/A</v>
      </c>
      <c r="CY2943" s="41" t="e">
        <v>#N/A</v>
      </c>
      <c r="CZ2943" s="47" t="e">
        <v>#N/A</v>
      </c>
      <c r="DA2943">
        <v>0.11332468572476186</v>
      </c>
      <c r="DB2943" t="str">
        <v/>
      </c>
    </row>
    <row r="2944" spans="83:106" x14ac:dyDescent="0.2">
      <c r="CE2944"/>
      <c r="CF2944"/>
      <c r="CG2944"/>
      <c r="CH2944"/>
      <c r="CI2944"/>
      <c r="CU2944" s="21">
        <v>2939</v>
      </c>
      <c r="CV2944" s="41">
        <v>4</v>
      </c>
      <c r="CW2944" s="41">
        <v>0.11332468572476186</v>
      </c>
      <c r="CX2944" s="41" t="e">
        <v>#N/A</v>
      </c>
      <c r="CY2944" s="41" t="e">
        <v>#N/A</v>
      </c>
      <c r="CZ2944" s="47" t="e">
        <v>#N/A</v>
      </c>
      <c r="DA2944">
        <v>0.11332468572476186</v>
      </c>
      <c r="DB2944" t="str">
        <v/>
      </c>
    </row>
    <row r="2945" spans="83:106" x14ac:dyDescent="0.2">
      <c r="CE2945"/>
      <c r="CF2945"/>
      <c r="CG2945"/>
      <c r="CH2945"/>
      <c r="CI2945"/>
      <c r="CU2945" s="21">
        <v>2940</v>
      </c>
      <c r="CV2945" s="41">
        <v>4</v>
      </c>
      <c r="CW2945" s="41">
        <v>0.11332468572476186</v>
      </c>
      <c r="CX2945" s="41" t="e">
        <v>#N/A</v>
      </c>
      <c r="CY2945" s="41" t="e">
        <v>#N/A</v>
      </c>
      <c r="CZ2945" s="47" t="e">
        <v>#N/A</v>
      </c>
      <c r="DA2945">
        <v>0.11332468572476186</v>
      </c>
      <c r="DB2945" t="str">
        <v/>
      </c>
    </row>
    <row r="2946" spans="83:106" x14ac:dyDescent="0.2">
      <c r="CE2946"/>
      <c r="CF2946"/>
      <c r="CG2946"/>
      <c r="CH2946"/>
      <c r="CI2946"/>
      <c r="CU2946" s="21">
        <v>2941</v>
      </c>
      <c r="CV2946" s="41">
        <v>4</v>
      </c>
      <c r="CW2946" s="41">
        <v>0.11332468572476186</v>
      </c>
      <c r="CX2946" s="41" t="e">
        <v>#N/A</v>
      </c>
      <c r="CY2946" s="41" t="e">
        <v>#N/A</v>
      </c>
      <c r="CZ2946" s="47" t="e">
        <v>#N/A</v>
      </c>
      <c r="DA2946">
        <v>0.11332468572476186</v>
      </c>
      <c r="DB2946" t="str">
        <v/>
      </c>
    </row>
    <row r="2947" spans="83:106" x14ac:dyDescent="0.2">
      <c r="CE2947"/>
      <c r="CF2947"/>
      <c r="CG2947"/>
      <c r="CH2947"/>
      <c r="CI2947"/>
      <c r="CU2947" s="21">
        <v>2942</v>
      </c>
      <c r="CV2947" s="41">
        <v>4</v>
      </c>
      <c r="CW2947" s="41">
        <v>0.11332468572476186</v>
      </c>
      <c r="CX2947" s="41" t="e">
        <v>#N/A</v>
      </c>
      <c r="CY2947" s="41" t="e">
        <v>#N/A</v>
      </c>
      <c r="CZ2947" s="47" t="e">
        <v>#N/A</v>
      </c>
      <c r="DA2947">
        <v>0.11332468572476186</v>
      </c>
      <c r="DB2947" t="str">
        <v/>
      </c>
    </row>
    <row r="2948" spans="83:106" x14ac:dyDescent="0.2">
      <c r="CE2948"/>
      <c r="CF2948"/>
      <c r="CG2948"/>
      <c r="CH2948"/>
      <c r="CI2948"/>
      <c r="CU2948" s="21">
        <v>2943</v>
      </c>
      <c r="CV2948" s="41">
        <v>4</v>
      </c>
      <c r="CW2948" s="41">
        <v>0.11332468572476186</v>
      </c>
      <c r="CX2948" s="41" t="e">
        <v>#N/A</v>
      </c>
      <c r="CY2948" s="41" t="e">
        <v>#N/A</v>
      </c>
      <c r="CZ2948" s="47" t="e">
        <v>#N/A</v>
      </c>
      <c r="DA2948">
        <v>0.11332468572476186</v>
      </c>
      <c r="DB2948" t="str">
        <v/>
      </c>
    </row>
    <row r="2949" spans="83:106" x14ac:dyDescent="0.2">
      <c r="CE2949"/>
      <c r="CF2949"/>
      <c r="CG2949"/>
      <c r="CH2949"/>
      <c r="CI2949"/>
      <c r="CU2949" s="21">
        <v>2944</v>
      </c>
      <c r="CV2949" s="41">
        <v>4</v>
      </c>
      <c r="CW2949" s="41">
        <v>0.11332468572476186</v>
      </c>
      <c r="CX2949" s="41" t="e">
        <v>#N/A</v>
      </c>
      <c r="CY2949" s="41" t="e">
        <v>#N/A</v>
      </c>
      <c r="CZ2949" s="47" t="e">
        <v>#N/A</v>
      </c>
      <c r="DA2949">
        <v>0.11332468572476186</v>
      </c>
      <c r="DB2949" t="str">
        <v/>
      </c>
    </row>
    <row r="2950" spans="83:106" x14ac:dyDescent="0.2">
      <c r="CE2950"/>
      <c r="CF2950"/>
      <c r="CG2950"/>
      <c r="CH2950"/>
      <c r="CI2950"/>
      <c r="CU2950" s="21">
        <v>2945</v>
      </c>
      <c r="CV2950" s="41">
        <v>4</v>
      </c>
      <c r="CW2950" s="41">
        <v>0.11332468572476186</v>
      </c>
      <c r="CX2950" s="41" t="e">
        <v>#N/A</v>
      </c>
      <c r="CY2950" s="41" t="e">
        <v>#N/A</v>
      </c>
      <c r="CZ2950" s="47" t="e">
        <v>#N/A</v>
      </c>
      <c r="DA2950">
        <v>0.11332468572476186</v>
      </c>
      <c r="DB2950" t="str">
        <v/>
      </c>
    </row>
    <row r="2951" spans="83:106" x14ac:dyDescent="0.2">
      <c r="CE2951"/>
      <c r="CF2951"/>
      <c r="CG2951"/>
      <c r="CH2951"/>
      <c r="CI2951"/>
      <c r="CU2951" s="21">
        <v>2946</v>
      </c>
      <c r="CV2951" s="41">
        <v>4</v>
      </c>
      <c r="CW2951" s="41">
        <v>0.11332468572476186</v>
      </c>
      <c r="CX2951" s="41" t="e">
        <v>#N/A</v>
      </c>
      <c r="CY2951" s="41" t="e">
        <v>#N/A</v>
      </c>
      <c r="CZ2951" s="47" t="e">
        <v>#N/A</v>
      </c>
      <c r="DA2951">
        <v>0.11332468572476186</v>
      </c>
      <c r="DB2951" t="str">
        <v/>
      </c>
    </row>
    <row r="2952" spans="83:106" x14ac:dyDescent="0.2">
      <c r="CE2952"/>
      <c r="CF2952"/>
      <c r="CG2952"/>
      <c r="CH2952"/>
      <c r="CI2952"/>
      <c r="CU2952" s="21">
        <v>2947</v>
      </c>
      <c r="CV2952" s="41">
        <v>4</v>
      </c>
      <c r="CW2952" s="41">
        <v>0.11332468572476186</v>
      </c>
      <c r="CX2952" s="41" t="e">
        <v>#N/A</v>
      </c>
      <c r="CY2952" s="41" t="e">
        <v>#N/A</v>
      </c>
      <c r="CZ2952" s="47" t="e">
        <v>#N/A</v>
      </c>
      <c r="DA2952">
        <v>0.11332468572476186</v>
      </c>
      <c r="DB2952" t="str">
        <v/>
      </c>
    </row>
    <row r="2953" spans="83:106" x14ac:dyDescent="0.2">
      <c r="CE2953"/>
      <c r="CF2953"/>
      <c r="CG2953"/>
      <c r="CH2953"/>
      <c r="CI2953"/>
      <c r="CU2953" s="21">
        <v>2948</v>
      </c>
      <c r="CV2953" s="41">
        <v>4</v>
      </c>
      <c r="CW2953" s="41">
        <v>0.11332468572476186</v>
      </c>
      <c r="CX2953" s="41" t="e">
        <v>#N/A</v>
      </c>
      <c r="CY2953" s="41" t="e">
        <v>#N/A</v>
      </c>
      <c r="CZ2953" s="47" t="e">
        <v>#N/A</v>
      </c>
      <c r="DA2953">
        <v>0.11332468572476186</v>
      </c>
      <c r="DB2953" t="str">
        <v/>
      </c>
    </row>
    <row r="2954" spans="83:106" x14ac:dyDescent="0.2">
      <c r="CE2954"/>
      <c r="CF2954"/>
      <c r="CG2954"/>
      <c r="CH2954"/>
      <c r="CI2954"/>
      <c r="CU2954" s="21">
        <v>2949</v>
      </c>
      <c r="CV2954" s="41">
        <v>4</v>
      </c>
      <c r="CW2954" s="41">
        <v>0.11332468572476186</v>
      </c>
      <c r="CX2954" s="41" t="e">
        <v>#N/A</v>
      </c>
      <c r="CY2954" s="41" t="e">
        <v>#N/A</v>
      </c>
      <c r="CZ2954" s="47" t="e">
        <v>#N/A</v>
      </c>
      <c r="DA2954">
        <v>0.11332468572476186</v>
      </c>
      <c r="DB2954" t="str">
        <v/>
      </c>
    </row>
    <row r="2955" spans="83:106" x14ac:dyDescent="0.2">
      <c r="CE2955"/>
      <c r="CF2955"/>
      <c r="CG2955"/>
      <c r="CH2955"/>
      <c r="CI2955"/>
      <c r="CU2955" s="21">
        <v>2950</v>
      </c>
      <c r="CV2955" s="41">
        <v>4</v>
      </c>
      <c r="CW2955" s="41">
        <v>0.11332468572476186</v>
      </c>
      <c r="CX2955" s="41" t="e">
        <v>#N/A</v>
      </c>
      <c r="CY2955" s="41" t="e">
        <v>#N/A</v>
      </c>
      <c r="CZ2955" s="47" t="e">
        <v>#N/A</v>
      </c>
      <c r="DA2955">
        <v>0.11332468572476186</v>
      </c>
      <c r="DB2955" t="str">
        <v/>
      </c>
    </row>
    <row r="2956" spans="83:106" x14ac:dyDescent="0.2">
      <c r="CE2956"/>
      <c r="CF2956"/>
      <c r="CG2956"/>
      <c r="CH2956"/>
      <c r="CI2956"/>
      <c r="CU2956" s="21">
        <v>2951</v>
      </c>
      <c r="CV2956" s="41">
        <v>4</v>
      </c>
      <c r="CW2956" s="41">
        <v>0.11332468572476186</v>
      </c>
      <c r="CX2956" s="41" t="e">
        <v>#N/A</v>
      </c>
      <c r="CY2956" s="41" t="e">
        <v>#N/A</v>
      </c>
      <c r="CZ2956" s="47" t="e">
        <v>#N/A</v>
      </c>
      <c r="DA2956">
        <v>0.11332468572476186</v>
      </c>
      <c r="DB2956" t="str">
        <v/>
      </c>
    </row>
    <row r="2957" spans="83:106" x14ac:dyDescent="0.2">
      <c r="CE2957"/>
      <c r="CF2957"/>
      <c r="CG2957"/>
      <c r="CH2957"/>
      <c r="CI2957"/>
      <c r="CU2957" s="21">
        <v>2952</v>
      </c>
      <c r="CV2957" s="41">
        <v>4</v>
      </c>
      <c r="CW2957" s="41">
        <v>0.11332468572476186</v>
      </c>
      <c r="CX2957" s="41" t="e">
        <v>#N/A</v>
      </c>
      <c r="CY2957" s="41" t="e">
        <v>#N/A</v>
      </c>
      <c r="CZ2957" s="47" t="e">
        <v>#N/A</v>
      </c>
      <c r="DA2957">
        <v>0.11332468572476186</v>
      </c>
      <c r="DB2957" t="str">
        <v/>
      </c>
    </row>
    <row r="2958" spans="83:106" x14ac:dyDescent="0.2">
      <c r="CE2958"/>
      <c r="CF2958"/>
      <c r="CG2958"/>
      <c r="CH2958"/>
      <c r="CI2958"/>
      <c r="CU2958" s="21">
        <v>2953</v>
      </c>
      <c r="CV2958" s="41">
        <v>4</v>
      </c>
      <c r="CW2958" s="41">
        <v>0.11332468572476186</v>
      </c>
      <c r="CX2958" s="41" t="e">
        <v>#N/A</v>
      </c>
      <c r="CY2958" s="41" t="e">
        <v>#N/A</v>
      </c>
      <c r="CZ2958" s="47" t="e">
        <v>#N/A</v>
      </c>
      <c r="DA2958">
        <v>0.11332468572476186</v>
      </c>
      <c r="DB2958" t="str">
        <v/>
      </c>
    </row>
    <row r="2959" spans="83:106" x14ac:dyDescent="0.2">
      <c r="CE2959"/>
      <c r="CF2959"/>
      <c r="CG2959"/>
      <c r="CH2959"/>
      <c r="CI2959"/>
      <c r="CU2959" s="21">
        <v>2954</v>
      </c>
      <c r="CV2959" s="41">
        <v>4</v>
      </c>
      <c r="CW2959" s="41">
        <v>0.11332468572476186</v>
      </c>
      <c r="CX2959" s="41" t="e">
        <v>#N/A</v>
      </c>
      <c r="CY2959" s="41" t="e">
        <v>#N/A</v>
      </c>
      <c r="CZ2959" s="47" t="e">
        <v>#N/A</v>
      </c>
      <c r="DA2959">
        <v>0.11332468572476186</v>
      </c>
      <c r="DB2959" t="str">
        <v/>
      </c>
    </row>
    <row r="2960" spans="83:106" x14ac:dyDescent="0.2">
      <c r="CE2960"/>
      <c r="CF2960"/>
      <c r="CG2960"/>
      <c r="CH2960"/>
      <c r="CI2960"/>
      <c r="CU2960" s="21">
        <v>2955</v>
      </c>
      <c r="CV2960" s="41">
        <v>4</v>
      </c>
      <c r="CW2960" s="41">
        <v>0.11332468572476186</v>
      </c>
      <c r="CX2960" s="41" t="e">
        <v>#N/A</v>
      </c>
      <c r="CY2960" s="41" t="e">
        <v>#N/A</v>
      </c>
      <c r="CZ2960" s="47" t="e">
        <v>#N/A</v>
      </c>
      <c r="DA2960">
        <v>0.11332468572476186</v>
      </c>
      <c r="DB2960" t="str">
        <v/>
      </c>
    </row>
    <row r="2961" spans="83:106" x14ac:dyDescent="0.2">
      <c r="CE2961"/>
      <c r="CF2961"/>
      <c r="CG2961"/>
      <c r="CH2961"/>
      <c r="CI2961"/>
      <c r="CU2961" s="21">
        <v>2956</v>
      </c>
      <c r="CV2961" s="41">
        <v>4</v>
      </c>
      <c r="CW2961" s="41">
        <v>0.11332468572476186</v>
      </c>
      <c r="CX2961" s="41" t="e">
        <v>#N/A</v>
      </c>
      <c r="CY2961" s="41" t="e">
        <v>#N/A</v>
      </c>
      <c r="CZ2961" s="47" t="e">
        <v>#N/A</v>
      </c>
      <c r="DA2961">
        <v>0.11332468572476186</v>
      </c>
      <c r="DB2961" t="str">
        <v/>
      </c>
    </row>
    <row r="2962" spans="83:106" x14ac:dyDescent="0.2">
      <c r="CE2962"/>
      <c r="CF2962"/>
      <c r="CG2962"/>
      <c r="CH2962"/>
      <c r="CI2962"/>
      <c r="CU2962" s="21">
        <v>2957</v>
      </c>
      <c r="CV2962" s="41">
        <v>4</v>
      </c>
      <c r="CW2962" s="41">
        <v>0.11332468572476186</v>
      </c>
      <c r="CX2962" s="41" t="e">
        <v>#N/A</v>
      </c>
      <c r="CY2962" s="41" t="e">
        <v>#N/A</v>
      </c>
      <c r="CZ2962" s="47" t="e">
        <v>#N/A</v>
      </c>
      <c r="DA2962">
        <v>0.11332468572476186</v>
      </c>
      <c r="DB2962" t="str">
        <v/>
      </c>
    </row>
    <row r="2963" spans="83:106" x14ac:dyDescent="0.2">
      <c r="CE2963"/>
      <c r="CF2963"/>
      <c r="CG2963"/>
      <c r="CH2963"/>
      <c r="CI2963"/>
      <c r="CU2963" s="21">
        <v>2958</v>
      </c>
      <c r="CV2963" s="41">
        <v>4</v>
      </c>
      <c r="CW2963" s="41">
        <v>0.11332468572476186</v>
      </c>
      <c r="CX2963" s="41" t="e">
        <v>#N/A</v>
      </c>
      <c r="CY2963" s="41" t="e">
        <v>#N/A</v>
      </c>
      <c r="CZ2963" s="47" t="e">
        <v>#N/A</v>
      </c>
      <c r="DA2963">
        <v>0.11332468572476186</v>
      </c>
      <c r="DB2963" t="str">
        <v/>
      </c>
    </row>
    <row r="2964" spans="83:106" x14ac:dyDescent="0.2">
      <c r="CE2964"/>
      <c r="CF2964"/>
      <c r="CG2964"/>
      <c r="CH2964"/>
      <c r="CI2964"/>
      <c r="CU2964" s="21">
        <v>2959</v>
      </c>
      <c r="CV2964" s="41">
        <v>4</v>
      </c>
      <c r="CW2964" s="41">
        <v>0.11332468572476186</v>
      </c>
      <c r="CX2964" s="41" t="e">
        <v>#N/A</v>
      </c>
      <c r="CY2964" s="41" t="e">
        <v>#N/A</v>
      </c>
      <c r="CZ2964" s="47" t="e">
        <v>#N/A</v>
      </c>
      <c r="DA2964">
        <v>0.11332468572476186</v>
      </c>
      <c r="DB2964" t="str">
        <v/>
      </c>
    </row>
    <row r="2965" spans="83:106" x14ac:dyDescent="0.2">
      <c r="CE2965"/>
      <c r="CF2965"/>
      <c r="CG2965"/>
      <c r="CH2965"/>
      <c r="CI2965"/>
      <c r="CU2965" s="21">
        <v>2960</v>
      </c>
      <c r="CV2965" s="41">
        <v>4</v>
      </c>
      <c r="CW2965" s="41">
        <v>0.11332468572476186</v>
      </c>
      <c r="CX2965" s="41" t="e">
        <v>#N/A</v>
      </c>
      <c r="CY2965" s="41" t="e">
        <v>#N/A</v>
      </c>
      <c r="CZ2965" s="47" t="e">
        <v>#N/A</v>
      </c>
      <c r="DA2965">
        <v>0.11332468572476186</v>
      </c>
      <c r="DB2965" t="str">
        <v/>
      </c>
    </row>
    <row r="2966" spans="83:106" x14ac:dyDescent="0.2">
      <c r="CE2966"/>
      <c r="CF2966"/>
      <c r="CG2966"/>
      <c r="CH2966"/>
      <c r="CI2966"/>
      <c r="CU2966" s="21">
        <v>2961</v>
      </c>
      <c r="CV2966" s="41">
        <v>4</v>
      </c>
      <c r="CW2966" s="41">
        <v>0.11332468572476186</v>
      </c>
      <c r="CX2966" s="41" t="e">
        <v>#N/A</v>
      </c>
      <c r="CY2966" s="41" t="e">
        <v>#N/A</v>
      </c>
      <c r="CZ2966" s="47" t="e">
        <v>#N/A</v>
      </c>
      <c r="DA2966">
        <v>0.11332468572476186</v>
      </c>
      <c r="DB2966" t="str">
        <v/>
      </c>
    </row>
    <row r="2967" spans="83:106" x14ac:dyDescent="0.2">
      <c r="CE2967"/>
      <c r="CF2967"/>
      <c r="CG2967"/>
      <c r="CH2967"/>
      <c r="CI2967"/>
      <c r="CU2967" s="21">
        <v>2962</v>
      </c>
      <c r="CV2967" s="41">
        <v>4</v>
      </c>
      <c r="CW2967" s="41">
        <v>0.11332468572476186</v>
      </c>
      <c r="CX2967" s="41" t="e">
        <v>#N/A</v>
      </c>
      <c r="CY2967" s="41" t="e">
        <v>#N/A</v>
      </c>
      <c r="CZ2967" s="47" t="e">
        <v>#N/A</v>
      </c>
      <c r="DA2967">
        <v>0.11332468572476186</v>
      </c>
      <c r="DB2967" t="str">
        <v/>
      </c>
    </row>
    <row r="2968" spans="83:106" x14ac:dyDescent="0.2">
      <c r="CE2968"/>
      <c r="CF2968"/>
      <c r="CG2968"/>
      <c r="CH2968"/>
      <c r="CI2968"/>
      <c r="CU2968" s="21">
        <v>2963</v>
      </c>
      <c r="CV2968" s="41">
        <v>4</v>
      </c>
      <c r="CW2968" s="41">
        <v>0.11332468572476186</v>
      </c>
      <c r="CX2968" s="41" t="e">
        <v>#N/A</v>
      </c>
      <c r="CY2968" s="41" t="e">
        <v>#N/A</v>
      </c>
      <c r="CZ2968" s="47" t="e">
        <v>#N/A</v>
      </c>
      <c r="DA2968">
        <v>0.11332468572476186</v>
      </c>
      <c r="DB2968" t="str">
        <v/>
      </c>
    </row>
    <row r="2969" spans="83:106" x14ac:dyDescent="0.2">
      <c r="CE2969"/>
      <c r="CF2969"/>
      <c r="CG2969"/>
      <c r="CH2969"/>
      <c r="CI2969"/>
      <c r="CU2969" s="21">
        <v>2964</v>
      </c>
      <c r="CV2969" s="41">
        <v>4</v>
      </c>
      <c r="CW2969" s="41">
        <v>0.11332468572476186</v>
      </c>
      <c r="CX2969" s="41" t="e">
        <v>#N/A</v>
      </c>
      <c r="CY2969" s="41" t="e">
        <v>#N/A</v>
      </c>
      <c r="CZ2969" s="47" t="e">
        <v>#N/A</v>
      </c>
      <c r="DA2969">
        <v>0.11332468572476186</v>
      </c>
      <c r="DB2969" t="str">
        <v/>
      </c>
    </row>
    <row r="2970" spans="83:106" x14ac:dyDescent="0.2">
      <c r="CE2970"/>
      <c r="CF2970"/>
      <c r="CG2970"/>
      <c r="CH2970"/>
      <c r="CI2970"/>
      <c r="CU2970" s="21">
        <v>2965</v>
      </c>
      <c r="CV2970" s="41">
        <v>4</v>
      </c>
      <c r="CW2970" s="41">
        <v>0.11332468572476186</v>
      </c>
      <c r="CX2970" s="41" t="e">
        <v>#N/A</v>
      </c>
      <c r="CY2970" s="41" t="e">
        <v>#N/A</v>
      </c>
      <c r="CZ2970" s="47" t="e">
        <v>#N/A</v>
      </c>
      <c r="DA2970">
        <v>0.11332468572476186</v>
      </c>
      <c r="DB2970" t="str">
        <v/>
      </c>
    </row>
    <row r="2971" spans="83:106" x14ac:dyDescent="0.2">
      <c r="CE2971"/>
      <c r="CF2971"/>
      <c r="CG2971"/>
      <c r="CH2971"/>
      <c r="CI2971"/>
      <c r="CU2971" s="21">
        <v>2966</v>
      </c>
      <c r="CV2971" s="41">
        <v>4</v>
      </c>
      <c r="CW2971" s="41">
        <v>0.11332468572476186</v>
      </c>
      <c r="CX2971" s="41" t="e">
        <v>#N/A</v>
      </c>
      <c r="CY2971" s="41" t="e">
        <v>#N/A</v>
      </c>
      <c r="CZ2971" s="47" t="e">
        <v>#N/A</v>
      </c>
      <c r="DA2971">
        <v>0.11332468572476186</v>
      </c>
      <c r="DB2971" t="str">
        <v/>
      </c>
    </row>
    <row r="2972" spans="83:106" x14ac:dyDescent="0.2">
      <c r="CE2972"/>
      <c r="CF2972"/>
      <c r="CG2972"/>
      <c r="CH2972"/>
      <c r="CI2972"/>
      <c r="CU2972" s="21">
        <v>2967</v>
      </c>
      <c r="CV2972" s="41">
        <v>4</v>
      </c>
      <c r="CW2972" s="41">
        <v>0.11332468572476186</v>
      </c>
      <c r="CX2972" s="41" t="e">
        <v>#N/A</v>
      </c>
      <c r="CY2972" s="41" t="e">
        <v>#N/A</v>
      </c>
      <c r="CZ2972" s="47" t="e">
        <v>#N/A</v>
      </c>
      <c r="DA2972">
        <v>0.11332468572476186</v>
      </c>
      <c r="DB2972" t="str">
        <v/>
      </c>
    </row>
    <row r="2973" spans="83:106" x14ac:dyDescent="0.2">
      <c r="CE2973"/>
      <c r="CF2973"/>
      <c r="CG2973"/>
      <c r="CH2973"/>
      <c r="CI2973"/>
      <c r="CU2973" s="21">
        <v>2968</v>
      </c>
      <c r="CV2973" s="41">
        <v>4</v>
      </c>
      <c r="CW2973" s="41">
        <v>0.11332468572476186</v>
      </c>
      <c r="CX2973" s="41" t="e">
        <v>#N/A</v>
      </c>
      <c r="CY2973" s="41" t="e">
        <v>#N/A</v>
      </c>
      <c r="CZ2973" s="47" t="e">
        <v>#N/A</v>
      </c>
      <c r="DA2973">
        <v>0.11332468572476186</v>
      </c>
      <c r="DB2973" t="str">
        <v/>
      </c>
    </row>
    <row r="2974" spans="83:106" x14ac:dyDescent="0.2">
      <c r="CE2974"/>
      <c r="CF2974"/>
      <c r="CG2974"/>
      <c r="CH2974"/>
      <c r="CI2974"/>
      <c r="CU2974" s="21">
        <v>2969</v>
      </c>
      <c r="CV2974" s="41">
        <v>4</v>
      </c>
      <c r="CW2974" s="41">
        <v>0.11332468572476186</v>
      </c>
      <c r="CX2974" s="41" t="e">
        <v>#N/A</v>
      </c>
      <c r="CY2974" s="41" t="e">
        <v>#N/A</v>
      </c>
      <c r="CZ2974" s="47" t="e">
        <v>#N/A</v>
      </c>
      <c r="DA2974">
        <v>0.11332468572476186</v>
      </c>
      <c r="DB2974" t="str">
        <v/>
      </c>
    </row>
    <row r="2975" spans="83:106" x14ac:dyDescent="0.2">
      <c r="CE2975"/>
      <c r="CF2975"/>
      <c r="CG2975"/>
      <c r="CH2975"/>
      <c r="CI2975"/>
      <c r="CU2975" s="21">
        <v>2970</v>
      </c>
      <c r="CV2975" s="41">
        <v>4</v>
      </c>
      <c r="CW2975" s="41">
        <v>0.11332468572476186</v>
      </c>
      <c r="CX2975" s="41" t="e">
        <v>#N/A</v>
      </c>
      <c r="CY2975" s="41" t="e">
        <v>#N/A</v>
      </c>
      <c r="CZ2975" s="47" t="e">
        <v>#N/A</v>
      </c>
      <c r="DA2975">
        <v>0.11332468572476186</v>
      </c>
      <c r="DB2975" t="str">
        <v/>
      </c>
    </row>
    <row r="2976" spans="83:106" x14ac:dyDescent="0.2">
      <c r="CE2976"/>
      <c r="CF2976"/>
      <c r="CG2976"/>
      <c r="CH2976"/>
      <c r="CI2976"/>
      <c r="CU2976" s="21">
        <v>2971</v>
      </c>
      <c r="CV2976" s="41">
        <v>4</v>
      </c>
      <c r="CW2976" s="41">
        <v>0.11332468572476186</v>
      </c>
      <c r="CX2976" s="41" t="e">
        <v>#N/A</v>
      </c>
      <c r="CY2976" s="41" t="e">
        <v>#N/A</v>
      </c>
      <c r="CZ2976" s="47" t="e">
        <v>#N/A</v>
      </c>
      <c r="DA2976">
        <v>0.11332468572476186</v>
      </c>
      <c r="DB2976" t="str">
        <v/>
      </c>
    </row>
    <row r="2977" spans="83:106" x14ac:dyDescent="0.2">
      <c r="CE2977"/>
      <c r="CF2977"/>
      <c r="CG2977"/>
      <c r="CH2977"/>
      <c r="CI2977"/>
      <c r="CU2977" s="21">
        <v>2972</v>
      </c>
      <c r="CV2977" s="41">
        <v>4</v>
      </c>
      <c r="CW2977" s="41">
        <v>0.11332468572476186</v>
      </c>
      <c r="CX2977" s="41" t="e">
        <v>#N/A</v>
      </c>
      <c r="CY2977" s="41" t="e">
        <v>#N/A</v>
      </c>
      <c r="CZ2977" s="47" t="e">
        <v>#N/A</v>
      </c>
      <c r="DA2977">
        <v>0.11332468572476186</v>
      </c>
      <c r="DB2977" t="str">
        <v/>
      </c>
    </row>
    <row r="2978" spans="83:106" x14ac:dyDescent="0.2">
      <c r="CE2978"/>
      <c r="CF2978"/>
      <c r="CG2978"/>
      <c r="CH2978"/>
      <c r="CI2978"/>
      <c r="CU2978" s="21">
        <v>2973</v>
      </c>
      <c r="CV2978" s="41">
        <v>4</v>
      </c>
      <c r="CW2978" s="41">
        <v>0.11332468572476186</v>
      </c>
      <c r="CX2978" s="41" t="e">
        <v>#N/A</v>
      </c>
      <c r="CY2978" s="41" t="e">
        <v>#N/A</v>
      </c>
      <c r="CZ2978" s="47" t="e">
        <v>#N/A</v>
      </c>
      <c r="DA2978">
        <v>0.11332468572476186</v>
      </c>
      <c r="DB2978" t="str">
        <v/>
      </c>
    </row>
    <row r="2979" spans="83:106" x14ac:dyDescent="0.2">
      <c r="CE2979"/>
      <c r="CF2979"/>
      <c r="CG2979"/>
      <c r="CH2979"/>
      <c r="CI2979"/>
      <c r="CU2979" s="21">
        <v>2974</v>
      </c>
      <c r="CV2979" s="41">
        <v>4</v>
      </c>
      <c r="CW2979" s="41">
        <v>0.11332468572476186</v>
      </c>
      <c r="CX2979" s="41" t="e">
        <v>#N/A</v>
      </c>
      <c r="CY2979" s="41" t="e">
        <v>#N/A</v>
      </c>
      <c r="CZ2979" s="47" t="e">
        <v>#N/A</v>
      </c>
      <c r="DA2979">
        <v>0.11332468572476186</v>
      </c>
      <c r="DB2979" t="str">
        <v/>
      </c>
    </row>
    <row r="2980" spans="83:106" x14ac:dyDescent="0.2">
      <c r="CE2980"/>
      <c r="CF2980"/>
      <c r="CG2980"/>
      <c r="CH2980"/>
      <c r="CI2980"/>
      <c r="CU2980" s="21">
        <v>2975</v>
      </c>
      <c r="CV2980" s="41">
        <v>4</v>
      </c>
      <c r="CW2980" s="41">
        <v>0.11332468572476186</v>
      </c>
      <c r="CX2980" s="41" t="e">
        <v>#N/A</v>
      </c>
      <c r="CY2980" s="41" t="e">
        <v>#N/A</v>
      </c>
      <c r="CZ2980" s="47" t="e">
        <v>#N/A</v>
      </c>
      <c r="DA2980">
        <v>0.11332468572476186</v>
      </c>
      <c r="DB2980" t="str">
        <v/>
      </c>
    </row>
    <row r="2981" spans="83:106" x14ac:dyDescent="0.2">
      <c r="CE2981"/>
      <c r="CF2981"/>
      <c r="CG2981"/>
      <c r="CH2981"/>
      <c r="CI2981"/>
      <c r="CU2981" s="21">
        <v>2976</v>
      </c>
      <c r="CV2981" s="41">
        <v>4</v>
      </c>
      <c r="CW2981" s="41">
        <v>0.11332468572476186</v>
      </c>
      <c r="CX2981" s="41" t="e">
        <v>#N/A</v>
      </c>
      <c r="CY2981" s="41" t="e">
        <v>#N/A</v>
      </c>
      <c r="CZ2981" s="47" t="e">
        <v>#N/A</v>
      </c>
      <c r="DA2981">
        <v>0.11332468572476186</v>
      </c>
      <c r="DB2981" t="str">
        <v/>
      </c>
    </row>
    <row r="2982" spans="83:106" x14ac:dyDescent="0.2">
      <c r="CE2982"/>
      <c r="CF2982"/>
      <c r="CG2982"/>
      <c r="CH2982"/>
      <c r="CI2982"/>
      <c r="CU2982" s="21">
        <v>2977</v>
      </c>
      <c r="CV2982" s="41">
        <v>4</v>
      </c>
      <c r="CW2982" s="41">
        <v>0.11332468572476186</v>
      </c>
      <c r="CX2982" s="41" t="e">
        <v>#N/A</v>
      </c>
      <c r="CY2982" s="41" t="e">
        <v>#N/A</v>
      </c>
      <c r="CZ2982" s="47" t="e">
        <v>#N/A</v>
      </c>
      <c r="DA2982">
        <v>0.11332468572476186</v>
      </c>
      <c r="DB2982" t="str">
        <v/>
      </c>
    </row>
    <row r="2983" spans="83:106" x14ac:dyDescent="0.2">
      <c r="CE2983"/>
      <c r="CF2983"/>
      <c r="CG2983"/>
      <c r="CH2983"/>
      <c r="CI2983"/>
      <c r="CU2983" s="21">
        <v>2978</v>
      </c>
      <c r="CV2983" s="41">
        <v>4</v>
      </c>
      <c r="CW2983" s="41">
        <v>0.11332468572476186</v>
      </c>
      <c r="CX2983" s="41" t="e">
        <v>#N/A</v>
      </c>
      <c r="CY2983" s="41" t="e">
        <v>#N/A</v>
      </c>
      <c r="CZ2983" s="47" t="e">
        <v>#N/A</v>
      </c>
      <c r="DA2983">
        <v>0.11332468572476186</v>
      </c>
      <c r="DB2983" t="str">
        <v/>
      </c>
    </row>
    <row r="2984" spans="83:106" x14ac:dyDescent="0.2">
      <c r="CE2984"/>
      <c r="CF2984"/>
      <c r="CG2984"/>
      <c r="CH2984"/>
      <c r="CI2984"/>
      <c r="CU2984" s="21">
        <v>2979</v>
      </c>
      <c r="CV2984" s="41">
        <v>4</v>
      </c>
      <c r="CW2984" s="41">
        <v>0.11332468572476186</v>
      </c>
      <c r="CX2984" s="41" t="e">
        <v>#N/A</v>
      </c>
      <c r="CY2984" s="41" t="e">
        <v>#N/A</v>
      </c>
      <c r="CZ2984" s="47" t="e">
        <v>#N/A</v>
      </c>
      <c r="DA2984">
        <v>0.11332468572476186</v>
      </c>
      <c r="DB2984" t="str">
        <v/>
      </c>
    </row>
    <row r="2985" spans="83:106" x14ac:dyDescent="0.2">
      <c r="CE2985"/>
      <c r="CF2985"/>
      <c r="CG2985"/>
      <c r="CH2985"/>
      <c r="CI2985"/>
      <c r="CU2985" s="21">
        <v>2980</v>
      </c>
      <c r="CV2985" s="41">
        <v>4</v>
      </c>
      <c r="CW2985" s="41">
        <v>0.11332468572476186</v>
      </c>
      <c r="CX2985" s="41" t="e">
        <v>#N/A</v>
      </c>
      <c r="CY2985" s="41" t="e">
        <v>#N/A</v>
      </c>
      <c r="CZ2985" s="47" t="e">
        <v>#N/A</v>
      </c>
      <c r="DA2985">
        <v>0.11332468572476186</v>
      </c>
      <c r="DB2985" t="str">
        <v/>
      </c>
    </row>
    <row r="2986" spans="83:106" x14ac:dyDescent="0.2">
      <c r="CE2986"/>
      <c r="CF2986"/>
      <c r="CG2986"/>
      <c r="CH2986"/>
      <c r="CI2986"/>
      <c r="CU2986" s="21">
        <v>2981</v>
      </c>
      <c r="CV2986" s="41">
        <v>4</v>
      </c>
      <c r="CW2986" s="41">
        <v>0.11332468572476186</v>
      </c>
      <c r="CX2986" s="41" t="e">
        <v>#N/A</v>
      </c>
      <c r="CY2986" s="41" t="e">
        <v>#N/A</v>
      </c>
      <c r="CZ2986" s="47" t="e">
        <v>#N/A</v>
      </c>
      <c r="DA2986">
        <v>0.11332468572476186</v>
      </c>
      <c r="DB2986" t="str">
        <v/>
      </c>
    </row>
    <row r="2987" spans="83:106" x14ac:dyDescent="0.2">
      <c r="CE2987"/>
      <c r="CF2987"/>
      <c r="CG2987"/>
      <c r="CH2987"/>
      <c r="CI2987"/>
      <c r="CU2987" s="21">
        <v>2982</v>
      </c>
      <c r="CV2987" s="41">
        <v>4</v>
      </c>
      <c r="CW2987" s="41">
        <v>0.11332468572476186</v>
      </c>
      <c r="CX2987" s="41" t="e">
        <v>#N/A</v>
      </c>
      <c r="CY2987" s="41" t="e">
        <v>#N/A</v>
      </c>
      <c r="CZ2987" s="47" t="e">
        <v>#N/A</v>
      </c>
      <c r="DA2987">
        <v>0.11332468572476186</v>
      </c>
      <c r="DB2987" t="str">
        <v/>
      </c>
    </row>
    <row r="2988" spans="83:106" x14ac:dyDescent="0.2">
      <c r="CE2988"/>
      <c r="CF2988"/>
      <c r="CG2988"/>
      <c r="CH2988"/>
      <c r="CI2988"/>
      <c r="CU2988" s="21">
        <v>2983</v>
      </c>
      <c r="CV2988" s="41">
        <v>4</v>
      </c>
      <c r="CW2988" s="41">
        <v>0.11332468572476186</v>
      </c>
      <c r="CX2988" s="41" t="e">
        <v>#N/A</v>
      </c>
      <c r="CY2988" s="41" t="e">
        <v>#N/A</v>
      </c>
      <c r="CZ2988" s="47" t="e">
        <v>#N/A</v>
      </c>
      <c r="DA2988">
        <v>0.11332468572476186</v>
      </c>
      <c r="DB2988" t="str">
        <v/>
      </c>
    </row>
    <row r="2989" spans="83:106" x14ac:dyDescent="0.2">
      <c r="CE2989"/>
      <c r="CF2989"/>
      <c r="CG2989"/>
      <c r="CH2989"/>
      <c r="CI2989"/>
      <c r="CU2989" s="21">
        <v>2984</v>
      </c>
      <c r="CV2989" s="41">
        <v>4</v>
      </c>
      <c r="CW2989" s="41">
        <v>0.11332468572476186</v>
      </c>
      <c r="CX2989" s="41" t="e">
        <v>#N/A</v>
      </c>
      <c r="CY2989" s="41" t="e">
        <v>#N/A</v>
      </c>
      <c r="CZ2989" s="47" t="e">
        <v>#N/A</v>
      </c>
      <c r="DA2989">
        <v>0.11332468572476186</v>
      </c>
      <c r="DB2989" t="str">
        <v/>
      </c>
    </row>
    <row r="2990" spans="83:106" x14ac:dyDescent="0.2">
      <c r="CE2990"/>
      <c r="CF2990"/>
      <c r="CG2990"/>
      <c r="CH2990"/>
      <c r="CI2990"/>
      <c r="CU2990" s="21">
        <v>2985</v>
      </c>
      <c r="CV2990" s="41">
        <v>4</v>
      </c>
      <c r="CW2990" s="41">
        <v>0.11332468572476186</v>
      </c>
      <c r="CX2990" s="41" t="e">
        <v>#N/A</v>
      </c>
      <c r="CY2990" s="41" t="e">
        <v>#N/A</v>
      </c>
      <c r="CZ2990" s="47" t="e">
        <v>#N/A</v>
      </c>
      <c r="DA2990">
        <v>0.11332468572476186</v>
      </c>
      <c r="DB2990" t="str">
        <v/>
      </c>
    </row>
    <row r="2991" spans="83:106" x14ac:dyDescent="0.2">
      <c r="CE2991"/>
      <c r="CF2991"/>
      <c r="CG2991"/>
      <c r="CH2991"/>
      <c r="CI2991"/>
      <c r="CU2991" s="21">
        <v>2986</v>
      </c>
      <c r="CV2991" s="41">
        <v>4</v>
      </c>
      <c r="CW2991" s="41">
        <v>0.11332468572476186</v>
      </c>
      <c r="CX2991" s="41" t="e">
        <v>#N/A</v>
      </c>
      <c r="CY2991" s="41" t="e">
        <v>#N/A</v>
      </c>
      <c r="CZ2991" s="47" t="e">
        <v>#N/A</v>
      </c>
      <c r="DA2991">
        <v>0.11332468572476186</v>
      </c>
      <c r="DB2991" t="str">
        <v/>
      </c>
    </row>
    <row r="2992" spans="83:106" x14ac:dyDescent="0.2">
      <c r="CE2992"/>
      <c r="CF2992"/>
      <c r="CG2992"/>
      <c r="CH2992"/>
      <c r="CI2992"/>
      <c r="CU2992" s="21">
        <v>2987</v>
      </c>
      <c r="CV2992" s="41">
        <v>4</v>
      </c>
      <c r="CW2992" s="41">
        <v>0.11332468572476186</v>
      </c>
      <c r="CX2992" s="41" t="e">
        <v>#N/A</v>
      </c>
      <c r="CY2992" s="41" t="e">
        <v>#N/A</v>
      </c>
      <c r="CZ2992" s="47" t="e">
        <v>#N/A</v>
      </c>
      <c r="DA2992">
        <v>0.11332468572476186</v>
      </c>
      <c r="DB2992" t="str">
        <v/>
      </c>
    </row>
    <row r="2993" spans="83:106" x14ac:dyDescent="0.2">
      <c r="CE2993"/>
      <c r="CF2993"/>
      <c r="CG2993"/>
      <c r="CH2993"/>
      <c r="CI2993"/>
      <c r="CU2993" s="21">
        <v>2988</v>
      </c>
      <c r="CV2993" s="41">
        <v>4</v>
      </c>
      <c r="CW2993" s="41">
        <v>0.11332468572476186</v>
      </c>
      <c r="CX2993" s="41" t="e">
        <v>#N/A</v>
      </c>
      <c r="CY2993" s="41" t="e">
        <v>#N/A</v>
      </c>
      <c r="CZ2993" s="47" t="e">
        <v>#N/A</v>
      </c>
      <c r="DA2993">
        <v>0.11332468572476186</v>
      </c>
      <c r="DB2993" t="str">
        <v/>
      </c>
    </row>
    <row r="2994" spans="83:106" x14ac:dyDescent="0.2">
      <c r="CE2994"/>
      <c r="CF2994"/>
      <c r="CG2994"/>
      <c r="CH2994"/>
      <c r="CI2994"/>
      <c r="CU2994" s="21">
        <v>2989</v>
      </c>
      <c r="CV2994" s="41">
        <v>4</v>
      </c>
      <c r="CW2994" s="41">
        <v>0.11332468572476186</v>
      </c>
      <c r="CX2994" s="41" t="e">
        <v>#N/A</v>
      </c>
      <c r="CY2994" s="41" t="e">
        <v>#N/A</v>
      </c>
      <c r="CZ2994" s="47" t="e">
        <v>#N/A</v>
      </c>
      <c r="DA2994">
        <v>0.11332468572476186</v>
      </c>
      <c r="DB2994" t="str">
        <v/>
      </c>
    </row>
    <row r="2995" spans="83:106" x14ac:dyDescent="0.2">
      <c r="CE2995"/>
      <c r="CF2995"/>
      <c r="CG2995"/>
      <c r="CH2995"/>
      <c r="CI2995"/>
      <c r="CU2995" s="21">
        <v>2990</v>
      </c>
      <c r="CV2995" s="41">
        <v>4</v>
      </c>
      <c r="CW2995" s="41">
        <v>0.11332468572476186</v>
      </c>
      <c r="CX2995" s="41" t="e">
        <v>#N/A</v>
      </c>
      <c r="CY2995" s="41" t="e">
        <v>#N/A</v>
      </c>
      <c r="CZ2995" s="47" t="e">
        <v>#N/A</v>
      </c>
      <c r="DA2995">
        <v>0.11332468572476186</v>
      </c>
      <c r="DB2995" t="str">
        <v/>
      </c>
    </row>
    <row r="2996" spans="83:106" x14ac:dyDescent="0.2">
      <c r="CE2996"/>
      <c r="CF2996"/>
      <c r="CG2996"/>
      <c r="CH2996"/>
      <c r="CI2996"/>
      <c r="CU2996" s="21">
        <v>2991</v>
      </c>
      <c r="CV2996" s="41">
        <v>4</v>
      </c>
      <c r="CW2996" s="41">
        <v>0.11332468572476186</v>
      </c>
      <c r="CX2996" s="41" t="e">
        <v>#N/A</v>
      </c>
      <c r="CY2996" s="41" t="e">
        <v>#N/A</v>
      </c>
      <c r="CZ2996" s="47" t="e">
        <v>#N/A</v>
      </c>
      <c r="DA2996">
        <v>0.11332468572476186</v>
      </c>
      <c r="DB2996" t="str">
        <v/>
      </c>
    </row>
    <row r="2997" spans="83:106" x14ac:dyDescent="0.2">
      <c r="CE2997"/>
      <c r="CF2997"/>
      <c r="CG2997"/>
      <c r="CH2997"/>
      <c r="CI2997"/>
      <c r="CU2997" s="21">
        <v>2992</v>
      </c>
      <c r="CV2997" s="41">
        <v>4</v>
      </c>
      <c r="CW2997" s="41">
        <v>0.11332468572476186</v>
      </c>
      <c r="CX2997" s="41" t="e">
        <v>#N/A</v>
      </c>
      <c r="CY2997" s="41" t="e">
        <v>#N/A</v>
      </c>
      <c r="CZ2997" s="47" t="e">
        <v>#N/A</v>
      </c>
      <c r="DA2997">
        <v>0.11332468572476186</v>
      </c>
      <c r="DB2997" t="str">
        <v/>
      </c>
    </row>
    <row r="2998" spans="83:106" x14ac:dyDescent="0.2">
      <c r="CE2998"/>
      <c r="CF2998"/>
      <c r="CG2998"/>
      <c r="CH2998"/>
      <c r="CI2998"/>
      <c r="CU2998" s="21">
        <v>2993</v>
      </c>
      <c r="CV2998" s="41">
        <v>4</v>
      </c>
      <c r="CW2998" s="41">
        <v>0.11332468572476186</v>
      </c>
      <c r="CX2998" s="41" t="e">
        <v>#N/A</v>
      </c>
      <c r="CY2998" s="41" t="e">
        <v>#N/A</v>
      </c>
      <c r="CZ2998" s="47" t="e">
        <v>#N/A</v>
      </c>
      <c r="DA2998">
        <v>0.11332468572476186</v>
      </c>
      <c r="DB2998" t="str">
        <v/>
      </c>
    </row>
    <row r="2999" spans="83:106" x14ac:dyDescent="0.2">
      <c r="CE2999"/>
      <c r="CF2999"/>
      <c r="CG2999"/>
      <c r="CH2999"/>
      <c r="CI2999"/>
      <c r="CU2999" s="21">
        <v>2994</v>
      </c>
      <c r="CV2999" s="41">
        <v>4</v>
      </c>
      <c r="CW2999" s="41">
        <v>0.11332468572476186</v>
      </c>
      <c r="CX2999" s="41" t="e">
        <v>#N/A</v>
      </c>
      <c r="CY2999" s="41" t="e">
        <v>#N/A</v>
      </c>
      <c r="CZ2999" s="47" t="e">
        <v>#N/A</v>
      </c>
      <c r="DA2999">
        <v>0.11332468572476186</v>
      </c>
      <c r="DB2999" t="str">
        <v/>
      </c>
    </row>
    <row r="3000" spans="83:106" x14ac:dyDescent="0.2">
      <c r="CE3000"/>
      <c r="CF3000"/>
      <c r="CG3000"/>
      <c r="CH3000"/>
      <c r="CI3000"/>
      <c r="CU3000" s="21">
        <v>2995</v>
      </c>
      <c r="CV3000" s="41">
        <v>4</v>
      </c>
      <c r="CW3000" s="41">
        <v>0.11332468572476186</v>
      </c>
      <c r="CX3000" s="41" t="e">
        <v>#N/A</v>
      </c>
      <c r="CY3000" s="41" t="e">
        <v>#N/A</v>
      </c>
      <c r="CZ3000" s="47" t="e">
        <v>#N/A</v>
      </c>
      <c r="DA3000">
        <v>0.11332468572476186</v>
      </c>
      <c r="DB3000" t="str">
        <v/>
      </c>
    </row>
    <row r="3001" spans="83:106" x14ac:dyDescent="0.2">
      <c r="CE3001"/>
      <c r="CF3001"/>
      <c r="CG3001"/>
      <c r="CH3001"/>
      <c r="CI3001"/>
      <c r="CU3001" s="21">
        <v>2996</v>
      </c>
      <c r="CV3001" s="41">
        <v>4</v>
      </c>
      <c r="CW3001" s="41">
        <v>0.11332468572476186</v>
      </c>
      <c r="CX3001" s="41" t="e">
        <v>#N/A</v>
      </c>
      <c r="CY3001" s="41" t="e">
        <v>#N/A</v>
      </c>
      <c r="CZ3001" s="47" t="e">
        <v>#N/A</v>
      </c>
      <c r="DA3001">
        <v>0.11332468572476186</v>
      </c>
      <c r="DB3001" t="str">
        <v/>
      </c>
    </row>
    <row r="3002" spans="83:106" x14ac:dyDescent="0.2">
      <c r="CE3002"/>
      <c r="CF3002"/>
      <c r="CG3002"/>
      <c r="CH3002"/>
      <c r="CI3002"/>
      <c r="CU3002" s="21">
        <v>2997</v>
      </c>
      <c r="CV3002" s="41">
        <v>4</v>
      </c>
      <c r="CW3002" s="41">
        <v>0.11332468572476186</v>
      </c>
      <c r="CX3002" s="41" t="e">
        <v>#N/A</v>
      </c>
      <c r="CY3002" s="41" t="e">
        <v>#N/A</v>
      </c>
      <c r="CZ3002" s="47" t="e">
        <v>#N/A</v>
      </c>
      <c r="DA3002">
        <v>0.11332468572476186</v>
      </c>
      <c r="DB3002" t="str">
        <v/>
      </c>
    </row>
    <row r="3003" spans="83:106" x14ac:dyDescent="0.2">
      <c r="CE3003"/>
      <c r="CF3003"/>
      <c r="CG3003"/>
      <c r="CH3003"/>
      <c r="CI3003"/>
      <c r="CU3003" s="21">
        <v>2998</v>
      </c>
      <c r="CV3003" s="41">
        <v>4</v>
      </c>
      <c r="CW3003" s="41">
        <v>0.11332468572476186</v>
      </c>
      <c r="CX3003" s="41" t="e">
        <v>#N/A</v>
      </c>
      <c r="CY3003" s="41" t="e">
        <v>#N/A</v>
      </c>
      <c r="CZ3003" s="47" t="e">
        <v>#N/A</v>
      </c>
      <c r="DA3003">
        <v>0.11332468572476186</v>
      </c>
      <c r="DB3003" t="str">
        <v/>
      </c>
    </row>
    <row r="3004" spans="83:106" x14ac:dyDescent="0.2">
      <c r="CE3004"/>
      <c r="CF3004"/>
      <c r="CG3004"/>
      <c r="CH3004"/>
      <c r="CI3004"/>
      <c r="CU3004" s="21">
        <v>2999</v>
      </c>
      <c r="CV3004" s="41">
        <v>4</v>
      </c>
      <c r="CW3004" s="41">
        <v>0.11332468572476186</v>
      </c>
      <c r="CX3004" s="41" t="e">
        <v>#N/A</v>
      </c>
      <c r="CY3004" s="41" t="e">
        <v>#N/A</v>
      </c>
      <c r="CZ3004" s="47" t="e">
        <v>#N/A</v>
      </c>
      <c r="DA3004">
        <v>0.11332468572476186</v>
      </c>
      <c r="DB3004" t="str">
        <v/>
      </c>
    </row>
    <row r="3005" spans="83:106" x14ac:dyDescent="0.2">
      <c r="CE3005"/>
      <c r="CF3005"/>
      <c r="CG3005"/>
      <c r="CH3005"/>
      <c r="CI3005"/>
      <c r="CU3005" s="21">
        <v>3000</v>
      </c>
      <c r="CV3005" s="41">
        <v>4</v>
      </c>
      <c r="CW3005" s="41">
        <v>0.11332468572476186</v>
      </c>
      <c r="CX3005" s="41" t="e">
        <v>#N/A</v>
      </c>
      <c r="CY3005" s="41" t="e">
        <v>#N/A</v>
      </c>
      <c r="CZ3005" s="47" t="e">
        <v>#N/A</v>
      </c>
      <c r="DA3005">
        <v>0.11332468572476186</v>
      </c>
      <c r="DB3005" t="str">
        <v/>
      </c>
    </row>
    <row r="3006" spans="83:106" x14ac:dyDescent="0.2">
      <c r="CE3006"/>
      <c r="CF3006"/>
      <c r="CG3006"/>
      <c r="CH3006"/>
      <c r="CI3006"/>
      <c r="CU3006" s="21">
        <v>3001</v>
      </c>
      <c r="CV3006" s="41">
        <v>4</v>
      </c>
      <c r="CW3006" s="41">
        <v>0.11332468572476186</v>
      </c>
      <c r="CX3006" s="41" t="e">
        <v>#N/A</v>
      </c>
      <c r="CY3006" s="41" t="e">
        <v>#N/A</v>
      </c>
      <c r="CZ3006" s="47" t="e">
        <v>#N/A</v>
      </c>
      <c r="DA3006">
        <v>0.11332468572476186</v>
      </c>
      <c r="DB3006" t="str">
        <v/>
      </c>
    </row>
    <row r="3007" spans="83:106" x14ac:dyDescent="0.2">
      <c r="CE3007"/>
      <c r="CF3007"/>
      <c r="CG3007"/>
      <c r="CH3007"/>
      <c r="CI3007"/>
      <c r="CU3007" s="21">
        <v>3002</v>
      </c>
      <c r="CV3007" s="41">
        <v>4</v>
      </c>
      <c r="CW3007" s="41">
        <v>0.11332468572476186</v>
      </c>
      <c r="CX3007" s="41" t="e">
        <v>#N/A</v>
      </c>
      <c r="CY3007" s="41" t="e">
        <v>#N/A</v>
      </c>
      <c r="CZ3007" s="47" t="e">
        <v>#N/A</v>
      </c>
      <c r="DA3007">
        <v>0.11332468572476186</v>
      </c>
      <c r="DB3007" t="str">
        <v/>
      </c>
    </row>
    <row r="3008" spans="83:106" x14ac:dyDescent="0.2">
      <c r="CE3008"/>
      <c r="CF3008"/>
      <c r="CG3008"/>
      <c r="CH3008"/>
      <c r="CI3008"/>
      <c r="CU3008" s="21">
        <v>3003</v>
      </c>
      <c r="CV3008" s="41">
        <v>4</v>
      </c>
      <c r="CW3008" s="41">
        <v>0.11332468572476186</v>
      </c>
      <c r="CX3008" s="41" t="e">
        <v>#N/A</v>
      </c>
      <c r="CY3008" s="41" t="e">
        <v>#N/A</v>
      </c>
      <c r="CZ3008" s="47" t="e">
        <v>#N/A</v>
      </c>
      <c r="DA3008">
        <v>0.11332468572476186</v>
      </c>
      <c r="DB3008" t="str">
        <v/>
      </c>
    </row>
    <row r="3009" spans="83:106" x14ac:dyDescent="0.2">
      <c r="CE3009"/>
      <c r="CF3009"/>
      <c r="CG3009"/>
      <c r="CH3009"/>
      <c r="CI3009"/>
      <c r="CU3009" s="21">
        <v>3004</v>
      </c>
      <c r="CV3009" s="41">
        <v>4</v>
      </c>
      <c r="CW3009" s="41">
        <v>0.11332468572476186</v>
      </c>
      <c r="CX3009" s="41" t="e">
        <v>#N/A</v>
      </c>
      <c r="CY3009" s="41" t="e">
        <v>#N/A</v>
      </c>
      <c r="CZ3009" s="47" t="e">
        <v>#N/A</v>
      </c>
      <c r="DA3009">
        <v>0.11332468572476186</v>
      </c>
      <c r="DB3009" t="str">
        <v/>
      </c>
    </row>
    <row r="3010" spans="83:106" x14ac:dyDescent="0.2">
      <c r="CE3010"/>
      <c r="CF3010"/>
      <c r="CG3010"/>
      <c r="CH3010"/>
      <c r="CI3010"/>
      <c r="CU3010" s="21">
        <v>3005</v>
      </c>
      <c r="CV3010" s="41">
        <v>4</v>
      </c>
      <c r="CW3010" s="41">
        <v>0.11332468572476186</v>
      </c>
      <c r="CX3010" s="41" t="e">
        <v>#N/A</v>
      </c>
      <c r="CY3010" s="41" t="e">
        <v>#N/A</v>
      </c>
      <c r="CZ3010" s="47" t="e">
        <v>#N/A</v>
      </c>
      <c r="DA3010">
        <v>0.11332468572476186</v>
      </c>
      <c r="DB3010" t="str">
        <v/>
      </c>
    </row>
    <row r="3011" spans="83:106" x14ac:dyDescent="0.2">
      <c r="CE3011"/>
      <c r="CF3011"/>
      <c r="CG3011"/>
      <c r="CH3011"/>
      <c r="CI3011"/>
      <c r="CU3011" s="21">
        <v>3006</v>
      </c>
      <c r="CV3011" s="41">
        <v>4</v>
      </c>
      <c r="CW3011" s="41">
        <v>0.11332468572476186</v>
      </c>
      <c r="CX3011" s="41" t="e">
        <v>#N/A</v>
      </c>
      <c r="CY3011" s="41" t="e">
        <v>#N/A</v>
      </c>
      <c r="CZ3011" s="47" t="e">
        <v>#N/A</v>
      </c>
      <c r="DA3011">
        <v>0.11332468572476186</v>
      </c>
      <c r="DB3011" t="str">
        <v/>
      </c>
    </row>
    <row r="3012" spans="83:106" x14ac:dyDescent="0.2">
      <c r="CE3012"/>
      <c r="CF3012"/>
      <c r="CG3012"/>
      <c r="CH3012"/>
      <c r="CI3012"/>
      <c r="CU3012" s="21">
        <v>3007</v>
      </c>
      <c r="CV3012" s="41">
        <v>4</v>
      </c>
      <c r="CW3012" s="41">
        <v>0.11332468572476186</v>
      </c>
      <c r="CX3012" s="41" t="e">
        <v>#N/A</v>
      </c>
      <c r="CY3012" s="41" t="e">
        <v>#N/A</v>
      </c>
      <c r="CZ3012" s="47" t="e">
        <v>#N/A</v>
      </c>
      <c r="DA3012">
        <v>0.11332468572476186</v>
      </c>
      <c r="DB3012" t="str">
        <v/>
      </c>
    </row>
    <row r="3013" spans="83:106" x14ac:dyDescent="0.2">
      <c r="CE3013"/>
      <c r="CF3013"/>
      <c r="CG3013"/>
      <c r="CH3013"/>
      <c r="CI3013"/>
      <c r="CU3013" s="21">
        <v>3008</v>
      </c>
      <c r="CV3013" s="41">
        <v>4</v>
      </c>
      <c r="CW3013" s="41">
        <v>0.11332468572476186</v>
      </c>
      <c r="CX3013" s="41" t="e">
        <v>#N/A</v>
      </c>
      <c r="CY3013" s="41" t="e">
        <v>#N/A</v>
      </c>
      <c r="CZ3013" s="47" t="e">
        <v>#N/A</v>
      </c>
      <c r="DA3013">
        <v>0.11332468572476186</v>
      </c>
      <c r="DB3013" t="str">
        <v/>
      </c>
    </row>
    <row r="3014" spans="83:106" x14ac:dyDescent="0.2">
      <c r="CE3014"/>
      <c r="CF3014"/>
      <c r="CG3014"/>
      <c r="CH3014"/>
      <c r="CI3014"/>
      <c r="CU3014" s="21">
        <v>3009</v>
      </c>
      <c r="CV3014" s="41">
        <v>4</v>
      </c>
      <c r="CW3014" s="41">
        <v>0.11332468572476186</v>
      </c>
      <c r="CX3014" s="41" t="e">
        <v>#N/A</v>
      </c>
      <c r="CY3014" s="41" t="e">
        <v>#N/A</v>
      </c>
      <c r="CZ3014" s="47" t="e">
        <v>#N/A</v>
      </c>
      <c r="DA3014">
        <v>0.11332468572476186</v>
      </c>
      <c r="DB3014" t="str">
        <v/>
      </c>
    </row>
    <row r="3015" spans="83:106" x14ac:dyDescent="0.2">
      <c r="CE3015"/>
      <c r="CF3015"/>
      <c r="CG3015"/>
      <c r="CH3015"/>
      <c r="CI3015"/>
      <c r="CU3015" s="21">
        <v>3010</v>
      </c>
      <c r="CV3015" s="41">
        <v>4</v>
      </c>
      <c r="CW3015" s="41">
        <v>0.11332468572476186</v>
      </c>
      <c r="CX3015" s="41" t="e">
        <v>#N/A</v>
      </c>
      <c r="CY3015" s="41" t="e">
        <v>#N/A</v>
      </c>
      <c r="CZ3015" s="47" t="e">
        <v>#N/A</v>
      </c>
      <c r="DA3015">
        <v>0.11332468572476186</v>
      </c>
      <c r="DB3015" t="str">
        <v/>
      </c>
    </row>
    <row r="3016" spans="83:106" x14ac:dyDescent="0.2">
      <c r="CE3016"/>
      <c r="CF3016"/>
      <c r="CG3016"/>
      <c r="CH3016"/>
      <c r="CI3016"/>
      <c r="CU3016" s="21">
        <v>3011</v>
      </c>
      <c r="CV3016" s="41">
        <v>4</v>
      </c>
      <c r="CW3016" s="41">
        <v>0.11332468572476186</v>
      </c>
      <c r="CX3016" s="41" t="e">
        <v>#N/A</v>
      </c>
      <c r="CY3016" s="41" t="e">
        <v>#N/A</v>
      </c>
      <c r="CZ3016" s="47" t="e">
        <v>#N/A</v>
      </c>
      <c r="DA3016">
        <v>0.11332468572476186</v>
      </c>
      <c r="DB3016" t="str">
        <v/>
      </c>
    </row>
    <row r="3017" spans="83:106" x14ac:dyDescent="0.2">
      <c r="CE3017"/>
      <c r="CF3017"/>
      <c r="CG3017"/>
      <c r="CH3017"/>
      <c r="CI3017"/>
      <c r="CU3017" s="21">
        <v>3012</v>
      </c>
      <c r="CV3017" s="41">
        <v>4</v>
      </c>
      <c r="CW3017" s="41">
        <v>0.11332468572476186</v>
      </c>
      <c r="CX3017" s="41" t="e">
        <v>#N/A</v>
      </c>
      <c r="CY3017" s="41" t="e">
        <v>#N/A</v>
      </c>
      <c r="CZ3017" s="47" t="e">
        <v>#N/A</v>
      </c>
      <c r="DA3017">
        <v>0.11332468572476186</v>
      </c>
      <c r="DB3017" t="str">
        <v/>
      </c>
    </row>
    <row r="3018" spans="83:106" x14ac:dyDescent="0.2">
      <c r="CE3018"/>
      <c r="CF3018"/>
      <c r="CG3018"/>
      <c r="CH3018"/>
      <c r="CI3018"/>
      <c r="CU3018" s="21">
        <v>3013</v>
      </c>
      <c r="CV3018" s="41">
        <v>4</v>
      </c>
      <c r="CW3018" s="41">
        <v>0.11332468572476186</v>
      </c>
      <c r="CX3018" s="41" t="e">
        <v>#N/A</v>
      </c>
      <c r="CY3018" s="41" t="e">
        <v>#N/A</v>
      </c>
      <c r="CZ3018" s="47" t="e">
        <v>#N/A</v>
      </c>
      <c r="DA3018">
        <v>0.11332468572476186</v>
      </c>
      <c r="DB3018" t="str">
        <v/>
      </c>
    </row>
    <row r="3019" spans="83:106" x14ac:dyDescent="0.2">
      <c r="CE3019"/>
      <c r="CF3019"/>
      <c r="CG3019"/>
      <c r="CH3019"/>
      <c r="CI3019"/>
      <c r="CU3019" s="21">
        <v>3014</v>
      </c>
      <c r="CV3019" s="41">
        <v>4</v>
      </c>
      <c r="CW3019" s="41">
        <v>0.11332468572476186</v>
      </c>
      <c r="CX3019" s="41" t="e">
        <v>#N/A</v>
      </c>
      <c r="CY3019" s="41" t="e">
        <v>#N/A</v>
      </c>
      <c r="CZ3019" s="47" t="e">
        <v>#N/A</v>
      </c>
      <c r="DA3019">
        <v>0.11332468572476186</v>
      </c>
      <c r="DB3019" t="str">
        <v/>
      </c>
    </row>
    <row r="3020" spans="83:106" x14ac:dyDescent="0.2">
      <c r="CE3020"/>
      <c r="CF3020"/>
      <c r="CG3020"/>
      <c r="CH3020"/>
      <c r="CI3020"/>
      <c r="CU3020" s="21">
        <v>3015</v>
      </c>
      <c r="CV3020" s="41">
        <v>4</v>
      </c>
      <c r="CW3020" s="41">
        <v>0.11332468572476186</v>
      </c>
      <c r="CX3020" s="41" t="e">
        <v>#N/A</v>
      </c>
      <c r="CY3020" s="41" t="e">
        <v>#N/A</v>
      </c>
      <c r="CZ3020" s="47" t="e">
        <v>#N/A</v>
      </c>
      <c r="DA3020">
        <v>0.11332468572476186</v>
      </c>
      <c r="DB3020" t="str">
        <v/>
      </c>
    </row>
    <row r="3021" spans="83:106" x14ac:dyDescent="0.2">
      <c r="CE3021"/>
      <c r="CF3021"/>
      <c r="CG3021"/>
      <c r="CH3021"/>
      <c r="CI3021"/>
      <c r="CU3021" s="21">
        <v>3016</v>
      </c>
      <c r="CV3021" s="41">
        <v>4</v>
      </c>
      <c r="CW3021" s="41">
        <v>0.11332468572476186</v>
      </c>
      <c r="CX3021" s="41" t="e">
        <v>#N/A</v>
      </c>
      <c r="CY3021" s="41" t="e">
        <v>#N/A</v>
      </c>
      <c r="CZ3021" s="47" t="e">
        <v>#N/A</v>
      </c>
      <c r="DA3021">
        <v>0.11332468572476186</v>
      </c>
      <c r="DB3021" t="str">
        <v/>
      </c>
    </row>
    <row r="3022" spans="83:106" x14ac:dyDescent="0.2">
      <c r="CE3022"/>
      <c r="CF3022"/>
      <c r="CG3022"/>
      <c r="CH3022"/>
      <c r="CI3022"/>
      <c r="CU3022" s="21">
        <v>3017</v>
      </c>
      <c r="CV3022" s="41">
        <v>4</v>
      </c>
      <c r="CW3022" s="41">
        <v>0.11332468572476186</v>
      </c>
      <c r="CX3022" s="41" t="e">
        <v>#N/A</v>
      </c>
      <c r="CY3022" s="41" t="e">
        <v>#N/A</v>
      </c>
      <c r="CZ3022" s="47" t="e">
        <v>#N/A</v>
      </c>
      <c r="DA3022">
        <v>0.11332468572476186</v>
      </c>
      <c r="DB3022" t="str">
        <v/>
      </c>
    </row>
    <row r="3023" spans="83:106" x14ac:dyDescent="0.2">
      <c r="CE3023"/>
      <c r="CF3023"/>
      <c r="CG3023"/>
      <c r="CH3023"/>
      <c r="CI3023"/>
      <c r="CU3023" s="21">
        <v>3018</v>
      </c>
      <c r="CV3023" s="41">
        <v>4</v>
      </c>
      <c r="CW3023" s="41">
        <v>0.11332468572476186</v>
      </c>
      <c r="CX3023" s="41" t="e">
        <v>#N/A</v>
      </c>
      <c r="CY3023" s="41" t="e">
        <v>#N/A</v>
      </c>
      <c r="CZ3023" s="47" t="e">
        <v>#N/A</v>
      </c>
      <c r="DA3023">
        <v>0.11332468572476186</v>
      </c>
      <c r="DB3023" t="str">
        <v/>
      </c>
    </row>
    <row r="3024" spans="83:106" x14ac:dyDescent="0.2">
      <c r="CE3024"/>
      <c r="CF3024"/>
      <c r="CG3024"/>
      <c r="CH3024"/>
      <c r="CI3024"/>
      <c r="CU3024" s="21">
        <v>3019</v>
      </c>
      <c r="CV3024" s="41">
        <v>4</v>
      </c>
      <c r="CW3024" s="41">
        <v>0.11332468572476186</v>
      </c>
      <c r="CX3024" s="41" t="e">
        <v>#N/A</v>
      </c>
      <c r="CY3024" s="41" t="e">
        <v>#N/A</v>
      </c>
      <c r="CZ3024" s="47" t="e">
        <v>#N/A</v>
      </c>
      <c r="DA3024">
        <v>0.11332468572476186</v>
      </c>
      <c r="DB3024" t="str">
        <v/>
      </c>
    </row>
    <row r="3025" spans="83:106" x14ac:dyDescent="0.2">
      <c r="CE3025"/>
      <c r="CF3025"/>
      <c r="CG3025"/>
      <c r="CH3025"/>
      <c r="CI3025"/>
      <c r="CU3025" s="21">
        <v>3020</v>
      </c>
      <c r="CV3025" s="41">
        <v>4</v>
      </c>
      <c r="CW3025" s="41">
        <v>0.11332468572476186</v>
      </c>
      <c r="CX3025" s="41" t="e">
        <v>#N/A</v>
      </c>
      <c r="CY3025" s="41" t="e">
        <v>#N/A</v>
      </c>
      <c r="CZ3025" s="47" t="e">
        <v>#N/A</v>
      </c>
      <c r="DA3025">
        <v>0.11332468572476186</v>
      </c>
      <c r="DB3025" t="str">
        <v/>
      </c>
    </row>
    <row r="3026" spans="83:106" x14ac:dyDescent="0.2">
      <c r="CE3026"/>
      <c r="CF3026"/>
      <c r="CG3026"/>
      <c r="CH3026"/>
      <c r="CI3026"/>
      <c r="CU3026" s="21">
        <v>3021</v>
      </c>
      <c r="CV3026" s="41">
        <v>4</v>
      </c>
      <c r="CW3026" s="41">
        <v>0.11332468572476186</v>
      </c>
      <c r="CX3026" s="41" t="e">
        <v>#N/A</v>
      </c>
      <c r="CY3026" s="41" t="e">
        <v>#N/A</v>
      </c>
      <c r="CZ3026" s="47" t="e">
        <v>#N/A</v>
      </c>
      <c r="DA3026">
        <v>0.11332468572476186</v>
      </c>
      <c r="DB3026" t="str">
        <v/>
      </c>
    </row>
    <row r="3027" spans="83:106" x14ac:dyDescent="0.2">
      <c r="CE3027"/>
      <c r="CF3027"/>
      <c r="CG3027"/>
      <c r="CH3027"/>
      <c r="CI3027"/>
      <c r="CU3027" s="21">
        <v>3022</v>
      </c>
      <c r="CV3027" s="41">
        <v>4</v>
      </c>
      <c r="CW3027" s="41">
        <v>0.11332468572476186</v>
      </c>
      <c r="CX3027" s="41" t="e">
        <v>#N/A</v>
      </c>
      <c r="CY3027" s="41" t="e">
        <v>#N/A</v>
      </c>
      <c r="CZ3027" s="47" t="e">
        <v>#N/A</v>
      </c>
      <c r="DA3027">
        <v>0.11332468572476186</v>
      </c>
      <c r="DB3027" t="str">
        <v/>
      </c>
    </row>
    <row r="3028" spans="83:106" x14ac:dyDescent="0.2">
      <c r="CE3028"/>
      <c r="CF3028"/>
      <c r="CG3028"/>
      <c r="CH3028"/>
      <c r="CI3028"/>
      <c r="CU3028" s="21">
        <v>3023</v>
      </c>
      <c r="CV3028" s="41">
        <v>4</v>
      </c>
      <c r="CW3028" s="41">
        <v>0.11332468572476186</v>
      </c>
      <c r="CX3028" s="41" t="e">
        <v>#N/A</v>
      </c>
      <c r="CY3028" s="41" t="e">
        <v>#N/A</v>
      </c>
      <c r="CZ3028" s="47" t="e">
        <v>#N/A</v>
      </c>
      <c r="DA3028">
        <v>0.11332468572476186</v>
      </c>
      <c r="DB3028" t="str">
        <v/>
      </c>
    </row>
    <row r="3029" spans="83:106" x14ac:dyDescent="0.2">
      <c r="CE3029"/>
      <c r="CF3029"/>
      <c r="CG3029"/>
      <c r="CH3029"/>
      <c r="CI3029"/>
      <c r="CU3029" s="21">
        <v>3024</v>
      </c>
      <c r="CV3029" s="41">
        <v>4</v>
      </c>
      <c r="CW3029" s="41">
        <v>0.11332468572476186</v>
      </c>
      <c r="CX3029" s="41" t="e">
        <v>#N/A</v>
      </c>
      <c r="CY3029" s="41" t="e">
        <v>#N/A</v>
      </c>
      <c r="CZ3029" s="47" t="e">
        <v>#N/A</v>
      </c>
      <c r="DA3029">
        <v>0.11332468572476186</v>
      </c>
      <c r="DB3029" t="str">
        <v/>
      </c>
    </row>
    <row r="3030" spans="83:106" x14ac:dyDescent="0.2">
      <c r="CE3030"/>
      <c r="CF3030"/>
      <c r="CG3030"/>
      <c r="CH3030"/>
      <c r="CI3030"/>
      <c r="CU3030" s="21">
        <v>3025</v>
      </c>
      <c r="CV3030" s="41">
        <v>4</v>
      </c>
      <c r="CW3030" s="41">
        <v>0.11332468572476186</v>
      </c>
      <c r="CX3030" s="41" t="e">
        <v>#N/A</v>
      </c>
      <c r="CY3030" s="41" t="e">
        <v>#N/A</v>
      </c>
      <c r="CZ3030" s="47" t="e">
        <v>#N/A</v>
      </c>
      <c r="DA3030">
        <v>0.11332468572476186</v>
      </c>
      <c r="DB3030" t="str">
        <v/>
      </c>
    </row>
    <row r="3031" spans="83:106" x14ac:dyDescent="0.2">
      <c r="CE3031"/>
      <c r="CF3031"/>
      <c r="CG3031"/>
      <c r="CH3031"/>
      <c r="CI3031"/>
      <c r="CU3031" s="21">
        <v>3026</v>
      </c>
      <c r="CV3031" s="41">
        <v>4</v>
      </c>
      <c r="CW3031" s="41">
        <v>0.11332468572476186</v>
      </c>
      <c r="CX3031" s="41" t="e">
        <v>#N/A</v>
      </c>
      <c r="CY3031" s="41" t="e">
        <v>#N/A</v>
      </c>
      <c r="CZ3031" s="47" t="e">
        <v>#N/A</v>
      </c>
      <c r="DA3031">
        <v>0.11332468572476186</v>
      </c>
      <c r="DB3031" t="str">
        <v/>
      </c>
    </row>
    <row r="3032" spans="83:106" x14ac:dyDescent="0.2">
      <c r="CE3032"/>
      <c r="CF3032"/>
      <c r="CG3032"/>
      <c r="CH3032"/>
      <c r="CI3032"/>
      <c r="CU3032" s="21">
        <v>3027</v>
      </c>
      <c r="CV3032" s="41">
        <v>4</v>
      </c>
      <c r="CW3032" s="41">
        <v>0.11332468572476186</v>
      </c>
      <c r="CX3032" s="41" t="e">
        <v>#N/A</v>
      </c>
      <c r="CY3032" s="41" t="e">
        <v>#N/A</v>
      </c>
      <c r="CZ3032" s="47" t="e">
        <v>#N/A</v>
      </c>
      <c r="DA3032">
        <v>0.11332468572476186</v>
      </c>
      <c r="DB3032" t="str">
        <v/>
      </c>
    </row>
    <row r="3033" spans="83:106" x14ac:dyDescent="0.2">
      <c r="CE3033"/>
      <c r="CF3033"/>
      <c r="CG3033"/>
      <c r="CH3033"/>
      <c r="CI3033"/>
      <c r="CU3033" s="21">
        <v>3028</v>
      </c>
      <c r="CV3033" s="41">
        <v>4</v>
      </c>
      <c r="CW3033" s="41">
        <v>0.11332468572476186</v>
      </c>
      <c r="CX3033" s="41" t="e">
        <v>#N/A</v>
      </c>
      <c r="CY3033" s="41" t="e">
        <v>#N/A</v>
      </c>
      <c r="CZ3033" s="47" t="e">
        <v>#N/A</v>
      </c>
      <c r="DA3033">
        <v>0.11332468572476186</v>
      </c>
      <c r="DB3033" t="str">
        <v/>
      </c>
    </row>
    <row r="3034" spans="83:106" x14ac:dyDescent="0.2">
      <c r="CE3034"/>
      <c r="CF3034"/>
      <c r="CG3034"/>
      <c r="CH3034"/>
      <c r="CI3034"/>
      <c r="CU3034" s="21">
        <v>3029</v>
      </c>
      <c r="CV3034" s="41">
        <v>4</v>
      </c>
      <c r="CW3034" s="41">
        <v>0.11332468572476186</v>
      </c>
      <c r="CX3034" s="41" t="e">
        <v>#N/A</v>
      </c>
      <c r="CY3034" s="41" t="e">
        <v>#N/A</v>
      </c>
      <c r="CZ3034" s="47" t="e">
        <v>#N/A</v>
      </c>
      <c r="DA3034">
        <v>0.11332468572476186</v>
      </c>
      <c r="DB3034" t="str">
        <v/>
      </c>
    </row>
    <row r="3035" spans="83:106" x14ac:dyDescent="0.2">
      <c r="CE3035"/>
      <c r="CF3035"/>
      <c r="CG3035"/>
      <c r="CH3035"/>
      <c r="CI3035"/>
      <c r="CU3035" s="21">
        <v>3030</v>
      </c>
      <c r="CV3035" s="41">
        <v>4</v>
      </c>
      <c r="CW3035" s="41">
        <v>0.11332468572476186</v>
      </c>
      <c r="CX3035" s="41" t="e">
        <v>#N/A</v>
      </c>
      <c r="CY3035" s="41" t="e">
        <v>#N/A</v>
      </c>
      <c r="CZ3035" s="47" t="e">
        <v>#N/A</v>
      </c>
      <c r="DA3035">
        <v>0.11332468572476186</v>
      </c>
      <c r="DB3035" t="str">
        <v/>
      </c>
    </row>
    <row r="3036" spans="83:106" x14ac:dyDescent="0.2">
      <c r="CE3036"/>
      <c r="CF3036"/>
      <c r="CG3036"/>
      <c r="CH3036"/>
      <c r="CI3036"/>
      <c r="CU3036" s="21">
        <v>3031</v>
      </c>
      <c r="CV3036" s="41">
        <v>4</v>
      </c>
      <c r="CW3036" s="41">
        <v>0.11332468572476186</v>
      </c>
      <c r="CX3036" s="41" t="e">
        <v>#N/A</v>
      </c>
      <c r="CY3036" s="41" t="e">
        <v>#N/A</v>
      </c>
      <c r="CZ3036" s="47" t="e">
        <v>#N/A</v>
      </c>
      <c r="DA3036">
        <v>0.11332468572476186</v>
      </c>
      <c r="DB3036" t="str">
        <v/>
      </c>
    </row>
    <row r="3037" spans="83:106" x14ac:dyDescent="0.2">
      <c r="CE3037"/>
      <c r="CF3037"/>
      <c r="CG3037"/>
      <c r="CH3037"/>
      <c r="CI3037"/>
      <c r="CU3037" s="21">
        <v>3032</v>
      </c>
      <c r="CV3037" s="41">
        <v>4</v>
      </c>
      <c r="CW3037" s="41">
        <v>0.11332468572476186</v>
      </c>
      <c r="CX3037" s="41" t="e">
        <v>#N/A</v>
      </c>
      <c r="CY3037" s="41" t="e">
        <v>#N/A</v>
      </c>
      <c r="CZ3037" s="47" t="e">
        <v>#N/A</v>
      </c>
      <c r="DA3037">
        <v>0.11332468572476186</v>
      </c>
      <c r="DB3037" t="str">
        <v/>
      </c>
    </row>
    <row r="3038" spans="83:106" x14ac:dyDescent="0.2">
      <c r="CE3038"/>
      <c r="CF3038"/>
      <c r="CG3038"/>
      <c r="CH3038"/>
      <c r="CI3038"/>
      <c r="CU3038" s="21">
        <v>3033</v>
      </c>
      <c r="CV3038" s="41">
        <v>4</v>
      </c>
      <c r="CW3038" s="41">
        <v>0.11332468572476186</v>
      </c>
      <c r="CX3038" s="41" t="e">
        <v>#N/A</v>
      </c>
      <c r="CY3038" s="41" t="e">
        <v>#N/A</v>
      </c>
      <c r="CZ3038" s="47" t="e">
        <v>#N/A</v>
      </c>
      <c r="DA3038">
        <v>0.11332468572476186</v>
      </c>
      <c r="DB3038" t="str">
        <v/>
      </c>
    </row>
    <row r="3039" spans="83:106" x14ac:dyDescent="0.2">
      <c r="CE3039"/>
      <c r="CF3039"/>
      <c r="CG3039"/>
      <c r="CH3039"/>
      <c r="CI3039"/>
      <c r="CU3039" s="21">
        <v>3034</v>
      </c>
      <c r="CV3039" s="41">
        <v>4</v>
      </c>
      <c r="CW3039" s="41">
        <v>0.11332468572476186</v>
      </c>
      <c r="CX3039" s="41" t="e">
        <v>#N/A</v>
      </c>
      <c r="CY3039" s="41" t="e">
        <v>#N/A</v>
      </c>
      <c r="CZ3039" s="47" t="e">
        <v>#N/A</v>
      </c>
      <c r="DA3039">
        <v>0.11332468572476186</v>
      </c>
      <c r="DB3039" t="str">
        <v/>
      </c>
    </row>
    <row r="3040" spans="83:106" x14ac:dyDescent="0.2">
      <c r="CE3040"/>
      <c r="CF3040"/>
      <c r="CG3040"/>
      <c r="CH3040"/>
      <c r="CI3040"/>
      <c r="CU3040" s="21">
        <v>3035</v>
      </c>
      <c r="CV3040" s="41">
        <v>4</v>
      </c>
      <c r="CW3040" s="41">
        <v>0.11332468572476186</v>
      </c>
      <c r="CX3040" s="41" t="e">
        <v>#N/A</v>
      </c>
      <c r="CY3040" s="41" t="e">
        <v>#N/A</v>
      </c>
      <c r="CZ3040" s="47" t="e">
        <v>#N/A</v>
      </c>
      <c r="DA3040">
        <v>0.11332468572476186</v>
      </c>
      <c r="DB3040" t="str">
        <v/>
      </c>
    </row>
    <row r="3041" spans="83:106" x14ac:dyDescent="0.2">
      <c r="CE3041"/>
      <c r="CF3041"/>
      <c r="CG3041"/>
      <c r="CH3041"/>
      <c r="CI3041"/>
      <c r="CU3041" s="21">
        <v>3036</v>
      </c>
      <c r="CV3041" s="41">
        <v>4</v>
      </c>
      <c r="CW3041" s="41">
        <v>0.11332468572476186</v>
      </c>
      <c r="CX3041" s="41" t="e">
        <v>#N/A</v>
      </c>
      <c r="CY3041" s="41" t="e">
        <v>#N/A</v>
      </c>
      <c r="CZ3041" s="47" t="e">
        <v>#N/A</v>
      </c>
      <c r="DA3041">
        <v>0.11332468572476186</v>
      </c>
      <c r="DB3041" t="str">
        <v/>
      </c>
    </row>
    <row r="3042" spans="83:106" x14ac:dyDescent="0.2">
      <c r="CE3042"/>
      <c r="CF3042"/>
      <c r="CG3042"/>
      <c r="CH3042"/>
      <c r="CI3042"/>
      <c r="CU3042" s="21">
        <v>3037</v>
      </c>
      <c r="CV3042" s="41">
        <v>4</v>
      </c>
      <c r="CW3042" s="41">
        <v>0.11332468572476186</v>
      </c>
      <c r="CX3042" s="41" t="e">
        <v>#N/A</v>
      </c>
      <c r="CY3042" s="41" t="e">
        <v>#N/A</v>
      </c>
      <c r="CZ3042" s="47" t="e">
        <v>#N/A</v>
      </c>
      <c r="DA3042">
        <v>0.11332468572476186</v>
      </c>
      <c r="DB3042" t="str">
        <v/>
      </c>
    </row>
    <row r="3043" spans="83:106" x14ac:dyDescent="0.2">
      <c r="CE3043"/>
      <c r="CF3043"/>
      <c r="CG3043"/>
      <c r="CH3043"/>
      <c r="CI3043"/>
      <c r="CU3043" s="21">
        <v>3038</v>
      </c>
      <c r="CV3043" s="41">
        <v>4</v>
      </c>
      <c r="CW3043" s="41">
        <v>0.11332468572476186</v>
      </c>
      <c r="CX3043" s="41" t="e">
        <v>#N/A</v>
      </c>
      <c r="CY3043" s="41" t="e">
        <v>#N/A</v>
      </c>
      <c r="CZ3043" s="47" t="e">
        <v>#N/A</v>
      </c>
      <c r="DA3043">
        <v>0.11332468572476186</v>
      </c>
      <c r="DB3043" t="str">
        <v/>
      </c>
    </row>
    <row r="3044" spans="83:106" x14ac:dyDescent="0.2">
      <c r="CE3044"/>
      <c r="CF3044"/>
      <c r="CG3044"/>
      <c r="CH3044"/>
      <c r="CI3044"/>
      <c r="CU3044" s="21">
        <v>3039</v>
      </c>
      <c r="CV3044" s="41">
        <v>4</v>
      </c>
      <c r="CW3044" s="41">
        <v>0.11332468572476186</v>
      </c>
      <c r="CX3044" s="41" t="e">
        <v>#N/A</v>
      </c>
      <c r="CY3044" s="41" t="e">
        <v>#N/A</v>
      </c>
      <c r="CZ3044" s="47" t="e">
        <v>#N/A</v>
      </c>
      <c r="DA3044">
        <v>0.11332468572476186</v>
      </c>
      <c r="DB3044" t="str">
        <v/>
      </c>
    </row>
    <row r="3045" spans="83:106" x14ac:dyDescent="0.2">
      <c r="CE3045"/>
      <c r="CF3045"/>
      <c r="CG3045"/>
      <c r="CH3045"/>
      <c r="CI3045"/>
      <c r="CU3045" s="21">
        <v>3040</v>
      </c>
      <c r="CV3045" s="41">
        <v>4</v>
      </c>
      <c r="CW3045" s="41">
        <v>0.11332468572476186</v>
      </c>
      <c r="CX3045" s="41" t="e">
        <v>#N/A</v>
      </c>
      <c r="CY3045" s="41" t="e">
        <v>#N/A</v>
      </c>
      <c r="CZ3045" s="47" t="e">
        <v>#N/A</v>
      </c>
      <c r="DA3045">
        <v>0.11332468572476186</v>
      </c>
      <c r="DB3045" t="str">
        <v/>
      </c>
    </row>
    <row r="3046" spans="83:106" x14ac:dyDescent="0.2">
      <c r="CE3046"/>
      <c r="CF3046"/>
      <c r="CG3046"/>
      <c r="CH3046"/>
      <c r="CI3046"/>
      <c r="CU3046" s="21">
        <v>3041</v>
      </c>
      <c r="CV3046" s="41">
        <v>4</v>
      </c>
      <c r="CW3046" s="41">
        <v>0.11332468572476186</v>
      </c>
      <c r="CX3046" s="41" t="e">
        <v>#N/A</v>
      </c>
      <c r="CY3046" s="41" t="e">
        <v>#N/A</v>
      </c>
      <c r="CZ3046" s="47" t="e">
        <v>#N/A</v>
      </c>
      <c r="DA3046">
        <v>0.11332468572476186</v>
      </c>
      <c r="DB3046" t="str">
        <v/>
      </c>
    </row>
    <row r="3047" spans="83:106" x14ac:dyDescent="0.2">
      <c r="CE3047"/>
      <c r="CF3047"/>
      <c r="CG3047"/>
      <c r="CH3047"/>
      <c r="CI3047"/>
      <c r="CU3047" s="21">
        <v>3042</v>
      </c>
      <c r="CV3047" s="41">
        <v>4</v>
      </c>
      <c r="CW3047" s="41">
        <v>0.11332468572476186</v>
      </c>
      <c r="CX3047" s="41" t="e">
        <v>#N/A</v>
      </c>
      <c r="CY3047" s="41" t="e">
        <v>#N/A</v>
      </c>
      <c r="CZ3047" s="47" t="e">
        <v>#N/A</v>
      </c>
      <c r="DA3047">
        <v>0.11332468572476186</v>
      </c>
      <c r="DB3047" t="str">
        <v/>
      </c>
    </row>
    <row r="3048" spans="83:106" x14ac:dyDescent="0.2">
      <c r="CE3048"/>
      <c r="CF3048"/>
      <c r="CG3048"/>
      <c r="CH3048"/>
      <c r="CI3048"/>
      <c r="CU3048" s="21">
        <v>3043</v>
      </c>
      <c r="CV3048" s="41">
        <v>4</v>
      </c>
      <c r="CW3048" s="41">
        <v>0.11332468572476186</v>
      </c>
      <c r="CX3048" s="41" t="e">
        <v>#N/A</v>
      </c>
      <c r="CY3048" s="41" t="e">
        <v>#N/A</v>
      </c>
      <c r="CZ3048" s="47" t="e">
        <v>#N/A</v>
      </c>
      <c r="DA3048">
        <v>0.11332468572476186</v>
      </c>
      <c r="DB3048" t="str">
        <v/>
      </c>
    </row>
    <row r="3049" spans="83:106" x14ac:dyDescent="0.2">
      <c r="CE3049"/>
      <c r="CF3049"/>
      <c r="CG3049"/>
      <c r="CH3049"/>
      <c r="CI3049"/>
      <c r="CU3049" s="21">
        <v>3044</v>
      </c>
      <c r="CV3049" s="41">
        <v>4</v>
      </c>
      <c r="CW3049" s="41">
        <v>0.11332468572476186</v>
      </c>
      <c r="CX3049" s="41" t="e">
        <v>#N/A</v>
      </c>
      <c r="CY3049" s="41" t="e">
        <v>#N/A</v>
      </c>
      <c r="CZ3049" s="47" t="e">
        <v>#N/A</v>
      </c>
      <c r="DA3049">
        <v>0.11332468572476186</v>
      </c>
      <c r="DB3049" t="str">
        <v/>
      </c>
    </row>
    <row r="3050" spans="83:106" x14ac:dyDescent="0.2">
      <c r="CE3050"/>
      <c r="CF3050"/>
      <c r="CG3050"/>
      <c r="CH3050"/>
      <c r="CI3050"/>
      <c r="CU3050" s="21">
        <v>3045</v>
      </c>
      <c r="CV3050" s="41">
        <v>4</v>
      </c>
      <c r="CW3050" s="41">
        <v>0.11332468572476186</v>
      </c>
      <c r="CX3050" s="41" t="e">
        <v>#N/A</v>
      </c>
      <c r="CY3050" s="41" t="e">
        <v>#N/A</v>
      </c>
      <c r="CZ3050" s="47" t="e">
        <v>#N/A</v>
      </c>
      <c r="DA3050">
        <v>0.11332468572476186</v>
      </c>
      <c r="DB3050" t="str">
        <v/>
      </c>
    </row>
    <row r="3051" spans="83:106" x14ac:dyDescent="0.2">
      <c r="CE3051"/>
      <c r="CF3051"/>
      <c r="CG3051"/>
      <c r="CH3051"/>
      <c r="CI3051"/>
      <c r="CU3051" s="21">
        <v>3046</v>
      </c>
      <c r="CV3051" s="41">
        <v>4</v>
      </c>
      <c r="CW3051" s="41">
        <v>0.11332468572476186</v>
      </c>
      <c r="CX3051" s="41" t="e">
        <v>#N/A</v>
      </c>
      <c r="CY3051" s="41" t="e">
        <v>#N/A</v>
      </c>
      <c r="CZ3051" s="47" t="e">
        <v>#N/A</v>
      </c>
      <c r="DA3051">
        <v>0.11332468572476186</v>
      </c>
      <c r="DB3051" t="str">
        <v/>
      </c>
    </row>
    <row r="3052" spans="83:106" x14ac:dyDescent="0.2">
      <c r="CE3052"/>
      <c r="CF3052"/>
      <c r="CG3052"/>
      <c r="CH3052"/>
      <c r="CI3052"/>
      <c r="CU3052" s="21">
        <v>3047</v>
      </c>
      <c r="CV3052" s="41">
        <v>4</v>
      </c>
      <c r="CW3052" s="41">
        <v>0.11332468572476186</v>
      </c>
      <c r="CX3052" s="41" t="e">
        <v>#N/A</v>
      </c>
      <c r="CY3052" s="41" t="e">
        <v>#N/A</v>
      </c>
      <c r="CZ3052" s="47" t="e">
        <v>#N/A</v>
      </c>
      <c r="DA3052">
        <v>0.11332468572476186</v>
      </c>
      <c r="DB3052" t="str">
        <v/>
      </c>
    </row>
    <row r="3053" spans="83:106" x14ac:dyDescent="0.2">
      <c r="CE3053"/>
      <c r="CF3053"/>
      <c r="CG3053"/>
      <c r="CH3053"/>
      <c r="CI3053"/>
      <c r="CU3053" s="21">
        <v>3048</v>
      </c>
      <c r="CV3053" s="41">
        <v>4</v>
      </c>
      <c r="CW3053" s="41">
        <v>0.11332468572476186</v>
      </c>
      <c r="CX3053" s="41" t="e">
        <v>#N/A</v>
      </c>
      <c r="CY3053" s="41" t="e">
        <v>#N/A</v>
      </c>
      <c r="CZ3053" s="47" t="e">
        <v>#N/A</v>
      </c>
      <c r="DA3053">
        <v>0.11332468572476186</v>
      </c>
      <c r="DB3053" t="str">
        <v/>
      </c>
    </row>
    <row r="3054" spans="83:106" x14ac:dyDescent="0.2">
      <c r="CE3054"/>
      <c r="CF3054"/>
      <c r="CG3054"/>
      <c r="CH3054"/>
      <c r="CI3054"/>
      <c r="CU3054" s="21">
        <v>3049</v>
      </c>
      <c r="CV3054" s="41">
        <v>4</v>
      </c>
      <c r="CW3054" s="41">
        <v>0.11332468572476186</v>
      </c>
      <c r="CX3054" s="41" t="e">
        <v>#N/A</v>
      </c>
      <c r="CY3054" s="41" t="e">
        <v>#N/A</v>
      </c>
      <c r="CZ3054" s="47" t="e">
        <v>#N/A</v>
      </c>
      <c r="DA3054">
        <v>0.11332468572476186</v>
      </c>
      <c r="DB3054" t="str">
        <v/>
      </c>
    </row>
    <row r="3055" spans="83:106" x14ac:dyDescent="0.2">
      <c r="CE3055"/>
      <c r="CF3055"/>
      <c r="CG3055"/>
      <c r="CH3055"/>
      <c r="CI3055"/>
      <c r="CU3055" s="21">
        <v>3050</v>
      </c>
      <c r="CV3055" s="41">
        <v>4</v>
      </c>
      <c r="CW3055" s="41">
        <v>0.11332468572476186</v>
      </c>
      <c r="CX3055" s="41" t="e">
        <v>#N/A</v>
      </c>
      <c r="CY3055" s="41" t="e">
        <v>#N/A</v>
      </c>
      <c r="CZ3055" s="47" t="e">
        <v>#N/A</v>
      </c>
      <c r="DA3055">
        <v>0.11332468572476186</v>
      </c>
      <c r="DB3055" t="str">
        <v/>
      </c>
    </row>
    <row r="3056" spans="83:106" x14ac:dyDescent="0.2">
      <c r="CE3056"/>
      <c r="CF3056"/>
      <c r="CG3056"/>
      <c r="CH3056"/>
      <c r="CI3056"/>
      <c r="CU3056" s="21">
        <v>3051</v>
      </c>
      <c r="CV3056" s="41">
        <v>4</v>
      </c>
      <c r="CW3056" s="41">
        <v>0.11332468572476186</v>
      </c>
      <c r="CX3056" s="41" t="e">
        <v>#N/A</v>
      </c>
      <c r="CY3056" s="41" t="e">
        <v>#N/A</v>
      </c>
      <c r="CZ3056" s="47" t="e">
        <v>#N/A</v>
      </c>
      <c r="DA3056">
        <v>0.11332468572476186</v>
      </c>
      <c r="DB3056" t="str">
        <v/>
      </c>
    </row>
    <row r="3057" spans="83:106" x14ac:dyDescent="0.2">
      <c r="CE3057"/>
      <c r="CF3057"/>
      <c r="CG3057"/>
      <c r="CH3057"/>
      <c r="CI3057"/>
      <c r="CU3057" s="21">
        <v>3052</v>
      </c>
      <c r="CV3057" s="41">
        <v>4</v>
      </c>
      <c r="CW3057" s="41">
        <v>0.11332468572476186</v>
      </c>
      <c r="CX3057" s="41" t="e">
        <v>#N/A</v>
      </c>
      <c r="CY3057" s="41" t="e">
        <v>#N/A</v>
      </c>
      <c r="CZ3057" s="47" t="e">
        <v>#N/A</v>
      </c>
      <c r="DA3057">
        <v>0.11332468572476186</v>
      </c>
      <c r="DB3057" t="str">
        <v/>
      </c>
    </row>
    <row r="3058" spans="83:106" x14ac:dyDescent="0.2">
      <c r="CE3058"/>
      <c r="CF3058"/>
      <c r="CG3058"/>
      <c r="CH3058"/>
      <c r="CI3058"/>
      <c r="CU3058" s="21">
        <v>3053</v>
      </c>
      <c r="CV3058" s="41">
        <v>4</v>
      </c>
      <c r="CW3058" s="41">
        <v>0.11332468572476186</v>
      </c>
      <c r="CX3058" s="41" t="e">
        <v>#N/A</v>
      </c>
      <c r="CY3058" s="41" t="e">
        <v>#N/A</v>
      </c>
      <c r="CZ3058" s="47" t="e">
        <v>#N/A</v>
      </c>
      <c r="DA3058">
        <v>0.11332468572476186</v>
      </c>
      <c r="DB3058" t="str">
        <v/>
      </c>
    </row>
    <row r="3059" spans="83:106" x14ac:dyDescent="0.2">
      <c r="CE3059"/>
      <c r="CF3059"/>
      <c r="CG3059"/>
      <c r="CH3059"/>
      <c r="CI3059"/>
      <c r="CU3059" s="21">
        <v>3054</v>
      </c>
      <c r="CV3059" s="41">
        <v>4</v>
      </c>
      <c r="CW3059" s="41">
        <v>0.11332468572476186</v>
      </c>
      <c r="CX3059" s="41" t="e">
        <v>#N/A</v>
      </c>
      <c r="CY3059" s="41" t="e">
        <v>#N/A</v>
      </c>
      <c r="CZ3059" s="47" t="e">
        <v>#N/A</v>
      </c>
      <c r="DA3059">
        <v>0.11332468572476186</v>
      </c>
      <c r="DB3059" t="str">
        <v/>
      </c>
    </row>
    <row r="3060" spans="83:106" x14ac:dyDescent="0.2">
      <c r="CE3060"/>
      <c r="CF3060"/>
      <c r="CG3060"/>
      <c r="CH3060"/>
      <c r="CI3060"/>
      <c r="CU3060" s="21">
        <v>3055</v>
      </c>
      <c r="CV3060" s="41">
        <v>4</v>
      </c>
      <c r="CW3060" s="41">
        <v>0.11332468572476186</v>
      </c>
      <c r="CX3060" s="41" t="e">
        <v>#N/A</v>
      </c>
      <c r="CY3060" s="41" t="e">
        <v>#N/A</v>
      </c>
      <c r="CZ3060" s="47" t="e">
        <v>#N/A</v>
      </c>
      <c r="DA3060">
        <v>0.11332468572476186</v>
      </c>
      <c r="DB3060" t="str">
        <v/>
      </c>
    </row>
    <row r="3061" spans="83:106" x14ac:dyDescent="0.2">
      <c r="CE3061"/>
      <c r="CF3061"/>
      <c r="CG3061"/>
      <c r="CH3061"/>
      <c r="CI3061"/>
      <c r="CU3061" s="21">
        <v>3056</v>
      </c>
      <c r="CV3061" s="41">
        <v>4</v>
      </c>
      <c r="CW3061" s="41">
        <v>0.11332468572476186</v>
      </c>
      <c r="CX3061" s="41" t="e">
        <v>#N/A</v>
      </c>
      <c r="CY3061" s="41" t="e">
        <v>#N/A</v>
      </c>
      <c r="CZ3061" s="47" t="e">
        <v>#N/A</v>
      </c>
      <c r="DA3061">
        <v>0.11332468572476186</v>
      </c>
      <c r="DB3061" t="str">
        <v/>
      </c>
    </row>
    <row r="3062" spans="83:106" x14ac:dyDescent="0.2">
      <c r="CE3062"/>
      <c r="CF3062"/>
      <c r="CG3062"/>
      <c r="CH3062"/>
      <c r="CI3062"/>
      <c r="CU3062" s="21">
        <v>3057</v>
      </c>
      <c r="CV3062" s="41">
        <v>4</v>
      </c>
      <c r="CW3062" s="41">
        <v>0.11332468572476186</v>
      </c>
      <c r="CX3062" s="41" t="e">
        <v>#N/A</v>
      </c>
      <c r="CY3062" s="41" t="e">
        <v>#N/A</v>
      </c>
      <c r="CZ3062" s="47" t="e">
        <v>#N/A</v>
      </c>
      <c r="DA3062">
        <v>0.11332468572476186</v>
      </c>
      <c r="DB3062" t="str">
        <v/>
      </c>
    </row>
    <row r="3063" spans="83:106" x14ac:dyDescent="0.2">
      <c r="CE3063"/>
      <c r="CF3063"/>
      <c r="CG3063"/>
      <c r="CH3063"/>
      <c r="CI3063"/>
      <c r="CU3063" s="21">
        <v>3058</v>
      </c>
      <c r="CV3063" s="41">
        <v>4</v>
      </c>
      <c r="CW3063" s="41">
        <v>0.11332468572476186</v>
      </c>
      <c r="CX3063" s="41" t="e">
        <v>#N/A</v>
      </c>
      <c r="CY3063" s="41" t="e">
        <v>#N/A</v>
      </c>
      <c r="CZ3063" s="47" t="e">
        <v>#N/A</v>
      </c>
      <c r="DA3063">
        <v>0.11332468572476186</v>
      </c>
      <c r="DB3063" t="str">
        <v/>
      </c>
    </row>
    <row r="3064" spans="83:106" x14ac:dyDescent="0.2">
      <c r="CE3064"/>
      <c r="CF3064"/>
      <c r="CG3064"/>
      <c r="CH3064"/>
      <c r="CI3064"/>
      <c r="CU3064" s="21">
        <v>3059</v>
      </c>
      <c r="CV3064" s="41">
        <v>4</v>
      </c>
      <c r="CW3064" s="41">
        <v>0.11332468572476186</v>
      </c>
      <c r="CX3064" s="41" t="e">
        <v>#N/A</v>
      </c>
      <c r="CY3064" s="41" t="e">
        <v>#N/A</v>
      </c>
      <c r="CZ3064" s="47" t="e">
        <v>#N/A</v>
      </c>
      <c r="DA3064">
        <v>0.11332468572476186</v>
      </c>
      <c r="DB3064" t="str">
        <v/>
      </c>
    </row>
    <row r="3065" spans="83:106" x14ac:dyDescent="0.2">
      <c r="CE3065"/>
      <c r="CF3065"/>
      <c r="CG3065"/>
      <c r="CH3065"/>
      <c r="CI3065"/>
      <c r="CU3065" s="21">
        <v>3060</v>
      </c>
      <c r="CV3065" s="41">
        <v>4</v>
      </c>
      <c r="CW3065" s="41">
        <v>0.11332468572476186</v>
      </c>
      <c r="CX3065" s="41" t="e">
        <v>#N/A</v>
      </c>
      <c r="CY3065" s="41" t="e">
        <v>#N/A</v>
      </c>
      <c r="CZ3065" s="47" t="e">
        <v>#N/A</v>
      </c>
      <c r="DA3065">
        <v>0.11332468572476186</v>
      </c>
      <c r="DB3065" t="str">
        <v/>
      </c>
    </row>
    <row r="3066" spans="83:106" x14ac:dyDescent="0.2">
      <c r="CE3066"/>
      <c r="CF3066"/>
      <c r="CG3066"/>
      <c r="CH3066"/>
      <c r="CI3066"/>
      <c r="CU3066" s="21">
        <v>3061</v>
      </c>
      <c r="CV3066" s="41">
        <v>4</v>
      </c>
      <c r="CW3066" s="41">
        <v>0.11332468572476186</v>
      </c>
      <c r="CX3066" s="41" t="e">
        <v>#N/A</v>
      </c>
      <c r="CY3066" s="41" t="e">
        <v>#N/A</v>
      </c>
      <c r="CZ3066" s="47" t="e">
        <v>#N/A</v>
      </c>
      <c r="DA3066">
        <v>0.11332468572476186</v>
      </c>
      <c r="DB3066" t="str">
        <v/>
      </c>
    </row>
    <row r="3067" spans="83:106" x14ac:dyDescent="0.2">
      <c r="CE3067"/>
      <c r="CF3067"/>
      <c r="CG3067"/>
      <c r="CH3067"/>
      <c r="CI3067"/>
      <c r="CU3067" s="21">
        <v>3062</v>
      </c>
      <c r="CV3067" s="41">
        <v>4</v>
      </c>
      <c r="CW3067" s="41">
        <v>0.11332468572476186</v>
      </c>
      <c r="CX3067" s="41" t="e">
        <v>#N/A</v>
      </c>
      <c r="CY3067" s="41" t="e">
        <v>#N/A</v>
      </c>
      <c r="CZ3067" s="47" t="e">
        <v>#N/A</v>
      </c>
      <c r="DA3067">
        <v>0.11332468572476186</v>
      </c>
      <c r="DB3067" t="str">
        <v/>
      </c>
    </row>
    <row r="3068" spans="83:106" x14ac:dyDescent="0.2">
      <c r="CE3068"/>
      <c r="CF3068"/>
      <c r="CG3068"/>
      <c r="CH3068"/>
      <c r="CI3068"/>
      <c r="CU3068" s="21">
        <v>3063</v>
      </c>
      <c r="CV3068" s="41">
        <v>4</v>
      </c>
      <c r="CW3068" s="41">
        <v>0.11332468572476186</v>
      </c>
      <c r="CX3068" s="41" t="e">
        <v>#N/A</v>
      </c>
      <c r="CY3068" s="41" t="e">
        <v>#N/A</v>
      </c>
      <c r="CZ3068" s="47" t="e">
        <v>#N/A</v>
      </c>
      <c r="DA3068">
        <v>0.11332468572476186</v>
      </c>
      <c r="DB3068" t="str">
        <v/>
      </c>
    </row>
    <row r="3069" spans="83:106" x14ac:dyDescent="0.2">
      <c r="CE3069"/>
      <c r="CF3069"/>
      <c r="CG3069"/>
      <c r="CH3069"/>
      <c r="CI3069"/>
      <c r="CU3069" s="21">
        <v>3064</v>
      </c>
      <c r="CV3069" s="41">
        <v>4</v>
      </c>
      <c r="CW3069" s="41">
        <v>0.11332468572476186</v>
      </c>
      <c r="CX3069" s="41" t="e">
        <v>#N/A</v>
      </c>
      <c r="CY3069" s="41" t="e">
        <v>#N/A</v>
      </c>
      <c r="CZ3069" s="47" t="e">
        <v>#N/A</v>
      </c>
      <c r="DA3069">
        <v>0.11332468572476186</v>
      </c>
      <c r="DB3069" t="str">
        <v/>
      </c>
    </row>
    <row r="3070" spans="83:106" x14ac:dyDescent="0.2">
      <c r="CE3070"/>
      <c r="CF3070"/>
      <c r="CG3070"/>
      <c r="CH3070"/>
      <c r="CI3070"/>
      <c r="CU3070" s="21">
        <v>3065</v>
      </c>
      <c r="CV3070" s="41">
        <v>4</v>
      </c>
      <c r="CW3070" s="41">
        <v>0.11332468572476186</v>
      </c>
      <c r="CX3070" s="41" t="e">
        <v>#N/A</v>
      </c>
      <c r="CY3070" s="41" t="e">
        <v>#N/A</v>
      </c>
      <c r="CZ3070" s="47" t="e">
        <v>#N/A</v>
      </c>
      <c r="DA3070">
        <v>0.11332468572476186</v>
      </c>
      <c r="DB3070" t="str">
        <v/>
      </c>
    </row>
    <row r="3071" spans="83:106" x14ac:dyDescent="0.2">
      <c r="CE3071"/>
      <c r="CF3071"/>
      <c r="CG3071"/>
      <c r="CH3071"/>
      <c r="CI3071"/>
      <c r="CU3071" s="21">
        <v>3066</v>
      </c>
      <c r="CV3071" s="41">
        <v>4</v>
      </c>
      <c r="CW3071" s="41">
        <v>0.11332468572476186</v>
      </c>
      <c r="CX3071" s="41" t="e">
        <v>#N/A</v>
      </c>
      <c r="CY3071" s="41" t="e">
        <v>#N/A</v>
      </c>
      <c r="CZ3071" s="47" t="e">
        <v>#N/A</v>
      </c>
      <c r="DA3071">
        <v>0.11332468572476186</v>
      </c>
      <c r="DB3071" t="str">
        <v/>
      </c>
    </row>
    <row r="3072" spans="83:106" x14ac:dyDescent="0.2">
      <c r="CE3072"/>
      <c r="CF3072"/>
      <c r="CG3072"/>
      <c r="CH3072"/>
      <c r="CI3072"/>
      <c r="CU3072" s="21">
        <v>3067</v>
      </c>
      <c r="CV3072" s="41">
        <v>4</v>
      </c>
      <c r="CW3072" s="41">
        <v>0.11332468572476186</v>
      </c>
      <c r="CX3072" s="41" t="e">
        <v>#N/A</v>
      </c>
      <c r="CY3072" s="41" t="e">
        <v>#N/A</v>
      </c>
      <c r="CZ3072" s="47" t="e">
        <v>#N/A</v>
      </c>
      <c r="DA3072">
        <v>0.11332468572476186</v>
      </c>
      <c r="DB3072" t="str">
        <v/>
      </c>
    </row>
    <row r="3073" spans="83:106" x14ac:dyDescent="0.2">
      <c r="CE3073"/>
      <c r="CF3073"/>
      <c r="CG3073"/>
      <c r="CH3073"/>
      <c r="CI3073"/>
      <c r="CU3073" s="21">
        <v>3068</v>
      </c>
      <c r="CV3073" s="41">
        <v>4</v>
      </c>
      <c r="CW3073" s="41">
        <v>0.11332468572476186</v>
      </c>
      <c r="CX3073" s="41" t="e">
        <v>#N/A</v>
      </c>
      <c r="CY3073" s="41" t="e">
        <v>#N/A</v>
      </c>
      <c r="CZ3073" s="47" t="e">
        <v>#N/A</v>
      </c>
      <c r="DA3073">
        <v>0.11332468572476186</v>
      </c>
      <c r="DB3073" t="str">
        <v/>
      </c>
    </row>
    <row r="3074" spans="83:106" x14ac:dyDescent="0.2">
      <c r="CE3074"/>
      <c r="CF3074"/>
      <c r="CG3074"/>
      <c r="CH3074"/>
      <c r="CI3074"/>
      <c r="CU3074" s="21">
        <v>3069</v>
      </c>
      <c r="CV3074" s="41">
        <v>4</v>
      </c>
      <c r="CW3074" s="41">
        <v>0.11332468572476186</v>
      </c>
      <c r="CX3074" s="41" t="e">
        <v>#N/A</v>
      </c>
      <c r="CY3074" s="41" t="e">
        <v>#N/A</v>
      </c>
      <c r="CZ3074" s="47" t="e">
        <v>#N/A</v>
      </c>
      <c r="DA3074">
        <v>0.11332468572476186</v>
      </c>
      <c r="DB3074" t="str">
        <v/>
      </c>
    </row>
    <row r="3075" spans="83:106" x14ac:dyDescent="0.2">
      <c r="CE3075"/>
      <c r="CF3075"/>
      <c r="CG3075"/>
      <c r="CH3075"/>
      <c r="CI3075"/>
      <c r="CU3075" s="21">
        <v>3070</v>
      </c>
      <c r="CV3075" s="41">
        <v>4</v>
      </c>
      <c r="CW3075" s="41">
        <v>0.11332468572476186</v>
      </c>
      <c r="CX3075" s="41" t="e">
        <v>#N/A</v>
      </c>
      <c r="CY3075" s="41" t="e">
        <v>#N/A</v>
      </c>
      <c r="CZ3075" s="47" t="e">
        <v>#N/A</v>
      </c>
      <c r="DA3075">
        <v>0.11332468572476186</v>
      </c>
      <c r="DB3075" t="str">
        <v/>
      </c>
    </row>
    <row r="3076" spans="83:106" x14ac:dyDescent="0.2">
      <c r="CE3076"/>
      <c r="CF3076"/>
      <c r="CG3076"/>
      <c r="CH3076"/>
      <c r="CI3076"/>
      <c r="CU3076" s="21">
        <v>3071</v>
      </c>
      <c r="CV3076" s="41">
        <v>4</v>
      </c>
      <c r="CW3076" s="41">
        <v>0.11332468572476186</v>
      </c>
      <c r="CX3076" s="41" t="e">
        <v>#N/A</v>
      </c>
      <c r="CY3076" s="41" t="e">
        <v>#N/A</v>
      </c>
      <c r="CZ3076" s="47" t="e">
        <v>#N/A</v>
      </c>
      <c r="DA3076">
        <v>0.11332468572476186</v>
      </c>
      <c r="DB3076" t="str">
        <v/>
      </c>
    </row>
    <row r="3077" spans="83:106" x14ac:dyDescent="0.2">
      <c r="CE3077"/>
      <c r="CF3077"/>
      <c r="CG3077"/>
      <c r="CH3077"/>
      <c r="CI3077"/>
      <c r="CU3077" s="21">
        <v>3072</v>
      </c>
      <c r="CV3077" s="41">
        <v>4</v>
      </c>
      <c r="CW3077" s="41">
        <v>0.11332468572476186</v>
      </c>
      <c r="CX3077" s="41" t="e">
        <v>#N/A</v>
      </c>
      <c r="CY3077" s="41" t="e">
        <v>#N/A</v>
      </c>
      <c r="CZ3077" s="47" t="e">
        <v>#N/A</v>
      </c>
      <c r="DA3077">
        <v>0.11332468572476186</v>
      </c>
      <c r="DB3077" t="str">
        <v/>
      </c>
    </row>
    <row r="3078" spans="83:106" x14ac:dyDescent="0.2">
      <c r="CE3078"/>
      <c r="CF3078"/>
      <c r="CG3078"/>
      <c r="CH3078"/>
      <c r="CI3078"/>
      <c r="CU3078" s="21">
        <v>3073</v>
      </c>
      <c r="CV3078" s="41">
        <v>4</v>
      </c>
      <c r="CW3078" s="41">
        <v>0.11332468572476186</v>
      </c>
      <c r="CX3078" s="41" t="e">
        <v>#N/A</v>
      </c>
      <c r="CY3078" s="41" t="e">
        <v>#N/A</v>
      </c>
      <c r="CZ3078" s="47" t="e">
        <v>#N/A</v>
      </c>
      <c r="DA3078">
        <v>0.11332468572476186</v>
      </c>
      <c r="DB3078" t="str">
        <v/>
      </c>
    </row>
    <row r="3079" spans="83:106" x14ac:dyDescent="0.2">
      <c r="CE3079"/>
      <c r="CF3079"/>
      <c r="CG3079"/>
      <c r="CH3079"/>
      <c r="CI3079"/>
      <c r="CU3079" s="21">
        <v>3074</v>
      </c>
      <c r="CV3079" s="41">
        <v>4</v>
      </c>
      <c r="CW3079" s="41">
        <v>0.11332468572476186</v>
      </c>
      <c r="CX3079" s="41" t="e">
        <v>#N/A</v>
      </c>
      <c r="CY3079" s="41" t="e">
        <v>#N/A</v>
      </c>
      <c r="CZ3079" s="47" t="e">
        <v>#N/A</v>
      </c>
      <c r="DA3079">
        <v>0.11332468572476186</v>
      </c>
      <c r="DB3079" t="str">
        <v/>
      </c>
    </row>
    <row r="3080" spans="83:106" x14ac:dyDescent="0.2">
      <c r="CE3080"/>
      <c r="CF3080"/>
      <c r="CG3080"/>
      <c r="CH3080"/>
      <c r="CI3080"/>
      <c r="CU3080" s="21">
        <v>3075</v>
      </c>
      <c r="CV3080" s="41">
        <v>4</v>
      </c>
      <c r="CW3080" s="41">
        <v>0.11332468572476186</v>
      </c>
      <c r="CX3080" s="41" t="e">
        <v>#N/A</v>
      </c>
      <c r="CY3080" s="41" t="e">
        <v>#N/A</v>
      </c>
      <c r="CZ3080" s="47" t="e">
        <v>#N/A</v>
      </c>
      <c r="DA3080">
        <v>0.11332468572476186</v>
      </c>
      <c r="DB3080" t="str">
        <v/>
      </c>
    </row>
    <row r="3081" spans="83:106" x14ac:dyDescent="0.2">
      <c r="CE3081"/>
      <c r="CF3081"/>
      <c r="CG3081"/>
      <c r="CH3081"/>
      <c r="CI3081"/>
      <c r="CU3081" s="21">
        <v>3076</v>
      </c>
      <c r="CV3081" s="41">
        <v>4</v>
      </c>
      <c r="CW3081" s="41">
        <v>0.11332468572476186</v>
      </c>
      <c r="CX3081" s="41" t="e">
        <v>#N/A</v>
      </c>
      <c r="CY3081" s="41" t="e">
        <v>#N/A</v>
      </c>
      <c r="CZ3081" s="47" t="e">
        <v>#N/A</v>
      </c>
      <c r="DA3081">
        <v>0.11332468572476186</v>
      </c>
      <c r="DB3081" t="str">
        <v/>
      </c>
    </row>
    <row r="3082" spans="83:106" x14ac:dyDescent="0.2">
      <c r="CE3082"/>
      <c r="CF3082"/>
      <c r="CG3082"/>
      <c r="CH3082"/>
      <c r="CI3082"/>
      <c r="CU3082" s="21">
        <v>3077</v>
      </c>
      <c r="CV3082" s="41">
        <v>4</v>
      </c>
      <c r="CW3082" s="41">
        <v>0.11332468572476186</v>
      </c>
      <c r="CX3082" s="41" t="e">
        <v>#N/A</v>
      </c>
      <c r="CY3082" s="41" t="e">
        <v>#N/A</v>
      </c>
      <c r="CZ3082" s="47" t="e">
        <v>#N/A</v>
      </c>
      <c r="DA3082">
        <v>0.11332468572476186</v>
      </c>
      <c r="DB3082" t="str">
        <v/>
      </c>
    </row>
    <row r="3083" spans="83:106" x14ac:dyDescent="0.2">
      <c r="CE3083"/>
      <c r="CF3083"/>
      <c r="CG3083"/>
      <c r="CH3083"/>
      <c r="CI3083"/>
      <c r="CU3083" s="21">
        <v>3078</v>
      </c>
      <c r="CV3083" s="41">
        <v>4</v>
      </c>
      <c r="CW3083" s="41">
        <v>0.11332468572476186</v>
      </c>
      <c r="CX3083" s="41" t="e">
        <v>#N/A</v>
      </c>
      <c r="CY3083" s="41" t="e">
        <v>#N/A</v>
      </c>
      <c r="CZ3083" s="47" t="e">
        <v>#N/A</v>
      </c>
      <c r="DA3083">
        <v>0.11332468572476186</v>
      </c>
      <c r="DB3083" t="str">
        <v/>
      </c>
    </row>
    <row r="3084" spans="83:106" x14ac:dyDescent="0.2">
      <c r="CE3084"/>
      <c r="CF3084"/>
      <c r="CG3084"/>
      <c r="CH3084"/>
      <c r="CI3084"/>
      <c r="CU3084" s="21">
        <v>3079</v>
      </c>
      <c r="CV3084" s="41">
        <v>4</v>
      </c>
      <c r="CW3084" s="41">
        <v>0.11332468572476186</v>
      </c>
      <c r="CX3084" s="41" t="e">
        <v>#N/A</v>
      </c>
      <c r="CY3084" s="41" t="e">
        <v>#N/A</v>
      </c>
      <c r="CZ3084" s="47" t="e">
        <v>#N/A</v>
      </c>
      <c r="DA3084">
        <v>0.11332468572476186</v>
      </c>
      <c r="DB3084" t="str">
        <v/>
      </c>
    </row>
    <row r="3085" spans="83:106" x14ac:dyDescent="0.2">
      <c r="CE3085"/>
      <c r="CF3085"/>
      <c r="CG3085"/>
      <c r="CH3085"/>
      <c r="CI3085"/>
      <c r="CU3085" s="21">
        <v>3080</v>
      </c>
      <c r="CV3085" s="41">
        <v>4</v>
      </c>
      <c r="CW3085" s="41">
        <v>0.11332468572476186</v>
      </c>
      <c r="CX3085" s="41" t="e">
        <v>#N/A</v>
      </c>
      <c r="CY3085" s="41" t="e">
        <v>#N/A</v>
      </c>
      <c r="CZ3085" s="47" t="e">
        <v>#N/A</v>
      </c>
      <c r="DA3085">
        <v>0.11332468572476186</v>
      </c>
      <c r="DB3085" t="str">
        <v/>
      </c>
    </row>
    <row r="3086" spans="83:106" x14ac:dyDescent="0.2">
      <c r="CE3086"/>
      <c r="CF3086"/>
      <c r="CG3086"/>
      <c r="CH3086"/>
      <c r="CI3086"/>
      <c r="CU3086" s="21">
        <v>3081</v>
      </c>
      <c r="CV3086" s="41">
        <v>4</v>
      </c>
      <c r="CW3086" s="41">
        <v>0.11332468572476186</v>
      </c>
      <c r="CX3086" s="41" t="e">
        <v>#N/A</v>
      </c>
      <c r="CY3086" s="41" t="e">
        <v>#N/A</v>
      </c>
      <c r="CZ3086" s="47" t="e">
        <v>#N/A</v>
      </c>
      <c r="DA3086">
        <v>0.11332468572476186</v>
      </c>
      <c r="DB3086" t="str">
        <v/>
      </c>
    </row>
    <row r="3087" spans="83:106" x14ac:dyDescent="0.2">
      <c r="CE3087"/>
      <c r="CF3087"/>
      <c r="CG3087"/>
      <c r="CH3087"/>
      <c r="CI3087"/>
      <c r="CU3087" s="21">
        <v>3082</v>
      </c>
      <c r="CV3087" s="41">
        <v>4</v>
      </c>
      <c r="CW3087" s="41">
        <v>0.11332468572476186</v>
      </c>
      <c r="CX3087" s="41" t="e">
        <v>#N/A</v>
      </c>
      <c r="CY3087" s="41" t="e">
        <v>#N/A</v>
      </c>
      <c r="CZ3087" s="47" t="e">
        <v>#N/A</v>
      </c>
      <c r="DA3087">
        <v>0.11332468572476186</v>
      </c>
      <c r="DB3087" t="str">
        <v/>
      </c>
    </row>
    <row r="3088" spans="83:106" x14ac:dyDescent="0.2">
      <c r="CE3088"/>
      <c r="CF3088"/>
      <c r="CG3088"/>
      <c r="CH3088"/>
      <c r="CI3088"/>
      <c r="CU3088" s="21">
        <v>3083</v>
      </c>
      <c r="CV3088" s="41">
        <v>4</v>
      </c>
      <c r="CW3088" s="41">
        <v>0.11332468572476186</v>
      </c>
      <c r="CX3088" s="41" t="e">
        <v>#N/A</v>
      </c>
      <c r="CY3088" s="41" t="e">
        <v>#N/A</v>
      </c>
      <c r="CZ3088" s="47" t="e">
        <v>#N/A</v>
      </c>
      <c r="DA3088">
        <v>0.11332468572476186</v>
      </c>
      <c r="DB3088" t="str">
        <v/>
      </c>
    </row>
    <row r="3089" spans="83:106" x14ac:dyDescent="0.2">
      <c r="CE3089"/>
      <c r="CF3089"/>
      <c r="CG3089"/>
      <c r="CH3089"/>
      <c r="CI3089"/>
      <c r="CU3089" s="21">
        <v>3084</v>
      </c>
      <c r="CV3089" s="41">
        <v>4</v>
      </c>
      <c r="CW3089" s="41">
        <v>0.11332468572476186</v>
      </c>
      <c r="CX3089" s="41" t="e">
        <v>#N/A</v>
      </c>
      <c r="CY3089" s="41" t="e">
        <v>#N/A</v>
      </c>
      <c r="CZ3089" s="47" t="e">
        <v>#N/A</v>
      </c>
      <c r="DA3089">
        <v>0.11332468572476186</v>
      </c>
      <c r="DB3089" t="str">
        <v/>
      </c>
    </row>
    <row r="3090" spans="83:106" x14ac:dyDescent="0.2">
      <c r="CE3090"/>
      <c r="CF3090"/>
      <c r="CG3090"/>
      <c r="CH3090"/>
      <c r="CI3090"/>
      <c r="CU3090" s="21">
        <v>3085</v>
      </c>
      <c r="CV3090" s="41">
        <v>4</v>
      </c>
      <c r="CW3090" s="41">
        <v>0.11332468572476186</v>
      </c>
      <c r="CX3090" s="41" t="e">
        <v>#N/A</v>
      </c>
      <c r="CY3090" s="41" t="e">
        <v>#N/A</v>
      </c>
      <c r="CZ3090" s="47" t="e">
        <v>#N/A</v>
      </c>
      <c r="DA3090">
        <v>0.11332468572476186</v>
      </c>
      <c r="DB3090" t="str">
        <v/>
      </c>
    </row>
    <row r="3091" spans="83:106" x14ac:dyDescent="0.2">
      <c r="CE3091"/>
      <c r="CF3091"/>
      <c r="CG3091"/>
      <c r="CH3091"/>
      <c r="CI3091"/>
      <c r="CU3091" s="21">
        <v>3086</v>
      </c>
      <c r="CV3091" s="41">
        <v>4</v>
      </c>
      <c r="CW3091" s="41">
        <v>0.11332468572476186</v>
      </c>
      <c r="CX3091" s="41" t="e">
        <v>#N/A</v>
      </c>
      <c r="CY3091" s="41" t="e">
        <v>#N/A</v>
      </c>
      <c r="CZ3091" s="47" t="e">
        <v>#N/A</v>
      </c>
      <c r="DA3091">
        <v>0.11332468572476186</v>
      </c>
      <c r="DB3091" t="str">
        <v/>
      </c>
    </row>
    <row r="3092" spans="83:106" x14ac:dyDescent="0.2">
      <c r="CE3092"/>
      <c r="CF3092"/>
      <c r="CG3092"/>
      <c r="CH3092"/>
      <c r="CI3092"/>
      <c r="CU3092" s="21">
        <v>3087</v>
      </c>
      <c r="CV3092" s="41">
        <v>4</v>
      </c>
      <c r="CW3092" s="41">
        <v>0.11332468572476186</v>
      </c>
      <c r="CX3092" s="41" t="e">
        <v>#N/A</v>
      </c>
      <c r="CY3092" s="41" t="e">
        <v>#N/A</v>
      </c>
      <c r="CZ3092" s="47" t="e">
        <v>#N/A</v>
      </c>
      <c r="DA3092">
        <v>0.11332468572476186</v>
      </c>
      <c r="DB3092" t="str">
        <v/>
      </c>
    </row>
    <row r="3093" spans="83:106" x14ac:dyDescent="0.2">
      <c r="CE3093"/>
      <c r="CF3093"/>
      <c r="CG3093"/>
      <c r="CH3093"/>
      <c r="CI3093"/>
      <c r="CU3093" s="21">
        <v>3088</v>
      </c>
      <c r="CV3093" s="41">
        <v>4</v>
      </c>
      <c r="CW3093" s="41">
        <v>0.11332468572476186</v>
      </c>
      <c r="CX3093" s="41" t="e">
        <v>#N/A</v>
      </c>
      <c r="CY3093" s="41" t="e">
        <v>#N/A</v>
      </c>
      <c r="CZ3093" s="47" t="e">
        <v>#N/A</v>
      </c>
      <c r="DA3093">
        <v>0.11332468572476186</v>
      </c>
      <c r="DB3093" t="str">
        <v/>
      </c>
    </row>
    <row r="3094" spans="83:106" x14ac:dyDescent="0.2">
      <c r="CE3094"/>
      <c r="CF3094"/>
      <c r="CG3094"/>
      <c r="CH3094"/>
      <c r="CI3094"/>
      <c r="CU3094" s="21">
        <v>3089</v>
      </c>
      <c r="CV3094" s="41">
        <v>4</v>
      </c>
      <c r="CW3094" s="41">
        <v>0.11332468572476186</v>
      </c>
      <c r="CX3094" s="41" t="e">
        <v>#N/A</v>
      </c>
      <c r="CY3094" s="41" t="e">
        <v>#N/A</v>
      </c>
      <c r="CZ3094" s="47" t="e">
        <v>#N/A</v>
      </c>
      <c r="DA3094">
        <v>0.11332468572476186</v>
      </c>
      <c r="DB3094" t="str">
        <v/>
      </c>
    </row>
    <row r="3095" spans="83:106" x14ac:dyDescent="0.2">
      <c r="CE3095"/>
      <c r="CF3095"/>
      <c r="CG3095"/>
      <c r="CH3095"/>
      <c r="CI3095"/>
      <c r="CU3095" s="21">
        <v>3090</v>
      </c>
      <c r="CV3095" s="41">
        <v>4</v>
      </c>
      <c r="CW3095" s="41">
        <v>0.11332468572476186</v>
      </c>
      <c r="CX3095" s="41" t="e">
        <v>#N/A</v>
      </c>
      <c r="CY3095" s="41" t="e">
        <v>#N/A</v>
      </c>
      <c r="CZ3095" s="47" t="e">
        <v>#N/A</v>
      </c>
      <c r="DA3095">
        <v>0.11332468572476186</v>
      </c>
      <c r="DB3095" t="str">
        <v/>
      </c>
    </row>
    <row r="3096" spans="83:106" x14ac:dyDescent="0.2">
      <c r="CE3096"/>
      <c r="CF3096"/>
      <c r="CG3096"/>
      <c r="CH3096"/>
      <c r="CI3096"/>
      <c r="CU3096" s="21">
        <v>3091</v>
      </c>
      <c r="CV3096" s="41">
        <v>4</v>
      </c>
      <c r="CW3096" s="41">
        <v>0.11332468572476186</v>
      </c>
      <c r="CX3096" s="41" t="e">
        <v>#N/A</v>
      </c>
      <c r="CY3096" s="41" t="e">
        <v>#N/A</v>
      </c>
      <c r="CZ3096" s="47" t="e">
        <v>#N/A</v>
      </c>
      <c r="DA3096">
        <v>0.11332468572476186</v>
      </c>
      <c r="DB3096" t="str">
        <v/>
      </c>
    </row>
    <row r="3097" spans="83:106" x14ac:dyDescent="0.2">
      <c r="CE3097"/>
      <c r="CF3097"/>
      <c r="CG3097"/>
      <c r="CH3097"/>
      <c r="CI3097"/>
      <c r="CU3097" s="21">
        <v>3092</v>
      </c>
      <c r="CV3097" s="41">
        <v>4</v>
      </c>
      <c r="CW3097" s="41">
        <v>0.11332468572476186</v>
      </c>
      <c r="CX3097" s="41" t="e">
        <v>#N/A</v>
      </c>
      <c r="CY3097" s="41" t="e">
        <v>#N/A</v>
      </c>
      <c r="CZ3097" s="47" t="e">
        <v>#N/A</v>
      </c>
      <c r="DA3097">
        <v>0.11332468572476186</v>
      </c>
      <c r="DB3097" t="str">
        <v/>
      </c>
    </row>
    <row r="3098" spans="83:106" x14ac:dyDescent="0.2">
      <c r="CE3098"/>
      <c r="CF3098"/>
      <c r="CG3098"/>
      <c r="CH3098"/>
      <c r="CI3098"/>
      <c r="CU3098" s="21">
        <v>3093</v>
      </c>
      <c r="CV3098" s="41">
        <v>4</v>
      </c>
      <c r="CW3098" s="41">
        <v>0.11332468572476186</v>
      </c>
      <c r="CX3098" s="41" t="e">
        <v>#N/A</v>
      </c>
      <c r="CY3098" s="41" t="e">
        <v>#N/A</v>
      </c>
      <c r="CZ3098" s="47" t="e">
        <v>#N/A</v>
      </c>
      <c r="DA3098">
        <v>0.11332468572476186</v>
      </c>
      <c r="DB3098" t="str">
        <v/>
      </c>
    </row>
    <row r="3099" spans="83:106" x14ac:dyDescent="0.2">
      <c r="CE3099"/>
      <c r="CF3099"/>
      <c r="CG3099"/>
      <c r="CH3099"/>
      <c r="CI3099"/>
      <c r="CU3099" s="21">
        <v>3094</v>
      </c>
      <c r="CV3099" s="41">
        <v>4</v>
      </c>
      <c r="CW3099" s="41">
        <v>0.11332468572476186</v>
      </c>
      <c r="CX3099" s="41" t="e">
        <v>#N/A</v>
      </c>
      <c r="CY3099" s="41" t="e">
        <v>#N/A</v>
      </c>
      <c r="CZ3099" s="47" t="e">
        <v>#N/A</v>
      </c>
      <c r="DA3099">
        <v>0.11332468572476186</v>
      </c>
      <c r="DB3099" t="str">
        <v/>
      </c>
    </row>
    <row r="3100" spans="83:106" x14ac:dyDescent="0.2">
      <c r="CE3100"/>
      <c r="CF3100"/>
      <c r="CG3100"/>
      <c r="CH3100"/>
      <c r="CI3100"/>
      <c r="CU3100" s="21">
        <v>3095</v>
      </c>
      <c r="CV3100" s="41">
        <v>4</v>
      </c>
      <c r="CW3100" s="41">
        <v>0.11332468572476186</v>
      </c>
      <c r="CX3100" s="41" t="e">
        <v>#N/A</v>
      </c>
      <c r="CY3100" s="41" t="e">
        <v>#N/A</v>
      </c>
      <c r="CZ3100" s="47" t="e">
        <v>#N/A</v>
      </c>
      <c r="DA3100">
        <v>0.11332468572476186</v>
      </c>
      <c r="DB3100" t="str">
        <v/>
      </c>
    </row>
    <row r="3101" spans="83:106" x14ac:dyDescent="0.2">
      <c r="CE3101"/>
      <c r="CF3101"/>
      <c r="CG3101"/>
      <c r="CH3101"/>
      <c r="CI3101"/>
      <c r="CU3101" s="21">
        <v>3096</v>
      </c>
      <c r="CV3101" s="41">
        <v>4</v>
      </c>
      <c r="CW3101" s="41">
        <v>0.11332468572476186</v>
      </c>
      <c r="CX3101" s="41" t="e">
        <v>#N/A</v>
      </c>
      <c r="CY3101" s="41" t="e">
        <v>#N/A</v>
      </c>
      <c r="CZ3101" s="47" t="e">
        <v>#N/A</v>
      </c>
      <c r="DA3101">
        <v>0.11332468572476186</v>
      </c>
      <c r="DB3101" t="str">
        <v/>
      </c>
    </row>
    <row r="3102" spans="83:106" x14ac:dyDescent="0.2">
      <c r="CE3102"/>
      <c r="CF3102"/>
      <c r="CG3102"/>
      <c r="CH3102"/>
      <c r="CI3102"/>
      <c r="CU3102" s="21">
        <v>3097</v>
      </c>
      <c r="CV3102" s="41">
        <v>4</v>
      </c>
      <c r="CW3102" s="41">
        <v>0.11332468572476186</v>
      </c>
      <c r="CX3102" s="41" t="e">
        <v>#N/A</v>
      </c>
      <c r="CY3102" s="41" t="e">
        <v>#N/A</v>
      </c>
      <c r="CZ3102" s="47" t="e">
        <v>#N/A</v>
      </c>
      <c r="DA3102">
        <v>0.11332468572476186</v>
      </c>
      <c r="DB3102" t="str">
        <v/>
      </c>
    </row>
    <row r="3103" spans="83:106" x14ac:dyDescent="0.2">
      <c r="CE3103"/>
      <c r="CF3103"/>
      <c r="CG3103"/>
      <c r="CH3103"/>
      <c r="CI3103"/>
      <c r="CU3103" s="21">
        <v>3098</v>
      </c>
      <c r="CV3103" s="41">
        <v>4</v>
      </c>
      <c r="CW3103" s="41">
        <v>0.11332468572476186</v>
      </c>
      <c r="CX3103" s="41" t="e">
        <v>#N/A</v>
      </c>
      <c r="CY3103" s="41" t="e">
        <v>#N/A</v>
      </c>
      <c r="CZ3103" s="47" t="e">
        <v>#N/A</v>
      </c>
      <c r="DA3103">
        <v>0.11332468572476186</v>
      </c>
      <c r="DB3103" t="str">
        <v/>
      </c>
    </row>
    <row r="3104" spans="83:106" x14ac:dyDescent="0.2">
      <c r="CE3104"/>
      <c r="CF3104"/>
      <c r="CG3104"/>
      <c r="CH3104"/>
      <c r="CI3104"/>
      <c r="CU3104" s="21">
        <v>3099</v>
      </c>
      <c r="CV3104" s="41">
        <v>4</v>
      </c>
      <c r="CW3104" s="41">
        <v>0.11332468572476186</v>
      </c>
      <c r="CX3104" s="41" t="e">
        <v>#N/A</v>
      </c>
      <c r="CY3104" s="41" t="e">
        <v>#N/A</v>
      </c>
      <c r="CZ3104" s="47" t="e">
        <v>#N/A</v>
      </c>
      <c r="DA3104">
        <v>0.11332468572476186</v>
      </c>
      <c r="DB3104" t="str">
        <v/>
      </c>
    </row>
    <row r="3105" spans="83:106" x14ac:dyDescent="0.2">
      <c r="CE3105"/>
      <c r="CF3105"/>
      <c r="CG3105"/>
      <c r="CH3105"/>
      <c r="CI3105"/>
      <c r="CU3105" s="21">
        <v>3100</v>
      </c>
      <c r="CV3105" s="41">
        <v>4</v>
      </c>
      <c r="CW3105" s="41">
        <v>0.11332468572476186</v>
      </c>
      <c r="CX3105" s="41" t="e">
        <v>#N/A</v>
      </c>
      <c r="CY3105" s="41" t="e">
        <v>#N/A</v>
      </c>
      <c r="CZ3105" s="47" t="e">
        <v>#N/A</v>
      </c>
      <c r="DA3105">
        <v>0.11332468572476186</v>
      </c>
      <c r="DB3105" t="str">
        <v/>
      </c>
    </row>
    <row r="3106" spans="83:106" x14ac:dyDescent="0.2">
      <c r="CE3106"/>
      <c r="CF3106"/>
      <c r="CG3106"/>
      <c r="CH3106"/>
      <c r="CI3106"/>
      <c r="CU3106" s="21">
        <v>3101</v>
      </c>
      <c r="CV3106" s="41">
        <v>4</v>
      </c>
      <c r="CW3106" s="41">
        <v>0.11332468572476186</v>
      </c>
      <c r="CX3106" s="41" t="e">
        <v>#N/A</v>
      </c>
      <c r="CY3106" s="41" t="e">
        <v>#N/A</v>
      </c>
      <c r="CZ3106" s="47" t="e">
        <v>#N/A</v>
      </c>
      <c r="DA3106">
        <v>0.11332468572476186</v>
      </c>
      <c r="DB3106" t="str">
        <v/>
      </c>
    </row>
    <row r="3107" spans="83:106" x14ac:dyDescent="0.2">
      <c r="CE3107"/>
      <c r="CF3107"/>
      <c r="CG3107"/>
      <c r="CH3107"/>
      <c r="CI3107"/>
      <c r="CU3107" s="21">
        <v>3102</v>
      </c>
      <c r="CV3107" s="41">
        <v>4</v>
      </c>
      <c r="CW3107" s="41">
        <v>0.11332468572476186</v>
      </c>
      <c r="CX3107" s="41" t="e">
        <v>#N/A</v>
      </c>
      <c r="CY3107" s="41" t="e">
        <v>#N/A</v>
      </c>
      <c r="CZ3107" s="47" t="e">
        <v>#N/A</v>
      </c>
      <c r="DA3107">
        <v>0.11332468572476186</v>
      </c>
      <c r="DB3107" t="str">
        <v/>
      </c>
    </row>
    <row r="3108" spans="83:106" x14ac:dyDescent="0.2">
      <c r="CE3108"/>
      <c r="CF3108"/>
      <c r="CG3108"/>
      <c r="CH3108"/>
      <c r="CI3108"/>
      <c r="CU3108" s="21">
        <v>3103</v>
      </c>
      <c r="CV3108" s="41">
        <v>4</v>
      </c>
      <c r="CW3108" s="41">
        <v>0.11332468572476186</v>
      </c>
      <c r="CX3108" s="41" t="e">
        <v>#N/A</v>
      </c>
      <c r="CY3108" s="41" t="e">
        <v>#N/A</v>
      </c>
      <c r="CZ3108" s="47" t="e">
        <v>#N/A</v>
      </c>
      <c r="DA3108">
        <v>0.11332468572476186</v>
      </c>
      <c r="DB3108" t="str">
        <v/>
      </c>
    </row>
    <row r="3109" spans="83:106" x14ac:dyDescent="0.2">
      <c r="CE3109"/>
      <c r="CF3109"/>
      <c r="CG3109"/>
      <c r="CH3109"/>
      <c r="CI3109"/>
      <c r="CU3109" s="21">
        <v>3104</v>
      </c>
      <c r="CV3109" s="41">
        <v>4</v>
      </c>
      <c r="CW3109" s="41">
        <v>0.11332468572476186</v>
      </c>
      <c r="CX3109" s="41" t="e">
        <v>#N/A</v>
      </c>
      <c r="CY3109" s="41" t="e">
        <v>#N/A</v>
      </c>
      <c r="CZ3109" s="47" t="e">
        <v>#N/A</v>
      </c>
      <c r="DA3109">
        <v>0.11332468572476186</v>
      </c>
      <c r="DB3109" t="str">
        <v/>
      </c>
    </row>
    <row r="3110" spans="83:106" x14ac:dyDescent="0.2">
      <c r="CE3110"/>
      <c r="CF3110"/>
      <c r="CG3110"/>
      <c r="CH3110"/>
      <c r="CI3110"/>
      <c r="CU3110" s="21">
        <v>3105</v>
      </c>
      <c r="CV3110" s="41">
        <v>4</v>
      </c>
      <c r="CW3110" s="41">
        <v>0.11332468572476186</v>
      </c>
      <c r="CX3110" s="41" t="e">
        <v>#N/A</v>
      </c>
      <c r="CY3110" s="41" t="e">
        <v>#N/A</v>
      </c>
      <c r="CZ3110" s="47" t="e">
        <v>#N/A</v>
      </c>
      <c r="DA3110">
        <v>0.11332468572476186</v>
      </c>
      <c r="DB3110" t="str">
        <v/>
      </c>
    </row>
    <row r="3111" spans="83:106" x14ac:dyDescent="0.2">
      <c r="CE3111"/>
      <c r="CF3111"/>
      <c r="CG3111"/>
      <c r="CH3111"/>
      <c r="CI3111"/>
      <c r="CU3111" s="21">
        <v>3106</v>
      </c>
      <c r="CV3111" s="41">
        <v>4</v>
      </c>
      <c r="CW3111" s="41">
        <v>0.11332468572476186</v>
      </c>
      <c r="CX3111" s="41" t="e">
        <v>#N/A</v>
      </c>
      <c r="CY3111" s="41" t="e">
        <v>#N/A</v>
      </c>
      <c r="CZ3111" s="47" t="e">
        <v>#N/A</v>
      </c>
      <c r="DA3111">
        <v>0.11332468572476186</v>
      </c>
      <c r="DB3111" t="str">
        <v/>
      </c>
    </row>
    <row r="3112" spans="83:106" x14ac:dyDescent="0.2">
      <c r="CE3112"/>
      <c r="CF3112"/>
      <c r="CG3112"/>
      <c r="CH3112"/>
      <c r="CI3112"/>
      <c r="CU3112" s="21">
        <v>3107</v>
      </c>
      <c r="CV3112" s="41">
        <v>4</v>
      </c>
      <c r="CW3112" s="41">
        <v>0.11332468572476186</v>
      </c>
      <c r="CX3112" s="41" t="e">
        <v>#N/A</v>
      </c>
      <c r="CY3112" s="41" t="e">
        <v>#N/A</v>
      </c>
      <c r="CZ3112" s="47" t="e">
        <v>#N/A</v>
      </c>
      <c r="DA3112">
        <v>0.11332468572476186</v>
      </c>
      <c r="DB3112" t="str">
        <v/>
      </c>
    </row>
    <row r="3113" spans="83:106" x14ac:dyDescent="0.2">
      <c r="CE3113"/>
      <c r="CF3113"/>
      <c r="CG3113"/>
      <c r="CH3113"/>
      <c r="CI3113"/>
      <c r="CU3113" s="21">
        <v>3108</v>
      </c>
      <c r="CV3113" s="41">
        <v>4</v>
      </c>
      <c r="CW3113" s="41">
        <v>0.11332468572476186</v>
      </c>
      <c r="CX3113" s="41" t="e">
        <v>#N/A</v>
      </c>
      <c r="CY3113" s="41" t="e">
        <v>#N/A</v>
      </c>
      <c r="CZ3113" s="47" t="e">
        <v>#N/A</v>
      </c>
      <c r="DA3113">
        <v>0.11332468572476186</v>
      </c>
      <c r="DB3113" t="str">
        <v/>
      </c>
    </row>
    <row r="3114" spans="83:106" x14ac:dyDescent="0.2">
      <c r="CE3114"/>
      <c r="CF3114"/>
      <c r="CG3114"/>
      <c r="CH3114"/>
      <c r="CI3114"/>
      <c r="CU3114" s="21">
        <v>3109</v>
      </c>
      <c r="CV3114" s="41">
        <v>4</v>
      </c>
      <c r="CW3114" s="41">
        <v>0.11332468572476186</v>
      </c>
      <c r="CX3114" s="41" t="e">
        <v>#N/A</v>
      </c>
      <c r="CY3114" s="41" t="e">
        <v>#N/A</v>
      </c>
      <c r="CZ3114" s="47" t="e">
        <v>#N/A</v>
      </c>
      <c r="DA3114">
        <v>0.11332468572476186</v>
      </c>
      <c r="DB3114" t="str">
        <v/>
      </c>
    </row>
    <row r="3115" spans="83:106" x14ac:dyDescent="0.2">
      <c r="CE3115"/>
      <c r="CF3115"/>
      <c r="CG3115"/>
      <c r="CH3115"/>
      <c r="CI3115"/>
      <c r="CU3115" s="21">
        <v>3110</v>
      </c>
      <c r="CV3115" s="41">
        <v>4</v>
      </c>
      <c r="CW3115" s="41">
        <v>0.11332468572476186</v>
      </c>
      <c r="CX3115" s="41" t="e">
        <v>#N/A</v>
      </c>
      <c r="CY3115" s="41" t="e">
        <v>#N/A</v>
      </c>
      <c r="CZ3115" s="47" t="e">
        <v>#N/A</v>
      </c>
      <c r="DA3115">
        <v>0.11332468572476186</v>
      </c>
      <c r="DB3115" t="str">
        <v/>
      </c>
    </row>
    <row r="3116" spans="83:106" x14ac:dyDescent="0.2">
      <c r="CE3116"/>
      <c r="CF3116"/>
      <c r="CG3116"/>
      <c r="CH3116"/>
      <c r="CI3116"/>
      <c r="CU3116" s="21">
        <v>3111</v>
      </c>
      <c r="CV3116" s="41">
        <v>4</v>
      </c>
      <c r="CW3116" s="41">
        <v>0.11332468572476186</v>
      </c>
      <c r="CX3116" s="41" t="e">
        <v>#N/A</v>
      </c>
      <c r="CY3116" s="41" t="e">
        <v>#N/A</v>
      </c>
      <c r="CZ3116" s="47" t="e">
        <v>#N/A</v>
      </c>
      <c r="DA3116">
        <v>0.11332468572476186</v>
      </c>
      <c r="DB3116" t="str">
        <v/>
      </c>
    </row>
    <row r="3117" spans="83:106" x14ac:dyDescent="0.2">
      <c r="CE3117"/>
      <c r="CF3117"/>
      <c r="CG3117"/>
      <c r="CH3117"/>
      <c r="CI3117"/>
      <c r="CU3117" s="21">
        <v>3112</v>
      </c>
      <c r="CV3117" s="41">
        <v>4</v>
      </c>
      <c r="CW3117" s="41">
        <v>0.11332468572476186</v>
      </c>
      <c r="CX3117" s="41" t="e">
        <v>#N/A</v>
      </c>
      <c r="CY3117" s="41" t="e">
        <v>#N/A</v>
      </c>
      <c r="CZ3117" s="47" t="e">
        <v>#N/A</v>
      </c>
      <c r="DA3117">
        <v>0.11332468572476186</v>
      </c>
      <c r="DB3117" t="str">
        <v/>
      </c>
    </row>
    <row r="3118" spans="83:106" x14ac:dyDescent="0.2">
      <c r="CE3118"/>
      <c r="CF3118"/>
      <c r="CG3118"/>
      <c r="CH3118"/>
      <c r="CI3118"/>
      <c r="CU3118" s="21">
        <v>3113</v>
      </c>
      <c r="CV3118" s="41">
        <v>4</v>
      </c>
      <c r="CW3118" s="41">
        <v>0.11332468572476186</v>
      </c>
      <c r="CX3118" s="41" t="e">
        <v>#N/A</v>
      </c>
      <c r="CY3118" s="41" t="e">
        <v>#N/A</v>
      </c>
      <c r="CZ3118" s="47" t="e">
        <v>#N/A</v>
      </c>
      <c r="DA3118">
        <v>0.11332468572476186</v>
      </c>
      <c r="DB3118" t="str">
        <v/>
      </c>
    </row>
    <row r="3119" spans="83:106" x14ac:dyDescent="0.2">
      <c r="CE3119"/>
      <c r="CF3119"/>
      <c r="CG3119"/>
      <c r="CH3119"/>
      <c r="CI3119"/>
      <c r="CU3119" s="21">
        <v>3114</v>
      </c>
      <c r="CV3119" s="41">
        <v>4</v>
      </c>
      <c r="CW3119" s="41">
        <v>0.11332468572476186</v>
      </c>
      <c r="CX3119" s="41" t="e">
        <v>#N/A</v>
      </c>
      <c r="CY3119" s="41" t="e">
        <v>#N/A</v>
      </c>
      <c r="CZ3119" s="47" t="e">
        <v>#N/A</v>
      </c>
      <c r="DA3119">
        <v>0.11332468572476186</v>
      </c>
      <c r="DB3119" t="str">
        <v/>
      </c>
    </row>
    <row r="3120" spans="83:106" x14ac:dyDescent="0.2">
      <c r="CE3120"/>
      <c r="CF3120"/>
      <c r="CG3120"/>
      <c r="CH3120"/>
      <c r="CI3120"/>
      <c r="CU3120" s="21">
        <v>3115</v>
      </c>
      <c r="CV3120" s="41">
        <v>4</v>
      </c>
      <c r="CW3120" s="41">
        <v>0.11332468572476186</v>
      </c>
      <c r="CX3120" s="41" t="e">
        <v>#N/A</v>
      </c>
      <c r="CY3120" s="41" t="e">
        <v>#N/A</v>
      </c>
      <c r="CZ3120" s="47" t="e">
        <v>#N/A</v>
      </c>
      <c r="DA3120">
        <v>0.11332468572476186</v>
      </c>
      <c r="DB3120" t="str">
        <v/>
      </c>
    </row>
    <row r="3121" spans="83:106" x14ac:dyDescent="0.2">
      <c r="CE3121"/>
      <c r="CF3121"/>
      <c r="CG3121"/>
      <c r="CH3121"/>
      <c r="CI3121"/>
      <c r="CU3121" s="21">
        <v>3116</v>
      </c>
      <c r="CV3121" s="41">
        <v>4</v>
      </c>
      <c r="CW3121" s="41">
        <v>0.11332468572476186</v>
      </c>
      <c r="CX3121" s="41" t="e">
        <v>#N/A</v>
      </c>
      <c r="CY3121" s="41" t="e">
        <v>#N/A</v>
      </c>
      <c r="CZ3121" s="47" t="e">
        <v>#N/A</v>
      </c>
      <c r="DA3121">
        <v>0.11332468572476186</v>
      </c>
      <c r="DB3121" t="str">
        <v/>
      </c>
    </row>
    <row r="3122" spans="83:106" x14ac:dyDescent="0.2">
      <c r="CE3122"/>
      <c r="CF3122"/>
      <c r="CG3122"/>
      <c r="CH3122"/>
      <c r="CI3122"/>
      <c r="CU3122" s="21">
        <v>3117</v>
      </c>
      <c r="CV3122" s="41">
        <v>4</v>
      </c>
      <c r="CW3122" s="41">
        <v>0.11332468572476186</v>
      </c>
      <c r="CX3122" s="41" t="e">
        <v>#N/A</v>
      </c>
      <c r="CY3122" s="41" t="e">
        <v>#N/A</v>
      </c>
      <c r="CZ3122" s="47" t="e">
        <v>#N/A</v>
      </c>
      <c r="DA3122">
        <v>0.11332468572476186</v>
      </c>
      <c r="DB3122" t="str">
        <v/>
      </c>
    </row>
    <row r="3123" spans="83:106" x14ac:dyDescent="0.2">
      <c r="CE3123"/>
      <c r="CF3123"/>
      <c r="CG3123"/>
      <c r="CH3123"/>
      <c r="CI3123"/>
      <c r="CU3123" s="21">
        <v>3118</v>
      </c>
      <c r="CV3123" s="41">
        <v>4</v>
      </c>
      <c r="CW3123" s="41">
        <v>0.11332468572476186</v>
      </c>
      <c r="CX3123" s="41" t="e">
        <v>#N/A</v>
      </c>
      <c r="CY3123" s="41" t="e">
        <v>#N/A</v>
      </c>
      <c r="CZ3123" s="47" t="e">
        <v>#N/A</v>
      </c>
      <c r="DA3123">
        <v>0.11332468572476186</v>
      </c>
      <c r="DB3123" t="str">
        <v/>
      </c>
    </row>
    <row r="3124" spans="83:106" x14ac:dyDescent="0.2">
      <c r="CE3124"/>
      <c r="CF3124"/>
      <c r="CG3124"/>
      <c r="CH3124"/>
      <c r="CI3124"/>
      <c r="CU3124" s="21">
        <v>3119</v>
      </c>
      <c r="CV3124" s="41">
        <v>4</v>
      </c>
      <c r="CW3124" s="41">
        <v>0.11332468572476186</v>
      </c>
      <c r="CX3124" s="41" t="e">
        <v>#N/A</v>
      </c>
      <c r="CY3124" s="41" t="e">
        <v>#N/A</v>
      </c>
      <c r="CZ3124" s="47" t="e">
        <v>#N/A</v>
      </c>
      <c r="DA3124">
        <v>0.11332468572476186</v>
      </c>
      <c r="DB3124" t="str">
        <v/>
      </c>
    </row>
    <row r="3125" spans="83:106" x14ac:dyDescent="0.2">
      <c r="CE3125"/>
      <c r="CF3125"/>
      <c r="CG3125"/>
      <c r="CH3125"/>
      <c r="CI3125"/>
      <c r="CU3125" s="21">
        <v>3120</v>
      </c>
      <c r="CV3125" s="41">
        <v>4</v>
      </c>
      <c r="CW3125" s="41">
        <v>0.11332468572476186</v>
      </c>
      <c r="CX3125" s="41" t="e">
        <v>#N/A</v>
      </c>
      <c r="CY3125" s="41" t="e">
        <v>#N/A</v>
      </c>
      <c r="CZ3125" s="47" t="e">
        <v>#N/A</v>
      </c>
      <c r="DA3125">
        <v>0.11332468572476186</v>
      </c>
      <c r="DB3125" t="str">
        <v/>
      </c>
    </row>
    <row r="3126" spans="83:106" x14ac:dyDescent="0.2">
      <c r="CE3126"/>
      <c r="CF3126"/>
      <c r="CG3126"/>
      <c r="CH3126"/>
      <c r="CI3126"/>
      <c r="CU3126" s="21">
        <v>3121</v>
      </c>
      <c r="CV3126" s="41">
        <v>4</v>
      </c>
      <c r="CW3126" s="41">
        <v>0.11332468572476186</v>
      </c>
      <c r="CX3126" s="41" t="e">
        <v>#N/A</v>
      </c>
      <c r="CY3126" s="41" t="e">
        <v>#N/A</v>
      </c>
      <c r="CZ3126" s="47" t="e">
        <v>#N/A</v>
      </c>
      <c r="DA3126">
        <v>0.11332468572476186</v>
      </c>
      <c r="DB3126" t="str">
        <v/>
      </c>
    </row>
    <row r="3127" spans="83:106" x14ac:dyDescent="0.2">
      <c r="CE3127"/>
      <c r="CF3127"/>
      <c r="CG3127"/>
      <c r="CH3127"/>
      <c r="CI3127"/>
      <c r="CU3127" s="21">
        <v>3122</v>
      </c>
      <c r="CV3127" s="41">
        <v>4</v>
      </c>
      <c r="CW3127" s="41">
        <v>0.11332468572476186</v>
      </c>
      <c r="CX3127" s="41" t="e">
        <v>#N/A</v>
      </c>
      <c r="CY3127" s="41" t="e">
        <v>#N/A</v>
      </c>
      <c r="CZ3127" s="47" t="e">
        <v>#N/A</v>
      </c>
      <c r="DA3127">
        <v>0.11332468572476186</v>
      </c>
      <c r="DB3127" t="str">
        <v/>
      </c>
    </row>
    <row r="3128" spans="83:106" x14ac:dyDescent="0.2">
      <c r="CE3128"/>
      <c r="CF3128"/>
      <c r="CG3128"/>
      <c r="CH3128"/>
      <c r="CI3128"/>
      <c r="CU3128" s="21">
        <v>3123</v>
      </c>
      <c r="CV3128" s="41">
        <v>4</v>
      </c>
      <c r="CW3128" s="41">
        <v>0.11332468572476186</v>
      </c>
      <c r="CX3128" s="41" t="e">
        <v>#N/A</v>
      </c>
      <c r="CY3128" s="41" t="e">
        <v>#N/A</v>
      </c>
      <c r="CZ3128" s="47" t="e">
        <v>#N/A</v>
      </c>
      <c r="DA3128">
        <v>0.11332468572476186</v>
      </c>
      <c r="DB3128" t="str">
        <v/>
      </c>
    </row>
    <row r="3129" spans="83:106" x14ac:dyDescent="0.2">
      <c r="CE3129"/>
      <c r="CF3129"/>
      <c r="CG3129"/>
      <c r="CH3129"/>
      <c r="CI3129"/>
      <c r="CU3129" s="21">
        <v>3124</v>
      </c>
      <c r="CV3129" s="41">
        <v>4</v>
      </c>
      <c r="CW3129" s="41">
        <v>0.11332468572476186</v>
      </c>
      <c r="CX3129" s="41" t="e">
        <v>#N/A</v>
      </c>
      <c r="CY3129" s="41" t="e">
        <v>#N/A</v>
      </c>
      <c r="CZ3129" s="47" t="e">
        <v>#N/A</v>
      </c>
      <c r="DA3129">
        <v>0.11332468572476186</v>
      </c>
      <c r="DB3129" t="str">
        <v/>
      </c>
    </row>
    <row r="3130" spans="83:106" x14ac:dyDescent="0.2">
      <c r="CE3130"/>
      <c r="CF3130"/>
      <c r="CG3130"/>
      <c r="CH3130"/>
      <c r="CI3130"/>
      <c r="CU3130" s="21">
        <v>3125</v>
      </c>
      <c r="CV3130" s="41">
        <v>4</v>
      </c>
      <c r="CW3130" s="41">
        <v>0.11332468572476186</v>
      </c>
      <c r="CX3130" s="41" t="e">
        <v>#N/A</v>
      </c>
      <c r="CY3130" s="41" t="e">
        <v>#N/A</v>
      </c>
      <c r="CZ3130" s="47" t="e">
        <v>#N/A</v>
      </c>
      <c r="DA3130">
        <v>0.11332468572476186</v>
      </c>
      <c r="DB3130" t="str">
        <v/>
      </c>
    </row>
    <row r="3131" spans="83:106" x14ac:dyDescent="0.2">
      <c r="CE3131"/>
      <c r="CF3131"/>
      <c r="CG3131"/>
      <c r="CH3131"/>
      <c r="CI3131"/>
      <c r="CU3131" s="21">
        <v>3126</v>
      </c>
      <c r="CV3131" s="41">
        <v>4</v>
      </c>
      <c r="CW3131" s="41">
        <v>0.11332468572476186</v>
      </c>
      <c r="CX3131" s="41" t="e">
        <v>#N/A</v>
      </c>
      <c r="CY3131" s="41" t="e">
        <v>#N/A</v>
      </c>
      <c r="CZ3131" s="47" t="e">
        <v>#N/A</v>
      </c>
      <c r="DA3131">
        <v>0.11332468572476186</v>
      </c>
      <c r="DB3131" t="str">
        <v/>
      </c>
    </row>
    <row r="3132" spans="83:106" x14ac:dyDescent="0.2">
      <c r="CE3132"/>
      <c r="CF3132"/>
      <c r="CG3132"/>
      <c r="CH3132"/>
      <c r="CI3132"/>
      <c r="CU3132" s="21">
        <v>3127</v>
      </c>
      <c r="CV3132" s="41">
        <v>4</v>
      </c>
      <c r="CW3132" s="41">
        <v>0.11332468572476186</v>
      </c>
      <c r="CX3132" s="41" t="e">
        <v>#N/A</v>
      </c>
      <c r="CY3132" s="41" t="e">
        <v>#N/A</v>
      </c>
      <c r="CZ3132" s="47" t="e">
        <v>#N/A</v>
      </c>
      <c r="DA3132">
        <v>0.11332468572476186</v>
      </c>
      <c r="DB3132" t="str">
        <v/>
      </c>
    </row>
    <row r="3133" spans="83:106" x14ac:dyDescent="0.2">
      <c r="CE3133"/>
      <c r="CF3133"/>
      <c r="CG3133"/>
      <c r="CH3133"/>
      <c r="CI3133"/>
      <c r="CU3133" s="21">
        <v>3128</v>
      </c>
      <c r="CV3133" s="41">
        <v>4</v>
      </c>
      <c r="CW3133" s="41">
        <v>0.11332468572476186</v>
      </c>
      <c r="CX3133" s="41" t="e">
        <v>#N/A</v>
      </c>
      <c r="CY3133" s="41" t="e">
        <v>#N/A</v>
      </c>
      <c r="CZ3133" s="47" t="e">
        <v>#N/A</v>
      </c>
      <c r="DA3133">
        <v>0.11332468572476186</v>
      </c>
      <c r="DB3133" t="str">
        <v/>
      </c>
    </row>
    <row r="3134" spans="83:106" x14ac:dyDescent="0.2">
      <c r="CE3134"/>
      <c r="CF3134"/>
      <c r="CG3134"/>
      <c r="CH3134"/>
      <c r="CI3134"/>
      <c r="CU3134" s="21">
        <v>3129</v>
      </c>
      <c r="CV3134" s="41">
        <v>4</v>
      </c>
      <c r="CW3134" s="41">
        <v>0.11332468572476186</v>
      </c>
      <c r="CX3134" s="41" t="e">
        <v>#N/A</v>
      </c>
      <c r="CY3134" s="41" t="e">
        <v>#N/A</v>
      </c>
      <c r="CZ3134" s="47" t="e">
        <v>#N/A</v>
      </c>
      <c r="DA3134">
        <v>0.11332468572476186</v>
      </c>
      <c r="DB3134" t="str">
        <v/>
      </c>
    </row>
    <row r="3135" spans="83:106" x14ac:dyDescent="0.2">
      <c r="CE3135"/>
      <c r="CF3135"/>
      <c r="CG3135"/>
      <c r="CH3135"/>
      <c r="CI3135"/>
      <c r="CU3135" s="21">
        <v>3130</v>
      </c>
      <c r="CV3135" s="41">
        <v>4</v>
      </c>
      <c r="CW3135" s="41">
        <v>0.11332468572476186</v>
      </c>
      <c r="CX3135" s="41" t="e">
        <v>#N/A</v>
      </c>
      <c r="CY3135" s="41" t="e">
        <v>#N/A</v>
      </c>
      <c r="CZ3135" s="47" t="e">
        <v>#N/A</v>
      </c>
      <c r="DA3135">
        <v>0.11332468572476186</v>
      </c>
      <c r="DB3135" t="str">
        <v/>
      </c>
    </row>
    <row r="3136" spans="83:106" x14ac:dyDescent="0.2">
      <c r="CE3136"/>
      <c r="CF3136"/>
      <c r="CG3136"/>
      <c r="CH3136"/>
      <c r="CI3136"/>
      <c r="CU3136" s="21">
        <v>3131</v>
      </c>
      <c r="CV3136" s="41">
        <v>4</v>
      </c>
      <c r="CW3136" s="41">
        <v>0.11332468572476186</v>
      </c>
      <c r="CX3136" s="41" t="e">
        <v>#N/A</v>
      </c>
      <c r="CY3136" s="41" t="e">
        <v>#N/A</v>
      </c>
      <c r="CZ3136" s="47" t="e">
        <v>#N/A</v>
      </c>
      <c r="DA3136">
        <v>0.11332468572476186</v>
      </c>
      <c r="DB3136" t="str">
        <v/>
      </c>
    </row>
    <row r="3137" spans="83:106" x14ac:dyDescent="0.2">
      <c r="CE3137"/>
      <c r="CF3137"/>
      <c r="CG3137"/>
      <c r="CH3137"/>
      <c r="CI3137"/>
      <c r="CU3137" s="21">
        <v>3132</v>
      </c>
      <c r="CV3137" s="41">
        <v>4</v>
      </c>
      <c r="CW3137" s="41">
        <v>0.11332468572476186</v>
      </c>
      <c r="CX3137" s="41" t="e">
        <v>#N/A</v>
      </c>
      <c r="CY3137" s="41" t="e">
        <v>#N/A</v>
      </c>
      <c r="CZ3137" s="47" t="e">
        <v>#N/A</v>
      </c>
      <c r="DA3137">
        <v>0.11332468572476186</v>
      </c>
      <c r="DB3137" t="str">
        <v/>
      </c>
    </row>
    <row r="3138" spans="83:106" x14ac:dyDescent="0.2">
      <c r="CE3138"/>
      <c r="CF3138"/>
      <c r="CG3138"/>
      <c r="CH3138"/>
      <c r="CI3138"/>
      <c r="CU3138" s="21">
        <v>3133</v>
      </c>
      <c r="CV3138" s="41">
        <v>4</v>
      </c>
      <c r="CW3138" s="41">
        <v>0.11332468572476186</v>
      </c>
      <c r="CX3138" s="41" t="e">
        <v>#N/A</v>
      </c>
      <c r="CY3138" s="41" t="e">
        <v>#N/A</v>
      </c>
      <c r="CZ3138" s="47" t="e">
        <v>#N/A</v>
      </c>
      <c r="DA3138">
        <v>0.11332468572476186</v>
      </c>
      <c r="DB3138" t="str">
        <v/>
      </c>
    </row>
    <row r="3139" spans="83:106" x14ac:dyDescent="0.2">
      <c r="CE3139"/>
      <c r="CF3139"/>
      <c r="CG3139"/>
      <c r="CH3139"/>
      <c r="CI3139"/>
      <c r="CU3139" s="21">
        <v>3134</v>
      </c>
      <c r="CV3139" s="41">
        <v>4</v>
      </c>
      <c r="CW3139" s="41">
        <v>0.11332468572476186</v>
      </c>
      <c r="CX3139" s="41" t="e">
        <v>#N/A</v>
      </c>
      <c r="CY3139" s="41" t="e">
        <v>#N/A</v>
      </c>
      <c r="CZ3139" s="47" t="e">
        <v>#N/A</v>
      </c>
      <c r="DA3139">
        <v>0.11332468572476186</v>
      </c>
      <c r="DB3139" t="str">
        <v/>
      </c>
    </row>
    <row r="3140" spans="83:106" x14ac:dyDescent="0.2">
      <c r="CE3140"/>
      <c r="CF3140"/>
      <c r="CG3140"/>
      <c r="CH3140"/>
      <c r="CI3140"/>
      <c r="CU3140" s="21">
        <v>3135</v>
      </c>
      <c r="CV3140" s="41">
        <v>4</v>
      </c>
      <c r="CW3140" s="41">
        <v>0.11332468572476186</v>
      </c>
      <c r="CX3140" s="41" t="e">
        <v>#N/A</v>
      </c>
      <c r="CY3140" s="41" t="e">
        <v>#N/A</v>
      </c>
      <c r="CZ3140" s="47" t="e">
        <v>#N/A</v>
      </c>
      <c r="DA3140">
        <v>0.11332468572476186</v>
      </c>
      <c r="DB3140" t="str">
        <v/>
      </c>
    </row>
    <row r="3141" spans="83:106" x14ac:dyDescent="0.2">
      <c r="CE3141"/>
      <c r="CF3141"/>
      <c r="CG3141"/>
      <c r="CH3141"/>
      <c r="CI3141"/>
      <c r="CU3141" s="21">
        <v>3136</v>
      </c>
      <c r="CV3141" s="41">
        <v>4</v>
      </c>
      <c r="CW3141" s="41">
        <v>0.11332468572476186</v>
      </c>
      <c r="CX3141" s="41" t="e">
        <v>#N/A</v>
      </c>
      <c r="CY3141" s="41" t="e">
        <v>#N/A</v>
      </c>
      <c r="CZ3141" s="47" t="e">
        <v>#N/A</v>
      </c>
      <c r="DA3141">
        <v>0.11332468572476186</v>
      </c>
      <c r="DB3141" t="str">
        <v/>
      </c>
    </row>
    <row r="3142" spans="83:106" x14ac:dyDescent="0.2">
      <c r="CE3142"/>
      <c r="CF3142"/>
      <c r="CG3142"/>
      <c r="CH3142"/>
      <c r="CI3142"/>
      <c r="CU3142" s="21">
        <v>3137</v>
      </c>
      <c r="CV3142" s="41">
        <v>4</v>
      </c>
      <c r="CW3142" s="41">
        <v>0.11332468572476186</v>
      </c>
      <c r="CX3142" s="41" t="e">
        <v>#N/A</v>
      </c>
      <c r="CY3142" s="41" t="e">
        <v>#N/A</v>
      </c>
      <c r="CZ3142" s="47" t="e">
        <v>#N/A</v>
      </c>
      <c r="DA3142">
        <v>0.11332468572476186</v>
      </c>
      <c r="DB3142" t="str">
        <v/>
      </c>
    </row>
    <row r="3143" spans="83:106" x14ac:dyDescent="0.2">
      <c r="CE3143"/>
      <c r="CF3143"/>
      <c r="CG3143"/>
      <c r="CH3143"/>
      <c r="CI3143"/>
      <c r="CU3143" s="21">
        <v>3138</v>
      </c>
      <c r="CV3143" s="41">
        <v>4</v>
      </c>
      <c r="CW3143" s="41">
        <v>0.11332468572476186</v>
      </c>
      <c r="CX3143" s="41" t="e">
        <v>#N/A</v>
      </c>
      <c r="CY3143" s="41" t="e">
        <v>#N/A</v>
      </c>
      <c r="CZ3143" s="47" t="e">
        <v>#N/A</v>
      </c>
      <c r="DA3143">
        <v>0.11332468572476186</v>
      </c>
      <c r="DB3143" t="str">
        <v/>
      </c>
    </row>
    <row r="3144" spans="83:106" x14ac:dyDescent="0.2">
      <c r="CE3144"/>
      <c r="CF3144"/>
      <c r="CG3144"/>
      <c r="CH3144"/>
      <c r="CI3144"/>
      <c r="CU3144" s="21">
        <v>3139</v>
      </c>
      <c r="CV3144" s="41">
        <v>4</v>
      </c>
      <c r="CW3144" s="41">
        <v>0.11332468572476186</v>
      </c>
      <c r="CX3144" s="41" t="e">
        <v>#N/A</v>
      </c>
      <c r="CY3144" s="41" t="e">
        <v>#N/A</v>
      </c>
      <c r="CZ3144" s="47" t="e">
        <v>#N/A</v>
      </c>
      <c r="DA3144">
        <v>0.11332468572476186</v>
      </c>
      <c r="DB3144" t="str">
        <v/>
      </c>
    </row>
    <row r="3145" spans="83:106" x14ac:dyDescent="0.2">
      <c r="CE3145"/>
      <c r="CF3145"/>
      <c r="CG3145"/>
      <c r="CH3145"/>
      <c r="CI3145"/>
      <c r="CU3145" s="21">
        <v>3140</v>
      </c>
      <c r="CV3145" s="41">
        <v>4</v>
      </c>
      <c r="CW3145" s="41">
        <v>0.11332468572476186</v>
      </c>
      <c r="CX3145" s="41" t="e">
        <v>#N/A</v>
      </c>
      <c r="CY3145" s="41" t="e">
        <v>#N/A</v>
      </c>
      <c r="CZ3145" s="47" t="e">
        <v>#N/A</v>
      </c>
      <c r="DA3145">
        <v>0.11332468572476186</v>
      </c>
      <c r="DB3145" t="str">
        <v/>
      </c>
    </row>
    <row r="3146" spans="83:106" x14ac:dyDescent="0.2">
      <c r="CE3146"/>
      <c r="CF3146"/>
      <c r="CG3146"/>
      <c r="CH3146"/>
      <c r="CI3146"/>
      <c r="CU3146" s="21">
        <v>3141</v>
      </c>
      <c r="CV3146" s="41">
        <v>4</v>
      </c>
      <c r="CW3146" s="41">
        <v>0.11332468572476186</v>
      </c>
      <c r="CX3146" s="41" t="e">
        <v>#N/A</v>
      </c>
      <c r="CY3146" s="41" t="e">
        <v>#N/A</v>
      </c>
      <c r="CZ3146" s="47" t="e">
        <v>#N/A</v>
      </c>
      <c r="DA3146">
        <v>0.11332468572476186</v>
      </c>
      <c r="DB3146" t="str">
        <v/>
      </c>
    </row>
    <row r="3147" spans="83:106" x14ac:dyDescent="0.2">
      <c r="CE3147"/>
      <c r="CF3147"/>
      <c r="CG3147"/>
      <c r="CH3147"/>
      <c r="CI3147"/>
      <c r="CU3147" s="21">
        <v>3142</v>
      </c>
      <c r="CV3147" s="41">
        <v>4</v>
      </c>
      <c r="CW3147" s="41">
        <v>0.11332468572476186</v>
      </c>
      <c r="CX3147" s="41" t="e">
        <v>#N/A</v>
      </c>
      <c r="CY3147" s="41" t="e">
        <v>#N/A</v>
      </c>
      <c r="CZ3147" s="47" t="e">
        <v>#N/A</v>
      </c>
      <c r="DA3147">
        <v>0.11332468572476186</v>
      </c>
      <c r="DB3147" t="str">
        <v/>
      </c>
    </row>
    <row r="3148" spans="83:106" x14ac:dyDescent="0.2">
      <c r="CE3148"/>
      <c r="CF3148"/>
      <c r="CG3148"/>
      <c r="CH3148"/>
      <c r="CI3148"/>
      <c r="CU3148" s="21">
        <v>3143</v>
      </c>
      <c r="CV3148" s="41">
        <v>4</v>
      </c>
      <c r="CW3148" s="41">
        <v>0.11332468572476186</v>
      </c>
      <c r="CX3148" s="41" t="e">
        <v>#N/A</v>
      </c>
      <c r="CY3148" s="41" t="e">
        <v>#N/A</v>
      </c>
      <c r="CZ3148" s="47" t="e">
        <v>#N/A</v>
      </c>
      <c r="DA3148">
        <v>0.11332468572476186</v>
      </c>
      <c r="DB3148" t="str">
        <v/>
      </c>
    </row>
    <row r="3149" spans="83:106" x14ac:dyDescent="0.2">
      <c r="CE3149"/>
      <c r="CF3149"/>
      <c r="CG3149"/>
      <c r="CH3149"/>
      <c r="CI3149"/>
      <c r="CU3149" s="21">
        <v>3144</v>
      </c>
      <c r="CV3149" s="41">
        <v>4</v>
      </c>
      <c r="CW3149" s="41">
        <v>0.11332468572476186</v>
      </c>
      <c r="CX3149" s="41" t="e">
        <v>#N/A</v>
      </c>
      <c r="CY3149" s="41" t="e">
        <v>#N/A</v>
      </c>
      <c r="CZ3149" s="47" t="e">
        <v>#N/A</v>
      </c>
      <c r="DA3149">
        <v>0.11332468572476186</v>
      </c>
      <c r="DB3149" t="str">
        <v/>
      </c>
    </row>
    <row r="3150" spans="83:106" x14ac:dyDescent="0.2">
      <c r="CE3150"/>
      <c r="CF3150"/>
      <c r="CG3150"/>
      <c r="CH3150"/>
      <c r="CI3150"/>
      <c r="CU3150" s="21">
        <v>3145</v>
      </c>
      <c r="CV3150" s="41">
        <v>4</v>
      </c>
      <c r="CW3150" s="41">
        <v>0.11332468572476186</v>
      </c>
      <c r="CX3150" s="41" t="e">
        <v>#N/A</v>
      </c>
      <c r="CY3150" s="41" t="e">
        <v>#N/A</v>
      </c>
      <c r="CZ3150" s="47" t="e">
        <v>#N/A</v>
      </c>
      <c r="DA3150">
        <v>0.11332468572476186</v>
      </c>
      <c r="DB3150" t="str">
        <v/>
      </c>
    </row>
    <row r="3151" spans="83:106" x14ac:dyDescent="0.2">
      <c r="CE3151"/>
      <c r="CF3151"/>
      <c r="CG3151"/>
      <c r="CH3151"/>
      <c r="CI3151"/>
      <c r="CU3151" s="21">
        <v>3146</v>
      </c>
      <c r="CV3151" s="41">
        <v>4</v>
      </c>
      <c r="CW3151" s="41">
        <v>0.11332468572476186</v>
      </c>
      <c r="CX3151" s="41" t="e">
        <v>#N/A</v>
      </c>
      <c r="CY3151" s="41" t="e">
        <v>#N/A</v>
      </c>
      <c r="CZ3151" s="47" t="e">
        <v>#N/A</v>
      </c>
      <c r="DA3151">
        <v>0.11332468572476186</v>
      </c>
      <c r="DB3151" t="str">
        <v/>
      </c>
    </row>
    <row r="3152" spans="83:106" x14ac:dyDescent="0.2">
      <c r="CE3152"/>
      <c r="CF3152"/>
      <c r="CG3152"/>
      <c r="CH3152"/>
      <c r="CI3152"/>
      <c r="CU3152" s="21">
        <v>3147</v>
      </c>
      <c r="CV3152" s="41">
        <v>4</v>
      </c>
      <c r="CW3152" s="41">
        <v>0.11332468572476186</v>
      </c>
      <c r="CX3152" s="41" t="e">
        <v>#N/A</v>
      </c>
      <c r="CY3152" s="41" t="e">
        <v>#N/A</v>
      </c>
      <c r="CZ3152" s="47" t="e">
        <v>#N/A</v>
      </c>
      <c r="DA3152">
        <v>0.11332468572476186</v>
      </c>
      <c r="DB3152" t="str">
        <v/>
      </c>
    </row>
    <row r="3153" spans="83:106" x14ac:dyDescent="0.2">
      <c r="CE3153"/>
      <c r="CF3153"/>
      <c r="CG3153"/>
      <c r="CH3153"/>
      <c r="CI3153"/>
      <c r="CU3153" s="21">
        <v>3148</v>
      </c>
      <c r="CV3153" s="41">
        <v>4</v>
      </c>
      <c r="CW3153" s="41">
        <v>0.11332468572476186</v>
      </c>
      <c r="CX3153" s="41" t="e">
        <v>#N/A</v>
      </c>
      <c r="CY3153" s="41" t="e">
        <v>#N/A</v>
      </c>
      <c r="CZ3153" s="47" t="e">
        <v>#N/A</v>
      </c>
      <c r="DA3153">
        <v>0.11332468572476186</v>
      </c>
      <c r="DB3153" t="str">
        <v/>
      </c>
    </row>
    <row r="3154" spans="83:106" x14ac:dyDescent="0.2">
      <c r="CE3154"/>
      <c r="CF3154"/>
      <c r="CG3154"/>
      <c r="CH3154"/>
      <c r="CI3154"/>
      <c r="CU3154" s="21">
        <v>3149</v>
      </c>
      <c r="CV3154" s="41">
        <v>4</v>
      </c>
      <c r="CW3154" s="41">
        <v>0.11332468572476186</v>
      </c>
      <c r="CX3154" s="41" t="e">
        <v>#N/A</v>
      </c>
      <c r="CY3154" s="41" t="e">
        <v>#N/A</v>
      </c>
      <c r="CZ3154" s="47" t="e">
        <v>#N/A</v>
      </c>
      <c r="DA3154">
        <v>0.11332468572476186</v>
      </c>
      <c r="DB3154" t="str">
        <v/>
      </c>
    </row>
    <row r="3155" spans="83:106" x14ac:dyDescent="0.2">
      <c r="CE3155"/>
      <c r="CF3155"/>
      <c r="CG3155"/>
      <c r="CH3155"/>
      <c r="CI3155"/>
      <c r="CU3155" s="21">
        <v>3150</v>
      </c>
      <c r="CV3155" s="41">
        <v>4</v>
      </c>
      <c r="CW3155" s="41">
        <v>0.11332468572476186</v>
      </c>
      <c r="CX3155" s="41" t="e">
        <v>#N/A</v>
      </c>
      <c r="CY3155" s="41" t="e">
        <v>#N/A</v>
      </c>
      <c r="CZ3155" s="47" t="e">
        <v>#N/A</v>
      </c>
      <c r="DA3155">
        <v>0.11332468572476186</v>
      </c>
      <c r="DB3155" t="str">
        <v/>
      </c>
    </row>
    <row r="3156" spans="83:106" x14ac:dyDescent="0.2">
      <c r="CE3156"/>
      <c r="CF3156"/>
      <c r="CG3156"/>
      <c r="CH3156"/>
      <c r="CI3156"/>
      <c r="CU3156" s="21">
        <v>3151</v>
      </c>
      <c r="CV3156" s="41">
        <v>4</v>
      </c>
      <c r="CW3156" s="41">
        <v>0.11332468572476186</v>
      </c>
      <c r="CX3156" s="41" t="e">
        <v>#N/A</v>
      </c>
      <c r="CY3156" s="41" t="e">
        <v>#N/A</v>
      </c>
      <c r="CZ3156" s="47" t="e">
        <v>#N/A</v>
      </c>
      <c r="DA3156">
        <v>0.11332468572476186</v>
      </c>
      <c r="DB3156" t="str">
        <v/>
      </c>
    </row>
    <row r="3157" spans="83:106" x14ac:dyDescent="0.2">
      <c r="CE3157"/>
      <c r="CF3157"/>
      <c r="CG3157"/>
      <c r="CH3157"/>
      <c r="CI3157"/>
      <c r="CU3157" s="21">
        <v>3152</v>
      </c>
      <c r="CV3157" s="41">
        <v>4</v>
      </c>
      <c r="CW3157" s="41">
        <v>0.11332468572476186</v>
      </c>
      <c r="CX3157" s="41" t="e">
        <v>#N/A</v>
      </c>
      <c r="CY3157" s="41" t="e">
        <v>#N/A</v>
      </c>
      <c r="CZ3157" s="47" t="e">
        <v>#N/A</v>
      </c>
      <c r="DA3157">
        <v>0.11332468572476186</v>
      </c>
      <c r="DB3157" t="str">
        <v/>
      </c>
    </row>
    <row r="3158" spans="83:106" x14ac:dyDescent="0.2">
      <c r="CE3158"/>
      <c r="CF3158"/>
      <c r="CG3158"/>
      <c r="CH3158"/>
      <c r="CI3158"/>
      <c r="CU3158" s="21">
        <v>3153</v>
      </c>
      <c r="CV3158" s="41">
        <v>4</v>
      </c>
      <c r="CW3158" s="41">
        <v>0.11332468572476186</v>
      </c>
      <c r="CX3158" s="41" t="e">
        <v>#N/A</v>
      </c>
      <c r="CY3158" s="41" t="e">
        <v>#N/A</v>
      </c>
      <c r="CZ3158" s="47" t="e">
        <v>#N/A</v>
      </c>
      <c r="DA3158">
        <v>0.11332468572476186</v>
      </c>
      <c r="DB3158" t="str">
        <v/>
      </c>
    </row>
    <row r="3159" spans="83:106" x14ac:dyDescent="0.2">
      <c r="CE3159"/>
      <c r="CF3159"/>
      <c r="CG3159"/>
      <c r="CH3159"/>
      <c r="CI3159"/>
      <c r="CU3159" s="21">
        <v>3154</v>
      </c>
      <c r="CV3159" s="41">
        <v>4</v>
      </c>
      <c r="CW3159" s="41">
        <v>0.11332468572476186</v>
      </c>
      <c r="CX3159" s="41" t="e">
        <v>#N/A</v>
      </c>
      <c r="CY3159" s="41" t="e">
        <v>#N/A</v>
      </c>
      <c r="CZ3159" s="47" t="e">
        <v>#N/A</v>
      </c>
      <c r="DA3159">
        <v>0.11332468572476186</v>
      </c>
      <c r="DB3159" t="str">
        <v/>
      </c>
    </row>
    <row r="3160" spans="83:106" x14ac:dyDescent="0.2">
      <c r="CE3160"/>
      <c r="CF3160"/>
      <c r="CG3160"/>
      <c r="CH3160"/>
      <c r="CI3160"/>
      <c r="CU3160" s="21">
        <v>3155</v>
      </c>
      <c r="CV3160" s="41">
        <v>4</v>
      </c>
      <c r="CW3160" s="41">
        <v>0.11332468572476186</v>
      </c>
      <c r="CX3160" s="41" t="e">
        <v>#N/A</v>
      </c>
      <c r="CY3160" s="41" t="e">
        <v>#N/A</v>
      </c>
      <c r="CZ3160" s="47" t="e">
        <v>#N/A</v>
      </c>
      <c r="DA3160">
        <v>0.11332468572476186</v>
      </c>
      <c r="DB3160" t="str">
        <v/>
      </c>
    </row>
    <row r="3161" spans="83:106" x14ac:dyDescent="0.2">
      <c r="CE3161"/>
      <c r="CF3161"/>
      <c r="CG3161"/>
      <c r="CH3161"/>
      <c r="CI3161"/>
      <c r="CU3161" s="21">
        <v>3156</v>
      </c>
      <c r="CV3161" s="41">
        <v>4</v>
      </c>
      <c r="CW3161" s="41">
        <v>0.11332468572476186</v>
      </c>
      <c r="CX3161" s="41" t="e">
        <v>#N/A</v>
      </c>
      <c r="CY3161" s="41" t="e">
        <v>#N/A</v>
      </c>
      <c r="CZ3161" s="47" t="e">
        <v>#N/A</v>
      </c>
      <c r="DA3161">
        <v>0.11332468572476186</v>
      </c>
      <c r="DB3161" t="str">
        <v/>
      </c>
    </row>
    <row r="3162" spans="83:106" x14ac:dyDescent="0.2">
      <c r="CE3162"/>
      <c r="CF3162"/>
      <c r="CG3162"/>
      <c r="CH3162"/>
      <c r="CI3162"/>
      <c r="CU3162" s="21">
        <v>3157</v>
      </c>
      <c r="CV3162" s="41">
        <v>4</v>
      </c>
      <c r="CW3162" s="41">
        <v>0.11332468572476186</v>
      </c>
      <c r="CX3162" s="41" t="e">
        <v>#N/A</v>
      </c>
      <c r="CY3162" s="41" t="e">
        <v>#N/A</v>
      </c>
      <c r="CZ3162" s="47" t="e">
        <v>#N/A</v>
      </c>
      <c r="DA3162">
        <v>0.11332468572476186</v>
      </c>
      <c r="DB3162" t="str">
        <v/>
      </c>
    </row>
    <row r="3163" spans="83:106" x14ac:dyDescent="0.2">
      <c r="CE3163"/>
      <c r="CF3163"/>
      <c r="CG3163"/>
      <c r="CH3163"/>
      <c r="CI3163"/>
      <c r="CU3163" s="21">
        <v>3158</v>
      </c>
      <c r="CV3163" s="41">
        <v>4</v>
      </c>
      <c r="CW3163" s="41">
        <v>0.11332468572476186</v>
      </c>
      <c r="CX3163" s="41" t="e">
        <v>#N/A</v>
      </c>
      <c r="CY3163" s="41" t="e">
        <v>#N/A</v>
      </c>
      <c r="CZ3163" s="47" t="e">
        <v>#N/A</v>
      </c>
      <c r="DA3163">
        <v>0.11332468572476186</v>
      </c>
      <c r="DB3163" t="str">
        <v/>
      </c>
    </row>
    <row r="3164" spans="83:106" x14ac:dyDescent="0.2">
      <c r="CE3164"/>
      <c r="CF3164"/>
      <c r="CG3164"/>
      <c r="CH3164"/>
      <c r="CI3164"/>
      <c r="CU3164" s="21">
        <v>3159</v>
      </c>
      <c r="CV3164" s="41">
        <v>4</v>
      </c>
      <c r="CW3164" s="41">
        <v>0.11332468572476186</v>
      </c>
      <c r="CX3164" s="41" t="e">
        <v>#N/A</v>
      </c>
      <c r="CY3164" s="41" t="e">
        <v>#N/A</v>
      </c>
      <c r="CZ3164" s="47" t="e">
        <v>#N/A</v>
      </c>
      <c r="DA3164">
        <v>0.11332468572476186</v>
      </c>
      <c r="DB3164" t="str">
        <v/>
      </c>
    </row>
    <row r="3165" spans="83:106" x14ac:dyDescent="0.2">
      <c r="CE3165"/>
      <c r="CF3165"/>
      <c r="CG3165"/>
      <c r="CH3165"/>
      <c r="CI3165"/>
      <c r="CU3165" s="21">
        <v>3160</v>
      </c>
      <c r="CV3165" s="41">
        <v>4</v>
      </c>
      <c r="CW3165" s="41">
        <v>0.11332468572476186</v>
      </c>
      <c r="CX3165" s="41" t="e">
        <v>#N/A</v>
      </c>
      <c r="CY3165" s="41" t="e">
        <v>#N/A</v>
      </c>
      <c r="CZ3165" s="47" t="e">
        <v>#N/A</v>
      </c>
      <c r="DA3165">
        <v>0.11332468572476186</v>
      </c>
      <c r="DB3165" t="str">
        <v/>
      </c>
    </row>
    <row r="3166" spans="83:106" x14ac:dyDescent="0.2">
      <c r="CE3166"/>
      <c r="CF3166"/>
      <c r="CG3166"/>
      <c r="CH3166"/>
      <c r="CI3166"/>
      <c r="CU3166" s="21">
        <v>3161</v>
      </c>
      <c r="CV3166" s="41">
        <v>4</v>
      </c>
      <c r="CW3166" s="41">
        <v>0.11332468572476186</v>
      </c>
      <c r="CX3166" s="41" t="e">
        <v>#N/A</v>
      </c>
      <c r="CY3166" s="41" t="e">
        <v>#N/A</v>
      </c>
      <c r="CZ3166" s="47" t="e">
        <v>#N/A</v>
      </c>
      <c r="DA3166">
        <v>0.11332468572476186</v>
      </c>
      <c r="DB3166" t="str">
        <v/>
      </c>
    </row>
    <row r="3167" spans="83:106" x14ac:dyDescent="0.2">
      <c r="CE3167"/>
      <c r="CF3167"/>
      <c r="CG3167"/>
      <c r="CH3167"/>
      <c r="CI3167"/>
      <c r="CU3167" s="21">
        <v>3162</v>
      </c>
      <c r="CV3167" s="41">
        <v>4</v>
      </c>
      <c r="CW3167" s="41">
        <v>0.11332468572476186</v>
      </c>
      <c r="CX3167" s="41" t="e">
        <v>#N/A</v>
      </c>
      <c r="CY3167" s="41" t="e">
        <v>#N/A</v>
      </c>
      <c r="CZ3167" s="47" t="e">
        <v>#N/A</v>
      </c>
      <c r="DA3167">
        <v>0.11332468572476186</v>
      </c>
      <c r="DB3167" t="str">
        <v/>
      </c>
    </row>
    <row r="3168" spans="83:106" x14ac:dyDescent="0.2">
      <c r="CE3168"/>
      <c r="CF3168"/>
      <c r="CG3168"/>
      <c r="CH3168"/>
      <c r="CI3168"/>
      <c r="CU3168" s="21">
        <v>3163</v>
      </c>
      <c r="CV3168" s="41">
        <v>4</v>
      </c>
      <c r="CW3168" s="41">
        <v>0.11332468572476186</v>
      </c>
      <c r="CX3168" s="41" t="e">
        <v>#N/A</v>
      </c>
      <c r="CY3168" s="41" t="e">
        <v>#N/A</v>
      </c>
      <c r="CZ3168" s="47" t="e">
        <v>#N/A</v>
      </c>
      <c r="DA3168">
        <v>0.11332468572476186</v>
      </c>
      <c r="DB3168" t="str">
        <v/>
      </c>
    </row>
    <row r="3169" spans="83:106" x14ac:dyDescent="0.2">
      <c r="CE3169"/>
      <c r="CF3169"/>
      <c r="CG3169"/>
      <c r="CH3169"/>
      <c r="CI3169"/>
      <c r="CU3169" s="21">
        <v>3164</v>
      </c>
      <c r="CV3169" s="41">
        <v>4</v>
      </c>
      <c r="CW3169" s="41">
        <v>0.11332468572476186</v>
      </c>
      <c r="CX3169" s="41" t="e">
        <v>#N/A</v>
      </c>
      <c r="CY3169" s="41" t="e">
        <v>#N/A</v>
      </c>
      <c r="CZ3169" s="47" t="e">
        <v>#N/A</v>
      </c>
      <c r="DA3169">
        <v>0.11332468572476186</v>
      </c>
      <c r="DB3169" t="str">
        <v/>
      </c>
    </row>
    <row r="3170" spans="83:106" x14ac:dyDescent="0.2">
      <c r="CE3170"/>
      <c r="CF3170"/>
      <c r="CG3170"/>
      <c r="CH3170"/>
      <c r="CI3170"/>
      <c r="CU3170" s="21">
        <v>3165</v>
      </c>
      <c r="CV3170" s="41">
        <v>4</v>
      </c>
      <c r="CW3170" s="41">
        <v>0.11332468572476186</v>
      </c>
      <c r="CX3170" s="41" t="e">
        <v>#N/A</v>
      </c>
      <c r="CY3170" s="41" t="e">
        <v>#N/A</v>
      </c>
      <c r="CZ3170" s="47" t="e">
        <v>#N/A</v>
      </c>
      <c r="DA3170">
        <v>0.11332468572476186</v>
      </c>
      <c r="DB3170" t="str">
        <v/>
      </c>
    </row>
    <row r="3171" spans="83:106" x14ac:dyDescent="0.2">
      <c r="CE3171"/>
      <c r="CF3171"/>
      <c r="CG3171"/>
      <c r="CH3171"/>
      <c r="CI3171"/>
      <c r="CU3171" s="21">
        <v>3166</v>
      </c>
      <c r="CV3171" s="41">
        <v>4</v>
      </c>
      <c r="CW3171" s="41">
        <v>0.11332468572476186</v>
      </c>
      <c r="CX3171" s="41" t="e">
        <v>#N/A</v>
      </c>
      <c r="CY3171" s="41" t="e">
        <v>#N/A</v>
      </c>
      <c r="CZ3171" s="47" t="e">
        <v>#N/A</v>
      </c>
      <c r="DA3171">
        <v>0.11332468572476186</v>
      </c>
      <c r="DB3171" t="str">
        <v/>
      </c>
    </row>
    <row r="3172" spans="83:106" x14ac:dyDescent="0.2">
      <c r="CE3172"/>
      <c r="CF3172"/>
      <c r="CG3172"/>
      <c r="CH3172"/>
      <c r="CI3172"/>
      <c r="CU3172" s="21">
        <v>3167</v>
      </c>
      <c r="CV3172" s="41">
        <v>4</v>
      </c>
      <c r="CW3172" s="41">
        <v>0.11332468572476186</v>
      </c>
      <c r="CX3172" s="41" t="e">
        <v>#N/A</v>
      </c>
      <c r="CY3172" s="41" t="e">
        <v>#N/A</v>
      </c>
      <c r="CZ3172" s="47" t="e">
        <v>#N/A</v>
      </c>
      <c r="DA3172">
        <v>0.11332468572476186</v>
      </c>
      <c r="DB3172" t="str">
        <v/>
      </c>
    </row>
    <row r="3173" spans="83:106" x14ac:dyDescent="0.2">
      <c r="CE3173"/>
      <c r="CF3173"/>
      <c r="CG3173"/>
      <c r="CH3173"/>
      <c r="CI3173"/>
      <c r="CU3173" s="21">
        <v>3168</v>
      </c>
      <c r="CV3173" s="41">
        <v>4</v>
      </c>
      <c r="CW3173" s="41">
        <v>0.11332468572476186</v>
      </c>
      <c r="CX3173" s="41" t="e">
        <v>#N/A</v>
      </c>
      <c r="CY3173" s="41" t="e">
        <v>#N/A</v>
      </c>
      <c r="CZ3173" s="47" t="e">
        <v>#N/A</v>
      </c>
      <c r="DA3173">
        <v>0.11332468572476186</v>
      </c>
      <c r="DB3173" t="str">
        <v/>
      </c>
    </row>
    <row r="3174" spans="83:106" x14ac:dyDescent="0.2">
      <c r="CE3174"/>
      <c r="CF3174"/>
      <c r="CG3174"/>
      <c r="CH3174"/>
      <c r="CI3174"/>
      <c r="CU3174" s="21">
        <v>3169</v>
      </c>
      <c r="CV3174" s="41">
        <v>4</v>
      </c>
      <c r="CW3174" s="41">
        <v>0.11332468572476186</v>
      </c>
      <c r="CX3174" s="41" t="e">
        <v>#N/A</v>
      </c>
      <c r="CY3174" s="41" t="e">
        <v>#N/A</v>
      </c>
      <c r="CZ3174" s="47" t="e">
        <v>#N/A</v>
      </c>
      <c r="DA3174">
        <v>0.11332468572476186</v>
      </c>
      <c r="DB3174" t="str">
        <v/>
      </c>
    </row>
    <row r="3175" spans="83:106" x14ac:dyDescent="0.2">
      <c r="CE3175"/>
      <c r="CF3175"/>
      <c r="CG3175"/>
      <c r="CH3175"/>
      <c r="CI3175"/>
      <c r="CU3175" s="21">
        <v>3170</v>
      </c>
      <c r="CV3175" s="41">
        <v>4</v>
      </c>
      <c r="CW3175" s="41">
        <v>0.11332468572476186</v>
      </c>
      <c r="CX3175" s="41" t="e">
        <v>#N/A</v>
      </c>
      <c r="CY3175" s="41" t="e">
        <v>#N/A</v>
      </c>
      <c r="CZ3175" s="47" t="e">
        <v>#N/A</v>
      </c>
      <c r="DA3175">
        <v>0.11332468572476186</v>
      </c>
      <c r="DB3175" t="str">
        <v/>
      </c>
    </row>
    <row r="3176" spans="83:106" x14ac:dyDescent="0.2">
      <c r="CE3176"/>
      <c r="CF3176"/>
      <c r="CG3176"/>
      <c r="CH3176"/>
      <c r="CI3176"/>
      <c r="CU3176" s="21">
        <v>3171</v>
      </c>
      <c r="CV3176" s="41">
        <v>4</v>
      </c>
      <c r="CW3176" s="41">
        <v>0.11332468572476186</v>
      </c>
      <c r="CX3176" s="41" t="e">
        <v>#N/A</v>
      </c>
      <c r="CY3176" s="41" t="e">
        <v>#N/A</v>
      </c>
      <c r="CZ3176" s="47" t="e">
        <v>#N/A</v>
      </c>
      <c r="DA3176">
        <v>0.11332468572476186</v>
      </c>
      <c r="DB3176" t="str">
        <v/>
      </c>
    </row>
    <row r="3177" spans="83:106" x14ac:dyDescent="0.2">
      <c r="CE3177"/>
      <c r="CF3177"/>
      <c r="CG3177"/>
      <c r="CH3177"/>
      <c r="CI3177"/>
      <c r="CU3177" s="21">
        <v>3172</v>
      </c>
      <c r="CV3177" s="41">
        <v>4</v>
      </c>
      <c r="CW3177" s="41">
        <v>0.11332468572476186</v>
      </c>
      <c r="CX3177" s="41" t="e">
        <v>#N/A</v>
      </c>
      <c r="CY3177" s="41" t="e">
        <v>#N/A</v>
      </c>
      <c r="CZ3177" s="47" t="e">
        <v>#N/A</v>
      </c>
      <c r="DA3177">
        <v>0.11332468572476186</v>
      </c>
      <c r="DB3177" t="str">
        <v/>
      </c>
    </row>
    <row r="3178" spans="83:106" x14ac:dyDescent="0.2">
      <c r="CE3178"/>
      <c r="CF3178"/>
      <c r="CG3178"/>
      <c r="CH3178"/>
      <c r="CI3178"/>
      <c r="CU3178" s="21">
        <v>3173</v>
      </c>
      <c r="CV3178" s="41">
        <v>4</v>
      </c>
      <c r="CW3178" s="41">
        <v>0.11332468572476186</v>
      </c>
      <c r="CX3178" s="41" t="e">
        <v>#N/A</v>
      </c>
      <c r="CY3178" s="41" t="e">
        <v>#N/A</v>
      </c>
      <c r="CZ3178" s="47" t="e">
        <v>#N/A</v>
      </c>
      <c r="DA3178">
        <v>0.11332468572476186</v>
      </c>
      <c r="DB3178" t="str">
        <v/>
      </c>
    </row>
    <row r="3179" spans="83:106" x14ac:dyDescent="0.2">
      <c r="CE3179"/>
      <c r="CF3179"/>
      <c r="CG3179"/>
      <c r="CH3179"/>
      <c r="CI3179"/>
      <c r="CU3179" s="21">
        <v>3174</v>
      </c>
      <c r="CV3179" s="41">
        <v>4</v>
      </c>
      <c r="CW3179" s="41">
        <v>0.11332468572476186</v>
      </c>
      <c r="CX3179" s="41" t="e">
        <v>#N/A</v>
      </c>
      <c r="CY3179" s="41" t="e">
        <v>#N/A</v>
      </c>
      <c r="CZ3179" s="47" t="e">
        <v>#N/A</v>
      </c>
      <c r="DA3179">
        <v>0.11332468572476186</v>
      </c>
      <c r="DB3179" t="str">
        <v/>
      </c>
    </row>
    <row r="3180" spans="83:106" x14ac:dyDescent="0.2">
      <c r="CE3180"/>
      <c r="CF3180"/>
      <c r="CG3180"/>
      <c r="CH3180"/>
      <c r="CI3180"/>
      <c r="CU3180" s="21">
        <v>3175</v>
      </c>
      <c r="CV3180" s="41">
        <v>4</v>
      </c>
      <c r="CW3180" s="41">
        <v>0.11332468572476186</v>
      </c>
      <c r="CX3180" s="41" t="e">
        <v>#N/A</v>
      </c>
      <c r="CY3180" s="41" t="e">
        <v>#N/A</v>
      </c>
      <c r="CZ3180" s="47" t="e">
        <v>#N/A</v>
      </c>
      <c r="DA3180">
        <v>0.11332468572476186</v>
      </c>
      <c r="DB3180" t="str">
        <v/>
      </c>
    </row>
    <row r="3181" spans="83:106" x14ac:dyDescent="0.2">
      <c r="CE3181"/>
      <c r="CF3181"/>
      <c r="CG3181"/>
      <c r="CH3181"/>
      <c r="CI3181"/>
      <c r="CU3181" s="21">
        <v>3176</v>
      </c>
      <c r="CV3181" s="41">
        <v>4</v>
      </c>
      <c r="CW3181" s="41">
        <v>0.11332468572476186</v>
      </c>
      <c r="CX3181" s="41" t="e">
        <v>#N/A</v>
      </c>
      <c r="CY3181" s="41" t="e">
        <v>#N/A</v>
      </c>
      <c r="CZ3181" s="47" t="e">
        <v>#N/A</v>
      </c>
      <c r="DA3181">
        <v>0.11332468572476186</v>
      </c>
      <c r="DB3181" t="str">
        <v/>
      </c>
    </row>
    <row r="3182" spans="83:106" x14ac:dyDescent="0.2">
      <c r="CE3182"/>
      <c r="CF3182"/>
      <c r="CG3182"/>
      <c r="CH3182"/>
      <c r="CI3182"/>
      <c r="CU3182" s="21">
        <v>3177</v>
      </c>
      <c r="CV3182" s="41">
        <v>4</v>
      </c>
      <c r="CW3182" s="41">
        <v>0.11332468572476186</v>
      </c>
      <c r="CX3182" s="41" t="e">
        <v>#N/A</v>
      </c>
      <c r="CY3182" s="41" t="e">
        <v>#N/A</v>
      </c>
      <c r="CZ3182" s="47" t="e">
        <v>#N/A</v>
      </c>
      <c r="DA3182">
        <v>0.11332468572476186</v>
      </c>
      <c r="DB3182" t="str">
        <v/>
      </c>
    </row>
    <row r="3183" spans="83:106" x14ac:dyDescent="0.2">
      <c r="CE3183"/>
      <c r="CF3183"/>
      <c r="CG3183"/>
      <c r="CH3183"/>
      <c r="CI3183"/>
      <c r="CU3183" s="21">
        <v>3178</v>
      </c>
      <c r="CV3183" s="41">
        <v>4</v>
      </c>
      <c r="CW3183" s="41">
        <v>0.11332468572476186</v>
      </c>
      <c r="CX3183" s="41" t="e">
        <v>#N/A</v>
      </c>
      <c r="CY3183" s="41" t="e">
        <v>#N/A</v>
      </c>
      <c r="CZ3183" s="47" t="e">
        <v>#N/A</v>
      </c>
      <c r="DA3183">
        <v>0.11332468572476186</v>
      </c>
      <c r="DB3183" t="str">
        <v/>
      </c>
    </row>
    <row r="3184" spans="83:106" x14ac:dyDescent="0.2">
      <c r="CE3184"/>
      <c r="CF3184"/>
      <c r="CG3184"/>
      <c r="CH3184"/>
      <c r="CI3184"/>
      <c r="CU3184" s="21">
        <v>3179</v>
      </c>
      <c r="CV3184" s="41">
        <v>4</v>
      </c>
      <c r="CW3184" s="41">
        <v>0.11332468572476186</v>
      </c>
      <c r="CX3184" s="41" t="e">
        <v>#N/A</v>
      </c>
      <c r="CY3184" s="41" t="e">
        <v>#N/A</v>
      </c>
      <c r="CZ3184" s="47" t="e">
        <v>#N/A</v>
      </c>
      <c r="DA3184">
        <v>0.11332468572476186</v>
      </c>
      <c r="DB3184" t="str">
        <v/>
      </c>
    </row>
    <row r="3185" spans="83:106" x14ac:dyDescent="0.2">
      <c r="CE3185"/>
      <c r="CF3185"/>
      <c r="CG3185"/>
      <c r="CH3185"/>
      <c r="CI3185"/>
      <c r="CU3185" s="21">
        <v>3180</v>
      </c>
      <c r="CV3185" s="41">
        <v>4</v>
      </c>
      <c r="CW3185" s="41">
        <v>0.11332468572476186</v>
      </c>
      <c r="CX3185" s="41" t="e">
        <v>#N/A</v>
      </c>
      <c r="CY3185" s="41" t="e">
        <v>#N/A</v>
      </c>
      <c r="CZ3185" s="47" t="e">
        <v>#N/A</v>
      </c>
      <c r="DA3185">
        <v>0.11332468572476186</v>
      </c>
      <c r="DB3185" t="str">
        <v/>
      </c>
    </row>
    <row r="3186" spans="83:106" x14ac:dyDescent="0.2">
      <c r="CE3186"/>
      <c r="CF3186"/>
      <c r="CG3186"/>
      <c r="CH3186"/>
      <c r="CI3186"/>
      <c r="CU3186" s="21">
        <v>3181</v>
      </c>
      <c r="CV3186" s="41">
        <v>4</v>
      </c>
      <c r="CW3186" s="41">
        <v>0.11332468572476186</v>
      </c>
      <c r="CX3186" s="41" t="e">
        <v>#N/A</v>
      </c>
      <c r="CY3186" s="41" t="e">
        <v>#N/A</v>
      </c>
      <c r="CZ3186" s="47" t="e">
        <v>#N/A</v>
      </c>
      <c r="DA3186">
        <v>0.11332468572476186</v>
      </c>
      <c r="DB3186" t="str">
        <v/>
      </c>
    </row>
    <row r="3187" spans="83:106" x14ac:dyDescent="0.2">
      <c r="CE3187"/>
      <c r="CF3187"/>
      <c r="CG3187"/>
      <c r="CH3187"/>
      <c r="CI3187"/>
      <c r="CU3187" s="21">
        <v>3182</v>
      </c>
      <c r="CV3187" s="41">
        <v>4</v>
      </c>
      <c r="CW3187" s="41">
        <v>0.11332468572476186</v>
      </c>
      <c r="CX3187" s="41" t="e">
        <v>#N/A</v>
      </c>
      <c r="CY3187" s="41" t="e">
        <v>#N/A</v>
      </c>
      <c r="CZ3187" s="47" t="e">
        <v>#N/A</v>
      </c>
      <c r="DA3187">
        <v>0.11332468572476186</v>
      </c>
      <c r="DB3187" t="str">
        <v/>
      </c>
    </row>
    <row r="3188" spans="83:106" x14ac:dyDescent="0.2">
      <c r="CE3188"/>
      <c r="CF3188"/>
      <c r="CG3188"/>
      <c r="CH3188"/>
      <c r="CI3188"/>
      <c r="CU3188" s="21">
        <v>3183</v>
      </c>
      <c r="CV3188" s="41">
        <v>4</v>
      </c>
      <c r="CW3188" s="41">
        <v>0.11332468572476186</v>
      </c>
      <c r="CX3188" s="41" t="e">
        <v>#N/A</v>
      </c>
      <c r="CY3188" s="41" t="e">
        <v>#N/A</v>
      </c>
      <c r="CZ3188" s="47" t="e">
        <v>#N/A</v>
      </c>
      <c r="DA3188">
        <v>0.11332468572476186</v>
      </c>
      <c r="DB3188" t="str">
        <v/>
      </c>
    </row>
    <row r="3189" spans="83:106" x14ac:dyDescent="0.2">
      <c r="CE3189"/>
      <c r="CF3189"/>
      <c r="CG3189"/>
      <c r="CH3189"/>
      <c r="CI3189"/>
      <c r="CU3189" s="21">
        <v>3184</v>
      </c>
      <c r="CV3189" s="41">
        <v>4</v>
      </c>
      <c r="CW3189" s="41">
        <v>0.11332468572476186</v>
      </c>
      <c r="CX3189" s="41" t="e">
        <v>#N/A</v>
      </c>
      <c r="CY3189" s="41" t="e">
        <v>#N/A</v>
      </c>
      <c r="CZ3189" s="47" t="e">
        <v>#N/A</v>
      </c>
      <c r="DA3189">
        <v>0.11332468572476186</v>
      </c>
      <c r="DB3189" t="str">
        <v/>
      </c>
    </row>
    <row r="3190" spans="83:106" x14ac:dyDescent="0.2">
      <c r="CE3190"/>
      <c r="CF3190"/>
      <c r="CG3190"/>
      <c r="CH3190"/>
      <c r="CI3190"/>
      <c r="CU3190" s="21">
        <v>3185</v>
      </c>
      <c r="CV3190" s="41">
        <v>4</v>
      </c>
      <c r="CW3190" s="41">
        <v>0.11332468572476186</v>
      </c>
      <c r="CX3190" s="41" t="e">
        <v>#N/A</v>
      </c>
      <c r="CY3190" s="41" t="e">
        <v>#N/A</v>
      </c>
      <c r="CZ3190" s="47" t="e">
        <v>#N/A</v>
      </c>
      <c r="DA3190">
        <v>0.11332468572476186</v>
      </c>
      <c r="DB3190" t="str">
        <v/>
      </c>
    </row>
    <row r="3191" spans="83:106" x14ac:dyDescent="0.2">
      <c r="CE3191"/>
      <c r="CF3191"/>
      <c r="CG3191"/>
      <c r="CH3191"/>
      <c r="CI3191"/>
      <c r="CU3191" s="21">
        <v>3186</v>
      </c>
      <c r="CV3191" s="41">
        <v>4</v>
      </c>
      <c r="CW3191" s="41">
        <v>0.11332468572476186</v>
      </c>
      <c r="CX3191" s="41" t="e">
        <v>#N/A</v>
      </c>
      <c r="CY3191" s="41" t="e">
        <v>#N/A</v>
      </c>
      <c r="CZ3191" s="47" t="e">
        <v>#N/A</v>
      </c>
      <c r="DA3191">
        <v>0.11332468572476186</v>
      </c>
      <c r="DB3191" t="str">
        <v/>
      </c>
    </row>
    <row r="3192" spans="83:106" x14ac:dyDescent="0.2">
      <c r="CE3192"/>
      <c r="CF3192"/>
      <c r="CG3192"/>
      <c r="CH3192"/>
      <c r="CI3192"/>
      <c r="CU3192" s="21">
        <v>3187</v>
      </c>
      <c r="CV3192" s="41">
        <v>4</v>
      </c>
      <c r="CW3192" s="41">
        <v>0.11332468572476186</v>
      </c>
      <c r="CX3192" s="41" t="e">
        <v>#N/A</v>
      </c>
      <c r="CY3192" s="41" t="e">
        <v>#N/A</v>
      </c>
      <c r="CZ3192" s="47" t="e">
        <v>#N/A</v>
      </c>
      <c r="DA3192">
        <v>0.11332468572476186</v>
      </c>
      <c r="DB3192" t="str">
        <v/>
      </c>
    </row>
    <row r="3193" spans="83:106" x14ac:dyDescent="0.2">
      <c r="CE3193"/>
      <c r="CF3193"/>
      <c r="CG3193"/>
      <c r="CH3193"/>
      <c r="CI3193"/>
      <c r="CU3193" s="21">
        <v>3188</v>
      </c>
      <c r="CV3193" s="41">
        <v>4</v>
      </c>
      <c r="CW3193" s="41">
        <v>0.11332468572476186</v>
      </c>
      <c r="CX3193" s="41" t="e">
        <v>#N/A</v>
      </c>
      <c r="CY3193" s="41" t="e">
        <v>#N/A</v>
      </c>
      <c r="CZ3193" s="47" t="e">
        <v>#N/A</v>
      </c>
      <c r="DA3193">
        <v>0.11332468572476186</v>
      </c>
      <c r="DB3193" t="str">
        <v/>
      </c>
    </row>
    <row r="3194" spans="83:106" x14ac:dyDescent="0.2">
      <c r="CE3194"/>
      <c r="CF3194"/>
      <c r="CG3194"/>
      <c r="CH3194"/>
      <c r="CI3194"/>
      <c r="CU3194" s="21">
        <v>3189</v>
      </c>
      <c r="CV3194" s="41">
        <v>4</v>
      </c>
      <c r="CW3194" s="41">
        <v>0.11332468572476186</v>
      </c>
      <c r="CX3194" s="41" t="e">
        <v>#N/A</v>
      </c>
      <c r="CY3194" s="41" t="e">
        <v>#N/A</v>
      </c>
      <c r="CZ3194" s="47" t="e">
        <v>#N/A</v>
      </c>
      <c r="DA3194">
        <v>0.11332468572476186</v>
      </c>
      <c r="DB3194" t="str">
        <v/>
      </c>
    </row>
    <row r="3195" spans="83:106" x14ac:dyDescent="0.2">
      <c r="CE3195"/>
      <c r="CF3195"/>
      <c r="CG3195"/>
      <c r="CH3195"/>
      <c r="CI3195"/>
      <c r="CU3195" s="21">
        <v>3190</v>
      </c>
      <c r="CV3195" s="41">
        <v>4</v>
      </c>
      <c r="CW3195" s="41">
        <v>0.11332468572476186</v>
      </c>
      <c r="CX3195" s="41" t="e">
        <v>#N/A</v>
      </c>
      <c r="CY3195" s="41" t="e">
        <v>#N/A</v>
      </c>
      <c r="CZ3195" s="47" t="e">
        <v>#N/A</v>
      </c>
      <c r="DA3195">
        <v>0.11332468572476186</v>
      </c>
      <c r="DB3195" t="str">
        <v/>
      </c>
    </row>
    <row r="3196" spans="83:106" x14ac:dyDescent="0.2">
      <c r="CE3196"/>
      <c r="CF3196"/>
      <c r="CG3196"/>
      <c r="CH3196"/>
      <c r="CI3196"/>
      <c r="CU3196" s="21">
        <v>3191</v>
      </c>
      <c r="CV3196" s="41">
        <v>4</v>
      </c>
      <c r="CW3196" s="41">
        <v>0.11332468572476186</v>
      </c>
      <c r="CX3196" s="41" t="e">
        <v>#N/A</v>
      </c>
      <c r="CY3196" s="41" t="e">
        <v>#N/A</v>
      </c>
      <c r="CZ3196" s="47" t="e">
        <v>#N/A</v>
      </c>
      <c r="DA3196">
        <v>0.11332468572476186</v>
      </c>
      <c r="DB3196" t="str">
        <v/>
      </c>
    </row>
    <row r="3197" spans="83:106" x14ac:dyDescent="0.2">
      <c r="CE3197"/>
      <c r="CF3197"/>
      <c r="CG3197"/>
      <c r="CH3197"/>
      <c r="CI3197"/>
      <c r="CU3197" s="21">
        <v>3192</v>
      </c>
      <c r="CV3197" s="41">
        <v>4</v>
      </c>
      <c r="CW3197" s="41">
        <v>0.11332468572476186</v>
      </c>
      <c r="CX3197" s="41" t="e">
        <v>#N/A</v>
      </c>
      <c r="CY3197" s="41" t="e">
        <v>#N/A</v>
      </c>
      <c r="CZ3197" s="47" t="e">
        <v>#N/A</v>
      </c>
      <c r="DA3197">
        <v>0.11332468572476186</v>
      </c>
      <c r="DB3197" t="str">
        <v/>
      </c>
    </row>
    <row r="3198" spans="83:106" x14ac:dyDescent="0.2">
      <c r="CE3198"/>
      <c r="CF3198"/>
      <c r="CG3198"/>
      <c r="CH3198"/>
      <c r="CI3198"/>
      <c r="CU3198" s="21">
        <v>3193</v>
      </c>
      <c r="CV3198" s="41">
        <v>4</v>
      </c>
      <c r="CW3198" s="41">
        <v>0.11332468572476186</v>
      </c>
      <c r="CX3198" s="41" t="e">
        <v>#N/A</v>
      </c>
      <c r="CY3198" s="41" t="e">
        <v>#N/A</v>
      </c>
      <c r="CZ3198" s="47" t="e">
        <v>#N/A</v>
      </c>
      <c r="DA3198">
        <v>0.11332468572476186</v>
      </c>
      <c r="DB3198" t="str">
        <v/>
      </c>
    </row>
    <row r="3199" spans="83:106" x14ac:dyDescent="0.2">
      <c r="CE3199"/>
      <c r="CF3199"/>
      <c r="CG3199"/>
      <c r="CH3199"/>
      <c r="CI3199"/>
      <c r="CU3199" s="21">
        <v>3194</v>
      </c>
      <c r="CV3199" s="41">
        <v>4</v>
      </c>
      <c r="CW3199" s="41">
        <v>0.11332468572476186</v>
      </c>
      <c r="CX3199" s="41" t="e">
        <v>#N/A</v>
      </c>
      <c r="CY3199" s="41" t="e">
        <v>#N/A</v>
      </c>
      <c r="CZ3199" s="47" t="e">
        <v>#N/A</v>
      </c>
      <c r="DA3199">
        <v>0.11332468572476186</v>
      </c>
      <c r="DB3199" t="str">
        <v/>
      </c>
    </row>
    <row r="3200" spans="83:106" x14ac:dyDescent="0.2">
      <c r="CE3200"/>
      <c r="CF3200"/>
      <c r="CG3200"/>
      <c r="CH3200"/>
      <c r="CI3200"/>
      <c r="CU3200" s="21">
        <v>3195</v>
      </c>
      <c r="CV3200" s="41">
        <v>4</v>
      </c>
      <c r="CW3200" s="41">
        <v>0.11332468572476186</v>
      </c>
      <c r="CX3200" s="41" t="e">
        <v>#N/A</v>
      </c>
      <c r="CY3200" s="41" t="e">
        <v>#N/A</v>
      </c>
      <c r="CZ3200" s="47" t="e">
        <v>#N/A</v>
      </c>
      <c r="DA3200">
        <v>0.11332468572476186</v>
      </c>
      <c r="DB3200" t="str">
        <v/>
      </c>
    </row>
    <row r="3201" spans="83:106" x14ac:dyDescent="0.2">
      <c r="CE3201"/>
      <c r="CF3201"/>
      <c r="CG3201"/>
      <c r="CH3201"/>
      <c r="CI3201"/>
      <c r="CU3201" s="21">
        <v>3196</v>
      </c>
      <c r="CV3201" s="41">
        <v>4</v>
      </c>
      <c r="CW3201" s="41">
        <v>0.11332468572476186</v>
      </c>
      <c r="CX3201" s="41" t="e">
        <v>#N/A</v>
      </c>
      <c r="CY3201" s="41" t="e">
        <v>#N/A</v>
      </c>
      <c r="CZ3201" s="47" t="e">
        <v>#N/A</v>
      </c>
      <c r="DA3201">
        <v>0.11332468572476186</v>
      </c>
      <c r="DB3201" t="str">
        <v/>
      </c>
    </row>
    <row r="3202" spans="83:106" x14ac:dyDescent="0.2">
      <c r="CE3202"/>
      <c r="CF3202"/>
      <c r="CG3202"/>
      <c r="CH3202"/>
      <c r="CI3202"/>
      <c r="CU3202" s="21">
        <v>3197</v>
      </c>
      <c r="CV3202" s="41">
        <v>4</v>
      </c>
      <c r="CW3202" s="41">
        <v>0.11332468572476186</v>
      </c>
      <c r="CX3202" s="41" t="e">
        <v>#N/A</v>
      </c>
      <c r="CY3202" s="41" t="e">
        <v>#N/A</v>
      </c>
      <c r="CZ3202" s="47" t="e">
        <v>#N/A</v>
      </c>
      <c r="DA3202">
        <v>0.11332468572476186</v>
      </c>
      <c r="DB3202" t="str">
        <v/>
      </c>
    </row>
    <row r="3203" spans="83:106" x14ac:dyDescent="0.2">
      <c r="CE3203"/>
      <c r="CF3203"/>
      <c r="CG3203"/>
      <c r="CH3203"/>
      <c r="CI3203"/>
      <c r="CU3203" s="21">
        <v>3198</v>
      </c>
      <c r="CV3203" s="41">
        <v>4</v>
      </c>
      <c r="CW3203" s="41">
        <v>0.11332468572476186</v>
      </c>
      <c r="CX3203" s="41" t="e">
        <v>#N/A</v>
      </c>
      <c r="CY3203" s="41" t="e">
        <v>#N/A</v>
      </c>
      <c r="CZ3203" s="47" t="e">
        <v>#N/A</v>
      </c>
      <c r="DA3203">
        <v>0.11332468572476186</v>
      </c>
      <c r="DB3203" t="str">
        <v/>
      </c>
    </row>
    <row r="3204" spans="83:106" x14ac:dyDescent="0.2">
      <c r="CE3204"/>
      <c r="CF3204"/>
      <c r="CG3204"/>
      <c r="CH3204"/>
      <c r="CI3204"/>
      <c r="CU3204" s="21">
        <v>3199</v>
      </c>
      <c r="CV3204" s="41">
        <v>4</v>
      </c>
      <c r="CW3204" s="41">
        <v>0.11332468572476186</v>
      </c>
      <c r="CX3204" s="41" t="e">
        <v>#N/A</v>
      </c>
      <c r="CY3204" s="41" t="e">
        <v>#N/A</v>
      </c>
      <c r="CZ3204" s="47" t="e">
        <v>#N/A</v>
      </c>
      <c r="DA3204">
        <v>0.11332468572476186</v>
      </c>
      <c r="DB3204" t="str">
        <v/>
      </c>
    </row>
    <row r="3205" spans="83:106" x14ac:dyDescent="0.2">
      <c r="CE3205"/>
      <c r="CF3205"/>
      <c r="CG3205"/>
      <c r="CH3205"/>
      <c r="CI3205"/>
      <c r="CU3205" s="21">
        <v>3200</v>
      </c>
      <c r="CV3205" s="41">
        <v>4</v>
      </c>
      <c r="CW3205" s="41">
        <v>0.11332468572476186</v>
      </c>
      <c r="CX3205" s="41" t="e">
        <v>#N/A</v>
      </c>
      <c r="CY3205" s="41" t="e">
        <v>#N/A</v>
      </c>
      <c r="CZ3205" s="47" t="e">
        <v>#N/A</v>
      </c>
      <c r="DA3205">
        <v>0.11332468572476186</v>
      </c>
      <c r="DB3205" t="str">
        <v/>
      </c>
    </row>
    <row r="3206" spans="83:106" x14ac:dyDescent="0.2">
      <c r="CE3206"/>
      <c r="CF3206"/>
      <c r="CG3206"/>
      <c r="CH3206"/>
      <c r="CI3206"/>
      <c r="CU3206" s="21">
        <v>3201</v>
      </c>
      <c r="CV3206" s="41">
        <v>4</v>
      </c>
      <c r="CW3206" s="41">
        <v>0.11332468572476186</v>
      </c>
      <c r="CX3206" s="41" t="e">
        <v>#N/A</v>
      </c>
      <c r="CY3206" s="41" t="e">
        <v>#N/A</v>
      </c>
      <c r="CZ3206" s="47" t="e">
        <v>#N/A</v>
      </c>
      <c r="DA3206">
        <v>0.11332468572476186</v>
      </c>
      <c r="DB3206" t="str">
        <v/>
      </c>
    </row>
    <row r="3207" spans="83:106" x14ac:dyDescent="0.2">
      <c r="CE3207"/>
      <c r="CF3207"/>
      <c r="CG3207"/>
      <c r="CH3207"/>
      <c r="CI3207"/>
      <c r="CU3207" s="21">
        <v>3202</v>
      </c>
      <c r="CV3207" s="41">
        <v>4</v>
      </c>
      <c r="CW3207" s="41">
        <v>0.11332468572476186</v>
      </c>
      <c r="CX3207" s="41" t="e">
        <v>#N/A</v>
      </c>
      <c r="CY3207" s="41" t="e">
        <v>#N/A</v>
      </c>
      <c r="CZ3207" s="47" t="e">
        <v>#N/A</v>
      </c>
      <c r="DA3207">
        <v>0.11332468572476186</v>
      </c>
      <c r="DB3207" t="str">
        <v/>
      </c>
    </row>
    <row r="3208" spans="83:106" x14ac:dyDescent="0.2">
      <c r="CE3208"/>
      <c r="CF3208"/>
      <c r="CG3208"/>
      <c r="CH3208"/>
      <c r="CI3208"/>
      <c r="CU3208" s="21">
        <v>3203</v>
      </c>
      <c r="CV3208" s="41">
        <v>4</v>
      </c>
      <c r="CW3208" s="41">
        <v>0.11332468572476186</v>
      </c>
      <c r="CX3208" s="41" t="e">
        <v>#N/A</v>
      </c>
      <c r="CY3208" s="41" t="e">
        <v>#N/A</v>
      </c>
      <c r="CZ3208" s="47" t="e">
        <v>#N/A</v>
      </c>
      <c r="DA3208">
        <v>0.11332468572476186</v>
      </c>
      <c r="DB3208" t="str">
        <v/>
      </c>
    </row>
    <row r="3209" spans="83:106" x14ac:dyDescent="0.2">
      <c r="CE3209"/>
      <c r="CF3209"/>
      <c r="CG3209"/>
      <c r="CH3209"/>
      <c r="CI3209"/>
      <c r="CU3209" s="21">
        <v>3204</v>
      </c>
      <c r="CV3209" s="41">
        <v>4</v>
      </c>
      <c r="CW3209" s="41">
        <v>0.11332468572476186</v>
      </c>
      <c r="CX3209" s="41" t="e">
        <v>#N/A</v>
      </c>
      <c r="CY3209" s="41" t="e">
        <v>#N/A</v>
      </c>
      <c r="CZ3209" s="47" t="e">
        <v>#N/A</v>
      </c>
      <c r="DA3209">
        <v>0.11332468572476186</v>
      </c>
      <c r="DB3209" t="str">
        <v/>
      </c>
    </row>
    <row r="3210" spans="83:106" x14ac:dyDescent="0.2">
      <c r="CE3210"/>
      <c r="CF3210"/>
      <c r="CG3210"/>
      <c r="CH3210"/>
      <c r="CI3210"/>
      <c r="CU3210" s="21">
        <v>3205</v>
      </c>
      <c r="CV3210" s="41">
        <v>4</v>
      </c>
      <c r="CW3210" s="41">
        <v>0.11332468572476186</v>
      </c>
      <c r="CX3210" s="41" t="e">
        <v>#N/A</v>
      </c>
      <c r="CY3210" s="41" t="e">
        <v>#N/A</v>
      </c>
      <c r="CZ3210" s="47" t="e">
        <v>#N/A</v>
      </c>
      <c r="DA3210">
        <v>0.11332468572476186</v>
      </c>
      <c r="DB3210" t="str">
        <v/>
      </c>
    </row>
    <row r="3211" spans="83:106" x14ac:dyDescent="0.2">
      <c r="CE3211"/>
      <c r="CF3211"/>
      <c r="CG3211"/>
      <c r="CH3211"/>
      <c r="CI3211"/>
      <c r="CU3211" s="21">
        <v>3206</v>
      </c>
      <c r="CV3211" s="41">
        <v>4</v>
      </c>
      <c r="CW3211" s="41">
        <v>0.11332468572476186</v>
      </c>
      <c r="CX3211" s="41" t="e">
        <v>#N/A</v>
      </c>
      <c r="CY3211" s="41" t="e">
        <v>#N/A</v>
      </c>
      <c r="CZ3211" s="47" t="e">
        <v>#N/A</v>
      </c>
      <c r="DA3211">
        <v>0.11332468572476186</v>
      </c>
      <c r="DB3211" t="str">
        <v/>
      </c>
    </row>
    <row r="3212" spans="83:106" x14ac:dyDescent="0.2">
      <c r="CE3212"/>
      <c r="CF3212"/>
      <c r="CG3212"/>
      <c r="CH3212"/>
      <c r="CI3212"/>
      <c r="CU3212" s="21">
        <v>3207</v>
      </c>
      <c r="CV3212" s="41">
        <v>4</v>
      </c>
      <c r="CW3212" s="41">
        <v>0.11332468572476186</v>
      </c>
      <c r="CX3212" s="41" t="e">
        <v>#N/A</v>
      </c>
      <c r="CY3212" s="41" t="e">
        <v>#N/A</v>
      </c>
      <c r="CZ3212" s="47" t="e">
        <v>#N/A</v>
      </c>
      <c r="DA3212">
        <v>0.11332468572476186</v>
      </c>
      <c r="DB3212" t="str">
        <v/>
      </c>
    </row>
    <row r="3213" spans="83:106" x14ac:dyDescent="0.2">
      <c r="CE3213"/>
      <c r="CF3213"/>
      <c r="CG3213"/>
      <c r="CH3213"/>
      <c r="CI3213"/>
      <c r="CU3213" s="21">
        <v>3208</v>
      </c>
      <c r="CV3213" s="41">
        <v>4</v>
      </c>
      <c r="CW3213" s="41">
        <v>0.11332468572476186</v>
      </c>
      <c r="CX3213" s="41" t="e">
        <v>#N/A</v>
      </c>
      <c r="CY3213" s="41" t="e">
        <v>#N/A</v>
      </c>
      <c r="CZ3213" s="47" t="e">
        <v>#N/A</v>
      </c>
      <c r="DA3213">
        <v>0.11332468572476186</v>
      </c>
      <c r="DB3213" t="str">
        <v/>
      </c>
    </row>
    <row r="3214" spans="83:106" x14ac:dyDescent="0.2">
      <c r="CE3214"/>
      <c r="CF3214"/>
      <c r="CG3214"/>
      <c r="CH3214"/>
      <c r="CI3214"/>
      <c r="CU3214" s="21">
        <v>3209</v>
      </c>
      <c r="CV3214" s="41">
        <v>4</v>
      </c>
      <c r="CW3214" s="41">
        <v>0.11332468572476186</v>
      </c>
      <c r="CX3214" s="41" t="e">
        <v>#N/A</v>
      </c>
      <c r="CY3214" s="41" t="e">
        <v>#N/A</v>
      </c>
      <c r="CZ3214" s="47" t="e">
        <v>#N/A</v>
      </c>
      <c r="DA3214">
        <v>0.11332468572476186</v>
      </c>
      <c r="DB3214" t="str">
        <v/>
      </c>
    </row>
    <row r="3215" spans="83:106" x14ac:dyDescent="0.2">
      <c r="CE3215"/>
      <c r="CF3215"/>
      <c r="CG3215"/>
      <c r="CH3215"/>
      <c r="CI3215"/>
      <c r="CU3215" s="21">
        <v>3210</v>
      </c>
      <c r="CV3215" s="41">
        <v>4</v>
      </c>
      <c r="CW3215" s="41">
        <v>0.11332468572476186</v>
      </c>
      <c r="CX3215" s="41" t="e">
        <v>#N/A</v>
      </c>
      <c r="CY3215" s="41" t="e">
        <v>#N/A</v>
      </c>
      <c r="CZ3215" s="47" t="e">
        <v>#N/A</v>
      </c>
      <c r="DA3215">
        <v>0.11332468572476186</v>
      </c>
      <c r="DB3215" t="str">
        <v/>
      </c>
    </row>
    <row r="3216" spans="83:106" x14ac:dyDescent="0.2">
      <c r="CE3216"/>
      <c r="CF3216"/>
      <c r="CG3216"/>
      <c r="CH3216"/>
      <c r="CI3216"/>
      <c r="CU3216" s="21">
        <v>3211</v>
      </c>
      <c r="CV3216" s="41">
        <v>4</v>
      </c>
      <c r="CW3216" s="41">
        <v>0.11332468572476186</v>
      </c>
      <c r="CX3216" s="41" t="e">
        <v>#N/A</v>
      </c>
      <c r="CY3216" s="41" t="e">
        <v>#N/A</v>
      </c>
      <c r="CZ3216" s="47" t="e">
        <v>#N/A</v>
      </c>
      <c r="DA3216">
        <v>0.11332468572476186</v>
      </c>
      <c r="DB3216" t="str">
        <v/>
      </c>
    </row>
    <row r="3217" spans="83:106" x14ac:dyDescent="0.2">
      <c r="CE3217"/>
      <c r="CF3217"/>
      <c r="CG3217"/>
      <c r="CH3217"/>
      <c r="CI3217"/>
      <c r="CU3217" s="21">
        <v>3212</v>
      </c>
      <c r="CV3217" s="41">
        <v>4</v>
      </c>
      <c r="CW3217" s="41">
        <v>0.11332468572476186</v>
      </c>
      <c r="CX3217" s="41" t="e">
        <v>#N/A</v>
      </c>
      <c r="CY3217" s="41" t="e">
        <v>#N/A</v>
      </c>
      <c r="CZ3217" s="47" t="e">
        <v>#N/A</v>
      </c>
      <c r="DA3217">
        <v>0.11332468572476186</v>
      </c>
      <c r="DB3217" t="str">
        <v/>
      </c>
    </row>
    <row r="3218" spans="83:106" x14ac:dyDescent="0.2">
      <c r="CE3218"/>
      <c r="CF3218"/>
      <c r="CG3218"/>
      <c r="CH3218"/>
      <c r="CI3218"/>
      <c r="CU3218" s="21">
        <v>3213</v>
      </c>
      <c r="CV3218" s="41">
        <v>4</v>
      </c>
      <c r="CW3218" s="41">
        <v>0.11332468572476186</v>
      </c>
      <c r="CX3218" s="41" t="e">
        <v>#N/A</v>
      </c>
      <c r="CY3218" s="41" t="e">
        <v>#N/A</v>
      </c>
      <c r="CZ3218" s="47" t="e">
        <v>#N/A</v>
      </c>
      <c r="DA3218">
        <v>0.11332468572476186</v>
      </c>
      <c r="DB3218" t="str">
        <v/>
      </c>
    </row>
    <row r="3219" spans="83:106" x14ac:dyDescent="0.2">
      <c r="CE3219"/>
      <c r="CF3219"/>
      <c r="CG3219"/>
      <c r="CH3219"/>
      <c r="CI3219"/>
      <c r="CU3219" s="21">
        <v>3214</v>
      </c>
      <c r="CV3219" s="41">
        <v>4</v>
      </c>
      <c r="CW3219" s="41">
        <v>0.11332468572476186</v>
      </c>
      <c r="CX3219" s="41" t="e">
        <v>#N/A</v>
      </c>
      <c r="CY3219" s="41" t="e">
        <v>#N/A</v>
      </c>
      <c r="CZ3219" s="47" t="e">
        <v>#N/A</v>
      </c>
      <c r="DA3219">
        <v>0.11332468572476186</v>
      </c>
      <c r="DB3219" t="str">
        <v/>
      </c>
    </row>
    <row r="3220" spans="83:106" x14ac:dyDescent="0.2">
      <c r="CE3220"/>
      <c r="CF3220"/>
      <c r="CG3220"/>
      <c r="CH3220"/>
      <c r="CI3220"/>
      <c r="CU3220" s="21">
        <v>3215</v>
      </c>
      <c r="CV3220" s="41">
        <v>4</v>
      </c>
      <c r="CW3220" s="41">
        <v>0.11332468572476186</v>
      </c>
      <c r="CX3220" s="41" t="e">
        <v>#N/A</v>
      </c>
      <c r="CY3220" s="41" t="e">
        <v>#N/A</v>
      </c>
      <c r="CZ3220" s="47" t="e">
        <v>#N/A</v>
      </c>
      <c r="DA3220">
        <v>0.11332468572476186</v>
      </c>
      <c r="DB3220" t="str">
        <v/>
      </c>
    </row>
    <row r="3221" spans="83:106" x14ac:dyDescent="0.2">
      <c r="CE3221"/>
      <c r="CF3221"/>
      <c r="CG3221"/>
      <c r="CH3221"/>
      <c r="CI3221"/>
      <c r="CU3221" s="21">
        <v>3216</v>
      </c>
      <c r="CV3221" s="41">
        <v>4</v>
      </c>
      <c r="CW3221" s="41">
        <v>0.11332468572476186</v>
      </c>
      <c r="CX3221" s="41" t="e">
        <v>#N/A</v>
      </c>
      <c r="CY3221" s="41" t="e">
        <v>#N/A</v>
      </c>
      <c r="CZ3221" s="47" t="e">
        <v>#N/A</v>
      </c>
      <c r="DA3221">
        <v>0.11332468572476186</v>
      </c>
      <c r="DB3221" t="str">
        <v/>
      </c>
    </row>
    <row r="3222" spans="83:106" x14ac:dyDescent="0.2">
      <c r="CE3222"/>
      <c r="CF3222"/>
      <c r="CG3222"/>
      <c r="CH3222"/>
      <c r="CI3222"/>
      <c r="CU3222" s="21">
        <v>3217</v>
      </c>
      <c r="CV3222" s="41">
        <v>4</v>
      </c>
      <c r="CW3222" s="41">
        <v>0.11332468572476186</v>
      </c>
      <c r="CX3222" s="41" t="e">
        <v>#N/A</v>
      </c>
      <c r="CY3222" s="41" t="e">
        <v>#N/A</v>
      </c>
      <c r="CZ3222" s="47" t="e">
        <v>#N/A</v>
      </c>
      <c r="DA3222">
        <v>0.11332468572476186</v>
      </c>
      <c r="DB3222" t="str">
        <v/>
      </c>
    </row>
    <row r="3223" spans="83:106" x14ac:dyDescent="0.2">
      <c r="CE3223"/>
      <c r="CF3223"/>
      <c r="CG3223"/>
      <c r="CH3223"/>
      <c r="CI3223"/>
      <c r="CU3223" s="21">
        <v>3218</v>
      </c>
      <c r="CV3223" s="41">
        <v>4</v>
      </c>
      <c r="CW3223" s="41">
        <v>0.11332468572476186</v>
      </c>
      <c r="CX3223" s="41" t="e">
        <v>#N/A</v>
      </c>
      <c r="CY3223" s="41" t="e">
        <v>#N/A</v>
      </c>
      <c r="CZ3223" s="47" t="e">
        <v>#N/A</v>
      </c>
      <c r="DA3223">
        <v>0.11332468572476186</v>
      </c>
      <c r="DB3223" t="str">
        <v/>
      </c>
    </row>
    <row r="3224" spans="83:106" x14ac:dyDescent="0.2">
      <c r="CE3224"/>
      <c r="CF3224"/>
      <c r="CG3224"/>
      <c r="CH3224"/>
      <c r="CI3224"/>
      <c r="CU3224" s="21">
        <v>3219</v>
      </c>
      <c r="CV3224" s="41">
        <v>4</v>
      </c>
      <c r="CW3224" s="41">
        <v>0.11332468572476186</v>
      </c>
      <c r="CX3224" s="41" t="e">
        <v>#N/A</v>
      </c>
      <c r="CY3224" s="41" t="e">
        <v>#N/A</v>
      </c>
      <c r="CZ3224" s="47" t="e">
        <v>#N/A</v>
      </c>
      <c r="DA3224">
        <v>0.11332468572476186</v>
      </c>
      <c r="DB3224" t="str">
        <v/>
      </c>
    </row>
    <row r="3225" spans="83:106" x14ac:dyDescent="0.2">
      <c r="CE3225"/>
      <c r="CF3225"/>
      <c r="CG3225"/>
      <c r="CH3225"/>
      <c r="CI3225"/>
      <c r="CU3225" s="21">
        <v>3220</v>
      </c>
      <c r="CV3225" s="41">
        <v>4</v>
      </c>
      <c r="CW3225" s="41">
        <v>0.11332468572476186</v>
      </c>
      <c r="CX3225" s="41" t="e">
        <v>#N/A</v>
      </c>
      <c r="CY3225" s="41" t="e">
        <v>#N/A</v>
      </c>
      <c r="CZ3225" s="47" t="e">
        <v>#N/A</v>
      </c>
      <c r="DA3225">
        <v>0.11332468572476186</v>
      </c>
      <c r="DB3225" t="str">
        <v/>
      </c>
    </row>
    <row r="3226" spans="83:106" x14ac:dyDescent="0.2">
      <c r="CE3226"/>
      <c r="CF3226"/>
      <c r="CG3226"/>
      <c r="CH3226"/>
      <c r="CI3226"/>
      <c r="CU3226" s="21">
        <v>3221</v>
      </c>
      <c r="CV3226" s="41">
        <v>4</v>
      </c>
      <c r="CW3226" s="41">
        <v>0.11332468572476186</v>
      </c>
      <c r="CX3226" s="41" t="e">
        <v>#N/A</v>
      </c>
      <c r="CY3226" s="41" t="e">
        <v>#N/A</v>
      </c>
      <c r="CZ3226" s="47" t="e">
        <v>#N/A</v>
      </c>
      <c r="DA3226">
        <v>0.11332468572476186</v>
      </c>
      <c r="DB3226" t="str">
        <v/>
      </c>
    </row>
    <row r="3227" spans="83:106" x14ac:dyDescent="0.2">
      <c r="CE3227"/>
      <c r="CF3227"/>
      <c r="CG3227"/>
      <c r="CH3227"/>
      <c r="CI3227"/>
      <c r="CU3227" s="21">
        <v>3222</v>
      </c>
      <c r="CV3227" s="41">
        <v>4</v>
      </c>
      <c r="CW3227" s="41">
        <v>0.11332468572476186</v>
      </c>
      <c r="CX3227" s="41" t="e">
        <v>#N/A</v>
      </c>
      <c r="CY3227" s="41" t="e">
        <v>#N/A</v>
      </c>
      <c r="CZ3227" s="47" t="e">
        <v>#N/A</v>
      </c>
      <c r="DA3227">
        <v>0.11332468572476186</v>
      </c>
      <c r="DB3227" t="str">
        <v/>
      </c>
    </row>
    <row r="3228" spans="83:106" x14ac:dyDescent="0.2">
      <c r="CE3228"/>
      <c r="CF3228"/>
      <c r="CG3228"/>
      <c r="CH3228"/>
      <c r="CI3228"/>
      <c r="CU3228" s="21">
        <v>3223</v>
      </c>
      <c r="CV3228" s="41">
        <v>4</v>
      </c>
      <c r="CW3228" s="41">
        <v>0.11332468572476186</v>
      </c>
      <c r="CX3228" s="41" t="e">
        <v>#N/A</v>
      </c>
      <c r="CY3228" s="41" t="e">
        <v>#N/A</v>
      </c>
      <c r="CZ3228" s="47" t="e">
        <v>#N/A</v>
      </c>
      <c r="DA3228">
        <v>0.11332468572476186</v>
      </c>
      <c r="DB3228" t="str">
        <v/>
      </c>
    </row>
    <row r="3229" spans="83:106" x14ac:dyDescent="0.2">
      <c r="CE3229"/>
      <c r="CF3229"/>
      <c r="CG3229"/>
      <c r="CH3229"/>
      <c r="CI3229"/>
      <c r="CU3229" s="21">
        <v>3224</v>
      </c>
      <c r="CV3229" s="41">
        <v>4</v>
      </c>
      <c r="CW3229" s="41">
        <v>0.11332468572476186</v>
      </c>
      <c r="CX3229" s="41" t="e">
        <v>#N/A</v>
      </c>
      <c r="CY3229" s="41" t="e">
        <v>#N/A</v>
      </c>
      <c r="CZ3229" s="47" t="e">
        <v>#N/A</v>
      </c>
      <c r="DA3229">
        <v>0.11332468572476186</v>
      </c>
      <c r="DB3229" t="str">
        <v/>
      </c>
    </row>
    <row r="3230" spans="83:106" x14ac:dyDescent="0.2">
      <c r="CE3230"/>
      <c r="CF3230"/>
      <c r="CG3230"/>
      <c r="CH3230"/>
      <c r="CI3230"/>
      <c r="CU3230" s="21">
        <v>3225</v>
      </c>
      <c r="CV3230" s="41">
        <v>4</v>
      </c>
      <c r="CW3230" s="41">
        <v>0.11332468572476186</v>
      </c>
      <c r="CX3230" s="41" t="e">
        <v>#N/A</v>
      </c>
      <c r="CY3230" s="41" t="e">
        <v>#N/A</v>
      </c>
      <c r="CZ3230" s="47" t="e">
        <v>#N/A</v>
      </c>
      <c r="DA3230">
        <v>0.11332468572476186</v>
      </c>
      <c r="DB3230" t="str">
        <v/>
      </c>
    </row>
    <row r="3231" spans="83:106" x14ac:dyDescent="0.2">
      <c r="CE3231"/>
      <c r="CF3231"/>
      <c r="CG3231"/>
      <c r="CH3231"/>
      <c r="CI3231"/>
      <c r="CU3231" s="21">
        <v>3226</v>
      </c>
      <c r="CV3231" s="41">
        <v>4</v>
      </c>
      <c r="CW3231" s="41">
        <v>0.11332468572476186</v>
      </c>
      <c r="CX3231" s="41" t="e">
        <v>#N/A</v>
      </c>
      <c r="CY3231" s="41" t="e">
        <v>#N/A</v>
      </c>
      <c r="CZ3231" s="47" t="e">
        <v>#N/A</v>
      </c>
      <c r="DA3231">
        <v>0.11332468572476186</v>
      </c>
      <c r="DB3231" t="str">
        <v/>
      </c>
    </row>
    <row r="3232" spans="83:106" x14ac:dyDescent="0.2">
      <c r="CE3232"/>
      <c r="CF3232"/>
      <c r="CG3232"/>
      <c r="CH3232"/>
      <c r="CI3232"/>
      <c r="CU3232" s="21">
        <v>3227</v>
      </c>
      <c r="CV3232" s="41">
        <v>4</v>
      </c>
      <c r="CW3232" s="41">
        <v>0.11332468572476186</v>
      </c>
      <c r="CX3232" s="41" t="e">
        <v>#N/A</v>
      </c>
      <c r="CY3232" s="41" t="e">
        <v>#N/A</v>
      </c>
      <c r="CZ3232" s="47" t="e">
        <v>#N/A</v>
      </c>
      <c r="DA3232">
        <v>0.11332468572476186</v>
      </c>
      <c r="DB3232" t="str">
        <v/>
      </c>
    </row>
    <row r="3233" spans="83:106" x14ac:dyDescent="0.2">
      <c r="CE3233"/>
      <c r="CF3233"/>
      <c r="CG3233"/>
      <c r="CH3233"/>
      <c r="CI3233"/>
      <c r="CU3233" s="21">
        <v>3228</v>
      </c>
      <c r="CV3233" s="41">
        <v>4</v>
      </c>
      <c r="CW3233" s="41">
        <v>0.11332468572476186</v>
      </c>
      <c r="CX3233" s="41" t="e">
        <v>#N/A</v>
      </c>
      <c r="CY3233" s="41" t="e">
        <v>#N/A</v>
      </c>
      <c r="CZ3233" s="47" t="e">
        <v>#N/A</v>
      </c>
      <c r="DA3233">
        <v>0.11332468572476186</v>
      </c>
      <c r="DB3233" t="str">
        <v/>
      </c>
    </row>
    <row r="3234" spans="83:106" x14ac:dyDescent="0.2">
      <c r="CE3234"/>
      <c r="CF3234"/>
      <c r="CG3234"/>
      <c r="CH3234"/>
      <c r="CI3234"/>
      <c r="CU3234" s="21">
        <v>3229</v>
      </c>
      <c r="CV3234" s="41">
        <v>4</v>
      </c>
      <c r="CW3234" s="41">
        <v>0.11332468572476186</v>
      </c>
      <c r="CX3234" s="41" t="e">
        <v>#N/A</v>
      </c>
      <c r="CY3234" s="41" t="e">
        <v>#N/A</v>
      </c>
      <c r="CZ3234" s="47" t="e">
        <v>#N/A</v>
      </c>
      <c r="DA3234">
        <v>0.11332468572476186</v>
      </c>
      <c r="DB3234" t="str">
        <v/>
      </c>
    </row>
    <row r="3235" spans="83:106" x14ac:dyDescent="0.2">
      <c r="CE3235"/>
      <c r="CF3235"/>
      <c r="CG3235"/>
      <c r="CH3235"/>
      <c r="CI3235"/>
      <c r="CU3235" s="21">
        <v>3230</v>
      </c>
      <c r="CV3235" s="41">
        <v>4</v>
      </c>
      <c r="CW3235" s="41">
        <v>0.11332468572476186</v>
      </c>
      <c r="CX3235" s="41" t="e">
        <v>#N/A</v>
      </c>
      <c r="CY3235" s="41" t="e">
        <v>#N/A</v>
      </c>
      <c r="CZ3235" s="47" t="e">
        <v>#N/A</v>
      </c>
      <c r="DA3235">
        <v>0.11332468572476186</v>
      </c>
      <c r="DB3235" t="str">
        <v/>
      </c>
    </row>
    <row r="3236" spans="83:106" x14ac:dyDescent="0.2">
      <c r="CE3236"/>
      <c r="CF3236"/>
      <c r="CG3236"/>
      <c r="CH3236"/>
      <c r="CI3236"/>
      <c r="CU3236" s="21">
        <v>3231</v>
      </c>
      <c r="CV3236" s="41">
        <v>4</v>
      </c>
      <c r="CW3236" s="41">
        <v>0.11332468572476186</v>
      </c>
      <c r="CX3236" s="41" t="e">
        <v>#N/A</v>
      </c>
      <c r="CY3236" s="41" t="e">
        <v>#N/A</v>
      </c>
      <c r="CZ3236" s="47" t="e">
        <v>#N/A</v>
      </c>
      <c r="DA3236">
        <v>0.11332468572476186</v>
      </c>
      <c r="DB3236" t="str">
        <v/>
      </c>
    </row>
    <row r="3237" spans="83:106" x14ac:dyDescent="0.2">
      <c r="CE3237"/>
      <c r="CF3237"/>
      <c r="CG3237"/>
      <c r="CH3237"/>
      <c r="CI3237"/>
      <c r="CU3237" s="21">
        <v>3232</v>
      </c>
      <c r="CV3237" s="41">
        <v>4</v>
      </c>
      <c r="CW3237" s="41">
        <v>0.11332468572476186</v>
      </c>
      <c r="CX3237" s="41" t="e">
        <v>#N/A</v>
      </c>
      <c r="CY3237" s="41" t="e">
        <v>#N/A</v>
      </c>
      <c r="CZ3237" s="47" t="e">
        <v>#N/A</v>
      </c>
      <c r="DA3237">
        <v>0.11332468572476186</v>
      </c>
      <c r="DB3237" t="str">
        <v/>
      </c>
    </row>
    <row r="3238" spans="83:106" x14ac:dyDescent="0.2">
      <c r="CE3238"/>
      <c r="CF3238"/>
      <c r="CG3238"/>
      <c r="CH3238"/>
      <c r="CI3238"/>
      <c r="CU3238" s="21">
        <v>3233</v>
      </c>
      <c r="CV3238" s="41">
        <v>4</v>
      </c>
      <c r="CW3238" s="41">
        <v>0.11332468572476186</v>
      </c>
      <c r="CX3238" s="41" t="e">
        <v>#N/A</v>
      </c>
      <c r="CY3238" s="41" t="e">
        <v>#N/A</v>
      </c>
      <c r="CZ3238" s="47" t="e">
        <v>#N/A</v>
      </c>
      <c r="DA3238">
        <v>0.11332468572476186</v>
      </c>
      <c r="DB3238" t="str">
        <v/>
      </c>
    </row>
    <row r="3239" spans="83:106" x14ac:dyDescent="0.2">
      <c r="CE3239"/>
      <c r="CF3239"/>
      <c r="CG3239"/>
      <c r="CH3239"/>
      <c r="CI3239"/>
      <c r="CU3239" s="21">
        <v>3234</v>
      </c>
      <c r="CV3239" s="41">
        <v>4</v>
      </c>
      <c r="CW3239" s="41">
        <v>0.11332468572476186</v>
      </c>
      <c r="CX3239" s="41" t="e">
        <v>#N/A</v>
      </c>
      <c r="CY3239" s="41" t="e">
        <v>#N/A</v>
      </c>
      <c r="CZ3239" s="47" t="e">
        <v>#N/A</v>
      </c>
      <c r="DA3239">
        <v>0.11332468572476186</v>
      </c>
      <c r="DB3239" t="str">
        <v/>
      </c>
    </row>
    <row r="3240" spans="83:106" x14ac:dyDescent="0.2">
      <c r="CE3240"/>
      <c r="CF3240"/>
      <c r="CG3240"/>
      <c r="CH3240"/>
      <c r="CI3240"/>
      <c r="CU3240" s="21">
        <v>3235</v>
      </c>
      <c r="CV3240" s="41">
        <v>4</v>
      </c>
      <c r="CW3240" s="41">
        <v>0.11332468572476186</v>
      </c>
      <c r="CX3240" s="41" t="e">
        <v>#N/A</v>
      </c>
      <c r="CY3240" s="41" t="e">
        <v>#N/A</v>
      </c>
      <c r="CZ3240" s="47" t="e">
        <v>#N/A</v>
      </c>
      <c r="DA3240">
        <v>0.11332468572476186</v>
      </c>
      <c r="DB3240" t="str">
        <v/>
      </c>
    </row>
    <row r="3241" spans="83:106" x14ac:dyDescent="0.2">
      <c r="CE3241"/>
      <c r="CF3241"/>
      <c r="CG3241"/>
      <c r="CH3241"/>
      <c r="CI3241"/>
      <c r="CU3241" s="21">
        <v>3236</v>
      </c>
      <c r="CV3241" s="41">
        <v>4</v>
      </c>
      <c r="CW3241" s="41">
        <v>0.11332468572476186</v>
      </c>
      <c r="CX3241" s="41" t="e">
        <v>#N/A</v>
      </c>
      <c r="CY3241" s="41" t="e">
        <v>#N/A</v>
      </c>
      <c r="CZ3241" s="47" t="e">
        <v>#N/A</v>
      </c>
      <c r="DA3241">
        <v>0.11332468572476186</v>
      </c>
      <c r="DB3241" t="str">
        <v/>
      </c>
    </row>
    <row r="3242" spans="83:106" x14ac:dyDescent="0.2">
      <c r="CE3242"/>
      <c r="CF3242"/>
      <c r="CG3242"/>
      <c r="CH3242"/>
      <c r="CI3242"/>
      <c r="CU3242" s="21">
        <v>3237</v>
      </c>
      <c r="CV3242" s="41">
        <v>4</v>
      </c>
      <c r="CW3242" s="41">
        <v>0.11332468572476186</v>
      </c>
      <c r="CX3242" s="41" t="e">
        <v>#N/A</v>
      </c>
      <c r="CY3242" s="41" t="e">
        <v>#N/A</v>
      </c>
      <c r="CZ3242" s="47" t="e">
        <v>#N/A</v>
      </c>
      <c r="DA3242">
        <v>0.11332468572476186</v>
      </c>
      <c r="DB3242" t="str">
        <v/>
      </c>
    </row>
    <row r="3243" spans="83:106" x14ac:dyDescent="0.2">
      <c r="CE3243"/>
      <c r="CF3243"/>
      <c r="CG3243"/>
      <c r="CH3243"/>
      <c r="CI3243"/>
      <c r="CU3243" s="21">
        <v>3238</v>
      </c>
      <c r="CV3243" s="41">
        <v>4</v>
      </c>
      <c r="CW3243" s="41">
        <v>0.11332468572476186</v>
      </c>
      <c r="CX3243" s="41" t="e">
        <v>#N/A</v>
      </c>
      <c r="CY3243" s="41" t="e">
        <v>#N/A</v>
      </c>
      <c r="CZ3243" s="47" t="e">
        <v>#N/A</v>
      </c>
      <c r="DA3243">
        <v>0.11332468572476186</v>
      </c>
      <c r="DB3243" t="str">
        <v/>
      </c>
    </row>
    <row r="3244" spans="83:106" x14ac:dyDescent="0.2">
      <c r="CE3244"/>
      <c r="CF3244"/>
      <c r="CG3244"/>
      <c r="CH3244"/>
      <c r="CI3244"/>
      <c r="CU3244" s="21">
        <v>3239</v>
      </c>
      <c r="CV3244" s="41">
        <v>4</v>
      </c>
      <c r="CW3244" s="41">
        <v>0.11332468572476186</v>
      </c>
      <c r="CX3244" s="41" t="e">
        <v>#N/A</v>
      </c>
      <c r="CY3244" s="41" t="e">
        <v>#N/A</v>
      </c>
      <c r="CZ3244" s="47" t="e">
        <v>#N/A</v>
      </c>
      <c r="DA3244">
        <v>0.11332468572476186</v>
      </c>
      <c r="DB3244" t="str">
        <v/>
      </c>
    </row>
    <row r="3245" spans="83:106" x14ac:dyDescent="0.2">
      <c r="CE3245"/>
      <c r="CF3245"/>
      <c r="CG3245"/>
      <c r="CH3245"/>
      <c r="CI3245"/>
      <c r="CU3245" s="21">
        <v>3240</v>
      </c>
      <c r="CV3245" s="41">
        <v>4</v>
      </c>
      <c r="CW3245" s="41">
        <v>0.11332468572476186</v>
      </c>
      <c r="CX3245" s="41" t="e">
        <v>#N/A</v>
      </c>
      <c r="CY3245" s="41" t="e">
        <v>#N/A</v>
      </c>
      <c r="CZ3245" s="47" t="e">
        <v>#N/A</v>
      </c>
      <c r="DA3245">
        <v>0.11332468572476186</v>
      </c>
      <c r="DB3245" t="str">
        <v/>
      </c>
    </row>
    <row r="3246" spans="83:106" x14ac:dyDescent="0.2">
      <c r="CE3246"/>
      <c r="CF3246"/>
      <c r="CG3246"/>
      <c r="CH3246"/>
      <c r="CI3246"/>
      <c r="CU3246" s="21">
        <v>3241</v>
      </c>
      <c r="CV3246" s="41">
        <v>4</v>
      </c>
      <c r="CW3246" s="41">
        <v>0.11332468572476186</v>
      </c>
      <c r="CX3246" s="41" t="e">
        <v>#N/A</v>
      </c>
      <c r="CY3246" s="41" t="e">
        <v>#N/A</v>
      </c>
      <c r="CZ3246" s="47" t="e">
        <v>#N/A</v>
      </c>
      <c r="DA3246">
        <v>0.11332468572476186</v>
      </c>
      <c r="DB3246" t="str">
        <v/>
      </c>
    </row>
    <row r="3247" spans="83:106" x14ac:dyDescent="0.2">
      <c r="CE3247"/>
      <c r="CF3247"/>
      <c r="CG3247"/>
      <c r="CH3247"/>
      <c r="CI3247"/>
      <c r="CU3247" s="21">
        <v>3242</v>
      </c>
      <c r="CV3247" s="41">
        <v>4</v>
      </c>
      <c r="CW3247" s="41">
        <v>0.11332468572476186</v>
      </c>
      <c r="CX3247" s="41" t="e">
        <v>#N/A</v>
      </c>
      <c r="CY3247" s="41" t="e">
        <v>#N/A</v>
      </c>
      <c r="CZ3247" s="47" t="e">
        <v>#N/A</v>
      </c>
      <c r="DA3247">
        <v>0.11332468572476186</v>
      </c>
      <c r="DB3247" t="str">
        <v/>
      </c>
    </row>
    <row r="3248" spans="83:106" x14ac:dyDescent="0.2">
      <c r="CE3248"/>
      <c r="CF3248"/>
      <c r="CG3248"/>
      <c r="CH3248"/>
      <c r="CI3248"/>
      <c r="CU3248" s="21">
        <v>3243</v>
      </c>
      <c r="CV3248" s="41">
        <v>4</v>
      </c>
      <c r="CW3248" s="41">
        <v>0.11332468572476186</v>
      </c>
      <c r="CX3248" s="41" t="e">
        <v>#N/A</v>
      </c>
      <c r="CY3248" s="41" t="e">
        <v>#N/A</v>
      </c>
      <c r="CZ3248" s="47" t="e">
        <v>#N/A</v>
      </c>
      <c r="DA3248">
        <v>0.11332468572476186</v>
      </c>
      <c r="DB3248" t="str">
        <v/>
      </c>
    </row>
    <row r="3249" spans="83:106" x14ac:dyDescent="0.2">
      <c r="CE3249"/>
      <c r="CF3249"/>
      <c r="CG3249"/>
      <c r="CH3249"/>
      <c r="CI3249"/>
      <c r="CU3249" s="21">
        <v>3244</v>
      </c>
      <c r="CV3249" s="41">
        <v>4</v>
      </c>
      <c r="CW3249" s="41">
        <v>0.11332468572476186</v>
      </c>
      <c r="CX3249" s="41" t="e">
        <v>#N/A</v>
      </c>
      <c r="CY3249" s="41" t="e">
        <v>#N/A</v>
      </c>
      <c r="CZ3249" s="47" t="e">
        <v>#N/A</v>
      </c>
      <c r="DA3249">
        <v>0.11332468572476186</v>
      </c>
      <c r="DB3249" t="str">
        <v/>
      </c>
    </row>
    <row r="3250" spans="83:106" x14ac:dyDescent="0.2">
      <c r="CE3250"/>
      <c r="CF3250"/>
      <c r="CG3250"/>
      <c r="CH3250"/>
      <c r="CI3250"/>
      <c r="CU3250" s="21">
        <v>3245</v>
      </c>
      <c r="CV3250" s="41">
        <v>4</v>
      </c>
      <c r="CW3250" s="41">
        <v>0.11332468572476186</v>
      </c>
      <c r="CX3250" s="41" t="e">
        <v>#N/A</v>
      </c>
      <c r="CY3250" s="41" t="e">
        <v>#N/A</v>
      </c>
      <c r="CZ3250" s="47" t="e">
        <v>#N/A</v>
      </c>
      <c r="DA3250">
        <v>0.11332468572476186</v>
      </c>
      <c r="DB3250" t="str">
        <v/>
      </c>
    </row>
    <row r="3251" spans="83:106" x14ac:dyDescent="0.2">
      <c r="CE3251"/>
      <c r="CF3251"/>
      <c r="CG3251"/>
      <c r="CH3251"/>
      <c r="CI3251"/>
      <c r="CU3251" s="21">
        <v>3246</v>
      </c>
      <c r="CV3251" s="41">
        <v>4</v>
      </c>
      <c r="CW3251" s="41">
        <v>0.11332468572476186</v>
      </c>
      <c r="CX3251" s="41" t="e">
        <v>#N/A</v>
      </c>
      <c r="CY3251" s="41" t="e">
        <v>#N/A</v>
      </c>
      <c r="CZ3251" s="47" t="e">
        <v>#N/A</v>
      </c>
      <c r="DA3251">
        <v>0.11332468572476186</v>
      </c>
      <c r="DB3251" t="str">
        <v/>
      </c>
    </row>
    <row r="3252" spans="83:106" x14ac:dyDescent="0.2">
      <c r="CE3252"/>
      <c r="CF3252"/>
      <c r="CG3252"/>
      <c r="CH3252"/>
      <c r="CI3252"/>
      <c r="CU3252" s="21">
        <v>3247</v>
      </c>
      <c r="CV3252" s="41">
        <v>4</v>
      </c>
      <c r="CW3252" s="41">
        <v>0.11332468572476186</v>
      </c>
      <c r="CX3252" s="41" t="e">
        <v>#N/A</v>
      </c>
      <c r="CY3252" s="41" t="e">
        <v>#N/A</v>
      </c>
      <c r="CZ3252" s="47" t="e">
        <v>#N/A</v>
      </c>
      <c r="DA3252">
        <v>0.11332468572476186</v>
      </c>
      <c r="DB3252" t="str">
        <v/>
      </c>
    </row>
    <row r="3253" spans="83:106" x14ac:dyDescent="0.2">
      <c r="CE3253"/>
      <c r="CF3253"/>
      <c r="CG3253"/>
      <c r="CH3253"/>
      <c r="CI3253"/>
      <c r="CU3253" s="21">
        <v>3248</v>
      </c>
      <c r="CV3253" s="41">
        <v>4</v>
      </c>
      <c r="CW3253" s="41">
        <v>0.11332468572476186</v>
      </c>
      <c r="CX3253" s="41" t="e">
        <v>#N/A</v>
      </c>
      <c r="CY3253" s="41" t="e">
        <v>#N/A</v>
      </c>
      <c r="CZ3253" s="47" t="e">
        <v>#N/A</v>
      </c>
      <c r="DA3253">
        <v>0.11332468572476186</v>
      </c>
      <c r="DB3253" t="str">
        <v/>
      </c>
    </row>
    <row r="3254" spans="83:106" x14ac:dyDescent="0.2">
      <c r="CE3254"/>
      <c r="CF3254"/>
      <c r="CG3254"/>
      <c r="CH3254"/>
      <c r="CI3254"/>
      <c r="CU3254" s="21">
        <v>3249</v>
      </c>
      <c r="CV3254" s="41">
        <v>4</v>
      </c>
      <c r="CW3254" s="41">
        <v>0.11332468572476186</v>
      </c>
      <c r="CX3254" s="41" t="e">
        <v>#N/A</v>
      </c>
      <c r="CY3254" s="41" t="e">
        <v>#N/A</v>
      </c>
      <c r="CZ3254" s="47" t="e">
        <v>#N/A</v>
      </c>
      <c r="DA3254">
        <v>0.11332468572476186</v>
      </c>
      <c r="DB3254" t="str">
        <v/>
      </c>
    </row>
    <row r="3255" spans="83:106" x14ac:dyDescent="0.2">
      <c r="CE3255"/>
      <c r="CF3255"/>
      <c r="CG3255"/>
      <c r="CH3255"/>
      <c r="CI3255"/>
      <c r="CU3255" s="21">
        <v>3250</v>
      </c>
      <c r="CV3255" s="41">
        <v>4</v>
      </c>
      <c r="CW3255" s="41">
        <v>0.11332468572476186</v>
      </c>
      <c r="CX3255" s="41" t="e">
        <v>#N/A</v>
      </c>
      <c r="CY3255" s="41" t="e">
        <v>#N/A</v>
      </c>
      <c r="CZ3255" s="47" t="e">
        <v>#N/A</v>
      </c>
      <c r="DA3255">
        <v>0.11332468572476186</v>
      </c>
      <c r="DB3255" t="str">
        <v/>
      </c>
    </row>
    <row r="3256" spans="83:106" x14ac:dyDescent="0.2">
      <c r="CE3256"/>
      <c r="CF3256"/>
      <c r="CG3256"/>
      <c r="CH3256"/>
      <c r="CI3256"/>
      <c r="CU3256" s="21">
        <v>3251</v>
      </c>
      <c r="CV3256" s="41">
        <v>4</v>
      </c>
      <c r="CW3256" s="41">
        <v>0.11332468572476186</v>
      </c>
      <c r="CX3256" s="41" t="e">
        <v>#N/A</v>
      </c>
      <c r="CY3256" s="41" t="e">
        <v>#N/A</v>
      </c>
      <c r="CZ3256" s="47" t="e">
        <v>#N/A</v>
      </c>
      <c r="DA3256">
        <v>0.11332468572476186</v>
      </c>
      <c r="DB3256" t="str">
        <v/>
      </c>
    </row>
    <row r="3257" spans="83:106" x14ac:dyDescent="0.2">
      <c r="CE3257"/>
      <c r="CF3257"/>
      <c r="CG3257"/>
      <c r="CH3257"/>
      <c r="CI3257"/>
      <c r="CU3257" s="21">
        <v>3252</v>
      </c>
      <c r="CV3257" s="41">
        <v>4</v>
      </c>
      <c r="CW3257" s="41">
        <v>0.11332468572476186</v>
      </c>
      <c r="CX3257" s="41" t="e">
        <v>#N/A</v>
      </c>
      <c r="CY3257" s="41" t="e">
        <v>#N/A</v>
      </c>
      <c r="CZ3257" s="47" t="e">
        <v>#N/A</v>
      </c>
      <c r="DA3257">
        <v>0.11332468572476186</v>
      </c>
      <c r="DB3257" t="str">
        <v/>
      </c>
    </row>
    <row r="3258" spans="83:106" x14ac:dyDescent="0.2">
      <c r="CE3258"/>
      <c r="CF3258"/>
      <c r="CG3258"/>
      <c r="CH3258"/>
      <c r="CI3258"/>
      <c r="CU3258" s="21">
        <v>3253</v>
      </c>
      <c r="CV3258" s="41">
        <v>4</v>
      </c>
      <c r="CW3258" s="41">
        <v>0.11332468572476186</v>
      </c>
      <c r="CX3258" s="41" t="e">
        <v>#N/A</v>
      </c>
      <c r="CY3258" s="41" t="e">
        <v>#N/A</v>
      </c>
      <c r="CZ3258" s="47" t="e">
        <v>#N/A</v>
      </c>
      <c r="DA3258">
        <v>0.11332468572476186</v>
      </c>
      <c r="DB3258" t="str">
        <v/>
      </c>
    </row>
    <row r="3259" spans="83:106" x14ac:dyDescent="0.2">
      <c r="CE3259"/>
      <c r="CF3259"/>
      <c r="CG3259"/>
      <c r="CH3259"/>
      <c r="CI3259"/>
      <c r="CU3259" s="21">
        <v>3254</v>
      </c>
      <c r="CV3259" s="41">
        <v>4</v>
      </c>
      <c r="CW3259" s="41">
        <v>0.11332468572476186</v>
      </c>
      <c r="CX3259" s="41" t="e">
        <v>#N/A</v>
      </c>
      <c r="CY3259" s="41" t="e">
        <v>#N/A</v>
      </c>
      <c r="CZ3259" s="47" t="e">
        <v>#N/A</v>
      </c>
      <c r="DA3259">
        <v>0.11332468572476186</v>
      </c>
      <c r="DB3259" t="str">
        <v/>
      </c>
    </row>
    <row r="3260" spans="83:106" x14ac:dyDescent="0.2">
      <c r="CE3260"/>
      <c r="CF3260"/>
      <c r="CG3260"/>
      <c r="CH3260"/>
      <c r="CI3260"/>
      <c r="CU3260" s="21">
        <v>3255</v>
      </c>
      <c r="CV3260" s="41">
        <v>4</v>
      </c>
      <c r="CW3260" s="41">
        <v>0.11332468572476186</v>
      </c>
      <c r="CX3260" s="41" t="e">
        <v>#N/A</v>
      </c>
      <c r="CY3260" s="41" t="e">
        <v>#N/A</v>
      </c>
      <c r="CZ3260" s="47" t="e">
        <v>#N/A</v>
      </c>
      <c r="DA3260">
        <v>0.11332468572476186</v>
      </c>
      <c r="DB3260" t="str">
        <v/>
      </c>
    </row>
    <row r="3261" spans="83:106" x14ac:dyDescent="0.2">
      <c r="CE3261"/>
      <c r="CF3261"/>
      <c r="CG3261"/>
      <c r="CH3261"/>
      <c r="CI3261"/>
      <c r="CU3261" s="21">
        <v>3256</v>
      </c>
      <c r="CV3261" s="41">
        <v>4</v>
      </c>
      <c r="CW3261" s="41">
        <v>0.11332468572476186</v>
      </c>
      <c r="CX3261" s="41" t="e">
        <v>#N/A</v>
      </c>
      <c r="CY3261" s="41" t="e">
        <v>#N/A</v>
      </c>
      <c r="CZ3261" s="47" t="e">
        <v>#N/A</v>
      </c>
      <c r="DA3261">
        <v>0.11332468572476186</v>
      </c>
      <c r="DB3261" t="str">
        <v/>
      </c>
    </row>
    <row r="3262" spans="83:106" x14ac:dyDescent="0.2">
      <c r="CE3262"/>
      <c r="CF3262"/>
      <c r="CG3262"/>
      <c r="CH3262"/>
      <c r="CI3262"/>
      <c r="CU3262" s="21">
        <v>3257</v>
      </c>
      <c r="CV3262" s="41">
        <v>4</v>
      </c>
      <c r="CW3262" s="41">
        <v>0.11332468572476186</v>
      </c>
      <c r="CX3262" s="41" t="e">
        <v>#N/A</v>
      </c>
      <c r="CY3262" s="41" t="e">
        <v>#N/A</v>
      </c>
      <c r="CZ3262" s="47" t="e">
        <v>#N/A</v>
      </c>
      <c r="DA3262">
        <v>0.11332468572476186</v>
      </c>
      <c r="DB3262" t="str">
        <v/>
      </c>
    </row>
    <row r="3263" spans="83:106" x14ac:dyDescent="0.2">
      <c r="CE3263"/>
      <c r="CF3263"/>
      <c r="CG3263"/>
      <c r="CH3263"/>
      <c r="CI3263"/>
      <c r="CU3263" s="21">
        <v>3258</v>
      </c>
      <c r="CV3263" s="41">
        <v>4</v>
      </c>
      <c r="CW3263" s="41">
        <v>0.11332468572476186</v>
      </c>
      <c r="CX3263" s="41" t="e">
        <v>#N/A</v>
      </c>
      <c r="CY3263" s="41" t="e">
        <v>#N/A</v>
      </c>
      <c r="CZ3263" s="47" t="e">
        <v>#N/A</v>
      </c>
      <c r="DA3263">
        <v>0.11332468572476186</v>
      </c>
      <c r="DB3263" t="str">
        <v/>
      </c>
    </row>
    <row r="3264" spans="83:106" x14ac:dyDescent="0.2">
      <c r="CE3264"/>
      <c r="CF3264"/>
      <c r="CG3264"/>
      <c r="CH3264"/>
      <c r="CI3264"/>
      <c r="CU3264" s="21">
        <v>3259</v>
      </c>
      <c r="CV3264" s="41">
        <v>4</v>
      </c>
      <c r="CW3264" s="41">
        <v>0.11332468572476186</v>
      </c>
      <c r="CX3264" s="41" t="e">
        <v>#N/A</v>
      </c>
      <c r="CY3264" s="41" t="e">
        <v>#N/A</v>
      </c>
      <c r="CZ3264" s="47" t="e">
        <v>#N/A</v>
      </c>
      <c r="DA3264">
        <v>0.11332468572476186</v>
      </c>
      <c r="DB3264" t="str">
        <v/>
      </c>
    </row>
    <row r="3265" spans="83:106" x14ac:dyDescent="0.2">
      <c r="CE3265"/>
      <c r="CF3265"/>
      <c r="CG3265"/>
      <c r="CH3265"/>
      <c r="CI3265"/>
      <c r="CU3265" s="21">
        <v>3260</v>
      </c>
      <c r="CV3265" s="41">
        <v>4</v>
      </c>
      <c r="CW3265" s="41">
        <v>0.11332468572476186</v>
      </c>
      <c r="CX3265" s="41" t="e">
        <v>#N/A</v>
      </c>
      <c r="CY3265" s="41" t="e">
        <v>#N/A</v>
      </c>
      <c r="CZ3265" s="47" t="e">
        <v>#N/A</v>
      </c>
      <c r="DA3265">
        <v>0.11332468572476186</v>
      </c>
      <c r="DB3265" t="str">
        <v/>
      </c>
    </row>
    <row r="3266" spans="83:106" x14ac:dyDescent="0.2">
      <c r="CE3266"/>
      <c r="CF3266"/>
      <c r="CG3266"/>
      <c r="CH3266"/>
      <c r="CI3266"/>
      <c r="CU3266" s="21">
        <v>3261</v>
      </c>
      <c r="CV3266" s="41">
        <v>4</v>
      </c>
      <c r="CW3266" s="41">
        <v>0.11332468572476186</v>
      </c>
      <c r="CX3266" s="41" t="e">
        <v>#N/A</v>
      </c>
      <c r="CY3266" s="41" t="e">
        <v>#N/A</v>
      </c>
      <c r="CZ3266" s="47" t="e">
        <v>#N/A</v>
      </c>
      <c r="DA3266">
        <v>0.11332468572476186</v>
      </c>
      <c r="DB3266" t="str">
        <v/>
      </c>
    </row>
    <row r="3267" spans="83:106" x14ac:dyDescent="0.2">
      <c r="CE3267"/>
      <c r="CF3267"/>
      <c r="CG3267"/>
      <c r="CH3267"/>
      <c r="CI3267"/>
      <c r="CU3267" s="21">
        <v>3262</v>
      </c>
      <c r="CV3267" s="41">
        <v>4</v>
      </c>
      <c r="CW3267" s="41">
        <v>0.11332468572476186</v>
      </c>
      <c r="CX3267" s="41" t="e">
        <v>#N/A</v>
      </c>
      <c r="CY3267" s="41" t="e">
        <v>#N/A</v>
      </c>
      <c r="CZ3267" s="47" t="e">
        <v>#N/A</v>
      </c>
      <c r="DA3267">
        <v>0.11332468572476186</v>
      </c>
      <c r="DB3267" t="str">
        <v/>
      </c>
    </row>
    <row r="3268" spans="83:106" x14ac:dyDescent="0.2">
      <c r="CE3268"/>
      <c r="CF3268"/>
      <c r="CG3268"/>
      <c r="CH3268"/>
      <c r="CI3268"/>
      <c r="CU3268" s="21">
        <v>3263</v>
      </c>
      <c r="CV3268" s="41">
        <v>4</v>
      </c>
      <c r="CW3268" s="41">
        <v>0.11332468572476186</v>
      </c>
      <c r="CX3268" s="41" t="e">
        <v>#N/A</v>
      </c>
      <c r="CY3268" s="41" t="e">
        <v>#N/A</v>
      </c>
      <c r="CZ3268" s="47" t="e">
        <v>#N/A</v>
      </c>
      <c r="DA3268">
        <v>0.11332468572476186</v>
      </c>
      <c r="DB3268" t="str">
        <v/>
      </c>
    </row>
    <row r="3269" spans="83:106" x14ac:dyDescent="0.2">
      <c r="CE3269"/>
      <c r="CF3269"/>
      <c r="CG3269"/>
      <c r="CH3269"/>
      <c r="CI3269"/>
      <c r="CU3269" s="21">
        <v>3264</v>
      </c>
      <c r="CV3269" s="41">
        <v>4</v>
      </c>
      <c r="CW3269" s="41">
        <v>0.11332468572476186</v>
      </c>
      <c r="CX3269" s="41" t="e">
        <v>#N/A</v>
      </c>
      <c r="CY3269" s="41" t="e">
        <v>#N/A</v>
      </c>
      <c r="CZ3269" s="47" t="e">
        <v>#N/A</v>
      </c>
      <c r="DA3269">
        <v>0.11332468572476186</v>
      </c>
      <c r="DB3269" t="str">
        <v/>
      </c>
    </row>
    <row r="3270" spans="83:106" x14ac:dyDescent="0.2">
      <c r="CE3270"/>
      <c r="CF3270"/>
      <c r="CG3270"/>
      <c r="CH3270"/>
      <c r="CI3270"/>
      <c r="CU3270" s="21">
        <v>3265</v>
      </c>
      <c r="CV3270" s="41">
        <v>4</v>
      </c>
      <c r="CW3270" s="41">
        <v>0.11332468572476186</v>
      </c>
      <c r="CX3270" s="41" t="e">
        <v>#N/A</v>
      </c>
      <c r="CY3270" s="41" t="e">
        <v>#N/A</v>
      </c>
      <c r="CZ3270" s="47" t="e">
        <v>#N/A</v>
      </c>
      <c r="DA3270">
        <v>0.11332468572476186</v>
      </c>
      <c r="DB3270" t="str">
        <v/>
      </c>
    </row>
    <row r="3271" spans="83:106" x14ac:dyDescent="0.2">
      <c r="CE3271"/>
      <c r="CF3271"/>
      <c r="CG3271"/>
      <c r="CH3271"/>
      <c r="CI3271"/>
      <c r="CU3271" s="21">
        <v>3266</v>
      </c>
      <c r="CV3271" s="41">
        <v>4</v>
      </c>
      <c r="CW3271" s="41">
        <v>0.11332468572476186</v>
      </c>
      <c r="CX3271" s="41" t="e">
        <v>#N/A</v>
      </c>
      <c r="CY3271" s="41" t="e">
        <v>#N/A</v>
      </c>
      <c r="CZ3271" s="47" t="e">
        <v>#N/A</v>
      </c>
      <c r="DA3271">
        <v>0.11332468572476186</v>
      </c>
      <c r="DB3271" t="str">
        <v/>
      </c>
    </row>
    <row r="3272" spans="83:106" x14ac:dyDescent="0.2">
      <c r="CE3272"/>
      <c r="CF3272"/>
      <c r="CG3272"/>
      <c r="CH3272"/>
      <c r="CI3272"/>
      <c r="CU3272" s="21">
        <v>3267</v>
      </c>
      <c r="CV3272" s="41">
        <v>4</v>
      </c>
      <c r="CW3272" s="41">
        <v>0.11332468572476186</v>
      </c>
      <c r="CX3272" s="41" t="e">
        <v>#N/A</v>
      </c>
      <c r="CY3272" s="41" t="e">
        <v>#N/A</v>
      </c>
      <c r="CZ3272" s="47" t="e">
        <v>#N/A</v>
      </c>
      <c r="DA3272">
        <v>0.11332468572476186</v>
      </c>
      <c r="DB3272" t="str">
        <v/>
      </c>
    </row>
    <row r="3273" spans="83:106" x14ac:dyDescent="0.2">
      <c r="CE3273"/>
      <c r="CF3273"/>
      <c r="CG3273"/>
      <c r="CH3273"/>
      <c r="CI3273"/>
      <c r="CU3273" s="21">
        <v>3268</v>
      </c>
      <c r="CV3273" s="41">
        <v>4</v>
      </c>
      <c r="CW3273" s="41">
        <v>0.11332468572476186</v>
      </c>
      <c r="CX3273" s="41" t="e">
        <v>#N/A</v>
      </c>
      <c r="CY3273" s="41" t="e">
        <v>#N/A</v>
      </c>
      <c r="CZ3273" s="47" t="e">
        <v>#N/A</v>
      </c>
      <c r="DA3273">
        <v>0.11332468572476186</v>
      </c>
      <c r="DB3273" t="str">
        <v/>
      </c>
    </row>
    <row r="3274" spans="83:106" x14ac:dyDescent="0.2">
      <c r="CE3274"/>
      <c r="CF3274"/>
      <c r="CG3274"/>
      <c r="CH3274"/>
      <c r="CI3274"/>
      <c r="CU3274" s="21">
        <v>3269</v>
      </c>
      <c r="CV3274" s="41">
        <v>4</v>
      </c>
      <c r="CW3274" s="41">
        <v>0.11332468572476186</v>
      </c>
      <c r="CX3274" s="41" t="e">
        <v>#N/A</v>
      </c>
      <c r="CY3274" s="41" t="e">
        <v>#N/A</v>
      </c>
      <c r="CZ3274" s="47" t="e">
        <v>#N/A</v>
      </c>
      <c r="DA3274">
        <v>0.11332468572476186</v>
      </c>
      <c r="DB3274" t="str">
        <v/>
      </c>
    </row>
    <row r="3275" spans="83:106" x14ac:dyDescent="0.2">
      <c r="CE3275"/>
      <c r="CF3275"/>
      <c r="CG3275"/>
      <c r="CH3275"/>
      <c r="CI3275"/>
      <c r="CU3275" s="21">
        <v>3270</v>
      </c>
      <c r="CV3275" s="41">
        <v>4</v>
      </c>
      <c r="CW3275" s="41">
        <v>0.11332468572476186</v>
      </c>
      <c r="CX3275" s="41" t="e">
        <v>#N/A</v>
      </c>
      <c r="CY3275" s="41" t="e">
        <v>#N/A</v>
      </c>
      <c r="CZ3275" s="47" t="e">
        <v>#N/A</v>
      </c>
      <c r="DA3275">
        <v>0.11332468572476186</v>
      </c>
      <c r="DB3275" t="str">
        <v/>
      </c>
    </row>
    <row r="3276" spans="83:106" x14ac:dyDescent="0.2">
      <c r="CE3276"/>
      <c r="CF3276"/>
      <c r="CG3276"/>
      <c r="CH3276"/>
      <c r="CI3276"/>
      <c r="CU3276" s="21">
        <v>3271</v>
      </c>
      <c r="CV3276" s="41">
        <v>4</v>
      </c>
      <c r="CW3276" s="41">
        <v>0.11332468572476186</v>
      </c>
      <c r="CX3276" s="41" t="e">
        <v>#N/A</v>
      </c>
      <c r="CY3276" s="41" t="e">
        <v>#N/A</v>
      </c>
      <c r="CZ3276" s="47" t="e">
        <v>#N/A</v>
      </c>
      <c r="DA3276">
        <v>0.11332468572476186</v>
      </c>
      <c r="DB3276" t="str">
        <v/>
      </c>
    </row>
    <row r="3277" spans="83:106" x14ac:dyDescent="0.2">
      <c r="CE3277"/>
      <c r="CF3277"/>
      <c r="CG3277"/>
      <c r="CH3277"/>
      <c r="CI3277"/>
      <c r="CU3277" s="21">
        <v>3272</v>
      </c>
      <c r="CV3277" s="41">
        <v>4</v>
      </c>
      <c r="CW3277" s="41">
        <v>0.11332468572476186</v>
      </c>
      <c r="CX3277" s="41" t="e">
        <v>#N/A</v>
      </c>
      <c r="CY3277" s="41" t="e">
        <v>#N/A</v>
      </c>
      <c r="CZ3277" s="47" t="e">
        <v>#N/A</v>
      </c>
      <c r="DA3277">
        <v>0.11332468572476186</v>
      </c>
      <c r="DB3277" t="str">
        <v/>
      </c>
    </row>
    <row r="3278" spans="83:106" x14ac:dyDescent="0.2">
      <c r="CE3278"/>
      <c r="CF3278"/>
      <c r="CG3278"/>
      <c r="CH3278"/>
      <c r="CI3278"/>
      <c r="CU3278" s="21">
        <v>3273</v>
      </c>
      <c r="CV3278" s="41">
        <v>4</v>
      </c>
      <c r="CW3278" s="41">
        <v>0.11332468572476186</v>
      </c>
      <c r="CX3278" s="41" t="e">
        <v>#N/A</v>
      </c>
      <c r="CY3278" s="41" t="e">
        <v>#N/A</v>
      </c>
      <c r="CZ3278" s="47" t="e">
        <v>#N/A</v>
      </c>
      <c r="DA3278">
        <v>0.11332468572476186</v>
      </c>
      <c r="DB3278" t="str">
        <v/>
      </c>
    </row>
    <row r="3279" spans="83:106" x14ac:dyDescent="0.2">
      <c r="CE3279"/>
      <c r="CF3279"/>
      <c r="CG3279"/>
      <c r="CH3279"/>
      <c r="CI3279"/>
      <c r="CU3279" s="21">
        <v>3274</v>
      </c>
      <c r="CV3279" s="41">
        <v>4</v>
      </c>
      <c r="CW3279" s="41">
        <v>0.11332468572476186</v>
      </c>
      <c r="CX3279" s="41" t="e">
        <v>#N/A</v>
      </c>
      <c r="CY3279" s="41" t="e">
        <v>#N/A</v>
      </c>
      <c r="CZ3279" s="47" t="e">
        <v>#N/A</v>
      </c>
      <c r="DA3279">
        <v>0.11332468572476186</v>
      </c>
      <c r="DB3279" t="str">
        <v/>
      </c>
    </row>
    <row r="3280" spans="83:106" x14ac:dyDescent="0.2">
      <c r="CE3280"/>
      <c r="CF3280"/>
      <c r="CG3280"/>
      <c r="CH3280"/>
      <c r="CI3280"/>
      <c r="CU3280" s="21">
        <v>3275</v>
      </c>
      <c r="CV3280" s="41">
        <v>4</v>
      </c>
      <c r="CW3280" s="41">
        <v>0.11332468572476186</v>
      </c>
      <c r="CX3280" s="41" t="e">
        <v>#N/A</v>
      </c>
      <c r="CY3280" s="41" t="e">
        <v>#N/A</v>
      </c>
      <c r="CZ3280" s="47" t="e">
        <v>#N/A</v>
      </c>
      <c r="DA3280">
        <v>0.11332468572476186</v>
      </c>
      <c r="DB3280" t="str">
        <v/>
      </c>
    </row>
    <row r="3281" spans="83:106" x14ac:dyDescent="0.2">
      <c r="CE3281"/>
      <c r="CF3281"/>
      <c r="CG3281"/>
      <c r="CH3281"/>
      <c r="CI3281"/>
      <c r="CU3281" s="21">
        <v>3276</v>
      </c>
      <c r="CV3281" s="41">
        <v>4</v>
      </c>
      <c r="CW3281" s="41">
        <v>0.11332468572476186</v>
      </c>
      <c r="CX3281" s="41" t="e">
        <v>#N/A</v>
      </c>
      <c r="CY3281" s="41" t="e">
        <v>#N/A</v>
      </c>
      <c r="CZ3281" s="47" t="e">
        <v>#N/A</v>
      </c>
      <c r="DA3281">
        <v>0.11332468572476186</v>
      </c>
      <c r="DB3281" t="str">
        <v/>
      </c>
    </row>
    <row r="3282" spans="83:106" x14ac:dyDescent="0.2">
      <c r="CE3282"/>
      <c r="CF3282"/>
      <c r="CG3282"/>
      <c r="CH3282"/>
      <c r="CI3282"/>
      <c r="CU3282" s="21">
        <v>3277</v>
      </c>
      <c r="CV3282" s="41">
        <v>4</v>
      </c>
      <c r="CW3282" s="41">
        <v>0.11332468572476186</v>
      </c>
      <c r="CX3282" s="41" t="e">
        <v>#N/A</v>
      </c>
      <c r="CY3282" s="41" t="e">
        <v>#N/A</v>
      </c>
      <c r="CZ3282" s="47" t="e">
        <v>#N/A</v>
      </c>
      <c r="DA3282">
        <v>0.11332468572476186</v>
      </c>
      <c r="DB3282" t="str">
        <v/>
      </c>
    </row>
    <row r="3283" spans="83:106" x14ac:dyDescent="0.2">
      <c r="CE3283"/>
      <c r="CF3283"/>
      <c r="CG3283"/>
      <c r="CH3283"/>
      <c r="CI3283"/>
      <c r="CU3283" s="21">
        <v>3278</v>
      </c>
      <c r="CV3283" s="41">
        <v>4</v>
      </c>
      <c r="CW3283" s="41">
        <v>0.11332468572476186</v>
      </c>
      <c r="CX3283" s="41" t="e">
        <v>#N/A</v>
      </c>
      <c r="CY3283" s="41" t="e">
        <v>#N/A</v>
      </c>
      <c r="CZ3283" s="47" t="e">
        <v>#N/A</v>
      </c>
      <c r="DA3283">
        <v>0.11332468572476186</v>
      </c>
      <c r="DB3283" t="str">
        <v/>
      </c>
    </row>
    <row r="3284" spans="83:106" x14ac:dyDescent="0.2">
      <c r="CE3284"/>
      <c r="CF3284"/>
      <c r="CG3284"/>
      <c r="CH3284"/>
      <c r="CI3284"/>
      <c r="CU3284" s="21">
        <v>3279</v>
      </c>
      <c r="CV3284" s="41">
        <v>4</v>
      </c>
      <c r="CW3284" s="41">
        <v>0.11332468572476186</v>
      </c>
      <c r="CX3284" s="41" t="e">
        <v>#N/A</v>
      </c>
      <c r="CY3284" s="41" t="e">
        <v>#N/A</v>
      </c>
      <c r="CZ3284" s="47" t="e">
        <v>#N/A</v>
      </c>
      <c r="DA3284">
        <v>0.11332468572476186</v>
      </c>
      <c r="DB3284" t="str">
        <v/>
      </c>
    </row>
    <row r="3285" spans="83:106" x14ac:dyDescent="0.2">
      <c r="CE3285"/>
      <c r="CF3285"/>
      <c r="CG3285"/>
      <c r="CH3285"/>
      <c r="CI3285"/>
      <c r="CU3285" s="21">
        <v>3280</v>
      </c>
      <c r="CV3285" s="41">
        <v>4</v>
      </c>
      <c r="CW3285" s="41">
        <v>0.11332468572476186</v>
      </c>
      <c r="CX3285" s="41" t="e">
        <v>#N/A</v>
      </c>
      <c r="CY3285" s="41" t="e">
        <v>#N/A</v>
      </c>
      <c r="CZ3285" s="47" t="e">
        <v>#N/A</v>
      </c>
      <c r="DA3285">
        <v>0.11332468572476186</v>
      </c>
      <c r="DB3285" t="str">
        <v/>
      </c>
    </row>
    <row r="3286" spans="83:106" x14ac:dyDescent="0.2">
      <c r="CE3286"/>
      <c r="CF3286"/>
      <c r="CG3286"/>
      <c r="CH3286"/>
      <c r="CI3286"/>
      <c r="CU3286" s="21">
        <v>3281</v>
      </c>
      <c r="CV3286" s="41">
        <v>4</v>
      </c>
      <c r="CW3286" s="41">
        <v>0.11332468572476186</v>
      </c>
      <c r="CX3286" s="41" t="e">
        <v>#N/A</v>
      </c>
      <c r="CY3286" s="41" t="e">
        <v>#N/A</v>
      </c>
      <c r="CZ3286" s="47" t="e">
        <v>#N/A</v>
      </c>
      <c r="DA3286">
        <v>0.11332468572476186</v>
      </c>
      <c r="DB3286" t="str">
        <v/>
      </c>
    </row>
    <row r="3287" spans="83:106" x14ac:dyDescent="0.2">
      <c r="CE3287"/>
      <c r="CF3287"/>
      <c r="CG3287"/>
      <c r="CH3287"/>
      <c r="CI3287"/>
      <c r="CU3287" s="21">
        <v>3282</v>
      </c>
      <c r="CV3287" s="41">
        <v>4</v>
      </c>
      <c r="CW3287" s="41">
        <v>0.11332468572476186</v>
      </c>
      <c r="CX3287" s="41" t="e">
        <v>#N/A</v>
      </c>
      <c r="CY3287" s="41" t="e">
        <v>#N/A</v>
      </c>
      <c r="CZ3287" s="47" t="e">
        <v>#N/A</v>
      </c>
      <c r="DA3287">
        <v>0.11332468572476186</v>
      </c>
      <c r="DB3287" t="str">
        <v/>
      </c>
    </row>
    <row r="3288" spans="83:106" x14ac:dyDescent="0.2">
      <c r="CE3288"/>
      <c r="CF3288"/>
      <c r="CG3288"/>
      <c r="CH3288"/>
      <c r="CI3288"/>
      <c r="CU3288" s="21">
        <v>3283</v>
      </c>
      <c r="CV3288" s="41">
        <v>4</v>
      </c>
      <c r="CW3288" s="41">
        <v>0.11332468572476186</v>
      </c>
      <c r="CX3288" s="41" t="e">
        <v>#N/A</v>
      </c>
      <c r="CY3288" s="41" t="e">
        <v>#N/A</v>
      </c>
      <c r="CZ3288" s="47" t="e">
        <v>#N/A</v>
      </c>
      <c r="DA3288">
        <v>0.11332468572476186</v>
      </c>
      <c r="DB3288" t="str">
        <v/>
      </c>
    </row>
    <row r="3289" spans="83:106" x14ac:dyDescent="0.2">
      <c r="CE3289"/>
      <c r="CF3289"/>
      <c r="CG3289"/>
      <c r="CH3289"/>
      <c r="CI3289"/>
      <c r="CU3289" s="21">
        <v>3284</v>
      </c>
      <c r="CV3289" s="41">
        <v>4</v>
      </c>
      <c r="CW3289" s="41">
        <v>0.11332468572476186</v>
      </c>
      <c r="CX3289" s="41" t="e">
        <v>#N/A</v>
      </c>
      <c r="CY3289" s="41" t="e">
        <v>#N/A</v>
      </c>
      <c r="CZ3289" s="47" t="e">
        <v>#N/A</v>
      </c>
      <c r="DA3289">
        <v>0.11332468572476186</v>
      </c>
      <c r="DB3289" t="str">
        <v/>
      </c>
    </row>
    <row r="3290" spans="83:106" x14ac:dyDescent="0.2">
      <c r="CE3290"/>
      <c r="CF3290"/>
      <c r="CG3290"/>
      <c r="CH3290"/>
      <c r="CI3290"/>
      <c r="CU3290" s="21">
        <v>3285</v>
      </c>
      <c r="CV3290" s="41">
        <v>4</v>
      </c>
      <c r="CW3290" s="41">
        <v>0.11332468572476186</v>
      </c>
      <c r="CX3290" s="41" t="e">
        <v>#N/A</v>
      </c>
      <c r="CY3290" s="41" t="e">
        <v>#N/A</v>
      </c>
      <c r="CZ3290" s="47" t="e">
        <v>#N/A</v>
      </c>
      <c r="DA3290">
        <v>0.11332468572476186</v>
      </c>
      <c r="DB3290" t="str">
        <v/>
      </c>
    </row>
    <row r="3291" spans="83:106" x14ac:dyDescent="0.2">
      <c r="CE3291"/>
      <c r="CF3291"/>
      <c r="CG3291"/>
      <c r="CH3291"/>
      <c r="CI3291"/>
      <c r="CU3291" s="21">
        <v>3286</v>
      </c>
      <c r="CV3291" s="41">
        <v>4</v>
      </c>
      <c r="CW3291" s="41">
        <v>0.11332468572476186</v>
      </c>
      <c r="CX3291" s="41" t="e">
        <v>#N/A</v>
      </c>
      <c r="CY3291" s="41" t="e">
        <v>#N/A</v>
      </c>
      <c r="CZ3291" s="47" t="e">
        <v>#N/A</v>
      </c>
      <c r="DA3291">
        <v>0.11332468572476186</v>
      </c>
      <c r="DB3291" t="str">
        <v/>
      </c>
    </row>
    <row r="3292" spans="83:106" x14ac:dyDescent="0.2">
      <c r="CE3292"/>
      <c r="CF3292"/>
      <c r="CG3292"/>
      <c r="CH3292"/>
      <c r="CI3292"/>
      <c r="CU3292" s="21">
        <v>3287</v>
      </c>
      <c r="CV3292" s="41">
        <v>4</v>
      </c>
      <c r="CW3292" s="41">
        <v>0.11332468572476186</v>
      </c>
      <c r="CX3292" s="41" t="e">
        <v>#N/A</v>
      </c>
      <c r="CY3292" s="41" t="e">
        <v>#N/A</v>
      </c>
      <c r="CZ3292" s="47" t="e">
        <v>#N/A</v>
      </c>
      <c r="DA3292">
        <v>0.11332468572476186</v>
      </c>
      <c r="DB3292" t="str">
        <v/>
      </c>
    </row>
    <row r="3293" spans="83:106" x14ac:dyDescent="0.2">
      <c r="CE3293"/>
      <c r="CF3293"/>
      <c r="CG3293"/>
      <c r="CH3293"/>
      <c r="CI3293"/>
      <c r="CU3293" s="21">
        <v>3288</v>
      </c>
      <c r="CV3293" s="41">
        <v>4</v>
      </c>
      <c r="CW3293" s="41">
        <v>0.11332468572476186</v>
      </c>
      <c r="CX3293" s="41" t="e">
        <v>#N/A</v>
      </c>
      <c r="CY3293" s="41" t="e">
        <v>#N/A</v>
      </c>
      <c r="CZ3293" s="47" t="e">
        <v>#N/A</v>
      </c>
      <c r="DA3293">
        <v>0.11332468572476186</v>
      </c>
      <c r="DB3293" t="str">
        <v/>
      </c>
    </row>
    <row r="3294" spans="83:106" x14ac:dyDescent="0.2">
      <c r="CE3294"/>
      <c r="CF3294"/>
      <c r="CG3294"/>
      <c r="CH3294"/>
      <c r="CI3294"/>
      <c r="CU3294" s="21">
        <v>3289</v>
      </c>
      <c r="CV3294" s="41">
        <v>4</v>
      </c>
      <c r="CW3294" s="41">
        <v>0.11332468572476186</v>
      </c>
      <c r="CX3294" s="41" t="e">
        <v>#N/A</v>
      </c>
      <c r="CY3294" s="41" t="e">
        <v>#N/A</v>
      </c>
      <c r="CZ3294" s="47" t="e">
        <v>#N/A</v>
      </c>
      <c r="DA3294">
        <v>0.11332468572476186</v>
      </c>
      <c r="DB3294" t="str">
        <v/>
      </c>
    </row>
    <row r="3295" spans="83:106" x14ac:dyDescent="0.2">
      <c r="CE3295"/>
      <c r="CF3295"/>
      <c r="CG3295"/>
      <c r="CH3295"/>
      <c r="CI3295"/>
      <c r="CU3295" s="21">
        <v>3290</v>
      </c>
      <c r="CV3295" s="41">
        <v>4</v>
      </c>
      <c r="CW3295" s="41">
        <v>0.11332468572476186</v>
      </c>
      <c r="CX3295" s="41" t="e">
        <v>#N/A</v>
      </c>
      <c r="CY3295" s="41" t="e">
        <v>#N/A</v>
      </c>
      <c r="CZ3295" s="47" t="e">
        <v>#N/A</v>
      </c>
      <c r="DA3295">
        <v>0.11332468572476186</v>
      </c>
      <c r="DB3295" t="str">
        <v/>
      </c>
    </row>
    <row r="3296" spans="83:106" x14ac:dyDescent="0.2">
      <c r="CE3296"/>
      <c r="CF3296"/>
      <c r="CG3296"/>
      <c r="CH3296"/>
      <c r="CI3296"/>
      <c r="CU3296" s="21">
        <v>3291</v>
      </c>
      <c r="CV3296" s="41">
        <v>4</v>
      </c>
      <c r="CW3296" s="41">
        <v>0.11332468572476186</v>
      </c>
      <c r="CX3296" s="41" t="e">
        <v>#N/A</v>
      </c>
      <c r="CY3296" s="41" t="e">
        <v>#N/A</v>
      </c>
      <c r="CZ3296" s="47" t="e">
        <v>#N/A</v>
      </c>
      <c r="DA3296">
        <v>0.11332468572476186</v>
      </c>
      <c r="DB3296" t="str">
        <v/>
      </c>
    </row>
    <row r="3297" spans="83:106" x14ac:dyDescent="0.2">
      <c r="CE3297"/>
      <c r="CF3297"/>
      <c r="CG3297"/>
      <c r="CH3297"/>
      <c r="CI3297"/>
      <c r="CU3297" s="21">
        <v>3292</v>
      </c>
      <c r="CV3297" s="41">
        <v>4</v>
      </c>
      <c r="CW3297" s="41">
        <v>0.11332468572476186</v>
      </c>
      <c r="CX3297" s="41" t="e">
        <v>#N/A</v>
      </c>
      <c r="CY3297" s="41" t="e">
        <v>#N/A</v>
      </c>
      <c r="CZ3297" s="47" t="e">
        <v>#N/A</v>
      </c>
      <c r="DA3297">
        <v>0.11332468572476186</v>
      </c>
      <c r="DB3297" t="str">
        <v/>
      </c>
    </row>
    <row r="3298" spans="83:106" x14ac:dyDescent="0.2">
      <c r="CE3298"/>
      <c r="CF3298"/>
      <c r="CG3298"/>
      <c r="CH3298"/>
      <c r="CI3298"/>
      <c r="CU3298" s="21">
        <v>3293</v>
      </c>
      <c r="CV3298" s="41">
        <v>4</v>
      </c>
      <c r="CW3298" s="41">
        <v>0.11332468572476186</v>
      </c>
      <c r="CX3298" s="41" t="e">
        <v>#N/A</v>
      </c>
      <c r="CY3298" s="41" t="e">
        <v>#N/A</v>
      </c>
      <c r="CZ3298" s="47" t="e">
        <v>#N/A</v>
      </c>
      <c r="DA3298">
        <v>0.11332468572476186</v>
      </c>
      <c r="DB3298" t="str">
        <v/>
      </c>
    </row>
    <row r="3299" spans="83:106" x14ac:dyDescent="0.2">
      <c r="CE3299"/>
      <c r="CF3299"/>
      <c r="CG3299"/>
      <c r="CH3299"/>
      <c r="CI3299"/>
      <c r="CU3299" s="21">
        <v>3294</v>
      </c>
      <c r="CV3299" s="41">
        <v>4</v>
      </c>
      <c r="CW3299" s="41">
        <v>0.11332468572476186</v>
      </c>
      <c r="CX3299" s="41" t="e">
        <v>#N/A</v>
      </c>
      <c r="CY3299" s="41" t="e">
        <v>#N/A</v>
      </c>
      <c r="CZ3299" s="47" t="e">
        <v>#N/A</v>
      </c>
      <c r="DA3299">
        <v>0.11332468572476186</v>
      </c>
      <c r="DB3299" t="str">
        <v/>
      </c>
    </row>
    <row r="3300" spans="83:106" x14ac:dyDescent="0.2">
      <c r="CE3300"/>
      <c r="CF3300"/>
      <c r="CG3300"/>
      <c r="CH3300"/>
      <c r="CI3300"/>
      <c r="CU3300" s="21">
        <v>3295</v>
      </c>
      <c r="CV3300" s="41">
        <v>4</v>
      </c>
      <c r="CW3300" s="41">
        <v>0.11332468572476186</v>
      </c>
      <c r="CX3300" s="41" t="e">
        <v>#N/A</v>
      </c>
      <c r="CY3300" s="41" t="e">
        <v>#N/A</v>
      </c>
      <c r="CZ3300" s="47" t="e">
        <v>#N/A</v>
      </c>
      <c r="DA3300">
        <v>0.11332468572476186</v>
      </c>
      <c r="DB3300" t="str">
        <v/>
      </c>
    </row>
    <row r="3301" spans="83:106" x14ac:dyDescent="0.2">
      <c r="CE3301"/>
      <c r="CF3301"/>
      <c r="CG3301"/>
      <c r="CH3301"/>
      <c r="CI3301"/>
      <c r="CU3301" s="21">
        <v>3296</v>
      </c>
      <c r="CV3301" s="41">
        <v>4</v>
      </c>
      <c r="CW3301" s="41">
        <v>0.11332468572476186</v>
      </c>
      <c r="CX3301" s="41" t="e">
        <v>#N/A</v>
      </c>
      <c r="CY3301" s="41" t="e">
        <v>#N/A</v>
      </c>
      <c r="CZ3301" s="47" t="e">
        <v>#N/A</v>
      </c>
      <c r="DA3301">
        <v>0.11332468572476186</v>
      </c>
      <c r="DB3301" t="str">
        <v/>
      </c>
    </row>
    <row r="3302" spans="83:106" x14ac:dyDescent="0.2">
      <c r="CE3302"/>
      <c r="CF3302"/>
      <c r="CG3302"/>
      <c r="CH3302"/>
      <c r="CI3302"/>
      <c r="CU3302" s="21">
        <v>3297</v>
      </c>
      <c r="CV3302" s="41">
        <v>4</v>
      </c>
      <c r="CW3302" s="41">
        <v>0.11332468572476186</v>
      </c>
      <c r="CX3302" s="41" t="e">
        <v>#N/A</v>
      </c>
      <c r="CY3302" s="41" t="e">
        <v>#N/A</v>
      </c>
      <c r="CZ3302" s="47" t="e">
        <v>#N/A</v>
      </c>
      <c r="DA3302">
        <v>0.11332468572476186</v>
      </c>
      <c r="DB3302" t="str">
        <v/>
      </c>
    </row>
    <row r="3303" spans="83:106" x14ac:dyDescent="0.2">
      <c r="CE3303"/>
      <c r="CF3303"/>
      <c r="CG3303"/>
      <c r="CH3303"/>
      <c r="CI3303"/>
      <c r="CU3303" s="21">
        <v>3298</v>
      </c>
      <c r="CV3303" s="41">
        <v>4</v>
      </c>
      <c r="CW3303" s="41">
        <v>0.11332468572476186</v>
      </c>
      <c r="CX3303" s="41" t="e">
        <v>#N/A</v>
      </c>
      <c r="CY3303" s="41" t="e">
        <v>#N/A</v>
      </c>
      <c r="CZ3303" s="47" t="e">
        <v>#N/A</v>
      </c>
      <c r="DA3303">
        <v>0.11332468572476186</v>
      </c>
      <c r="DB3303" t="str">
        <v/>
      </c>
    </row>
    <row r="3304" spans="83:106" x14ac:dyDescent="0.2">
      <c r="CE3304"/>
      <c r="CF3304"/>
      <c r="CG3304"/>
      <c r="CH3304"/>
      <c r="CI3304"/>
      <c r="CU3304" s="21">
        <v>3299</v>
      </c>
      <c r="CV3304" s="41">
        <v>4</v>
      </c>
      <c r="CW3304" s="41">
        <v>0.11332468572476186</v>
      </c>
      <c r="CX3304" s="41" t="e">
        <v>#N/A</v>
      </c>
      <c r="CY3304" s="41" t="e">
        <v>#N/A</v>
      </c>
      <c r="CZ3304" s="47" t="e">
        <v>#N/A</v>
      </c>
      <c r="DA3304">
        <v>0.11332468572476186</v>
      </c>
      <c r="DB3304" t="str">
        <v/>
      </c>
    </row>
    <row r="3305" spans="83:106" x14ac:dyDescent="0.2">
      <c r="CE3305"/>
      <c r="CF3305"/>
      <c r="CG3305"/>
      <c r="CH3305"/>
      <c r="CI3305"/>
      <c r="CU3305" s="21">
        <v>3300</v>
      </c>
      <c r="CV3305" s="41">
        <v>4</v>
      </c>
      <c r="CW3305" s="41">
        <v>0.11332468572476186</v>
      </c>
      <c r="CX3305" s="41" t="e">
        <v>#N/A</v>
      </c>
      <c r="CY3305" s="41" t="e">
        <v>#N/A</v>
      </c>
      <c r="CZ3305" s="47" t="e">
        <v>#N/A</v>
      </c>
      <c r="DA3305">
        <v>0.11332468572476186</v>
      </c>
      <c r="DB3305" t="str">
        <v/>
      </c>
    </row>
    <row r="3306" spans="83:106" x14ac:dyDescent="0.2">
      <c r="CE3306"/>
      <c r="CF3306"/>
      <c r="CG3306"/>
      <c r="CH3306"/>
      <c r="CI3306"/>
      <c r="CU3306" s="21">
        <v>3301</v>
      </c>
      <c r="CV3306" s="41">
        <v>4</v>
      </c>
      <c r="CW3306" s="41">
        <v>0.11332468572476186</v>
      </c>
      <c r="CX3306" s="41" t="e">
        <v>#N/A</v>
      </c>
      <c r="CY3306" s="41" t="e">
        <v>#N/A</v>
      </c>
      <c r="CZ3306" s="47" t="e">
        <v>#N/A</v>
      </c>
      <c r="DA3306">
        <v>0.11332468572476186</v>
      </c>
      <c r="DB3306" t="str">
        <v/>
      </c>
    </row>
    <row r="3307" spans="83:106" x14ac:dyDescent="0.2">
      <c r="CE3307"/>
      <c r="CF3307"/>
      <c r="CG3307"/>
      <c r="CH3307"/>
      <c r="CI3307"/>
      <c r="CU3307" s="21">
        <v>3302</v>
      </c>
      <c r="CV3307" s="41">
        <v>4</v>
      </c>
      <c r="CW3307" s="41">
        <v>0.11332468572476186</v>
      </c>
      <c r="CX3307" s="41" t="e">
        <v>#N/A</v>
      </c>
      <c r="CY3307" s="41" t="e">
        <v>#N/A</v>
      </c>
      <c r="CZ3307" s="47" t="e">
        <v>#N/A</v>
      </c>
      <c r="DA3307">
        <v>0.11332468572476186</v>
      </c>
      <c r="DB3307" t="str">
        <v/>
      </c>
    </row>
    <row r="3308" spans="83:106" x14ac:dyDescent="0.2">
      <c r="CE3308"/>
      <c r="CF3308"/>
      <c r="CG3308"/>
      <c r="CH3308"/>
      <c r="CI3308"/>
      <c r="CU3308" s="21">
        <v>3303</v>
      </c>
      <c r="CV3308" s="41">
        <v>4</v>
      </c>
      <c r="CW3308" s="41">
        <v>0.11332468572476186</v>
      </c>
      <c r="CX3308" s="41" t="e">
        <v>#N/A</v>
      </c>
      <c r="CY3308" s="41" t="e">
        <v>#N/A</v>
      </c>
      <c r="CZ3308" s="47" t="e">
        <v>#N/A</v>
      </c>
      <c r="DA3308">
        <v>0.11332468572476186</v>
      </c>
      <c r="DB3308" t="str">
        <v/>
      </c>
    </row>
    <row r="3309" spans="83:106" x14ac:dyDescent="0.2">
      <c r="CE3309"/>
      <c r="CF3309"/>
      <c r="CG3309"/>
      <c r="CH3309"/>
      <c r="CI3309"/>
      <c r="CU3309" s="21">
        <v>3304</v>
      </c>
      <c r="CV3309" s="41">
        <v>4</v>
      </c>
      <c r="CW3309" s="41">
        <v>0.11332468572476186</v>
      </c>
      <c r="CX3309" s="41" t="e">
        <v>#N/A</v>
      </c>
      <c r="CY3309" s="41" t="e">
        <v>#N/A</v>
      </c>
      <c r="CZ3309" s="47" t="e">
        <v>#N/A</v>
      </c>
      <c r="DA3309">
        <v>0.11332468572476186</v>
      </c>
      <c r="DB3309" t="str">
        <v/>
      </c>
    </row>
    <row r="3310" spans="83:106" x14ac:dyDescent="0.2">
      <c r="CE3310"/>
      <c r="CF3310"/>
      <c r="CG3310"/>
      <c r="CH3310"/>
      <c r="CI3310"/>
      <c r="CU3310" s="21">
        <v>3305</v>
      </c>
      <c r="CV3310" s="41">
        <v>4</v>
      </c>
      <c r="CW3310" s="41">
        <v>0.11332468572476186</v>
      </c>
      <c r="CX3310" s="41" t="e">
        <v>#N/A</v>
      </c>
      <c r="CY3310" s="41" t="e">
        <v>#N/A</v>
      </c>
      <c r="CZ3310" s="47" t="e">
        <v>#N/A</v>
      </c>
      <c r="DA3310">
        <v>0.11332468572476186</v>
      </c>
      <c r="DB3310" t="str">
        <v/>
      </c>
    </row>
    <row r="3311" spans="83:106" x14ac:dyDescent="0.2">
      <c r="CE3311"/>
      <c r="CF3311"/>
      <c r="CG3311"/>
      <c r="CH3311"/>
      <c r="CI3311"/>
      <c r="CU3311" s="21">
        <v>3306</v>
      </c>
      <c r="CV3311" s="41">
        <v>4</v>
      </c>
      <c r="CW3311" s="41">
        <v>0.11332468572476186</v>
      </c>
      <c r="CX3311" s="41" t="e">
        <v>#N/A</v>
      </c>
      <c r="CY3311" s="41" t="e">
        <v>#N/A</v>
      </c>
      <c r="CZ3311" s="47" t="e">
        <v>#N/A</v>
      </c>
      <c r="DA3311">
        <v>0.11332468572476186</v>
      </c>
      <c r="DB3311" t="str">
        <v/>
      </c>
    </row>
    <row r="3312" spans="83:106" x14ac:dyDescent="0.2">
      <c r="CE3312"/>
      <c r="CF3312"/>
      <c r="CG3312"/>
      <c r="CH3312"/>
      <c r="CI3312"/>
      <c r="CU3312" s="21">
        <v>3307</v>
      </c>
      <c r="CV3312" s="41">
        <v>4</v>
      </c>
      <c r="CW3312" s="41">
        <v>0.11332468572476186</v>
      </c>
      <c r="CX3312" s="41" t="e">
        <v>#N/A</v>
      </c>
      <c r="CY3312" s="41" t="e">
        <v>#N/A</v>
      </c>
      <c r="CZ3312" s="47" t="e">
        <v>#N/A</v>
      </c>
      <c r="DA3312">
        <v>0.11332468572476186</v>
      </c>
      <c r="DB3312" t="str">
        <v/>
      </c>
    </row>
    <row r="3313" spans="83:106" x14ac:dyDescent="0.2">
      <c r="CE3313"/>
      <c r="CF3313"/>
      <c r="CG3313"/>
      <c r="CH3313"/>
      <c r="CI3313"/>
      <c r="CU3313" s="21">
        <v>3308</v>
      </c>
      <c r="CV3313" s="41">
        <v>4</v>
      </c>
      <c r="CW3313" s="41">
        <v>0.11332468572476186</v>
      </c>
      <c r="CX3313" s="41" t="e">
        <v>#N/A</v>
      </c>
      <c r="CY3313" s="41" t="e">
        <v>#N/A</v>
      </c>
      <c r="CZ3313" s="47" t="e">
        <v>#N/A</v>
      </c>
      <c r="DA3313">
        <v>0.11332468572476186</v>
      </c>
      <c r="DB3313" t="str">
        <v/>
      </c>
    </row>
    <row r="3314" spans="83:106" x14ac:dyDescent="0.2">
      <c r="CE3314"/>
      <c r="CF3314"/>
      <c r="CG3314"/>
      <c r="CH3314"/>
      <c r="CI3314"/>
      <c r="CU3314" s="21">
        <v>3309</v>
      </c>
      <c r="CV3314" s="41">
        <v>4</v>
      </c>
      <c r="CW3314" s="41">
        <v>0.11332468572476186</v>
      </c>
      <c r="CX3314" s="41" t="e">
        <v>#N/A</v>
      </c>
      <c r="CY3314" s="41" t="e">
        <v>#N/A</v>
      </c>
      <c r="CZ3314" s="47" t="e">
        <v>#N/A</v>
      </c>
      <c r="DA3314">
        <v>0.11332468572476186</v>
      </c>
      <c r="DB3314" t="str">
        <v/>
      </c>
    </row>
    <row r="3315" spans="83:106" x14ac:dyDescent="0.2">
      <c r="CE3315"/>
      <c r="CF3315"/>
      <c r="CG3315"/>
      <c r="CH3315"/>
      <c r="CI3315"/>
      <c r="CU3315" s="21">
        <v>3310</v>
      </c>
      <c r="CV3315" s="41">
        <v>4</v>
      </c>
      <c r="CW3315" s="41">
        <v>0.11332468572476186</v>
      </c>
      <c r="CX3315" s="41" t="e">
        <v>#N/A</v>
      </c>
      <c r="CY3315" s="41" t="e">
        <v>#N/A</v>
      </c>
      <c r="CZ3315" s="47" t="e">
        <v>#N/A</v>
      </c>
      <c r="DA3315">
        <v>0.11332468572476186</v>
      </c>
      <c r="DB3315" t="str">
        <v/>
      </c>
    </row>
    <row r="3316" spans="83:106" x14ac:dyDescent="0.2">
      <c r="CE3316"/>
      <c r="CF3316"/>
      <c r="CG3316"/>
      <c r="CH3316"/>
      <c r="CI3316"/>
      <c r="CU3316" s="21">
        <v>3311</v>
      </c>
      <c r="CV3316" s="41">
        <v>4</v>
      </c>
      <c r="CW3316" s="41">
        <v>0.11332468572476186</v>
      </c>
      <c r="CX3316" s="41" t="e">
        <v>#N/A</v>
      </c>
      <c r="CY3316" s="41" t="e">
        <v>#N/A</v>
      </c>
      <c r="CZ3316" s="47" t="e">
        <v>#N/A</v>
      </c>
      <c r="DA3316">
        <v>0.11332468572476186</v>
      </c>
      <c r="DB3316" t="str">
        <v/>
      </c>
    </row>
    <row r="3317" spans="83:106" x14ac:dyDescent="0.2">
      <c r="CE3317"/>
      <c r="CF3317"/>
      <c r="CG3317"/>
      <c r="CH3317"/>
      <c r="CI3317"/>
      <c r="CU3317" s="21">
        <v>3312</v>
      </c>
      <c r="CV3317" s="41">
        <v>4</v>
      </c>
      <c r="CW3317" s="41">
        <v>0.11332468572476186</v>
      </c>
      <c r="CX3317" s="41" t="e">
        <v>#N/A</v>
      </c>
      <c r="CY3317" s="41" t="e">
        <v>#N/A</v>
      </c>
      <c r="CZ3317" s="47" t="e">
        <v>#N/A</v>
      </c>
      <c r="DA3317">
        <v>0.11332468572476186</v>
      </c>
      <c r="DB3317" t="str">
        <v/>
      </c>
    </row>
    <row r="3318" spans="83:106" x14ac:dyDescent="0.2">
      <c r="CE3318"/>
      <c r="CF3318"/>
      <c r="CG3318"/>
      <c r="CH3318"/>
      <c r="CI3318"/>
      <c r="CU3318" s="21">
        <v>3313</v>
      </c>
      <c r="CV3318" s="41">
        <v>4</v>
      </c>
      <c r="CW3318" s="41">
        <v>0.11332468572476186</v>
      </c>
      <c r="CX3318" s="41" t="e">
        <v>#N/A</v>
      </c>
      <c r="CY3318" s="41" t="e">
        <v>#N/A</v>
      </c>
      <c r="CZ3318" s="47" t="e">
        <v>#N/A</v>
      </c>
      <c r="DA3318">
        <v>0.11332468572476186</v>
      </c>
      <c r="DB3318" t="str">
        <v/>
      </c>
    </row>
    <row r="3319" spans="83:106" x14ac:dyDescent="0.2">
      <c r="CE3319"/>
      <c r="CF3319"/>
      <c r="CG3319"/>
      <c r="CH3319"/>
      <c r="CI3319"/>
      <c r="CU3319" s="21">
        <v>3314</v>
      </c>
      <c r="CV3319" s="41">
        <v>4</v>
      </c>
      <c r="CW3319" s="41">
        <v>0.11332468572476186</v>
      </c>
      <c r="CX3319" s="41" t="e">
        <v>#N/A</v>
      </c>
      <c r="CY3319" s="41" t="e">
        <v>#N/A</v>
      </c>
      <c r="CZ3319" s="47" t="e">
        <v>#N/A</v>
      </c>
      <c r="DA3319">
        <v>0.11332468572476186</v>
      </c>
      <c r="DB3319" t="str">
        <v/>
      </c>
    </row>
    <row r="3320" spans="83:106" x14ac:dyDescent="0.2">
      <c r="CE3320"/>
      <c r="CF3320"/>
      <c r="CG3320"/>
      <c r="CH3320"/>
      <c r="CI3320"/>
      <c r="CU3320" s="21">
        <v>3315</v>
      </c>
      <c r="CV3320" s="41">
        <v>4</v>
      </c>
      <c r="CW3320" s="41">
        <v>0.11332468572476186</v>
      </c>
      <c r="CX3320" s="41" t="e">
        <v>#N/A</v>
      </c>
      <c r="CY3320" s="41" t="e">
        <v>#N/A</v>
      </c>
      <c r="CZ3320" s="47" t="e">
        <v>#N/A</v>
      </c>
      <c r="DA3320">
        <v>0.11332468572476186</v>
      </c>
      <c r="DB3320" t="str">
        <v/>
      </c>
    </row>
    <row r="3321" spans="83:106" x14ac:dyDescent="0.2">
      <c r="CE3321"/>
      <c r="CF3321"/>
      <c r="CG3321"/>
      <c r="CH3321"/>
      <c r="CI3321"/>
      <c r="CU3321" s="21">
        <v>3316</v>
      </c>
      <c r="CV3321" s="41">
        <v>4</v>
      </c>
      <c r="CW3321" s="41">
        <v>0.11332468572476186</v>
      </c>
      <c r="CX3321" s="41" t="e">
        <v>#N/A</v>
      </c>
      <c r="CY3321" s="41" t="e">
        <v>#N/A</v>
      </c>
      <c r="CZ3321" s="47" t="e">
        <v>#N/A</v>
      </c>
      <c r="DA3321">
        <v>0.11332468572476186</v>
      </c>
      <c r="DB3321" t="str">
        <v/>
      </c>
    </row>
    <row r="3322" spans="83:106" x14ac:dyDescent="0.2">
      <c r="CE3322"/>
      <c r="CF3322"/>
      <c r="CG3322"/>
      <c r="CH3322"/>
      <c r="CI3322"/>
      <c r="CU3322" s="21">
        <v>3317</v>
      </c>
      <c r="CV3322" s="41">
        <v>4</v>
      </c>
      <c r="CW3322" s="41">
        <v>0.11332468572476186</v>
      </c>
      <c r="CX3322" s="41" t="e">
        <v>#N/A</v>
      </c>
      <c r="CY3322" s="41" t="e">
        <v>#N/A</v>
      </c>
      <c r="CZ3322" s="47" t="e">
        <v>#N/A</v>
      </c>
      <c r="DA3322">
        <v>0.11332468572476186</v>
      </c>
      <c r="DB3322" t="str">
        <v/>
      </c>
    </row>
    <row r="3323" spans="83:106" x14ac:dyDescent="0.2">
      <c r="CE3323"/>
      <c r="CF3323"/>
      <c r="CG3323"/>
      <c r="CH3323"/>
      <c r="CI3323"/>
      <c r="CU3323" s="21">
        <v>3318</v>
      </c>
      <c r="CV3323" s="41">
        <v>4</v>
      </c>
      <c r="CW3323" s="41">
        <v>0.11332468572476186</v>
      </c>
      <c r="CX3323" s="41" t="e">
        <v>#N/A</v>
      </c>
      <c r="CY3323" s="41" t="e">
        <v>#N/A</v>
      </c>
      <c r="CZ3323" s="47" t="e">
        <v>#N/A</v>
      </c>
      <c r="DA3323">
        <v>0.11332468572476186</v>
      </c>
      <c r="DB3323" t="str">
        <v/>
      </c>
    </row>
    <row r="3324" spans="83:106" x14ac:dyDescent="0.2">
      <c r="CE3324"/>
      <c r="CF3324"/>
      <c r="CG3324"/>
      <c r="CH3324"/>
      <c r="CI3324"/>
      <c r="CU3324" s="21">
        <v>3319</v>
      </c>
      <c r="CV3324" s="41">
        <v>4</v>
      </c>
      <c r="CW3324" s="41">
        <v>0.11332468572476186</v>
      </c>
      <c r="CX3324" s="41" t="e">
        <v>#N/A</v>
      </c>
      <c r="CY3324" s="41" t="e">
        <v>#N/A</v>
      </c>
      <c r="CZ3324" s="47" t="e">
        <v>#N/A</v>
      </c>
      <c r="DA3324">
        <v>0.11332468572476186</v>
      </c>
      <c r="DB3324" t="str">
        <v/>
      </c>
    </row>
    <row r="3325" spans="83:106" x14ac:dyDescent="0.2">
      <c r="CE3325"/>
      <c r="CF3325"/>
      <c r="CG3325"/>
      <c r="CH3325"/>
      <c r="CI3325"/>
      <c r="CU3325" s="21">
        <v>3320</v>
      </c>
      <c r="CV3325" s="41">
        <v>4</v>
      </c>
      <c r="CW3325" s="41">
        <v>0.11332468572476186</v>
      </c>
      <c r="CX3325" s="41" t="e">
        <v>#N/A</v>
      </c>
      <c r="CY3325" s="41" t="e">
        <v>#N/A</v>
      </c>
      <c r="CZ3325" s="47" t="e">
        <v>#N/A</v>
      </c>
      <c r="DA3325">
        <v>0.11332468572476186</v>
      </c>
      <c r="DB3325" t="str">
        <v/>
      </c>
    </row>
    <row r="3326" spans="83:106" x14ac:dyDescent="0.2">
      <c r="CE3326"/>
      <c r="CF3326"/>
      <c r="CG3326"/>
      <c r="CH3326"/>
      <c r="CI3326"/>
      <c r="CU3326" s="21">
        <v>3321</v>
      </c>
      <c r="CV3326" s="41">
        <v>4</v>
      </c>
      <c r="CW3326" s="41">
        <v>0.11332468572476186</v>
      </c>
      <c r="CX3326" s="41" t="e">
        <v>#N/A</v>
      </c>
      <c r="CY3326" s="41" t="e">
        <v>#N/A</v>
      </c>
      <c r="CZ3326" s="47" t="e">
        <v>#N/A</v>
      </c>
      <c r="DA3326">
        <v>0.11332468572476186</v>
      </c>
      <c r="DB3326" t="str">
        <v/>
      </c>
    </row>
    <row r="3327" spans="83:106" x14ac:dyDescent="0.2">
      <c r="CE3327"/>
      <c r="CF3327"/>
      <c r="CG3327"/>
      <c r="CH3327"/>
      <c r="CI3327"/>
      <c r="CU3327" s="21">
        <v>3322</v>
      </c>
      <c r="CV3327" s="41">
        <v>4</v>
      </c>
      <c r="CW3327" s="41">
        <v>0.11332468572476186</v>
      </c>
      <c r="CX3327" s="41" t="e">
        <v>#N/A</v>
      </c>
      <c r="CY3327" s="41" t="e">
        <v>#N/A</v>
      </c>
      <c r="CZ3327" s="47" t="e">
        <v>#N/A</v>
      </c>
      <c r="DA3327">
        <v>0.11332468572476186</v>
      </c>
      <c r="DB3327" t="str">
        <v/>
      </c>
    </row>
    <row r="3328" spans="83:106" x14ac:dyDescent="0.2">
      <c r="CE3328"/>
      <c r="CF3328"/>
      <c r="CG3328"/>
      <c r="CH3328"/>
      <c r="CI3328"/>
      <c r="CU3328" s="21">
        <v>3323</v>
      </c>
      <c r="CV3328" s="41">
        <v>4</v>
      </c>
      <c r="CW3328" s="41">
        <v>0.11332468572476186</v>
      </c>
      <c r="CX3328" s="41" t="e">
        <v>#N/A</v>
      </c>
      <c r="CY3328" s="41" t="e">
        <v>#N/A</v>
      </c>
      <c r="CZ3328" s="47" t="e">
        <v>#N/A</v>
      </c>
      <c r="DA3328">
        <v>0.11332468572476186</v>
      </c>
      <c r="DB3328" t="str">
        <v/>
      </c>
    </row>
    <row r="3329" spans="83:106" x14ac:dyDescent="0.2">
      <c r="CE3329"/>
      <c r="CF3329"/>
      <c r="CG3329"/>
      <c r="CH3329"/>
      <c r="CI3329"/>
      <c r="CU3329" s="21">
        <v>3324</v>
      </c>
      <c r="CV3329" s="41">
        <v>4</v>
      </c>
      <c r="CW3329" s="41">
        <v>0.11332468572476186</v>
      </c>
      <c r="CX3329" s="41" t="e">
        <v>#N/A</v>
      </c>
      <c r="CY3329" s="41" t="e">
        <v>#N/A</v>
      </c>
      <c r="CZ3329" s="47" t="e">
        <v>#N/A</v>
      </c>
      <c r="DA3329">
        <v>0.11332468572476186</v>
      </c>
      <c r="DB3329" t="str">
        <v/>
      </c>
    </row>
    <row r="3330" spans="83:106" x14ac:dyDescent="0.2">
      <c r="CE3330"/>
      <c r="CF3330"/>
      <c r="CG3330"/>
      <c r="CH3330"/>
      <c r="CI3330"/>
      <c r="CU3330" s="21">
        <v>3325</v>
      </c>
      <c r="CV3330" s="41">
        <v>4</v>
      </c>
      <c r="CW3330" s="41">
        <v>0.11332468572476186</v>
      </c>
      <c r="CX3330" s="41" t="e">
        <v>#N/A</v>
      </c>
      <c r="CY3330" s="41" t="e">
        <v>#N/A</v>
      </c>
      <c r="CZ3330" s="47" t="e">
        <v>#N/A</v>
      </c>
      <c r="DA3330">
        <v>0.11332468572476186</v>
      </c>
      <c r="DB3330" t="str">
        <v/>
      </c>
    </row>
    <row r="3331" spans="83:106" x14ac:dyDescent="0.2">
      <c r="CE3331"/>
      <c r="CF3331"/>
      <c r="CG3331"/>
      <c r="CH3331"/>
      <c r="CI3331"/>
      <c r="CU3331" s="21">
        <v>3326</v>
      </c>
      <c r="CV3331" s="41">
        <v>4</v>
      </c>
      <c r="CW3331" s="41">
        <v>0.11332468572476186</v>
      </c>
      <c r="CX3331" s="41" t="e">
        <v>#N/A</v>
      </c>
      <c r="CY3331" s="41" t="e">
        <v>#N/A</v>
      </c>
      <c r="CZ3331" s="47" t="e">
        <v>#N/A</v>
      </c>
      <c r="DA3331">
        <v>0.11332468572476186</v>
      </c>
      <c r="DB3331" t="str">
        <v/>
      </c>
    </row>
    <row r="3332" spans="83:106" x14ac:dyDescent="0.2">
      <c r="CE3332"/>
      <c r="CF3332"/>
      <c r="CG3332"/>
      <c r="CH3332"/>
      <c r="CI3332"/>
      <c r="CU3332" s="21">
        <v>3327</v>
      </c>
      <c r="CV3332" s="41">
        <v>4</v>
      </c>
      <c r="CW3332" s="41">
        <v>0.11332468572476186</v>
      </c>
      <c r="CX3332" s="41" t="e">
        <v>#N/A</v>
      </c>
      <c r="CY3332" s="41" t="e">
        <v>#N/A</v>
      </c>
      <c r="CZ3332" s="47" t="e">
        <v>#N/A</v>
      </c>
      <c r="DA3332">
        <v>0.11332468572476186</v>
      </c>
      <c r="DB3332" t="str">
        <v/>
      </c>
    </row>
    <row r="3333" spans="83:106" x14ac:dyDescent="0.2">
      <c r="CE3333"/>
      <c r="CF3333"/>
      <c r="CG3333"/>
      <c r="CH3333"/>
      <c r="CI3333"/>
      <c r="CU3333" s="21">
        <v>3328</v>
      </c>
      <c r="CV3333" s="41">
        <v>4</v>
      </c>
      <c r="CW3333" s="41">
        <v>0.11332468572476186</v>
      </c>
      <c r="CX3333" s="41" t="e">
        <v>#N/A</v>
      </c>
      <c r="CY3333" s="41" t="e">
        <v>#N/A</v>
      </c>
      <c r="CZ3333" s="47" t="e">
        <v>#N/A</v>
      </c>
      <c r="DA3333">
        <v>0.11332468572476186</v>
      </c>
      <c r="DB3333" t="str">
        <v/>
      </c>
    </row>
    <row r="3334" spans="83:106" x14ac:dyDescent="0.2">
      <c r="CE3334"/>
      <c r="CF3334"/>
      <c r="CG3334"/>
      <c r="CH3334"/>
      <c r="CI3334"/>
      <c r="CU3334" s="21">
        <v>3329</v>
      </c>
      <c r="CV3334" s="41">
        <v>4</v>
      </c>
      <c r="CW3334" s="41">
        <v>0.11332468572476186</v>
      </c>
      <c r="CX3334" s="41" t="e">
        <v>#N/A</v>
      </c>
      <c r="CY3334" s="41" t="e">
        <v>#N/A</v>
      </c>
      <c r="CZ3334" s="47" t="e">
        <v>#N/A</v>
      </c>
      <c r="DA3334">
        <v>0.11332468572476186</v>
      </c>
      <c r="DB3334" t="str">
        <v/>
      </c>
    </row>
    <row r="3335" spans="83:106" x14ac:dyDescent="0.2">
      <c r="CE3335"/>
      <c r="CF3335"/>
      <c r="CG3335"/>
      <c r="CH3335"/>
      <c r="CI3335"/>
      <c r="CU3335" s="21">
        <v>3330</v>
      </c>
      <c r="CV3335" s="41">
        <v>4</v>
      </c>
      <c r="CW3335" s="41">
        <v>0.11332468572476186</v>
      </c>
      <c r="CX3335" s="41" t="e">
        <v>#N/A</v>
      </c>
      <c r="CY3335" s="41" t="e">
        <v>#N/A</v>
      </c>
      <c r="CZ3335" s="47" t="e">
        <v>#N/A</v>
      </c>
      <c r="DA3335">
        <v>0.11332468572476186</v>
      </c>
      <c r="DB3335" t="str">
        <v/>
      </c>
    </row>
    <row r="3336" spans="83:106" x14ac:dyDescent="0.2">
      <c r="CE3336"/>
      <c r="CF3336"/>
      <c r="CG3336"/>
      <c r="CH3336"/>
      <c r="CI3336"/>
      <c r="CU3336" s="21">
        <v>3331</v>
      </c>
      <c r="CV3336" s="41">
        <v>4</v>
      </c>
      <c r="CW3336" s="41">
        <v>0.11332468572476186</v>
      </c>
      <c r="CX3336" s="41" t="e">
        <v>#N/A</v>
      </c>
      <c r="CY3336" s="41" t="e">
        <v>#N/A</v>
      </c>
      <c r="CZ3336" s="47" t="e">
        <v>#N/A</v>
      </c>
      <c r="DA3336">
        <v>0.11332468572476186</v>
      </c>
      <c r="DB3336" t="str">
        <v/>
      </c>
    </row>
    <row r="3337" spans="83:106" x14ac:dyDescent="0.2">
      <c r="CE3337"/>
      <c r="CF3337"/>
      <c r="CG3337"/>
      <c r="CH3337"/>
      <c r="CI3337"/>
      <c r="CU3337" s="21">
        <v>3332</v>
      </c>
      <c r="CV3337" s="41">
        <v>4</v>
      </c>
      <c r="CW3337" s="41">
        <v>0.11332468572476186</v>
      </c>
      <c r="CX3337" s="41" t="e">
        <v>#N/A</v>
      </c>
      <c r="CY3337" s="41" t="e">
        <v>#N/A</v>
      </c>
      <c r="CZ3337" s="47" t="e">
        <v>#N/A</v>
      </c>
      <c r="DA3337">
        <v>0.11332468572476186</v>
      </c>
      <c r="DB3337" t="str">
        <v/>
      </c>
    </row>
    <row r="3338" spans="83:106" x14ac:dyDescent="0.2">
      <c r="CE3338"/>
      <c r="CF3338"/>
      <c r="CG3338"/>
      <c r="CH3338"/>
      <c r="CI3338"/>
      <c r="CU3338" s="21">
        <v>3333</v>
      </c>
      <c r="CV3338" s="41">
        <v>4</v>
      </c>
      <c r="CW3338" s="41">
        <v>0.11332468572476186</v>
      </c>
      <c r="CX3338" s="41" t="e">
        <v>#N/A</v>
      </c>
      <c r="CY3338" s="41" t="e">
        <v>#N/A</v>
      </c>
      <c r="CZ3338" s="47" t="e">
        <v>#N/A</v>
      </c>
      <c r="DA3338">
        <v>0.11332468572476186</v>
      </c>
      <c r="DB3338" t="str">
        <v/>
      </c>
    </row>
    <row r="3339" spans="83:106" x14ac:dyDescent="0.2">
      <c r="CE3339"/>
      <c r="CF3339"/>
      <c r="CG3339"/>
      <c r="CH3339"/>
      <c r="CI3339"/>
      <c r="CU3339" s="21">
        <v>3334</v>
      </c>
      <c r="CV3339" s="41">
        <v>4</v>
      </c>
      <c r="CW3339" s="41">
        <v>0.11332468572476186</v>
      </c>
      <c r="CX3339" s="41" t="e">
        <v>#N/A</v>
      </c>
      <c r="CY3339" s="41" t="e">
        <v>#N/A</v>
      </c>
      <c r="CZ3339" s="47" t="e">
        <v>#N/A</v>
      </c>
      <c r="DA3339">
        <v>0.11332468572476186</v>
      </c>
      <c r="DB3339" t="str">
        <v/>
      </c>
    </row>
    <row r="3340" spans="83:106" x14ac:dyDescent="0.2">
      <c r="CE3340"/>
      <c r="CF3340"/>
      <c r="CG3340"/>
      <c r="CH3340"/>
      <c r="CI3340"/>
      <c r="CU3340" s="21">
        <v>3335</v>
      </c>
      <c r="CV3340" s="41">
        <v>4</v>
      </c>
      <c r="CW3340" s="41">
        <v>0.11332468572476186</v>
      </c>
      <c r="CX3340" s="41" t="e">
        <v>#N/A</v>
      </c>
      <c r="CY3340" s="41" t="e">
        <v>#N/A</v>
      </c>
      <c r="CZ3340" s="47" t="e">
        <v>#N/A</v>
      </c>
      <c r="DA3340">
        <v>0.11332468572476186</v>
      </c>
      <c r="DB3340" t="str">
        <v/>
      </c>
    </row>
    <row r="3341" spans="83:106" x14ac:dyDescent="0.2">
      <c r="CE3341"/>
      <c r="CF3341"/>
      <c r="CG3341"/>
      <c r="CH3341"/>
      <c r="CI3341"/>
      <c r="CU3341" s="21">
        <v>3336</v>
      </c>
      <c r="CV3341" s="41">
        <v>4</v>
      </c>
      <c r="CW3341" s="41">
        <v>0.11332468572476186</v>
      </c>
      <c r="CX3341" s="41" t="e">
        <v>#N/A</v>
      </c>
      <c r="CY3341" s="41" t="e">
        <v>#N/A</v>
      </c>
      <c r="CZ3341" s="47" t="e">
        <v>#N/A</v>
      </c>
      <c r="DA3341">
        <v>0.11332468572476186</v>
      </c>
      <c r="DB3341" t="str">
        <v/>
      </c>
    </row>
    <row r="3342" spans="83:106" x14ac:dyDescent="0.2">
      <c r="CE3342"/>
      <c r="CF3342"/>
      <c r="CG3342"/>
      <c r="CH3342"/>
      <c r="CI3342"/>
      <c r="CU3342" s="21">
        <v>3337</v>
      </c>
      <c r="CV3342" s="41">
        <v>4</v>
      </c>
      <c r="CW3342" s="41">
        <v>0.11332468572476186</v>
      </c>
      <c r="CX3342" s="41" t="e">
        <v>#N/A</v>
      </c>
      <c r="CY3342" s="41" t="e">
        <v>#N/A</v>
      </c>
      <c r="CZ3342" s="47" t="e">
        <v>#N/A</v>
      </c>
      <c r="DA3342">
        <v>0.11332468572476186</v>
      </c>
      <c r="DB3342" t="str">
        <v/>
      </c>
    </row>
    <row r="3343" spans="83:106" x14ac:dyDescent="0.2">
      <c r="CE3343"/>
      <c r="CF3343"/>
      <c r="CG3343"/>
      <c r="CH3343"/>
      <c r="CI3343"/>
      <c r="CU3343" s="21">
        <v>3338</v>
      </c>
      <c r="CV3343" s="41">
        <v>4</v>
      </c>
      <c r="CW3343" s="41">
        <v>0.11332468572476186</v>
      </c>
      <c r="CX3343" s="41" t="e">
        <v>#N/A</v>
      </c>
      <c r="CY3343" s="41" t="e">
        <v>#N/A</v>
      </c>
      <c r="CZ3343" s="47" t="e">
        <v>#N/A</v>
      </c>
      <c r="DA3343">
        <v>0.11332468572476186</v>
      </c>
      <c r="DB3343" t="str">
        <v/>
      </c>
    </row>
    <row r="3344" spans="83:106" x14ac:dyDescent="0.2">
      <c r="CE3344"/>
      <c r="CF3344"/>
      <c r="CG3344"/>
      <c r="CH3344"/>
      <c r="CI3344"/>
      <c r="CU3344" s="21">
        <v>3339</v>
      </c>
      <c r="CV3344" s="41">
        <v>4</v>
      </c>
      <c r="CW3344" s="41">
        <v>0.11332468572476186</v>
      </c>
      <c r="CX3344" s="41" t="e">
        <v>#N/A</v>
      </c>
      <c r="CY3344" s="41" t="e">
        <v>#N/A</v>
      </c>
      <c r="CZ3344" s="47" t="e">
        <v>#N/A</v>
      </c>
      <c r="DA3344">
        <v>0.11332468572476186</v>
      </c>
      <c r="DB3344" t="str">
        <v/>
      </c>
    </row>
    <row r="3345" spans="83:106" x14ac:dyDescent="0.2">
      <c r="CE3345"/>
      <c r="CF3345"/>
      <c r="CG3345"/>
      <c r="CH3345"/>
      <c r="CI3345"/>
      <c r="CU3345" s="21">
        <v>3340</v>
      </c>
      <c r="CV3345" s="41">
        <v>4</v>
      </c>
      <c r="CW3345" s="41">
        <v>0.11332468572476186</v>
      </c>
      <c r="CX3345" s="41" t="e">
        <v>#N/A</v>
      </c>
      <c r="CY3345" s="41" t="e">
        <v>#N/A</v>
      </c>
      <c r="CZ3345" s="47" t="e">
        <v>#N/A</v>
      </c>
      <c r="DA3345">
        <v>0.11332468572476186</v>
      </c>
      <c r="DB3345" t="str">
        <v/>
      </c>
    </row>
    <row r="3346" spans="83:106" x14ac:dyDescent="0.2">
      <c r="CE3346"/>
      <c r="CF3346"/>
      <c r="CG3346"/>
      <c r="CH3346"/>
      <c r="CI3346"/>
      <c r="CU3346" s="21">
        <v>3341</v>
      </c>
      <c r="CV3346" s="41">
        <v>4</v>
      </c>
      <c r="CW3346" s="41">
        <v>0.11332468572476186</v>
      </c>
      <c r="CX3346" s="41" t="e">
        <v>#N/A</v>
      </c>
      <c r="CY3346" s="41" t="e">
        <v>#N/A</v>
      </c>
      <c r="CZ3346" s="47" t="e">
        <v>#N/A</v>
      </c>
      <c r="DA3346">
        <v>0.11332468572476186</v>
      </c>
      <c r="DB3346" t="str">
        <v/>
      </c>
    </row>
    <row r="3347" spans="83:106" x14ac:dyDescent="0.2">
      <c r="CE3347"/>
      <c r="CF3347"/>
      <c r="CG3347"/>
      <c r="CH3347"/>
      <c r="CI3347"/>
      <c r="CU3347" s="21">
        <v>3342</v>
      </c>
      <c r="CV3347" s="41">
        <v>4</v>
      </c>
      <c r="CW3347" s="41">
        <v>0.11332468572476186</v>
      </c>
      <c r="CX3347" s="41" t="e">
        <v>#N/A</v>
      </c>
      <c r="CY3347" s="41" t="e">
        <v>#N/A</v>
      </c>
      <c r="CZ3347" s="47" t="e">
        <v>#N/A</v>
      </c>
      <c r="DA3347">
        <v>0.11332468572476186</v>
      </c>
      <c r="DB3347" t="str">
        <v/>
      </c>
    </row>
    <row r="3348" spans="83:106" x14ac:dyDescent="0.2">
      <c r="CE3348"/>
      <c r="CF3348"/>
      <c r="CG3348"/>
      <c r="CH3348"/>
      <c r="CI3348"/>
      <c r="CU3348" s="21">
        <v>3343</v>
      </c>
      <c r="CV3348" s="41">
        <v>4</v>
      </c>
      <c r="CW3348" s="41">
        <v>0.11332468572476186</v>
      </c>
      <c r="CX3348" s="41" t="e">
        <v>#N/A</v>
      </c>
      <c r="CY3348" s="41" t="e">
        <v>#N/A</v>
      </c>
      <c r="CZ3348" s="47" t="e">
        <v>#N/A</v>
      </c>
      <c r="DA3348">
        <v>0.11332468572476186</v>
      </c>
      <c r="DB3348" t="str">
        <v/>
      </c>
    </row>
    <row r="3349" spans="83:106" x14ac:dyDescent="0.2">
      <c r="CE3349"/>
      <c r="CF3349"/>
      <c r="CG3349"/>
      <c r="CH3349"/>
      <c r="CI3349"/>
      <c r="CU3349" s="21">
        <v>3344</v>
      </c>
      <c r="CV3349" s="41">
        <v>4</v>
      </c>
      <c r="CW3349" s="41">
        <v>0.11332468572476186</v>
      </c>
      <c r="CX3349" s="41" t="e">
        <v>#N/A</v>
      </c>
      <c r="CY3349" s="41" t="e">
        <v>#N/A</v>
      </c>
      <c r="CZ3349" s="47" t="e">
        <v>#N/A</v>
      </c>
      <c r="DA3349">
        <v>0.11332468572476186</v>
      </c>
      <c r="DB3349" t="str">
        <v/>
      </c>
    </row>
    <row r="3350" spans="83:106" x14ac:dyDescent="0.2">
      <c r="CE3350"/>
      <c r="CF3350"/>
      <c r="CG3350"/>
      <c r="CH3350"/>
      <c r="CI3350"/>
      <c r="CU3350" s="21">
        <v>3345</v>
      </c>
      <c r="CV3350" s="41">
        <v>4</v>
      </c>
      <c r="CW3350" s="41">
        <v>0.11332468572476186</v>
      </c>
      <c r="CX3350" s="41" t="e">
        <v>#N/A</v>
      </c>
      <c r="CY3350" s="41" t="e">
        <v>#N/A</v>
      </c>
      <c r="CZ3350" s="47" t="e">
        <v>#N/A</v>
      </c>
      <c r="DA3350">
        <v>0.11332468572476186</v>
      </c>
      <c r="DB3350" t="str">
        <v/>
      </c>
    </row>
    <row r="3351" spans="83:106" x14ac:dyDescent="0.2">
      <c r="CE3351"/>
      <c r="CF3351"/>
      <c r="CG3351"/>
      <c r="CH3351"/>
      <c r="CI3351"/>
      <c r="CU3351" s="21">
        <v>3346</v>
      </c>
      <c r="CV3351" s="41">
        <v>4</v>
      </c>
      <c r="CW3351" s="41">
        <v>0.11332468572476186</v>
      </c>
      <c r="CX3351" s="41" t="e">
        <v>#N/A</v>
      </c>
      <c r="CY3351" s="41" t="e">
        <v>#N/A</v>
      </c>
      <c r="CZ3351" s="47" t="e">
        <v>#N/A</v>
      </c>
      <c r="DA3351">
        <v>0.11332468572476186</v>
      </c>
      <c r="DB3351" t="str">
        <v/>
      </c>
    </row>
    <row r="3352" spans="83:106" x14ac:dyDescent="0.2">
      <c r="CE3352"/>
      <c r="CF3352"/>
      <c r="CG3352"/>
      <c r="CH3352"/>
      <c r="CI3352"/>
      <c r="CU3352" s="21">
        <v>3347</v>
      </c>
      <c r="CV3352" s="41">
        <v>4</v>
      </c>
      <c r="CW3352" s="41">
        <v>0.11332468572476186</v>
      </c>
      <c r="CX3352" s="41" t="e">
        <v>#N/A</v>
      </c>
      <c r="CY3352" s="41" t="e">
        <v>#N/A</v>
      </c>
      <c r="CZ3352" s="47" t="e">
        <v>#N/A</v>
      </c>
      <c r="DA3352">
        <v>0.11332468572476186</v>
      </c>
      <c r="DB3352" t="str">
        <v/>
      </c>
    </row>
    <row r="3353" spans="83:106" x14ac:dyDescent="0.2">
      <c r="CE3353"/>
      <c r="CF3353"/>
      <c r="CG3353"/>
      <c r="CH3353"/>
      <c r="CI3353"/>
      <c r="CU3353" s="21">
        <v>3348</v>
      </c>
      <c r="CV3353" s="41">
        <v>4</v>
      </c>
      <c r="CW3353" s="41">
        <v>0.11332468572476186</v>
      </c>
      <c r="CX3353" s="41" t="e">
        <v>#N/A</v>
      </c>
      <c r="CY3353" s="41" t="e">
        <v>#N/A</v>
      </c>
      <c r="CZ3353" s="47" t="e">
        <v>#N/A</v>
      </c>
      <c r="DA3353">
        <v>0.11332468572476186</v>
      </c>
      <c r="DB3353" t="str">
        <v/>
      </c>
    </row>
    <row r="3354" spans="83:106" x14ac:dyDescent="0.2">
      <c r="CE3354"/>
      <c r="CF3354"/>
      <c r="CG3354"/>
      <c r="CH3354"/>
      <c r="CI3354"/>
      <c r="CU3354" s="21">
        <v>3349</v>
      </c>
      <c r="CV3354" s="41">
        <v>4</v>
      </c>
      <c r="CW3354" s="41">
        <v>0.11332468572476186</v>
      </c>
      <c r="CX3354" s="41" t="e">
        <v>#N/A</v>
      </c>
      <c r="CY3354" s="41" t="e">
        <v>#N/A</v>
      </c>
      <c r="CZ3354" s="47" t="e">
        <v>#N/A</v>
      </c>
      <c r="DA3354">
        <v>0.11332468572476186</v>
      </c>
      <c r="DB3354" t="str">
        <v/>
      </c>
    </row>
    <row r="3355" spans="83:106" x14ac:dyDescent="0.2">
      <c r="CE3355"/>
      <c r="CF3355"/>
      <c r="CG3355"/>
      <c r="CH3355"/>
      <c r="CI3355"/>
      <c r="CU3355" s="21">
        <v>3350</v>
      </c>
      <c r="CV3355" s="41">
        <v>4</v>
      </c>
      <c r="CW3355" s="41">
        <v>0.11332468572476186</v>
      </c>
      <c r="CX3355" s="41" t="e">
        <v>#N/A</v>
      </c>
      <c r="CY3355" s="41" t="e">
        <v>#N/A</v>
      </c>
      <c r="CZ3355" s="47" t="e">
        <v>#N/A</v>
      </c>
      <c r="DA3355">
        <v>0.11332468572476186</v>
      </c>
      <c r="DB3355" t="str">
        <v/>
      </c>
    </row>
    <row r="3356" spans="83:106" x14ac:dyDescent="0.2">
      <c r="CE3356"/>
      <c r="CF3356"/>
      <c r="CG3356"/>
      <c r="CH3356"/>
      <c r="CI3356"/>
      <c r="CU3356" s="21">
        <v>3351</v>
      </c>
      <c r="CV3356" s="41">
        <v>4</v>
      </c>
      <c r="CW3356" s="41">
        <v>0.11332468572476186</v>
      </c>
      <c r="CX3356" s="41" t="e">
        <v>#N/A</v>
      </c>
      <c r="CY3356" s="41" t="e">
        <v>#N/A</v>
      </c>
      <c r="CZ3356" s="47" t="e">
        <v>#N/A</v>
      </c>
      <c r="DA3356">
        <v>0.11332468572476186</v>
      </c>
      <c r="DB3356" t="str">
        <v/>
      </c>
    </row>
    <row r="3357" spans="83:106" x14ac:dyDescent="0.2">
      <c r="CE3357"/>
      <c r="CF3357"/>
      <c r="CG3357"/>
      <c r="CH3357"/>
      <c r="CI3357"/>
      <c r="CU3357" s="21">
        <v>3352</v>
      </c>
      <c r="CV3357" s="41">
        <v>4</v>
      </c>
      <c r="CW3357" s="41">
        <v>0.11332468572476186</v>
      </c>
      <c r="CX3357" s="41" t="e">
        <v>#N/A</v>
      </c>
      <c r="CY3357" s="41" t="e">
        <v>#N/A</v>
      </c>
      <c r="CZ3357" s="47" t="e">
        <v>#N/A</v>
      </c>
      <c r="DA3357">
        <v>0.11332468572476186</v>
      </c>
      <c r="DB3357" t="str">
        <v/>
      </c>
    </row>
    <row r="3358" spans="83:106" x14ac:dyDescent="0.2">
      <c r="CE3358"/>
      <c r="CF3358"/>
      <c r="CG3358"/>
      <c r="CH3358"/>
      <c r="CI3358"/>
      <c r="CU3358" s="21">
        <v>3353</v>
      </c>
      <c r="CV3358" s="41">
        <v>4</v>
      </c>
      <c r="CW3358" s="41">
        <v>0.11332468572476186</v>
      </c>
      <c r="CX3358" s="41" t="e">
        <v>#N/A</v>
      </c>
      <c r="CY3358" s="41" t="e">
        <v>#N/A</v>
      </c>
      <c r="CZ3358" s="47" t="e">
        <v>#N/A</v>
      </c>
      <c r="DA3358">
        <v>0.11332468572476186</v>
      </c>
      <c r="DB3358" t="str">
        <v/>
      </c>
    </row>
    <row r="3359" spans="83:106" x14ac:dyDescent="0.2">
      <c r="CE3359"/>
      <c r="CF3359"/>
      <c r="CG3359"/>
      <c r="CH3359"/>
      <c r="CI3359"/>
      <c r="CU3359" s="21">
        <v>3354</v>
      </c>
      <c r="CV3359" s="41">
        <v>4</v>
      </c>
      <c r="CW3359" s="41">
        <v>0.11332468572476186</v>
      </c>
      <c r="CX3359" s="41" t="e">
        <v>#N/A</v>
      </c>
      <c r="CY3359" s="41" t="e">
        <v>#N/A</v>
      </c>
      <c r="CZ3359" s="47" t="e">
        <v>#N/A</v>
      </c>
      <c r="DA3359">
        <v>0.11332468572476186</v>
      </c>
      <c r="DB3359" t="str">
        <v/>
      </c>
    </row>
    <row r="3360" spans="83:106" x14ac:dyDescent="0.2">
      <c r="CE3360"/>
      <c r="CF3360"/>
      <c r="CG3360"/>
      <c r="CH3360"/>
      <c r="CI3360"/>
      <c r="CU3360" s="21">
        <v>3355</v>
      </c>
      <c r="CV3360" s="41">
        <v>4</v>
      </c>
      <c r="CW3360" s="41">
        <v>0.11332468572476186</v>
      </c>
      <c r="CX3360" s="41" t="e">
        <v>#N/A</v>
      </c>
      <c r="CY3360" s="41" t="e">
        <v>#N/A</v>
      </c>
      <c r="CZ3360" s="47" t="e">
        <v>#N/A</v>
      </c>
      <c r="DA3360">
        <v>0.11332468572476186</v>
      </c>
      <c r="DB3360" t="str">
        <v/>
      </c>
    </row>
    <row r="3361" spans="83:106" x14ac:dyDescent="0.2">
      <c r="CE3361"/>
      <c r="CF3361"/>
      <c r="CG3361"/>
      <c r="CH3361"/>
      <c r="CI3361"/>
      <c r="CU3361" s="21">
        <v>3356</v>
      </c>
      <c r="CV3361" s="41">
        <v>4</v>
      </c>
      <c r="CW3361" s="41">
        <v>0.11332468572476186</v>
      </c>
      <c r="CX3361" s="41" t="e">
        <v>#N/A</v>
      </c>
      <c r="CY3361" s="41" t="e">
        <v>#N/A</v>
      </c>
      <c r="CZ3361" s="47" t="e">
        <v>#N/A</v>
      </c>
      <c r="DA3361">
        <v>0.11332468572476186</v>
      </c>
      <c r="DB3361" t="str">
        <v/>
      </c>
    </row>
    <row r="3362" spans="83:106" x14ac:dyDescent="0.2">
      <c r="CE3362"/>
      <c r="CF3362"/>
      <c r="CG3362"/>
      <c r="CH3362"/>
      <c r="CI3362"/>
      <c r="CU3362" s="21">
        <v>3357</v>
      </c>
      <c r="CV3362" s="41">
        <v>4</v>
      </c>
      <c r="CW3362" s="41">
        <v>0.11332468572476186</v>
      </c>
      <c r="CX3362" s="41" t="e">
        <v>#N/A</v>
      </c>
      <c r="CY3362" s="41" t="e">
        <v>#N/A</v>
      </c>
      <c r="CZ3362" s="47" t="e">
        <v>#N/A</v>
      </c>
      <c r="DA3362">
        <v>0.11332468572476186</v>
      </c>
      <c r="DB3362" t="str">
        <v/>
      </c>
    </row>
    <row r="3363" spans="83:106" x14ac:dyDescent="0.2">
      <c r="CE3363"/>
      <c r="CF3363"/>
      <c r="CG3363"/>
      <c r="CH3363"/>
      <c r="CI3363"/>
      <c r="CU3363" s="21">
        <v>3358</v>
      </c>
      <c r="CV3363" s="41">
        <v>4</v>
      </c>
      <c r="CW3363" s="41">
        <v>0.11332468572476186</v>
      </c>
      <c r="CX3363" s="41" t="e">
        <v>#N/A</v>
      </c>
      <c r="CY3363" s="41" t="e">
        <v>#N/A</v>
      </c>
      <c r="CZ3363" s="47" t="e">
        <v>#N/A</v>
      </c>
      <c r="DA3363">
        <v>0.11332468572476186</v>
      </c>
      <c r="DB3363" t="str">
        <v/>
      </c>
    </row>
    <row r="3364" spans="83:106" x14ac:dyDescent="0.2">
      <c r="CE3364"/>
      <c r="CF3364"/>
      <c r="CG3364"/>
      <c r="CH3364"/>
      <c r="CI3364"/>
      <c r="CU3364" s="21">
        <v>3359</v>
      </c>
      <c r="CV3364" s="41">
        <v>4</v>
      </c>
      <c r="CW3364" s="41">
        <v>0.11332468572476186</v>
      </c>
      <c r="CX3364" s="41" t="e">
        <v>#N/A</v>
      </c>
      <c r="CY3364" s="41" t="e">
        <v>#N/A</v>
      </c>
      <c r="CZ3364" s="47" t="e">
        <v>#N/A</v>
      </c>
      <c r="DA3364">
        <v>0.11332468572476186</v>
      </c>
      <c r="DB3364" t="str">
        <v/>
      </c>
    </row>
    <row r="3365" spans="83:106" x14ac:dyDescent="0.2">
      <c r="CE3365"/>
      <c r="CF3365"/>
      <c r="CG3365"/>
      <c r="CH3365"/>
      <c r="CI3365"/>
      <c r="CU3365" s="21">
        <v>3360</v>
      </c>
      <c r="CV3365" s="41">
        <v>4</v>
      </c>
      <c r="CW3365" s="41">
        <v>0.11332468572476186</v>
      </c>
      <c r="CX3365" s="41" t="e">
        <v>#N/A</v>
      </c>
      <c r="CY3365" s="41" t="e">
        <v>#N/A</v>
      </c>
      <c r="CZ3365" s="47" t="e">
        <v>#N/A</v>
      </c>
      <c r="DA3365">
        <v>0.11332468572476186</v>
      </c>
      <c r="DB3365" t="str">
        <v/>
      </c>
    </row>
    <row r="3366" spans="83:106" x14ac:dyDescent="0.2">
      <c r="CE3366"/>
      <c r="CF3366"/>
      <c r="CG3366"/>
      <c r="CH3366"/>
      <c r="CI3366"/>
      <c r="CU3366" s="21">
        <v>3361</v>
      </c>
      <c r="CV3366" s="41">
        <v>4</v>
      </c>
      <c r="CW3366" s="41">
        <v>0.11332468572476186</v>
      </c>
      <c r="CX3366" s="41" t="e">
        <v>#N/A</v>
      </c>
      <c r="CY3366" s="41" t="e">
        <v>#N/A</v>
      </c>
      <c r="CZ3366" s="47" t="e">
        <v>#N/A</v>
      </c>
      <c r="DA3366">
        <v>0.11332468572476186</v>
      </c>
      <c r="DB3366" t="str">
        <v/>
      </c>
    </row>
    <row r="3367" spans="83:106" x14ac:dyDescent="0.2">
      <c r="CE3367"/>
      <c r="CF3367"/>
      <c r="CG3367"/>
      <c r="CH3367"/>
      <c r="CI3367"/>
      <c r="CU3367" s="21">
        <v>3362</v>
      </c>
      <c r="CV3367" s="41">
        <v>4</v>
      </c>
      <c r="CW3367" s="41">
        <v>0.11332468572476186</v>
      </c>
      <c r="CX3367" s="41" t="e">
        <v>#N/A</v>
      </c>
      <c r="CY3367" s="41" t="e">
        <v>#N/A</v>
      </c>
      <c r="CZ3367" s="47" t="e">
        <v>#N/A</v>
      </c>
      <c r="DA3367">
        <v>0.11332468572476186</v>
      </c>
      <c r="DB3367" t="str">
        <v/>
      </c>
    </row>
    <row r="3368" spans="83:106" x14ac:dyDescent="0.2">
      <c r="CE3368"/>
      <c r="CF3368"/>
      <c r="CG3368"/>
      <c r="CH3368"/>
      <c r="CI3368"/>
      <c r="CU3368" s="21">
        <v>3363</v>
      </c>
      <c r="CV3368" s="41">
        <v>4</v>
      </c>
      <c r="CW3368" s="41">
        <v>0.11332468572476186</v>
      </c>
      <c r="CX3368" s="41" t="e">
        <v>#N/A</v>
      </c>
      <c r="CY3368" s="41" t="e">
        <v>#N/A</v>
      </c>
      <c r="CZ3368" s="47" t="e">
        <v>#N/A</v>
      </c>
      <c r="DA3368">
        <v>0.11332468572476186</v>
      </c>
      <c r="DB3368" t="str">
        <v/>
      </c>
    </row>
    <row r="3369" spans="83:106" x14ac:dyDescent="0.2">
      <c r="CE3369"/>
      <c r="CF3369"/>
      <c r="CG3369"/>
      <c r="CH3369"/>
      <c r="CI3369"/>
      <c r="CU3369" s="21">
        <v>3364</v>
      </c>
      <c r="CV3369" s="41">
        <v>4</v>
      </c>
      <c r="CW3369" s="41">
        <v>0.11332468572476186</v>
      </c>
      <c r="CX3369" s="41" t="e">
        <v>#N/A</v>
      </c>
      <c r="CY3369" s="41" t="e">
        <v>#N/A</v>
      </c>
      <c r="CZ3369" s="47" t="e">
        <v>#N/A</v>
      </c>
      <c r="DA3369">
        <v>0.11332468572476186</v>
      </c>
      <c r="DB3369" t="str">
        <v/>
      </c>
    </row>
    <row r="3370" spans="83:106" x14ac:dyDescent="0.2">
      <c r="CE3370"/>
      <c r="CF3370"/>
      <c r="CG3370"/>
      <c r="CH3370"/>
      <c r="CI3370"/>
      <c r="CU3370" s="21">
        <v>3365</v>
      </c>
      <c r="CV3370" s="41">
        <v>4</v>
      </c>
      <c r="CW3370" s="41">
        <v>0.11332468572476186</v>
      </c>
      <c r="CX3370" s="41" t="e">
        <v>#N/A</v>
      </c>
      <c r="CY3370" s="41" t="e">
        <v>#N/A</v>
      </c>
      <c r="CZ3370" s="47" t="e">
        <v>#N/A</v>
      </c>
      <c r="DA3370">
        <v>0.11332468572476186</v>
      </c>
      <c r="DB3370" t="str">
        <v/>
      </c>
    </row>
    <row r="3371" spans="83:106" x14ac:dyDescent="0.2">
      <c r="CE3371"/>
      <c r="CF3371"/>
      <c r="CG3371"/>
      <c r="CH3371"/>
      <c r="CI3371"/>
      <c r="CU3371" s="21">
        <v>3366</v>
      </c>
      <c r="CV3371" s="41">
        <v>4</v>
      </c>
      <c r="CW3371" s="41">
        <v>0.11332468572476186</v>
      </c>
      <c r="CX3371" s="41" t="e">
        <v>#N/A</v>
      </c>
      <c r="CY3371" s="41" t="e">
        <v>#N/A</v>
      </c>
      <c r="CZ3371" s="47" t="e">
        <v>#N/A</v>
      </c>
      <c r="DA3371">
        <v>0.11332468572476186</v>
      </c>
      <c r="DB3371" t="str">
        <v/>
      </c>
    </row>
    <row r="3372" spans="83:106" x14ac:dyDescent="0.2">
      <c r="CE3372"/>
      <c r="CF3372"/>
      <c r="CG3372"/>
      <c r="CH3372"/>
      <c r="CI3372"/>
      <c r="CU3372" s="21">
        <v>3367</v>
      </c>
      <c r="CV3372" s="41">
        <v>4</v>
      </c>
      <c r="CW3372" s="41">
        <v>0.11332468572476186</v>
      </c>
      <c r="CX3372" s="41" t="e">
        <v>#N/A</v>
      </c>
      <c r="CY3372" s="41" t="e">
        <v>#N/A</v>
      </c>
      <c r="CZ3372" s="47" t="e">
        <v>#N/A</v>
      </c>
      <c r="DA3372">
        <v>0.11332468572476186</v>
      </c>
      <c r="DB3372" t="str">
        <v/>
      </c>
    </row>
    <row r="3373" spans="83:106" x14ac:dyDescent="0.2">
      <c r="CE3373"/>
      <c r="CF3373"/>
      <c r="CG3373"/>
      <c r="CH3373"/>
      <c r="CI3373"/>
      <c r="CU3373" s="21">
        <v>3368</v>
      </c>
      <c r="CV3373" s="41">
        <v>4</v>
      </c>
      <c r="CW3373" s="41">
        <v>0.11332468572476186</v>
      </c>
      <c r="CX3373" s="41" t="e">
        <v>#N/A</v>
      </c>
      <c r="CY3373" s="41" t="e">
        <v>#N/A</v>
      </c>
      <c r="CZ3373" s="47" t="e">
        <v>#N/A</v>
      </c>
      <c r="DA3373">
        <v>0.11332468572476186</v>
      </c>
      <c r="DB3373" t="str">
        <v/>
      </c>
    </row>
    <row r="3374" spans="83:106" x14ac:dyDescent="0.2">
      <c r="CE3374"/>
      <c r="CF3374"/>
      <c r="CG3374"/>
      <c r="CH3374"/>
      <c r="CI3374"/>
      <c r="CU3374" s="21">
        <v>3369</v>
      </c>
      <c r="CV3374" s="41">
        <v>4</v>
      </c>
      <c r="CW3374" s="41">
        <v>0.11332468572476186</v>
      </c>
      <c r="CX3374" s="41" t="e">
        <v>#N/A</v>
      </c>
      <c r="CY3374" s="41" t="e">
        <v>#N/A</v>
      </c>
      <c r="CZ3374" s="47" t="e">
        <v>#N/A</v>
      </c>
      <c r="DA3374">
        <v>0.11332468572476186</v>
      </c>
      <c r="DB3374" t="str">
        <v/>
      </c>
    </row>
    <row r="3375" spans="83:106" x14ac:dyDescent="0.2">
      <c r="CE3375"/>
      <c r="CF3375"/>
      <c r="CG3375"/>
      <c r="CH3375"/>
      <c r="CI3375"/>
      <c r="CU3375" s="21">
        <v>3370</v>
      </c>
      <c r="CV3375" s="41">
        <v>4</v>
      </c>
      <c r="CW3375" s="41">
        <v>0.11332468572476186</v>
      </c>
      <c r="CX3375" s="41" t="e">
        <v>#N/A</v>
      </c>
      <c r="CY3375" s="41" t="e">
        <v>#N/A</v>
      </c>
      <c r="CZ3375" s="47" t="e">
        <v>#N/A</v>
      </c>
      <c r="DA3375">
        <v>0.11332468572476186</v>
      </c>
      <c r="DB3375" t="str">
        <v/>
      </c>
    </row>
    <row r="3376" spans="83:106" x14ac:dyDescent="0.2">
      <c r="CE3376"/>
      <c r="CF3376"/>
      <c r="CG3376"/>
      <c r="CH3376"/>
      <c r="CI3376"/>
      <c r="CU3376" s="21">
        <v>3371</v>
      </c>
      <c r="CV3376" s="41">
        <v>4</v>
      </c>
      <c r="CW3376" s="41">
        <v>0.11332468572476186</v>
      </c>
      <c r="CX3376" s="41" t="e">
        <v>#N/A</v>
      </c>
      <c r="CY3376" s="41" t="e">
        <v>#N/A</v>
      </c>
      <c r="CZ3376" s="47" t="e">
        <v>#N/A</v>
      </c>
      <c r="DA3376">
        <v>0.11332468572476186</v>
      </c>
      <c r="DB3376" t="str">
        <v/>
      </c>
    </row>
    <row r="3377" spans="83:106" x14ac:dyDescent="0.2">
      <c r="CE3377"/>
      <c r="CF3377"/>
      <c r="CG3377"/>
      <c r="CH3377"/>
      <c r="CI3377"/>
      <c r="CU3377" s="21">
        <v>3372</v>
      </c>
      <c r="CV3377" s="41">
        <v>4</v>
      </c>
      <c r="CW3377" s="41">
        <v>0.11332468572476186</v>
      </c>
      <c r="CX3377" s="41" t="e">
        <v>#N/A</v>
      </c>
      <c r="CY3377" s="41" t="e">
        <v>#N/A</v>
      </c>
      <c r="CZ3377" s="47" t="e">
        <v>#N/A</v>
      </c>
      <c r="DA3377">
        <v>0.11332468572476186</v>
      </c>
      <c r="DB3377" t="str">
        <v/>
      </c>
    </row>
    <row r="3378" spans="83:106" x14ac:dyDescent="0.2">
      <c r="CE3378"/>
      <c r="CF3378"/>
      <c r="CG3378"/>
      <c r="CH3378"/>
      <c r="CI3378"/>
      <c r="CU3378" s="21">
        <v>3373</v>
      </c>
      <c r="CV3378" s="41">
        <v>4</v>
      </c>
      <c r="CW3378" s="41">
        <v>0.11332468572476186</v>
      </c>
      <c r="CX3378" s="41" t="e">
        <v>#N/A</v>
      </c>
      <c r="CY3378" s="41" t="e">
        <v>#N/A</v>
      </c>
      <c r="CZ3378" s="47" t="e">
        <v>#N/A</v>
      </c>
      <c r="DA3378">
        <v>0.11332468572476186</v>
      </c>
      <c r="DB3378" t="str">
        <v/>
      </c>
    </row>
    <row r="3379" spans="83:106" x14ac:dyDescent="0.2">
      <c r="CE3379"/>
      <c r="CF3379"/>
      <c r="CG3379"/>
      <c r="CH3379"/>
      <c r="CI3379"/>
      <c r="CU3379" s="21">
        <v>3374</v>
      </c>
      <c r="CV3379" s="41">
        <v>4</v>
      </c>
      <c r="CW3379" s="41">
        <v>0.11332468572476186</v>
      </c>
      <c r="CX3379" s="41" t="e">
        <v>#N/A</v>
      </c>
      <c r="CY3379" s="41" t="e">
        <v>#N/A</v>
      </c>
      <c r="CZ3379" s="47" t="e">
        <v>#N/A</v>
      </c>
      <c r="DA3379">
        <v>0.11332468572476186</v>
      </c>
      <c r="DB3379" t="str">
        <v/>
      </c>
    </row>
    <row r="3380" spans="83:106" x14ac:dyDescent="0.2">
      <c r="CE3380"/>
      <c r="CF3380"/>
      <c r="CG3380"/>
      <c r="CH3380"/>
      <c r="CI3380"/>
      <c r="CU3380" s="21">
        <v>3375</v>
      </c>
      <c r="CV3380" s="41">
        <v>4</v>
      </c>
      <c r="CW3380" s="41">
        <v>0.11332468572476186</v>
      </c>
      <c r="CX3380" s="41" t="e">
        <v>#N/A</v>
      </c>
      <c r="CY3380" s="41" t="e">
        <v>#N/A</v>
      </c>
      <c r="CZ3380" s="47" t="e">
        <v>#N/A</v>
      </c>
      <c r="DA3380">
        <v>0.11332468572476186</v>
      </c>
      <c r="DB3380" t="str">
        <v/>
      </c>
    </row>
    <row r="3381" spans="83:106" x14ac:dyDescent="0.2">
      <c r="CE3381"/>
      <c r="CF3381"/>
      <c r="CG3381"/>
      <c r="CH3381"/>
      <c r="CI3381"/>
      <c r="CU3381" s="21">
        <v>3376</v>
      </c>
      <c r="CV3381" s="41">
        <v>4</v>
      </c>
      <c r="CW3381" s="41">
        <v>0.11332468572476186</v>
      </c>
      <c r="CX3381" s="41" t="e">
        <v>#N/A</v>
      </c>
      <c r="CY3381" s="41" t="e">
        <v>#N/A</v>
      </c>
      <c r="CZ3381" s="47" t="e">
        <v>#N/A</v>
      </c>
      <c r="DA3381">
        <v>0.11332468572476186</v>
      </c>
      <c r="DB3381" t="str">
        <v/>
      </c>
    </row>
    <row r="3382" spans="83:106" x14ac:dyDescent="0.2">
      <c r="CE3382"/>
      <c r="CF3382"/>
      <c r="CG3382"/>
      <c r="CH3382"/>
      <c r="CI3382"/>
      <c r="CU3382" s="21">
        <v>3377</v>
      </c>
      <c r="CV3382" s="41">
        <v>4</v>
      </c>
      <c r="CW3382" s="41">
        <v>0.11332468572476186</v>
      </c>
      <c r="CX3382" s="41" t="e">
        <v>#N/A</v>
      </c>
      <c r="CY3382" s="41" t="e">
        <v>#N/A</v>
      </c>
      <c r="CZ3382" s="47" t="e">
        <v>#N/A</v>
      </c>
      <c r="DA3382">
        <v>0.11332468572476186</v>
      </c>
      <c r="DB3382" t="str">
        <v/>
      </c>
    </row>
    <row r="3383" spans="83:106" x14ac:dyDescent="0.2">
      <c r="CE3383"/>
      <c r="CF3383"/>
      <c r="CG3383"/>
      <c r="CH3383"/>
      <c r="CI3383"/>
      <c r="CU3383" s="21">
        <v>3378</v>
      </c>
      <c r="CV3383" s="41">
        <v>4</v>
      </c>
      <c r="CW3383" s="41">
        <v>0.11332468572476186</v>
      </c>
      <c r="CX3383" s="41" t="e">
        <v>#N/A</v>
      </c>
      <c r="CY3383" s="41" t="e">
        <v>#N/A</v>
      </c>
      <c r="CZ3383" s="47" t="e">
        <v>#N/A</v>
      </c>
      <c r="DA3383">
        <v>0.11332468572476186</v>
      </c>
      <c r="DB3383" t="str">
        <v/>
      </c>
    </row>
    <row r="3384" spans="83:106" x14ac:dyDescent="0.2">
      <c r="CE3384"/>
      <c r="CF3384"/>
      <c r="CG3384"/>
      <c r="CH3384"/>
      <c r="CI3384"/>
      <c r="CU3384" s="21">
        <v>3379</v>
      </c>
      <c r="CV3384" s="41">
        <v>4</v>
      </c>
      <c r="CW3384" s="41">
        <v>0.11332468572476186</v>
      </c>
      <c r="CX3384" s="41" t="e">
        <v>#N/A</v>
      </c>
      <c r="CY3384" s="41" t="e">
        <v>#N/A</v>
      </c>
      <c r="CZ3384" s="47" t="e">
        <v>#N/A</v>
      </c>
      <c r="DA3384">
        <v>0.11332468572476186</v>
      </c>
      <c r="DB3384" t="str">
        <v/>
      </c>
    </row>
    <row r="3385" spans="83:106" x14ac:dyDescent="0.2">
      <c r="CE3385"/>
      <c r="CF3385"/>
      <c r="CG3385"/>
      <c r="CH3385"/>
      <c r="CI3385"/>
      <c r="CU3385" s="21">
        <v>3380</v>
      </c>
      <c r="CV3385" s="41">
        <v>4</v>
      </c>
      <c r="CW3385" s="41">
        <v>0.11332468572476186</v>
      </c>
      <c r="CX3385" s="41" t="e">
        <v>#N/A</v>
      </c>
      <c r="CY3385" s="41" t="e">
        <v>#N/A</v>
      </c>
      <c r="CZ3385" s="47" t="e">
        <v>#N/A</v>
      </c>
      <c r="DA3385">
        <v>0.11332468572476186</v>
      </c>
      <c r="DB3385" t="str">
        <v/>
      </c>
    </row>
    <row r="3386" spans="83:106" x14ac:dyDescent="0.2">
      <c r="CE3386"/>
      <c r="CF3386"/>
      <c r="CG3386"/>
      <c r="CH3386"/>
      <c r="CI3386"/>
      <c r="CU3386" s="21">
        <v>3381</v>
      </c>
      <c r="CV3386" s="41">
        <v>4</v>
      </c>
      <c r="CW3386" s="41">
        <v>0.11332468572476186</v>
      </c>
      <c r="CX3386" s="41" t="e">
        <v>#N/A</v>
      </c>
      <c r="CY3386" s="41" t="e">
        <v>#N/A</v>
      </c>
      <c r="CZ3386" s="47" t="e">
        <v>#N/A</v>
      </c>
      <c r="DA3386">
        <v>0.11332468572476186</v>
      </c>
      <c r="DB3386" t="str">
        <v/>
      </c>
    </row>
    <row r="3387" spans="83:106" x14ac:dyDescent="0.2">
      <c r="CE3387"/>
      <c r="CF3387"/>
      <c r="CG3387"/>
      <c r="CH3387"/>
      <c r="CI3387"/>
      <c r="CU3387" s="21">
        <v>3382</v>
      </c>
      <c r="CV3387" s="41">
        <v>4</v>
      </c>
      <c r="CW3387" s="41">
        <v>0.11332468572476186</v>
      </c>
      <c r="CX3387" s="41" t="e">
        <v>#N/A</v>
      </c>
      <c r="CY3387" s="41" t="e">
        <v>#N/A</v>
      </c>
      <c r="CZ3387" s="47" t="e">
        <v>#N/A</v>
      </c>
      <c r="DA3387">
        <v>0.11332468572476186</v>
      </c>
      <c r="DB3387" t="str">
        <v/>
      </c>
    </row>
    <row r="3388" spans="83:106" x14ac:dyDescent="0.2">
      <c r="CE3388"/>
      <c r="CF3388"/>
      <c r="CG3388"/>
      <c r="CH3388"/>
      <c r="CI3388"/>
      <c r="CU3388" s="21">
        <v>3383</v>
      </c>
      <c r="CV3388" s="41">
        <v>4</v>
      </c>
      <c r="CW3388" s="41">
        <v>0.11332468572476186</v>
      </c>
      <c r="CX3388" s="41" t="e">
        <v>#N/A</v>
      </c>
      <c r="CY3388" s="41" t="e">
        <v>#N/A</v>
      </c>
      <c r="CZ3388" s="47" t="e">
        <v>#N/A</v>
      </c>
      <c r="DA3388">
        <v>0.11332468572476186</v>
      </c>
      <c r="DB3388" t="str">
        <v/>
      </c>
    </row>
    <row r="3389" spans="83:106" x14ac:dyDescent="0.2">
      <c r="CE3389"/>
      <c r="CF3389"/>
      <c r="CG3389"/>
      <c r="CH3389"/>
      <c r="CI3389"/>
      <c r="CU3389" s="21">
        <v>3384</v>
      </c>
      <c r="CV3389" s="41">
        <v>4</v>
      </c>
      <c r="CW3389" s="41">
        <v>0.11332468572476186</v>
      </c>
      <c r="CX3389" s="41" t="e">
        <v>#N/A</v>
      </c>
      <c r="CY3389" s="41" t="e">
        <v>#N/A</v>
      </c>
      <c r="CZ3389" s="47" t="e">
        <v>#N/A</v>
      </c>
      <c r="DA3389">
        <v>0.11332468572476186</v>
      </c>
      <c r="DB3389" t="str">
        <v/>
      </c>
    </row>
    <row r="3390" spans="83:106" x14ac:dyDescent="0.2">
      <c r="CE3390"/>
      <c r="CF3390"/>
      <c r="CG3390"/>
      <c r="CH3390"/>
      <c r="CI3390"/>
      <c r="CU3390" s="21">
        <v>3385</v>
      </c>
      <c r="CV3390" s="41">
        <v>4</v>
      </c>
      <c r="CW3390" s="41">
        <v>0.11332468572476186</v>
      </c>
      <c r="CX3390" s="41" t="e">
        <v>#N/A</v>
      </c>
      <c r="CY3390" s="41" t="e">
        <v>#N/A</v>
      </c>
      <c r="CZ3390" s="47" t="e">
        <v>#N/A</v>
      </c>
      <c r="DA3390">
        <v>0.11332468572476186</v>
      </c>
      <c r="DB3390" t="str">
        <v/>
      </c>
    </row>
    <row r="3391" spans="83:106" x14ac:dyDescent="0.2">
      <c r="CE3391"/>
      <c r="CF3391"/>
      <c r="CG3391"/>
      <c r="CH3391"/>
      <c r="CI3391"/>
      <c r="CU3391" s="21">
        <v>3386</v>
      </c>
      <c r="CV3391" s="41">
        <v>4</v>
      </c>
      <c r="CW3391" s="41">
        <v>0.11332468572476186</v>
      </c>
      <c r="CX3391" s="41" t="e">
        <v>#N/A</v>
      </c>
      <c r="CY3391" s="41" t="e">
        <v>#N/A</v>
      </c>
      <c r="CZ3391" s="47" t="e">
        <v>#N/A</v>
      </c>
      <c r="DA3391">
        <v>0.11332468572476186</v>
      </c>
      <c r="DB3391" t="str">
        <v/>
      </c>
    </row>
    <row r="3392" spans="83:106" x14ac:dyDescent="0.2">
      <c r="CE3392"/>
      <c r="CF3392"/>
      <c r="CG3392"/>
      <c r="CH3392"/>
      <c r="CI3392"/>
      <c r="CU3392" s="21">
        <v>3387</v>
      </c>
      <c r="CV3392" s="41">
        <v>4</v>
      </c>
      <c r="CW3392" s="41">
        <v>0.11332468572476186</v>
      </c>
      <c r="CX3392" s="41" t="e">
        <v>#N/A</v>
      </c>
      <c r="CY3392" s="41" t="e">
        <v>#N/A</v>
      </c>
      <c r="CZ3392" s="47" t="e">
        <v>#N/A</v>
      </c>
      <c r="DA3392">
        <v>0.11332468572476186</v>
      </c>
      <c r="DB3392" t="str">
        <v/>
      </c>
    </row>
    <row r="3393" spans="83:106" x14ac:dyDescent="0.2">
      <c r="CE3393"/>
      <c r="CF3393"/>
      <c r="CG3393"/>
      <c r="CH3393"/>
      <c r="CI3393"/>
      <c r="CU3393" s="21">
        <v>3388</v>
      </c>
      <c r="CV3393" s="41">
        <v>4</v>
      </c>
      <c r="CW3393" s="41">
        <v>0.11332468572476186</v>
      </c>
      <c r="CX3393" s="41" t="e">
        <v>#N/A</v>
      </c>
      <c r="CY3393" s="41" t="e">
        <v>#N/A</v>
      </c>
      <c r="CZ3393" s="47" t="e">
        <v>#N/A</v>
      </c>
      <c r="DA3393">
        <v>0.11332468572476186</v>
      </c>
      <c r="DB3393" t="str">
        <v/>
      </c>
    </row>
    <row r="3394" spans="83:106" x14ac:dyDescent="0.2">
      <c r="CE3394"/>
      <c r="CF3394"/>
      <c r="CG3394"/>
      <c r="CH3394"/>
      <c r="CI3394"/>
      <c r="CU3394" s="21">
        <v>3389</v>
      </c>
      <c r="CV3394" s="41">
        <v>4</v>
      </c>
      <c r="CW3394" s="41">
        <v>0.11332468572476186</v>
      </c>
      <c r="CX3394" s="41" t="e">
        <v>#N/A</v>
      </c>
      <c r="CY3394" s="41" t="e">
        <v>#N/A</v>
      </c>
      <c r="CZ3394" s="47" t="e">
        <v>#N/A</v>
      </c>
      <c r="DA3394">
        <v>0.11332468572476186</v>
      </c>
      <c r="DB3394" t="str">
        <v/>
      </c>
    </row>
    <row r="3395" spans="83:106" x14ac:dyDescent="0.2">
      <c r="CE3395"/>
      <c r="CF3395"/>
      <c r="CG3395"/>
      <c r="CH3395"/>
      <c r="CI3395"/>
      <c r="CU3395" s="21">
        <v>3390</v>
      </c>
      <c r="CV3395" s="41">
        <v>4</v>
      </c>
      <c r="CW3395" s="41">
        <v>0.11332468572476186</v>
      </c>
      <c r="CX3395" s="41" t="e">
        <v>#N/A</v>
      </c>
      <c r="CY3395" s="41" t="e">
        <v>#N/A</v>
      </c>
      <c r="CZ3395" s="47" t="e">
        <v>#N/A</v>
      </c>
      <c r="DA3395">
        <v>0.11332468572476186</v>
      </c>
      <c r="DB3395" t="str">
        <v/>
      </c>
    </row>
    <row r="3396" spans="83:106" x14ac:dyDescent="0.2">
      <c r="CE3396"/>
      <c r="CF3396"/>
      <c r="CG3396"/>
      <c r="CH3396"/>
      <c r="CI3396"/>
      <c r="CU3396" s="21">
        <v>3391</v>
      </c>
      <c r="CV3396" s="41">
        <v>4</v>
      </c>
      <c r="CW3396" s="41">
        <v>0.11332468572476186</v>
      </c>
      <c r="CX3396" s="41" t="e">
        <v>#N/A</v>
      </c>
      <c r="CY3396" s="41" t="e">
        <v>#N/A</v>
      </c>
      <c r="CZ3396" s="47" t="e">
        <v>#N/A</v>
      </c>
      <c r="DA3396">
        <v>0.11332468572476186</v>
      </c>
      <c r="DB3396" t="str">
        <v/>
      </c>
    </row>
    <row r="3397" spans="83:106" x14ac:dyDescent="0.2">
      <c r="CE3397"/>
      <c r="CF3397"/>
      <c r="CG3397"/>
      <c r="CH3397"/>
      <c r="CI3397"/>
      <c r="CU3397" s="21">
        <v>3392</v>
      </c>
      <c r="CV3397" s="41">
        <v>4</v>
      </c>
      <c r="CW3397" s="41">
        <v>0.11332468572476186</v>
      </c>
      <c r="CX3397" s="41" t="e">
        <v>#N/A</v>
      </c>
      <c r="CY3397" s="41" t="e">
        <v>#N/A</v>
      </c>
      <c r="CZ3397" s="47" t="e">
        <v>#N/A</v>
      </c>
      <c r="DA3397">
        <v>0.11332468572476186</v>
      </c>
      <c r="DB3397" t="str">
        <v/>
      </c>
    </row>
    <row r="3398" spans="83:106" x14ac:dyDescent="0.2">
      <c r="CE3398"/>
      <c r="CF3398"/>
      <c r="CG3398"/>
      <c r="CH3398"/>
      <c r="CI3398"/>
      <c r="CU3398" s="21">
        <v>3393</v>
      </c>
      <c r="CV3398" s="41">
        <v>4</v>
      </c>
      <c r="CW3398" s="41">
        <v>0.11332468572476186</v>
      </c>
      <c r="CX3398" s="41" t="e">
        <v>#N/A</v>
      </c>
      <c r="CY3398" s="41" t="e">
        <v>#N/A</v>
      </c>
      <c r="CZ3398" s="47" t="e">
        <v>#N/A</v>
      </c>
      <c r="DA3398">
        <v>0.11332468572476186</v>
      </c>
      <c r="DB3398" t="str">
        <v/>
      </c>
    </row>
    <row r="3399" spans="83:106" x14ac:dyDescent="0.2">
      <c r="CE3399"/>
      <c r="CF3399"/>
      <c r="CG3399"/>
      <c r="CH3399"/>
      <c r="CI3399"/>
      <c r="CU3399" s="21">
        <v>3394</v>
      </c>
      <c r="CV3399" s="41">
        <v>4</v>
      </c>
      <c r="CW3399" s="41">
        <v>0.11332468572476186</v>
      </c>
      <c r="CX3399" s="41" t="e">
        <v>#N/A</v>
      </c>
      <c r="CY3399" s="41" t="e">
        <v>#N/A</v>
      </c>
      <c r="CZ3399" s="47" t="e">
        <v>#N/A</v>
      </c>
      <c r="DA3399">
        <v>0.11332468572476186</v>
      </c>
      <c r="DB3399" t="str">
        <v/>
      </c>
    </row>
    <row r="3400" spans="83:106" x14ac:dyDescent="0.2">
      <c r="CE3400"/>
      <c r="CF3400"/>
      <c r="CG3400"/>
      <c r="CH3400"/>
      <c r="CI3400"/>
      <c r="CU3400" s="21">
        <v>3395</v>
      </c>
      <c r="CV3400" s="41">
        <v>4</v>
      </c>
      <c r="CW3400" s="41">
        <v>0.11332468572476186</v>
      </c>
      <c r="CX3400" s="41" t="e">
        <v>#N/A</v>
      </c>
      <c r="CY3400" s="41" t="e">
        <v>#N/A</v>
      </c>
      <c r="CZ3400" s="47" t="e">
        <v>#N/A</v>
      </c>
      <c r="DA3400">
        <v>0.11332468572476186</v>
      </c>
      <c r="DB3400" t="str">
        <v/>
      </c>
    </row>
    <row r="3401" spans="83:106" x14ac:dyDescent="0.2">
      <c r="CE3401"/>
      <c r="CF3401"/>
      <c r="CG3401"/>
      <c r="CH3401"/>
      <c r="CI3401"/>
      <c r="CU3401" s="21">
        <v>3396</v>
      </c>
      <c r="CV3401" s="41">
        <v>4</v>
      </c>
      <c r="CW3401" s="41">
        <v>0.11332468572476186</v>
      </c>
      <c r="CX3401" s="41" t="e">
        <v>#N/A</v>
      </c>
      <c r="CY3401" s="41" t="e">
        <v>#N/A</v>
      </c>
      <c r="CZ3401" s="47" t="e">
        <v>#N/A</v>
      </c>
      <c r="DA3401">
        <v>0.11332468572476186</v>
      </c>
      <c r="DB3401" t="str">
        <v/>
      </c>
    </row>
    <row r="3402" spans="83:106" x14ac:dyDescent="0.2">
      <c r="CE3402"/>
      <c r="CF3402"/>
      <c r="CG3402"/>
      <c r="CH3402"/>
      <c r="CI3402"/>
      <c r="CU3402" s="21">
        <v>3397</v>
      </c>
      <c r="CV3402" s="41">
        <v>4</v>
      </c>
      <c r="CW3402" s="41">
        <v>0.11332468572476186</v>
      </c>
      <c r="CX3402" s="41" t="e">
        <v>#N/A</v>
      </c>
      <c r="CY3402" s="41" t="e">
        <v>#N/A</v>
      </c>
      <c r="CZ3402" s="47" t="e">
        <v>#N/A</v>
      </c>
      <c r="DA3402">
        <v>0.11332468572476186</v>
      </c>
      <c r="DB3402" t="str">
        <v/>
      </c>
    </row>
    <row r="3403" spans="83:106" x14ac:dyDescent="0.2">
      <c r="CE3403"/>
      <c r="CF3403"/>
      <c r="CG3403"/>
      <c r="CH3403"/>
      <c r="CI3403"/>
      <c r="CU3403" s="21">
        <v>3398</v>
      </c>
      <c r="CV3403" s="41">
        <v>4</v>
      </c>
      <c r="CW3403" s="41">
        <v>0.11332468572476186</v>
      </c>
      <c r="CX3403" s="41" t="e">
        <v>#N/A</v>
      </c>
      <c r="CY3403" s="41" t="e">
        <v>#N/A</v>
      </c>
      <c r="CZ3403" s="47" t="e">
        <v>#N/A</v>
      </c>
      <c r="DA3403">
        <v>0.11332468572476186</v>
      </c>
      <c r="DB3403" t="str">
        <v/>
      </c>
    </row>
    <row r="3404" spans="83:106" x14ac:dyDescent="0.2">
      <c r="CE3404"/>
      <c r="CF3404"/>
      <c r="CG3404"/>
      <c r="CH3404"/>
      <c r="CI3404"/>
      <c r="CU3404" s="21">
        <v>3399</v>
      </c>
      <c r="CV3404" s="41">
        <v>4</v>
      </c>
      <c r="CW3404" s="41">
        <v>0.11332468572476186</v>
      </c>
      <c r="CX3404" s="41" t="e">
        <v>#N/A</v>
      </c>
      <c r="CY3404" s="41" t="e">
        <v>#N/A</v>
      </c>
      <c r="CZ3404" s="47" t="e">
        <v>#N/A</v>
      </c>
      <c r="DA3404">
        <v>0.11332468572476186</v>
      </c>
      <c r="DB3404" t="str">
        <v/>
      </c>
    </row>
    <row r="3405" spans="83:106" x14ac:dyDescent="0.2">
      <c r="CE3405"/>
      <c r="CF3405"/>
      <c r="CG3405"/>
      <c r="CH3405"/>
      <c r="CI3405"/>
      <c r="CU3405" s="21">
        <v>3400</v>
      </c>
      <c r="CV3405" s="41">
        <v>4</v>
      </c>
      <c r="CW3405" s="41">
        <v>0.11332468572476186</v>
      </c>
      <c r="CX3405" s="41" t="e">
        <v>#N/A</v>
      </c>
      <c r="CY3405" s="41" t="e">
        <v>#N/A</v>
      </c>
      <c r="CZ3405" s="47" t="e">
        <v>#N/A</v>
      </c>
      <c r="DA3405">
        <v>0.11332468572476186</v>
      </c>
      <c r="DB3405" t="str">
        <v/>
      </c>
    </row>
    <row r="3406" spans="83:106" x14ac:dyDescent="0.2">
      <c r="CE3406"/>
      <c r="CF3406"/>
      <c r="CG3406"/>
      <c r="CH3406"/>
      <c r="CI3406"/>
      <c r="CU3406" s="21">
        <v>3401</v>
      </c>
      <c r="CV3406" s="41">
        <v>4</v>
      </c>
      <c r="CW3406" s="41">
        <v>0.11332468572476186</v>
      </c>
      <c r="CX3406" s="41" t="e">
        <v>#N/A</v>
      </c>
      <c r="CY3406" s="41" t="e">
        <v>#N/A</v>
      </c>
      <c r="CZ3406" s="47" t="e">
        <v>#N/A</v>
      </c>
      <c r="DA3406">
        <v>0.11332468572476186</v>
      </c>
      <c r="DB3406" t="str">
        <v/>
      </c>
    </row>
    <row r="3407" spans="83:106" x14ac:dyDescent="0.2">
      <c r="CE3407"/>
      <c r="CF3407"/>
      <c r="CG3407"/>
      <c r="CH3407"/>
      <c r="CI3407"/>
      <c r="CU3407" s="21">
        <v>3402</v>
      </c>
      <c r="CV3407" s="41">
        <v>4</v>
      </c>
      <c r="CW3407" s="41">
        <v>0.11332468572476186</v>
      </c>
      <c r="CX3407" s="41" t="e">
        <v>#N/A</v>
      </c>
      <c r="CY3407" s="41" t="e">
        <v>#N/A</v>
      </c>
      <c r="CZ3407" s="47" t="e">
        <v>#N/A</v>
      </c>
      <c r="DA3407">
        <v>0.11332468572476186</v>
      </c>
      <c r="DB3407" t="str">
        <v/>
      </c>
    </row>
    <row r="3408" spans="83:106" x14ac:dyDescent="0.2">
      <c r="CE3408"/>
      <c r="CF3408"/>
      <c r="CG3408"/>
      <c r="CH3408"/>
      <c r="CI3408"/>
      <c r="CU3408" s="21">
        <v>3403</v>
      </c>
      <c r="CV3408" s="41">
        <v>4</v>
      </c>
      <c r="CW3408" s="41">
        <v>0.11332468572476186</v>
      </c>
      <c r="CX3408" s="41" t="e">
        <v>#N/A</v>
      </c>
      <c r="CY3408" s="41" t="e">
        <v>#N/A</v>
      </c>
      <c r="CZ3408" s="47" t="e">
        <v>#N/A</v>
      </c>
      <c r="DA3408">
        <v>0.11332468572476186</v>
      </c>
      <c r="DB3408" t="str">
        <v/>
      </c>
    </row>
    <row r="3409" spans="83:106" x14ac:dyDescent="0.2">
      <c r="CE3409"/>
      <c r="CF3409"/>
      <c r="CG3409"/>
      <c r="CH3409"/>
      <c r="CI3409"/>
      <c r="CU3409" s="21">
        <v>3404</v>
      </c>
      <c r="CV3409" s="41">
        <v>4</v>
      </c>
      <c r="CW3409" s="41">
        <v>0.11332468572476186</v>
      </c>
      <c r="CX3409" s="41" t="e">
        <v>#N/A</v>
      </c>
      <c r="CY3409" s="41" t="e">
        <v>#N/A</v>
      </c>
      <c r="CZ3409" s="47" t="e">
        <v>#N/A</v>
      </c>
      <c r="DA3409">
        <v>0.11332468572476186</v>
      </c>
      <c r="DB3409" t="str">
        <v/>
      </c>
    </row>
    <row r="3410" spans="83:106" x14ac:dyDescent="0.2">
      <c r="CE3410"/>
      <c r="CF3410"/>
      <c r="CG3410"/>
      <c r="CH3410"/>
      <c r="CI3410"/>
      <c r="CU3410" s="21">
        <v>3405</v>
      </c>
      <c r="CV3410" s="41">
        <v>4</v>
      </c>
      <c r="CW3410" s="41">
        <v>0.11332468572476186</v>
      </c>
      <c r="CX3410" s="41" t="e">
        <v>#N/A</v>
      </c>
      <c r="CY3410" s="41" t="e">
        <v>#N/A</v>
      </c>
      <c r="CZ3410" s="47" t="e">
        <v>#N/A</v>
      </c>
      <c r="DA3410">
        <v>0.11332468572476186</v>
      </c>
      <c r="DB3410" t="str">
        <v/>
      </c>
    </row>
    <row r="3411" spans="83:106" x14ac:dyDescent="0.2">
      <c r="CE3411"/>
      <c r="CF3411"/>
      <c r="CG3411"/>
      <c r="CH3411"/>
      <c r="CI3411"/>
      <c r="CU3411" s="21">
        <v>3406</v>
      </c>
      <c r="CV3411" s="41">
        <v>4</v>
      </c>
      <c r="CW3411" s="41">
        <v>0.11332468572476186</v>
      </c>
      <c r="CX3411" s="41" t="e">
        <v>#N/A</v>
      </c>
      <c r="CY3411" s="41" t="e">
        <v>#N/A</v>
      </c>
      <c r="CZ3411" s="47" t="e">
        <v>#N/A</v>
      </c>
      <c r="DA3411">
        <v>0.11332468572476186</v>
      </c>
      <c r="DB3411" t="str">
        <v/>
      </c>
    </row>
    <row r="3412" spans="83:106" x14ac:dyDescent="0.2">
      <c r="CE3412"/>
      <c r="CF3412"/>
      <c r="CG3412"/>
      <c r="CH3412"/>
      <c r="CI3412"/>
      <c r="CU3412" s="21">
        <v>3407</v>
      </c>
      <c r="CV3412" s="41">
        <v>4</v>
      </c>
      <c r="CW3412" s="41">
        <v>0.11332468572476186</v>
      </c>
      <c r="CX3412" s="41" t="e">
        <v>#N/A</v>
      </c>
      <c r="CY3412" s="41" t="e">
        <v>#N/A</v>
      </c>
      <c r="CZ3412" s="47" t="e">
        <v>#N/A</v>
      </c>
      <c r="DA3412">
        <v>0.11332468572476186</v>
      </c>
      <c r="DB3412" t="str">
        <v/>
      </c>
    </row>
    <row r="3413" spans="83:106" x14ac:dyDescent="0.2">
      <c r="CE3413"/>
      <c r="CF3413"/>
      <c r="CG3413"/>
      <c r="CH3413"/>
      <c r="CI3413"/>
      <c r="CU3413" s="21">
        <v>3408</v>
      </c>
      <c r="CV3413" s="41">
        <v>4</v>
      </c>
      <c r="CW3413" s="41">
        <v>0.11332468572476186</v>
      </c>
      <c r="CX3413" s="41" t="e">
        <v>#N/A</v>
      </c>
      <c r="CY3413" s="41" t="e">
        <v>#N/A</v>
      </c>
      <c r="CZ3413" s="47" t="e">
        <v>#N/A</v>
      </c>
      <c r="DA3413">
        <v>0.11332468572476186</v>
      </c>
      <c r="DB3413" t="str">
        <v/>
      </c>
    </row>
    <row r="3414" spans="83:106" x14ac:dyDescent="0.2">
      <c r="CE3414"/>
      <c r="CF3414"/>
      <c r="CG3414"/>
      <c r="CH3414"/>
      <c r="CI3414"/>
      <c r="CU3414" s="21">
        <v>3409</v>
      </c>
      <c r="CV3414" s="41">
        <v>4</v>
      </c>
      <c r="CW3414" s="41">
        <v>0.11332468572476186</v>
      </c>
      <c r="CX3414" s="41" t="e">
        <v>#N/A</v>
      </c>
      <c r="CY3414" s="41" t="e">
        <v>#N/A</v>
      </c>
      <c r="CZ3414" s="47" t="e">
        <v>#N/A</v>
      </c>
      <c r="DA3414">
        <v>0.11332468572476186</v>
      </c>
      <c r="DB3414" t="str">
        <v/>
      </c>
    </row>
    <row r="3415" spans="83:106" x14ac:dyDescent="0.2">
      <c r="CE3415"/>
      <c r="CF3415"/>
      <c r="CG3415"/>
      <c r="CH3415"/>
      <c r="CI3415"/>
      <c r="CU3415" s="21">
        <v>3410</v>
      </c>
      <c r="CV3415" s="41">
        <v>4</v>
      </c>
      <c r="CW3415" s="41">
        <v>0.11332468572476186</v>
      </c>
      <c r="CX3415" s="41" t="e">
        <v>#N/A</v>
      </c>
      <c r="CY3415" s="41" t="e">
        <v>#N/A</v>
      </c>
      <c r="CZ3415" s="47" t="e">
        <v>#N/A</v>
      </c>
      <c r="DA3415">
        <v>0.11332468572476186</v>
      </c>
      <c r="DB3415" t="str">
        <v/>
      </c>
    </row>
    <row r="3416" spans="83:106" x14ac:dyDescent="0.2">
      <c r="CE3416"/>
      <c r="CF3416"/>
      <c r="CG3416"/>
      <c r="CH3416"/>
      <c r="CI3416"/>
      <c r="CU3416" s="21">
        <v>3411</v>
      </c>
      <c r="CV3416" s="41">
        <v>4</v>
      </c>
      <c r="CW3416" s="41">
        <v>0.11332468572476186</v>
      </c>
      <c r="CX3416" s="41" t="e">
        <v>#N/A</v>
      </c>
      <c r="CY3416" s="41" t="e">
        <v>#N/A</v>
      </c>
      <c r="CZ3416" s="47" t="e">
        <v>#N/A</v>
      </c>
      <c r="DA3416">
        <v>0.11332468572476186</v>
      </c>
      <c r="DB3416" t="str">
        <v/>
      </c>
    </row>
    <row r="3417" spans="83:106" x14ac:dyDescent="0.2">
      <c r="CE3417"/>
      <c r="CF3417"/>
      <c r="CG3417"/>
      <c r="CH3417"/>
      <c r="CI3417"/>
      <c r="CU3417" s="21">
        <v>3412</v>
      </c>
      <c r="CV3417" s="41">
        <v>4</v>
      </c>
      <c r="CW3417" s="41">
        <v>0.11332468572476186</v>
      </c>
      <c r="CX3417" s="41" t="e">
        <v>#N/A</v>
      </c>
      <c r="CY3417" s="41" t="e">
        <v>#N/A</v>
      </c>
      <c r="CZ3417" s="47" t="e">
        <v>#N/A</v>
      </c>
      <c r="DA3417">
        <v>0.11332468572476186</v>
      </c>
      <c r="DB3417" t="str">
        <v/>
      </c>
    </row>
    <row r="3418" spans="83:106" x14ac:dyDescent="0.2">
      <c r="CE3418"/>
      <c r="CF3418"/>
      <c r="CG3418"/>
      <c r="CH3418"/>
      <c r="CI3418"/>
      <c r="CU3418" s="21">
        <v>3413</v>
      </c>
      <c r="CV3418" s="41">
        <v>4</v>
      </c>
      <c r="CW3418" s="41">
        <v>0.11332468572476186</v>
      </c>
      <c r="CX3418" s="41" t="e">
        <v>#N/A</v>
      </c>
      <c r="CY3418" s="41" t="e">
        <v>#N/A</v>
      </c>
      <c r="CZ3418" s="47" t="e">
        <v>#N/A</v>
      </c>
      <c r="DA3418">
        <v>0.11332468572476186</v>
      </c>
      <c r="DB3418" t="str">
        <v/>
      </c>
    </row>
    <row r="3419" spans="83:106" x14ac:dyDescent="0.2">
      <c r="CE3419"/>
      <c r="CF3419"/>
      <c r="CG3419"/>
      <c r="CH3419"/>
      <c r="CI3419"/>
      <c r="CU3419" s="21">
        <v>3414</v>
      </c>
      <c r="CV3419" s="41">
        <v>4</v>
      </c>
      <c r="CW3419" s="41">
        <v>0.11332468572476186</v>
      </c>
      <c r="CX3419" s="41" t="e">
        <v>#N/A</v>
      </c>
      <c r="CY3419" s="41" t="e">
        <v>#N/A</v>
      </c>
      <c r="CZ3419" s="47" t="e">
        <v>#N/A</v>
      </c>
      <c r="DA3419">
        <v>0.11332468572476186</v>
      </c>
      <c r="DB3419" t="str">
        <v/>
      </c>
    </row>
    <row r="3420" spans="83:106" x14ac:dyDescent="0.2">
      <c r="CE3420"/>
      <c r="CF3420"/>
      <c r="CG3420"/>
      <c r="CH3420"/>
      <c r="CI3420"/>
      <c r="CU3420" s="21">
        <v>3415</v>
      </c>
      <c r="CV3420" s="41">
        <v>4</v>
      </c>
      <c r="CW3420" s="41">
        <v>0.11332468572476186</v>
      </c>
      <c r="CX3420" s="41" t="e">
        <v>#N/A</v>
      </c>
      <c r="CY3420" s="41" t="e">
        <v>#N/A</v>
      </c>
      <c r="CZ3420" s="47" t="e">
        <v>#N/A</v>
      </c>
      <c r="DA3420">
        <v>0.11332468572476186</v>
      </c>
      <c r="DB3420" t="str">
        <v/>
      </c>
    </row>
    <row r="3421" spans="83:106" x14ac:dyDescent="0.2">
      <c r="CE3421"/>
      <c r="CF3421"/>
      <c r="CG3421"/>
      <c r="CH3421"/>
      <c r="CI3421"/>
      <c r="CU3421" s="21">
        <v>3416</v>
      </c>
      <c r="CV3421" s="41">
        <v>4</v>
      </c>
      <c r="CW3421" s="41">
        <v>0.11332468572476186</v>
      </c>
      <c r="CX3421" s="41" t="e">
        <v>#N/A</v>
      </c>
      <c r="CY3421" s="41" t="e">
        <v>#N/A</v>
      </c>
      <c r="CZ3421" s="47" t="e">
        <v>#N/A</v>
      </c>
      <c r="DA3421">
        <v>0.11332468572476186</v>
      </c>
      <c r="DB3421" t="str">
        <v/>
      </c>
    </row>
    <row r="3422" spans="83:106" x14ac:dyDescent="0.2">
      <c r="CE3422"/>
      <c r="CF3422"/>
      <c r="CG3422"/>
      <c r="CH3422"/>
      <c r="CI3422"/>
      <c r="CU3422" s="21">
        <v>3417</v>
      </c>
      <c r="CV3422" s="41">
        <v>4</v>
      </c>
      <c r="CW3422" s="41">
        <v>0.11332468572476186</v>
      </c>
      <c r="CX3422" s="41" t="e">
        <v>#N/A</v>
      </c>
      <c r="CY3422" s="41" t="e">
        <v>#N/A</v>
      </c>
      <c r="CZ3422" s="47" t="e">
        <v>#N/A</v>
      </c>
      <c r="DA3422">
        <v>0.11332468572476186</v>
      </c>
      <c r="DB3422" t="str">
        <v/>
      </c>
    </row>
    <row r="3423" spans="83:106" x14ac:dyDescent="0.2">
      <c r="CE3423"/>
      <c r="CF3423"/>
      <c r="CG3423"/>
      <c r="CH3423"/>
      <c r="CI3423"/>
      <c r="CU3423" s="21">
        <v>3418</v>
      </c>
      <c r="CV3423" s="41">
        <v>4</v>
      </c>
      <c r="CW3423" s="41">
        <v>0.11332468572476186</v>
      </c>
      <c r="CX3423" s="41" t="e">
        <v>#N/A</v>
      </c>
      <c r="CY3423" s="41" t="e">
        <v>#N/A</v>
      </c>
      <c r="CZ3423" s="47" t="e">
        <v>#N/A</v>
      </c>
      <c r="DA3423">
        <v>0.11332468572476186</v>
      </c>
      <c r="DB3423" t="str">
        <v/>
      </c>
    </row>
    <row r="3424" spans="83:106" x14ac:dyDescent="0.2">
      <c r="CE3424"/>
      <c r="CF3424"/>
      <c r="CG3424"/>
      <c r="CH3424"/>
      <c r="CI3424"/>
      <c r="CU3424" s="21">
        <v>3419</v>
      </c>
      <c r="CV3424" s="41">
        <v>4</v>
      </c>
      <c r="CW3424" s="41">
        <v>0.11332468572476186</v>
      </c>
      <c r="CX3424" s="41" t="e">
        <v>#N/A</v>
      </c>
      <c r="CY3424" s="41" t="e">
        <v>#N/A</v>
      </c>
      <c r="CZ3424" s="47" t="e">
        <v>#N/A</v>
      </c>
      <c r="DA3424">
        <v>0.11332468572476186</v>
      </c>
      <c r="DB3424" t="str">
        <v/>
      </c>
    </row>
    <row r="3425" spans="83:106" x14ac:dyDescent="0.2">
      <c r="CE3425"/>
      <c r="CF3425"/>
      <c r="CG3425"/>
      <c r="CH3425"/>
      <c r="CI3425"/>
      <c r="CU3425" s="21">
        <v>3420</v>
      </c>
      <c r="CV3425" s="41">
        <v>4</v>
      </c>
      <c r="CW3425" s="41">
        <v>0.11332468572476186</v>
      </c>
      <c r="CX3425" s="41" t="e">
        <v>#N/A</v>
      </c>
      <c r="CY3425" s="41" t="e">
        <v>#N/A</v>
      </c>
      <c r="CZ3425" s="47" t="e">
        <v>#N/A</v>
      </c>
      <c r="DA3425">
        <v>0.11332468572476186</v>
      </c>
      <c r="DB3425" t="str">
        <v/>
      </c>
    </row>
    <row r="3426" spans="83:106" x14ac:dyDescent="0.2">
      <c r="CE3426"/>
      <c r="CF3426"/>
      <c r="CG3426"/>
      <c r="CH3426"/>
      <c r="CI3426"/>
      <c r="CU3426" s="21">
        <v>3421</v>
      </c>
      <c r="CV3426" s="41">
        <v>4</v>
      </c>
      <c r="CW3426" s="41">
        <v>0.11332468572476186</v>
      </c>
      <c r="CX3426" s="41" t="e">
        <v>#N/A</v>
      </c>
      <c r="CY3426" s="41" t="e">
        <v>#N/A</v>
      </c>
      <c r="CZ3426" s="47" t="e">
        <v>#N/A</v>
      </c>
      <c r="DA3426">
        <v>0.11332468572476186</v>
      </c>
      <c r="DB3426" t="str">
        <v/>
      </c>
    </row>
    <row r="3427" spans="83:106" x14ac:dyDescent="0.2">
      <c r="CE3427"/>
      <c r="CF3427"/>
      <c r="CG3427"/>
      <c r="CH3427"/>
      <c r="CI3427"/>
      <c r="CU3427" s="21">
        <v>3422</v>
      </c>
      <c r="CV3427" s="41">
        <v>4</v>
      </c>
      <c r="CW3427" s="41">
        <v>0.11332468572476186</v>
      </c>
      <c r="CX3427" s="41" t="e">
        <v>#N/A</v>
      </c>
      <c r="CY3427" s="41" t="e">
        <v>#N/A</v>
      </c>
      <c r="CZ3427" s="47" t="e">
        <v>#N/A</v>
      </c>
      <c r="DA3427">
        <v>0.11332468572476186</v>
      </c>
      <c r="DB3427" t="str">
        <v/>
      </c>
    </row>
    <row r="3428" spans="83:106" x14ac:dyDescent="0.2">
      <c r="CE3428"/>
      <c r="CF3428"/>
      <c r="CG3428"/>
      <c r="CH3428"/>
      <c r="CI3428"/>
      <c r="CU3428" s="21">
        <v>3423</v>
      </c>
      <c r="CV3428" s="41">
        <v>4</v>
      </c>
      <c r="CW3428" s="41">
        <v>0.11332468572476186</v>
      </c>
      <c r="CX3428" s="41" t="e">
        <v>#N/A</v>
      </c>
      <c r="CY3428" s="41" t="e">
        <v>#N/A</v>
      </c>
      <c r="CZ3428" s="47" t="e">
        <v>#N/A</v>
      </c>
      <c r="DA3428">
        <v>0.11332468572476186</v>
      </c>
      <c r="DB3428" t="str">
        <v/>
      </c>
    </row>
    <row r="3429" spans="83:106" x14ac:dyDescent="0.2">
      <c r="CE3429"/>
      <c r="CF3429"/>
      <c r="CG3429"/>
      <c r="CH3429"/>
      <c r="CI3429"/>
      <c r="CU3429" s="21">
        <v>3424</v>
      </c>
      <c r="CV3429" s="41">
        <v>4</v>
      </c>
      <c r="CW3429" s="41">
        <v>0.11332468572476186</v>
      </c>
      <c r="CX3429" s="41" t="e">
        <v>#N/A</v>
      </c>
      <c r="CY3429" s="41" t="e">
        <v>#N/A</v>
      </c>
      <c r="CZ3429" s="47" t="e">
        <v>#N/A</v>
      </c>
      <c r="DA3429">
        <v>0.11332468572476186</v>
      </c>
      <c r="DB3429" t="str">
        <v/>
      </c>
    </row>
    <row r="3430" spans="83:106" x14ac:dyDescent="0.2">
      <c r="CE3430"/>
      <c r="CF3430"/>
      <c r="CG3430"/>
      <c r="CH3430"/>
      <c r="CI3430"/>
      <c r="CU3430" s="21">
        <v>3425</v>
      </c>
      <c r="CV3430" s="41">
        <v>4</v>
      </c>
      <c r="CW3430" s="41">
        <v>0.11332468572476186</v>
      </c>
      <c r="CX3430" s="41" t="e">
        <v>#N/A</v>
      </c>
      <c r="CY3430" s="41" t="e">
        <v>#N/A</v>
      </c>
      <c r="CZ3430" s="47" t="e">
        <v>#N/A</v>
      </c>
      <c r="DA3430">
        <v>0.11332468572476186</v>
      </c>
      <c r="DB3430" t="str">
        <v/>
      </c>
    </row>
    <row r="3431" spans="83:106" x14ac:dyDescent="0.2">
      <c r="CE3431"/>
      <c r="CF3431"/>
      <c r="CG3431"/>
      <c r="CH3431"/>
      <c r="CI3431"/>
      <c r="CU3431" s="21">
        <v>3426</v>
      </c>
      <c r="CV3431" s="41">
        <v>4</v>
      </c>
      <c r="CW3431" s="41">
        <v>0.11332468572476186</v>
      </c>
      <c r="CX3431" s="41" t="e">
        <v>#N/A</v>
      </c>
      <c r="CY3431" s="41" t="e">
        <v>#N/A</v>
      </c>
      <c r="CZ3431" s="47" t="e">
        <v>#N/A</v>
      </c>
      <c r="DA3431">
        <v>0.11332468572476186</v>
      </c>
      <c r="DB3431" t="str">
        <v/>
      </c>
    </row>
    <row r="3432" spans="83:106" x14ac:dyDescent="0.2">
      <c r="CE3432"/>
      <c r="CF3432"/>
      <c r="CG3432"/>
      <c r="CH3432"/>
      <c r="CI3432"/>
      <c r="CU3432" s="21">
        <v>3427</v>
      </c>
      <c r="CV3432" s="41">
        <v>4</v>
      </c>
      <c r="CW3432" s="41">
        <v>0.11332468572476186</v>
      </c>
      <c r="CX3432" s="41" t="e">
        <v>#N/A</v>
      </c>
      <c r="CY3432" s="41" t="e">
        <v>#N/A</v>
      </c>
      <c r="CZ3432" s="47" t="e">
        <v>#N/A</v>
      </c>
      <c r="DA3432">
        <v>0.11332468572476186</v>
      </c>
      <c r="DB3432" t="str">
        <v/>
      </c>
    </row>
    <row r="3433" spans="83:106" x14ac:dyDescent="0.2">
      <c r="CE3433"/>
      <c r="CF3433"/>
      <c r="CG3433"/>
      <c r="CH3433"/>
      <c r="CI3433"/>
      <c r="CU3433" s="21">
        <v>3428</v>
      </c>
      <c r="CV3433" s="41">
        <v>4</v>
      </c>
      <c r="CW3433" s="41">
        <v>0.11332468572476186</v>
      </c>
      <c r="CX3433" s="41" t="e">
        <v>#N/A</v>
      </c>
      <c r="CY3433" s="41" t="e">
        <v>#N/A</v>
      </c>
      <c r="CZ3433" s="47" t="e">
        <v>#N/A</v>
      </c>
      <c r="DA3433">
        <v>0.11332468572476186</v>
      </c>
      <c r="DB3433" t="str">
        <v/>
      </c>
    </row>
    <row r="3434" spans="83:106" x14ac:dyDescent="0.2">
      <c r="CE3434"/>
      <c r="CF3434"/>
      <c r="CG3434"/>
      <c r="CH3434"/>
      <c r="CI3434"/>
      <c r="CU3434" s="21">
        <v>3429</v>
      </c>
      <c r="CV3434" s="41">
        <v>4</v>
      </c>
      <c r="CW3434" s="41">
        <v>0.11332468572476186</v>
      </c>
      <c r="CX3434" s="41" t="e">
        <v>#N/A</v>
      </c>
      <c r="CY3434" s="41" t="e">
        <v>#N/A</v>
      </c>
      <c r="CZ3434" s="47" t="e">
        <v>#N/A</v>
      </c>
      <c r="DA3434">
        <v>0.11332468572476186</v>
      </c>
      <c r="DB3434" t="str">
        <v/>
      </c>
    </row>
    <row r="3435" spans="83:106" x14ac:dyDescent="0.2">
      <c r="CE3435"/>
      <c r="CF3435"/>
      <c r="CG3435"/>
      <c r="CH3435"/>
      <c r="CI3435"/>
      <c r="CU3435" s="21">
        <v>3430</v>
      </c>
      <c r="CV3435" s="41">
        <v>4</v>
      </c>
      <c r="CW3435" s="41">
        <v>0.11332468572476186</v>
      </c>
      <c r="CX3435" s="41" t="e">
        <v>#N/A</v>
      </c>
      <c r="CY3435" s="41" t="e">
        <v>#N/A</v>
      </c>
      <c r="CZ3435" s="47" t="e">
        <v>#N/A</v>
      </c>
      <c r="DA3435">
        <v>0.11332468572476186</v>
      </c>
      <c r="DB3435" t="str">
        <v/>
      </c>
    </row>
    <row r="3436" spans="83:106" x14ac:dyDescent="0.2">
      <c r="CE3436"/>
      <c r="CF3436"/>
      <c r="CG3436"/>
      <c r="CH3436"/>
      <c r="CI3436"/>
      <c r="CU3436" s="21">
        <v>3431</v>
      </c>
      <c r="CV3436" s="41">
        <v>4</v>
      </c>
      <c r="CW3436" s="41">
        <v>0.11332468572476186</v>
      </c>
      <c r="CX3436" s="41" t="e">
        <v>#N/A</v>
      </c>
      <c r="CY3436" s="41" t="e">
        <v>#N/A</v>
      </c>
      <c r="CZ3436" s="47" t="e">
        <v>#N/A</v>
      </c>
      <c r="DA3436">
        <v>0.11332468572476186</v>
      </c>
      <c r="DB3436" t="str">
        <v/>
      </c>
    </row>
    <row r="3437" spans="83:106" x14ac:dyDescent="0.2">
      <c r="CE3437"/>
      <c r="CF3437"/>
      <c r="CG3437"/>
      <c r="CH3437"/>
      <c r="CI3437"/>
      <c r="CU3437" s="21">
        <v>3432</v>
      </c>
      <c r="CV3437" s="41">
        <v>4</v>
      </c>
      <c r="CW3437" s="41">
        <v>0.11332468572476186</v>
      </c>
      <c r="CX3437" s="41" t="e">
        <v>#N/A</v>
      </c>
      <c r="CY3437" s="41" t="e">
        <v>#N/A</v>
      </c>
      <c r="CZ3437" s="47" t="e">
        <v>#N/A</v>
      </c>
      <c r="DA3437">
        <v>0.11332468572476186</v>
      </c>
      <c r="DB3437" t="str">
        <v/>
      </c>
    </row>
    <row r="3438" spans="83:106" x14ac:dyDescent="0.2">
      <c r="CE3438"/>
      <c r="CF3438"/>
      <c r="CG3438"/>
      <c r="CH3438"/>
      <c r="CI3438"/>
      <c r="CU3438" s="21">
        <v>3433</v>
      </c>
      <c r="CV3438" s="41">
        <v>4</v>
      </c>
      <c r="CW3438" s="41">
        <v>0.11332468572476186</v>
      </c>
      <c r="CX3438" s="41" t="e">
        <v>#N/A</v>
      </c>
      <c r="CY3438" s="41" t="e">
        <v>#N/A</v>
      </c>
      <c r="CZ3438" s="47" t="e">
        <v>#N/A</v>
      </c>
      <c r="DA3438">
        <v>0.11332468572476186</v>
      </c>
      <c r="DB3438" t="str">
        <v/>
      </c>
    </row>
    <row r="3439" spans="83:106" x14ac:dyDescent="0.2">
      <c r="CE3439"/>
      <c r="CF3439"/>
      <c r="CG3439"/>
      <c r="CH3439"/>
      <c r="CI3439"/>
      <c r="CU3439" s="21">
        <v>3434</v>
      </c>
      <c r="CV3439" s="41">
        <v>4</v>
      </c>
      <c r="CW3439" s="41">
        <v>0.11332468572476186</v>
      </c>
      <c r="CX3439" s="41" t="e">
        <v>#N/A</v>
      </c>
      <c r="CY3439" s="41" t="e">
        <v>#N/A</v>
      </c>
      <c r="CZ3439" s="47" t="e">
        <v>#N/A</v>
      </c>
      <c r="DA3439">
        <v>0.11332468572476186</v>
      </c>
      <c r="DB3439" t="str">
        <v/>
      </c>
    </row>
    <row r="3440" spans="83:106" x14ac:dyDescent="0.2">
      <c r="CE3440"/>
      <c r="CF3440"/>
      <c r="CG3440"/>
      <c r="CH3440"/>
      <c r="CI3440"/>
      <c r="CU3440" s="21">
        <v>3435</v>
      </c>
      <c r="CV3440" s="41">
        <v>4</v>
      </c>
      <c r="CW3440" s="41">
        <v>0.11332468572476186</v>
      </c>
      <c r="CX3440" s="41" t="e">
        <v>#N/A</v>
      </c>
      <c r="CY3440" s="41" t="e">
        <v>#N/A</v>
      </c>
      <c r="CZ3440" s="47" t="e">
        <v>#N/A</v>
      </c>
      <c r="DA3440">
        <v>0.11332468572476186</v>
      </c>
      <c r="DB3440" t="str">
        <v/>
      </c>
    </row>
    <row r="3441" spans="83:106" x14ac:dyDescent="0.2">
      <c r="CE3441"/>
      <c r="CF3441"/>
      <c r="CG3441"/>
      <c r="CH3441"/>
      <c r="CI3441"/>
      <c r="CU3441" s="21">
        <v>3436</v>
      </c>
      <c r="CV3441" s="41">
        <v>4</v>
      </c>
      <c r="CW3441" s="41">
        <v>0.11332468572476186</v>
      </c>
      <c r="CX3441" s="41" t="e">
        <v>#N/A</v>
      </c>
      <c r="CY3441" s="41" t="e">
        <v>#N/A</v>
      </c>
      <c r="CZ3441" s="47" t="e">
        <v>#N/A</v>
      </c>
      <c r="DA3441">
        <v>0.11332468572476186</v>
      </c>
      <c r="DB3441" t="str">
        <v/>
      </c>
    </row>
    <row r="3442" spans="83:106" x14ac:dyDescent="0.2">
      <c r="CE3442"/>
      <c r="CF3442"/>
      <c r="CG3442"/>
      <c r="CH3442"/>
      <c r="CI3442"/>
      <c r="CU3442" s="21">
        <v>3437</v>
      </c>
      <c r="CV3442" s="41">
        <v>4</v>
      </c>
      <c r="CW3442" s="41">
        <v>0.11332468572476186</v>
      </c>
      <c r="CX3442" s="41" t="e">
        <v>#N/A</v>
      </c>
      <c r="CY3442" s="41" t="e">
        <v>#N/A</v>
      </c>
      <c r="CZ3442" s="47" t="e">
        <v>#N/A</v>
      </c>
      <c r="DA3442">
        <v>0.11332468572476186</v>
      </c>
      <c r="DB3442" t="str">
        <v/>
      </c>
    </row>
    <row r="3443" spans="83:106" x14ac:dyDescent="0.2">
      <c r="CE3443"/>
      <c r="CF3443"/>
      <c r="CG3443"/>
      <c r="CH3443"/>
      <c r="CI3443"/>
      <c r="CU3443" s="21">
        <v>3438</v>
      </c>
      <c r="CV3443" s="41">
        <v>4</v>
      </c>
      <c r="CW3443" s="41">
        <v>0.11332468572476186</v>
      </c>
      <c r="CX3443" s="41" t="e">
        <v>#N/A</v>
      </c>
      <c r="CY3443" s="41" t="e">
        <v>#N/A</v>
      </c>
      <c r="CZ3443" s="47" t="e">
        <v>#N/A</v>
      </c>
      <c r="DA3443">
        <v>0.11332468572476186</v>
      </c>
      <c r="DB3443" t="str">
        <v/>
      </c>
    </row>
    <row r="3444" spans="83:106" x14ac:dyDescent="0.2">
      <c r="CE3444"/>
      <c r="CF3444"/>
      <c r="CG3444"/>
      <c r="CH3444"/>
      <c r="CI3444"/>
      <c r="CU3444" s="21">
        <v>3439</v>
      </c>
      <c r="CV3444" s="41">
        <v>4</v>
      </c>
      <c r="CW3444" s="41">
        <v>0.11332468572476186</v>
      </c>
      <c r="CX3444" s="41" t="e">
        <v>#N/A</v>
      </c>
      <c r="CY3444" s="41" t="e">
        <v>#N/A</v>
      </c>
      <c r="CZ3444" s="47" t="e">
        <v>#N/A</v>
      </c>
      <c r="DA3444">
        <v>0.11332468572476186</v>
      </c>
      <c r="DB3444" t="str">
        <v/>
      </c>
    </row>
    <row r="3445" spans="83:106" x14ac:dyDescent="0.2">
      <c r="CE3445"/>
      <c r="CF3445"/>
      <c r="CG3445"/>
      <c r="CH3445"/>
      <c r="CI3445"/>
      <c r="CU3445" s="21">
        <v>3440</v>
      </c>
      <c r="CV3445" s="41">
        <v>4</v>
      </c>
      <c r="CW3445" s="41">
        <v>0.11332468572476186</v>
      </c>
      <c r="CX3445" s="41" t="e">
        <v>#N/A</v>
      </c>
      <c r="CY3445" s="41" t="e">
        <v>#N/A</v>
      </c>
      <c r="CZ3445" s="47" t="e">
        <v>#N/A</v>
      </c>
      <c r="DA3445">
        <v>0.11332468572476186</v>
      </c>
      <c r="DB3445" t="str">
        <v/>
      </c>
    </row>
    <row r="3446" spans="83:106" x14ac:dyDescent="0.2">
      <c r="CE3446"/>
      <c r="CF3446"/>
      <c r="CG3446"/>
      <c r="CH3446"/>
      <c r="CI3446"/>
      <c r="CU3446" s="21">
        <v>3441</v>
      </c>
      <c r="CV3446" s="41">
        <v>4</v>
      </c>
      <c r="CW3446" s="41">
        <v>0.11332468572476186</v>
      </c>
      <c r="CX3446" s="41" t="e">
        <v>#N/A</v>
      </c>
      <c r="CY3446" s="41" t="e">
        <v>#N/A</v>
      </c>
      <c r="CZ3446" s="47" t="e">
        <v>#N/A</v>
      </c>
      <c r="DA3446">
        <v>0.11332468572476186</v>
      </c>
      <c r="DB3446" t="str">
        <v/>
      </c>
    </row>
    <row r="3447" spans="83:106" x14ac:dyDescent="0.2">
      <c r="CE3447"/>
      <c r="CF3447"/>
      <c r="CG3447"/>
      <c r="CH3447"/>
      <c r="CI3447"/>
      <c r="CU3447" s="21">
        <v>3442</v>
      </c>
      <c r="CV3447" s="41">
        <v>4</v>
      </c>
      <c r="CW3447" s="41">
        <v>0.11332468572476186</v>
      </c>
      <c r="CX3447" s="41" t="e">
        <v>#N/A</v>
      </c>
      <c r="CY3447" s="41" t="e">
        <v>#N/A</v>
      </c>
      <c r="CZ3447" s="47" t="e">
        <v>#N/A</v>
      </c>
      <c r="DA3447">
        <v>0.11332468572476186</v>
      </c>
      <c r="DB3447" t="str">
        <v/>
      </c>
    </row>
    <row r="3448" spans="83:106" x14ac:dyDescent="0.2">
      <c r="CE3448"/>
      <c r="CF3448"/>
      <c r="CG3448"/>
      <c r="CH3448"/>
      <c r="CI3448"/>
      <c r="CU3448" s="21">
        <v>3443</v>
      </c>
      <c r="CV3448" s="41">
        <v>4</v>
      </c>
      <c r="CW3448" s="41">
        <v>0.11332468572476186</v>
      </c>
      <c r="CX3448" s="41" t="e">
        <v>#N/A</v>
      </c>
      <c r="CY3448" s="41" t="e">
        <v>#N/A</v>
      </c>
      <c r="CZ3448" s="47" t="e">
        <v>#N/A</v>
      </c>
      <c r="DA3448">
        <v>0.11332468572476186</v>
      </c>
      <c r="DB3448" t="str">
        <v/>
      </c>
    </row>
    <row r="3449" spans="83:106" x14ac:dyDescent="0.2">
      <c r="CE3449"/>
      <c r="CF3449"/>
      <c r="CG3449"/>
      <c r="CH3449"/>
      <c r="CI3449"/>
      <c r="CU3449" s="21">
        <v>3444</v>
      </c>
      <c r="CV3449" s="41">
        <v>4</v>
      </c>
      <c r="CW3449" s="41">
        <v>0.11332468572476186</v>
      </c>
      <c r="CX3449" s="41" t="e">
        <v>#N/A</v>
      </c>
      <c r="CY3449" s="41" t="e">
        <v>#N/A</v>
      </c>
      <c r="CZ3449" s="47" t="e">
        <v>#N/A</v>
      </c>
      <c r="DA3449">
        <v>0.11332468572476186</v>
      </c>
      <c r="DB3449" t="str">
        <v/>
      </c>
    </row>
    <row r="3450" spans="83:106" x14ac:dyDescent="0.2">
      <c r="CE3450"/>
      <c r="CF3450"/>
      <c r="CG3450"/>
      <c r="CH3450"/>
      <c r="CI3450"/>
      <c r="CU3450" s="21">
        <v>3445</v>
      </c>
      <c r="CV3450" s="41">
        <v>4</v>
      </c>
      <c r="CW3450" s="41">
        <v>0.11332468572476186</v>
      </c>
      <c r="CX3450" s="41" t="e">
        <v>#N/A</v>
      </c>
      <c r="CY3450" s="41" t="e">
        <v>#N/A</v>
      </c>
      <c r="CZ3450" s="47" t="e">
        <v>#N/A</v>
      </c>
      <c r="DA3450">
        <v>0.11332468572476186</v>
      </c>
      <c r="DB3450" t="str">
        <v/>
      </c>
    </row>
    <row r="3451" spans="83:106" x14ac:dyDescent="0.2">
      <c r="CE3451"/>
      <c r="CF3451"/>
      <c r="CG3451"/>
      <c r="CH3451"/>
      <c r="CI3451"/>
      <c r="CU3451" s="21">
        <v>3446</v>
      </c>
      <c r="CV3451" s="41">
        <v>4</v>
      </c>
      <c r="CW3451" s="41">
        <v>0.11332468572476186</v>
      </c>
      <c r="CX3451" s="41" t="e">
        <v>#N/A</v>
      </c>
      <c r="CY3451" s="41" t="e">
        <v>#N/A</v>
      </c>
      <c r="CZ3451" s="47" t="e">
        <v>#N/A</v>
      </c>
      <c r="DA3451">
        <v>0.11332468572476186</v>
      </c>
      <c r="DB3451" t="str">
        <v/>
      </c>
    </row>
    <row r="3452" spans="83:106" x14ac:dyDescent="0.2">
      <c r="CE3452"/>
      <c r="CF3452"/>
      <c r="CG3452"/>
      <c r="CH3452"/>
      <c r="CI3452"/>
      <c r="CU3452" s="21">
        <v>3447</v>
      </c>
      <c r="CV3452" s="41">
        <v>4</v>
      </c>
      <c r="CW3452" s="41">
        <v>0.11332468572476186</v>
      </c>
      <c r="CX3452" s="41" t="e">
        <v>#N/A</v>
      </c>
      <c r="CY3452" s="41" t="e">
        <v>#N/A</v>
      </c>
      <c r="CZ3452" s="47" t="e">
        <v>#N/A</v>
      </c>
      <c r="DA3452">
        <v>0.11332468572476186</v>
      </c>
      <c r="DB3452" t="str">
        <v/>
      </c>
    </row>
    <row r="3453" spans="83:106" x14ac:dyDescent="0.2">
      <c r="CE3453"/>
      <c r="CF3453"/>
      <c r="CG3453"/>
      <c r="CH3453"/>
      <c r="CI3453"/>
      <c r="CU3453" s="21">
        <v>3448</v>
      </c>
      <c r="CV3453" s="41">
        <v>4</v>
      </c>
      <c r="CW3453" s="41">
        <v>0.11332468572476186</v>
      </c>
      <c r="CX3453" s="41" t="e">
        <v>#N/A</v>
      </c>
      <c r="CY3453" s="41" t="e">
        <v>#N/A</v>
      </c>
      <c r="CZ3453" s="47" t="e">
        <v>#N/A</v>
      </c>
      <c r="DA3453">
        <v>0.11332468572476186</v>
      </c>
      <c r="DB3453" t="str">
        <v/>
      </c>
    </row>
    <row r="3454" spans="83:106" x14ac:dyDescent="0.2">
      <c r="CE3454"/>
      <c r="CF3454"/>
      <c r="CG3454"/>
      <c r="CH3454"/>
      <c r="CI3454"/>
      <c r="CU3454" s="21">
        <v>3449</v>
      </c>
      <c r="CV3454" s="41">
        <v>4</v>
      </c>
      <c r="CW3454" s="41">
        <v>0.11332468572476186</v>
      </c>
      <c r="CX3454" s="41" t="e">
        <v>#N/A</v>
      </c>
      <c r="CY3454" s="41" t="e">
        <v>#N/A</v>
      </c>
      <c r="CZ3454" s="47" t="e">
        <v>#N/A</v>
      </c>
      <c r="DA3454">
        <v>0.11332468572476186</v>
      </c>
      <c r="DB3454" t="str">
        <v/>
      </c>
    </row>
    <row r="3455" spans="83:106" x14ac:dyDescent="0.2">
      <c r="CE3455"/>
      <c r="CF3455"/>
      <c r="CG3455"/>
      <c r="CH3455"/>
      <c r="CI3455"/>
      <c r="CU3455" s="21">
        <v>3450</v>
      </c>
      <c r="CV3455" s="41">
        <v>4</v>
      </c>
      <c r="CW3455" s="41">
        <v>0.11332468572476186</v>
      </c>
      <c r="CX3455" s="41" t="e">
        <v>#N/A</v>
      </c>
      <c r="CY3455" s="41" t="e">
        <v>#N/A</v>
      </c>
      <c r="CZ3455" s="47" t="e">
        <v>#N/A</v>
      </c>
      <c r="DA3455">
        <v>0.11332468572476186</v>
      </c>
      <c r="DB3455" t="str">
        <v/>
      </c>
    </row>
    <row r="3456" spans="83:106" x14ac:dyDescent="0.2">
      <c r="CE3456"/>
      <c r="CF3456"/>
      <c r="CG3456"/>
      <c r="CH3456"/>
      <c r="CI3456"/>
      <c r="CU3456" s="21">
        <v>3451</v>
      </c>
      <c r="CV3456" s="41">
        <v>4</v>
      </c>
      <c r="CW3456" s="41">
        <v>0.11332468572476186</v>
      </c>
      <c r="CX3456" s="41" t="e">
        <v>#N/A</v>
      </c>
      <c r="CY3456" s="41" t="e">
        <v>#N/A</v>
      </c>
      <c r="CZ3456" s="47" t="e">
        <v>#N/A</v>
      </c>
      <c r="DA3456">
        <v>0.11332468572476186</v>
      </c>
      <c r="DB3456" t="str">
        <v/>
      </c>
    </row>
    <row r="3457" spans="83:106" x14ac:dyDescent="0.2">
      <c r="CE3457"/>
      <c r="CF3457"/>
      <c r="CG3457"/>
      <c r="CH3457"/>
      <c r="CI3457"/>
      <c r="CU3457" s="21">
        <v>3452</v>
      </c>
      <c r="CV3457" s="41">
        <v>4</v>
      </c>
      <c r="CW3457" s="41">
        <v>0.11332468572476186</v>
      </c>
      <c r="CX3457" s="41" t="e">
        <v>#N/A</v>
      </c>
      <c r="CY3457" s="41" t="e">
        <v>#N/A</v>
      </c>
      <c r="CZ3457" s="47" t="e">
        <v>#N/A</v>
      </c>
      <c r="DA3457">
        <v>0.11332468572476186</v>
      </c>
      <c r="DB3457" t="str">
        <v/>
      </c>
    </row>
    <row r="3458" spans="83:106" x14ac:dyDescent="0.2">
      <c r="CE3458"/>
      <c r="CF3458"/>
      <c r="CG3458"/>
      <c r="CH3458"/>
      <c r="CI3458"/>
      <c r="CU3458" s="21">
        <v>3453</v>
      </c>
      <c r="CV3458" s="41">
        <v>4</v>
      </c>
      <c r="CW3458" s="41">
        <v>0.11332468572476186</v>
      </c>
      <c r="CX3458" s="41" t="e">
        <v>#N/A</v>
      </c>
      <c r="CY3458" s="41" t="e">
        <v>#N/A</v>
      </c>
      <c r="CZ3458" s="47" t="e">
        <v>#N/A</v>
      </c>
      <c r="DA3458">
        <v>0.11332468572476186</v>
      </c>
      <c r="DB3458" t="str">
        <v/>
      </c>
    </row>
    <row r="3459" spans="83:106" x14ac:dyDescent="0.2">
      <c r="CE3459"/>
      <c r="CF3459"/>
      <c r="CG3459"/>
      <c r="CH3459"/>
      <c r="CI3459"/>
      <c r="CU3459" s="21">
        <v>3454</v>
      </c>
      <c r="CV3459" s="41">
        <v>4</v>
      </c>
      <c r="CW3459" s="41">
        <v>0.11332468572476186</v>
      </c>
      <c r="CX3459" s="41" t="e">
        <v>#N/A</v>
      </c>
      <c r="CY3459" s="41" t="e">
        <v>#N/A</v>
      </c>
      <c r="CZ3459" s="47" t="e">
        <v>#N/A</v>
      </c>
      <c r="DA3459">
        <v>0.11332468572476186</v>
      </c>
      <c r="DB3459" t="str">
        <v/>
      </c>
    </row>
    <row r="3460" spans="83:106" x14ac:dyDescent="0.2">
      <c r="CE3460"/>
      <c r="CF3460"/>
      <c r="CG3460"/>
      <c r="CH3460"/>
      <c r="CI3460"/>
      <c r="CU3460" s="21">
        <v>3455</v>
      </c>
      <c r="CV3460" s="41">
        <v>4</v>
      </c>
      <c r="CW3460" s="41">
        <v>0.11332468572476186</v>
      </c>
      <c r="CX3460" s="41" t="e">
        <v>#N/A</v>
      </c>
      <c r="CY3460" s="41" t="e">
        <v>#N/A</v>
      </c>
      <c r="CZ3460" s="47" t="e">
        <v>#N/A</v>
      </c>
      <c r="DA3460">
        <v>0.11332468572476186</v>
      </c>
      <c r="DB3460" t="str">
        <v/>
      </c>
    </row>
    <row r="3461" spans="83:106" x14ac:dyDescent="0.2">
      <c r="CE3461"/>
      <c r="CF3461"/>
      <c r="CG3461"/>
      <c r="CH3461"/>
      <c r="CI3461"/>
      <c r="CU3461" s="21">
        <v>3456</v>
      </c>
      <c r="CV3461" s="41">
        <v>4</v>
      </c>
      <c r="CW3461" s="41">
        <v>0.11332468572476186</v>
      </c>
      <c r="CX3461" s="41" t="e">
        <v>#N/A</v>
      </c>
      <c r="CY3461" s="41" t="e">
        <v>#N/A</v>
      </c>
      <c r="CZ3461" s="47" t="e">
        <v>#N/A</v>
      </c>
      <c r="DA3461">
        <v>0.11332468572476186</v>
      </c>
      <c r="DB3461" t="str">
        <v/>
      </c>
    </row>
    <row r="3462" spans="83:106" x14ac:dyDescent="0.2">
      <c r="CE3462"/>
      <c r="CF3462"/>
      <c r="CG3462"/>
      <c r="CH3462"/>
      <c r="CI3462"/>
      <c r="CU3462" s="21">
        <v>3457</v>
      </c>
      <c r="CV3462" s="41">
        <v>4</v>
      </c>
      <c r="CW3462" s="41">
        <v>0.11332468572476186</v>
      </c>
      <c r="CX3462" s="41" t="e">
        <v>#N/A</v>
      </c>
      <c r="CY3462" s="41" t="e">
        <v>#N/A</v>
      </c>
      <c r="CZ3462" s="47" t="e">
        <v>#N/A</v>
      </c>
      <c r="DA3462">
        <v>0.11332468572476186</v>
      </c>
      <c r="DB3462" t="str">
        <v/>
      </c>
    </row>
    <row r="3463" spans="83:106" x14ac:dyDescent="0.2">
      <c r="CE3463"/>
      <c r="CF3463"/>
      <c r="CG3463"/>
      <c r="CH3463"/>
      <c r="CI3463"/>
      <c r="CU3463" s="21">
        <v>3458</v>
      </c>
      <c r="CV3463" s="41">
        <v>4</v>
      </c>
      <c r="CW3463" s="41">
        <v>0.11332468572476186</v>
      </c>
      <c r="CX3463" s="41" t="e">
        <v>#N/A</v>
      </c>
      <c r="CY3463" s="41" t="e">
        <v>#N/A</v>
      </c>
      <c r="CZ3463" s="47" t="e">
        <v>#N/A</v>
      </c>
      <c r="DA3463">
        <v>0.11332468572476186</v>
      </c>
      <c r="DB3463" t="str">
        <v/>
      </c>
    </row>
    <row r="3464" spans="83:106" x14ac:dyDescent="0.2">
      <c r="CE3464"/>
      <c r="CF3464"/>
      <c r="CG3464"/>
      <c r="CH3464"/>
      <c r="CI3464"/>
      <c r="CU3464" s="21">
        <v>3459</v>
      </c>
      <c r="CV3464" s="41">
        <v>4</v>
      </c>
      <c r="CW3464" s="41">
        <v>0.11332468572476186</v>
      </c>
      <c r="CX3464" s="41" t="e">
        <v>#N/A</v>
      </c>
      <c r="CY3464" s="41" t="e">
        <v>#N/A</v>
      </c>
      <c r="CZ3464" s="47" t="e">
        <v>#N/A</v>
      </c>
      <c r="DA3464">
        <v>0.11332468572476186</v>
      </c>
      <c r="DB3464" t="str">
        <v/>
      </c>
    </row>
    <row r="3465" spans="83:106" x14ac:dyDescent="0.2">
      <c r="CE3465"/>
      <c r="CF3465"/>
      <c r="CG3465"/>
      <c r="CH3465"/>
      <c r="CI3465"/>
      <c r="CU3465" s="21">
        <v>3460</v>
      </c>
      <c r="CV3465" s="41">
        <v>4</v>
      </c>
      <c r="CW3465" s="41">
        <v>0.11332468572476186</v>
      </c>
      <c r="CX3465" s="41" t="e">
        <v>#N/A</v>
      </c>
      <c r="CY3465" s="41" t="e">
        <v>#N/A</v>
      </c>
      <c r="CZ3465" s="47" t="e">
        <v>#N/A</v>
      </c>
      <c r="DA3465">
        <v>0.11332468572476186</v>
      </c>
      <c r="DB3465" t="str">
        <v/>
      </c>
    </row>
    <row r="3466" spans="83:106" x14ac:dyDescent="0.2">
      <c r="CE3466"/>
      <c r="CF3466"/>
      <c r="CG3466"/>
      <c r="CH3466"/>
      <c r="CI3466"/>
      <c r="CU3466" s="21">
        <v>3461</v>
      </c>
      <c r="CV3466" s="41">
        <v>4</v>
      </c>
      <c r="CW3466" s="41">
        <v>0.11332468572476186</v>
      </c>
      <c r="CX3466" s="41" t="e">
        <v>#N/A</v>
      </c>
      <c r="CY3466" s="41" t="e">
        <v>#N/A</v>
      </c>
      <c r="CZ3466" s="47" t="e">
        <v>#N/A</v>
      </c>
      <c r="DA3466">
        <v>0.11332468572476186</v>
      </c>
      <c r="DB3466" t="str">
        <v/>
      </c>
    </row>
    <row r="3467" spans="83:106" x14ac:dyDescent="0.2">
      <c r="CE3467"/>
      <c r="CF3467"/>
      <c r="CG3467"/>
      <c r="CH3467"/>
      <c r="CI3467"/>
      <c r="CU3467" s="21">
        <v>3462</v>
      </c>
      <c r="CV3467" s="41">
        <v>4</v>
      </c>
      <c r="CW3467" s="41">
        <v>0.11332468572476186</v>
      </c>
      <c r="CX3467" s="41" t="e">
        <v>#N/A</v>
      </c>
      <c r="CY3467" s="41" t="e">
        <v>#N/A</v>
      </c>
      <c r="CZ3467" s="47" t="e">
        <v>#N/A</v>
      </c>
      <c r="DA3467">
        <v>0.11332468572476186</v>
      </c>
      <c r="DB3467" t="str">
        <v/>
      </c>
    </row>
    <row r="3468" spans="83:106" x14ac:dyDescent="0.2">
      <c r="CE3468"/>
      <c r="CF3468"/>
      <c r="CG3468"/>
      <c r="CH3468"/>
      <c r="CI3468"/>
      <c r="CU3468" s="21">
        <v>3463</v>
      </c>
      <c r="CV3468" s="41">
        <v>4</v>
      </c>
      <c r="CW3468" s="41">
        <v>0.11332468572476186</v>
      </c>
      <c r="CX3468" s="41" t="e">
        <v>#N/A</v>
      </c>
      <c r="CY3468" s="41" t="e">
        <v>#N/A</v>
      </c>
      <c r="CZ3468" s="47" t="e">
        <v>#N/A</v>
      </c>
      <c r="DA3468">
        <v>0.11332468572476186</v>
      </c>
      <c r="DB3468" t="str">
        <v/>
      </c>
    </row>
    <row r="3469" spans="83:106" x14ac:dyDescent="0.2">
      <c r="CE3469"/>
      <c r="CF3469"/>
      <c r="CG3469"/>
      <c r="CH3469"/>
      <c r="CI3469"/>
      <c r="CU3469" s="21">
        <v>3464</v>
      </c>
      <c r="CV3469" s="41">
        <v>4</v>
      </c>
      <c r="CW3469" s="41">
        <v>0.11332468572476186</v>
      </c>
      <c r="CX3469" s="41" t="e">
        <v>#N/A</v>
      </c>
      <c r="CY3469" s="41" t="e">
        <v>#N/A</v>
      </c>
      <c r="CZ3469" s="47" t="e">
        <v>#N/A</v>
      </c>
      <c r="DA3469">
        <v>0.11332468572476186</v>
      </c>
      <c r="DB3469" t="str">
        <v/>
      </c>
    </row>
    <row r="3470" spans="83:106" x14ac:dyDescent="0.2">
      <c r="CE3470"/>
      <c r="CF3470"/>
      <c r="CG3470"/>
      <c r="CH3470"/>
      <c r="CI3470"/>
      <c r="CU3470" s="21">
        <v>3465</v>
      </c>
      <c r="CV3470" s="41">
        <v>4</v>
      </c>
      <c r="CW3470" s="41">
        <v>0.11332468572476186</v>
      </c>
      <c r="CX3470" s="41" t="e">
        <v>#N/A</v>
      </c>
      <c r="CY3470" s="41" t="e">
        <v>#N/A</v>
      </c>
      <c r="CZ3470" s="47" t="e">
        <v>#N/A</v>
      </c>
      <c r="DA3470">
        <v>0.11332468572476186</v>
      </c>
      <c r="DB3470" t="str">
        <v/>
      </c>
    </row>
    <row r="3471" spans="83:106" x14ac:dyDescent="0.2">
      <c r="CE3471"/>
      <c r="CF3471"/>
      <c r="CG3471"/>
      <c r="CH3471"/>
      <c r="CI3471"/>
      <c r="CU3471" s="21">
        <v>3466</v>
      </c>
      <c r="CV3471" s="41">
        <v>4</v>
      </c>
      <c r="CW3471" s="41">
        <v>0.11332468572476186</v>
      </c>
      <c r="CX3471" s="41" t="e">
        <v>#N/A</v>
      </c>
      <c r="CY3471" s="41" t="e">
        <v>#N/A</v>
      </c>
      <c r="CZ3471" s="47" t="e">
        <v>#N/A</v>
      </c>
      <c r="DA3471">
        <v>0.11332468572476186</v>
      </c>
      <c r="DB3471" t="str">
        <v/>
      </c>
    </row>
    <row r="3472" spans="83:106" x14ac:dyDescent="0.2">
      <c r="CE3472"/>
      <c r="CF3472"/>
      <c r="CG3472"/>
      <c r="CH3472"/>
      <c r="CI3472"/>
      <c r="CU3472" s="21">
        <v>3467</v>
      </c>
      <c r="CV3472" s="41">
        <v>4</v>
      </c>
      <c r="CW3472" s="41">
        <v>0.11332468572476186</v>
      </c>
      <c r="CX3472" s="41" t="e">
        <v>#N/A</v>
      </c>
      <c r="CY3472" s="41" t="e">
        <v>#N/A</v>
      </c>
      <c r="CZ3472" s="47" t="e">
        <v>#N/A</v>
      </c>
      <c r="DA3472">
        <v>0.11332468572476186</v>
      </c>
      <c r="DB3472" t="str">
        <v/>
      </c>
    </row>
    <row r="3473" spans="83:106" x14ac:dyDescent="0.2">
      <c r="CE3473"/>
      <c r="CF3473"/>
      <c r="CG3473"/>
      <c r="CH3473"/>
      <c r="CI3473"/>
      <c r="CU3473" s="21">
        <v>3468</v>
      </c>
      <c r="CV3473" s="41">
        <v>4</v>
      </c>
      <c r="CW3473" s="41">
        <v>0.11332468572476186</v>
      </c>
      <c r="CX3473" s="41" t="e">
        <v>#N/A</v>
      </c>
      <c r="CY3473" s="41" t="e">
        <v>#N/A</v>
      </c>
      <c r="CZ3473" s="47" t="e">
        <v>#N/A</v>
      </c>
      <c r="DA3473">
        <v>0.11332468572476186</v>
      </c>
      <c r="DB3473" t="str">
        <v/>
      </c>
    </row>
    <row r="3474" spans="83:106" x14ac:dyDescent="0.2">
      <c r="CE3474"/>
      <c r="CF3474"/>
      <c r="CG3474"/>
      <c r="CH3474"/>
      <c r="CI3474"/>
      <c r="CU3474" s="21">
        <v>3469</v>
      </c>
      <c r="CV3474" s="41">
        <v>4</v>
      </c>
      <c r="CW3474" s="41">
        <v>0.11332468572476186</v>
      </c>
      <c r="CX3474" s="41" t="e">
        <v>#N/A</v>
      </c>
      <c r="CY3474" s="41" t="e">
        <v>#N/A</v>
      </c>
      <c r="CZ3474" s="47" t="e">
        <v>#N/A</v>
      </c>
      <c r="DA3474">
        <v>0.11332468572476186</v>
      </c>
      <c r="DB3474" t="str">
        <v/>
      </c>
    </row>
    <row r="3475" spans="83:106" x14ac:dyDescent="0.2">
      <c r="CE3475"/>
      <c r="CF3475"/>
      <c r="CG3475"/>
      <c r="CH3475"/>
      <c r="CI3475"/>
      <c r="CU3475" s="21">
        <v>3470</v>
      </c>
      <c r="CV3475" s="41">
        <v>4</v>
      </c>
      <c r="CW3475" s="41">
        <v>0.11332468572476186</v>
      </c>
      <c r="CX3475" s="41" t="e">
        <v>#N/A</v>
      </c>
      <c r="CY3475" s="41" t="e">
        <v>#N/A</v>
      </c>
      <c r="CZ3475" s="47" t="e">
        <v>#N/A</v>
      </c>
      <c r="DA3475">
        <v>0.11332468572476186</v>
      </c>
      <c r="DB3475" t="str">
        <v/>
      </c>
    </row>
    <row r="3476" spans="83:106" x14ac:dyDescent="0.2">
      <c r="CE3476"/>
      <c r="CF3476"/>
      <c r="CG3476"/>
      <c r="CH3476"/>
      <c r="CI3476"/>
      <c r="CU3476" s="21">
        <v>3471</v>
      </c>
      <c r="CV3476" s="41">
        <v>4</v>
      </c>
      <c r="CW3476" s="41">
        <v>0.11332468572476186</v>
      </c>
      <c r="CX3476" s="41" t="e">
        <v>#N/A</v>
      </c>
      <c r="CY3476" s="41" t="e">
        <v>#N/A</v>
      </c>
      <c r="CZ3476" s="47" t="e">
        <v>#N/A</v>
      </c>
      <c r="DA3476">
        <v>0.11332468572476186</v>
      </c>
      <c r="DB3476" t="str">
        <v/>
      </c>
    </row>
    <row r="3477" spans="83:106" x14ac:dyDescent="0.2">
      <c r="CE3477"/>
      <c r="CF3477"/>
      <c r="CG3477"/>
      <c r="CH3477"/>
      <c r="CI3477"/>
      <c r="CU3477" s="21">
        <v>3472</v>
      </c>
      <c r="CV3477" s="41">
        <v>4</v>
      </c>
      <c r="CW3477" s="41">
        <v>0.11332468572476186</v>
      </c>
      <c r="CX3477" s="41" t="e">
        <v>#N/A</v>
      </c>
      <c r="CY3477" s="41" t="e">
        <v>#N/A</v>
      </c>
      <c r="CZ3477" s="47" t="e">
        <v>#N/A</v>
      </c>
      <c r="DA3477">
        <v>0.11332468572476186</v>
      </c>
      <c r="DB3477" t="str">
        <v/>
      </c>
    </row>
    <row r="3478" spans="83:106" x14ac:dyDescent="0.2">
      <c r="CE3478"/>
      <c r="CF3478"/>
      <c r="CG3478"/>
      <c r="CH3478"/>
      <c r="CI3478"/>
      <c r="CU3478" s="21">
        <v>3473</v>
      </c>
      <c r="CV3478" s="41">
        <v>4</v>
      </c>
      <c r="CW3478" s="41">
        <v>0.11332468572476186</v>
      </c>
      <c r="CX3478" s="41" t="e">
        <v>#N/A</v>
      </c>
      <c r="CY3478" s="41" t="e">
        <v>#N/A</v>
      </c>
      <c r="CZ3478" s="47" t="e">
        <v>#N/A</v>
      </c>
      <c r="DA3478">
        <v>0.11332468572476186</v>
      </c>
      <c r="DB3478" t="str">
        <v/>
      </c>
    </row>
    <row r="3479" spans="83:106" x14ac:dyDescent="0.2">
      <c r="CE3479"/>
      <c r="CF3479"/>
      <c r="CG3479"/>
      <c r="CH3479"/>
      <c r="CI3479"/>
      <c r="CU3479" s="21">
        <v>3474</v>
      </c>
      <c r="CV3479" s="41">
        <v>4</v>
      </c>
      <c r="CW3479" s="41">
        <v>0.11332468572476186</v>
      </c>
      <c r="CX3479" s="41" t="e">
        <v>#N/A</v>
      </c>
      <c r="CY3479" s="41" t="e">
        <v>#N/A</v>
      </c>
      <c r="CZ3479" s="47" t="e">
        <v>#N/A</v>
      </c>
      <c r="DA3479">
        <v>0.11332468572476186</v>
      </c>
      <c r="DB3479" t="str">
        <v/>
      </c>
    </row>
    <row r="3480" spans="83:106" x14ac:dyDescent="0.2">
      <c r="CE3480"/>
      <c r="CF3480"/>
      <c r="CG3480"/>
      <c r="CH3480"/>
      <c r="CI3480"/>
      <c r="CU3480" s="21">
        <v>3475</v>
      </c>
      <c r="CV3480" s="41">
        <v>4</v>
      </c>
      <c r="CW3480" s="41">
        <v>0.11332468572476186</v>
      </c>
      <c r="CX3480" s="41" t="e">
        <v>#N/A</v>
      </c>
      <c r="CY3480" s="41" t="e">
        <v>#N/A</v>
      </c>
      <c r="CZ3480" s="47" t="e">
        <v>#N/A</v>
      </c>
      <c r="DA3480">
        <v>0.11332468572476186</v>
      </c>
      <c r="DB3480" t="str">
        <v/>
      </c>
    </row>
    <row r="3481" spans="83:106" x14ac:dyDescent="0.2">
      <c r="CE3481"/>
      <c r="CF3481"/>
      <c r="CG3481"/>
      <c r="CH3481"/>
      <c r="CI3481"/>
      <c r="CU3481" s="21">
        <v>3476</v>
      </c>
      <c r="CV3481" s="41">
        <v>4</v>
      </c>
      <c r="CW3481" s="41">
        <v>0.11332468572476186</v>
      </c>
      <c r="CX3481" s="41" t="e">
        <v>#N/A</v>
      </c>
      <c r="CY3481" s="41" t="e">
        <v>#N/A</v>
      </c>
      <c r="CZ3481" s="47" t="e">
        <v>#N/A</v>
      </c>
      <c r="DA3481">
        <v>0.11332468572476186</v>
      </c>
      <c r="DB3481" t="str">
        <v/>
      </c>
    </row>
    <row r="3482" spans="83:106" x14ac:dyDescent="0.2">
      <c r="CE3482"/>
      <c r="CF3482"/>
      <c r="CG3482"/>
      <c r="CH3482"/>
      <c r="CI3482"/>
      <c r="CU3482" s="21">
        <v>3477</v>
      </c>
      <c r="CV3482" s="41">
        <v>4</v>
      </c>
      <c r="CW3482" s="41">
        <v>0.11332468572476186</v>
      </c>
      <c r="CX3482" s="41" t="e">
        <v>#N/A</v>
      </c>
      <c r="CY3482" s="41" t="e">
        <v>#N/A</v>
      </c>
      <c r="CZ3482" s="47" t="e">
        <v>#N/A</v>
      </c>
      <c r="DA3482">
        <v>0.11332468572476186</v>
      </c>
      <c r="DB3482" t="str">
        <v/>
      </c>
    </row>
    <row r="3483" spans="83:106" x14ac:dyDescent="0.2">
      <c r="CE3483"/>
      <c r="CF3483"/>
      <c r="CG3483"/>
      <c r="CH3483"/>
      <c r="CI3483"/>
      <c r="CU3483" s="21">
        <v>3478</v>
      </c>
      <c r="CV3483" s="41">
        <v>4</v>
      </c>
      <c r="CW3483" s="41">
        <v>0.11332468572476186</v>
      </c>
      <c r="CX3483" s="41" t="e">
        <v>#N/A</v>
      </c>
      <c r="CY3483" s="41" t="e">
        <v>#N/A</v>
      </c>
      <c r="CZ3483" s="47" t="e">
        <v>#N/A</v>
      </c>
      <c r="DA3483">
        <v>0.11332468572476186</v>
      </c>
      <c r="DB3483" t="str">
        <v/>
      </c>
    </row>
    <row r="3484" spans="83:106" x14ac:dyDescent="0.2">
      <c r="CE3484"/>
      <c r="CF3484"/>
      <c r="CG3484"/>
      <c r="CH3484"/>
      <c r="CI3484"/>
      <c r="CU3484" s="21">
        <v>3479</v>
      </c>
      <c r="CV3484" s="41">
        <v>4</v>
      </c>
      <c r="CW3484" s="41">
        <v>0.11332468572476186</v>
      </c>
      <c r="CX3484" s="41" t="e">
        <v>#N/A</v>
      </c>
      <c r="CY3484" s="41" t="e">
        <v>#N/A</v>
      </c>
      <c r="CZ3484" s="47" t="e">
        <v>#N/A</v>
      </c>
      <c r="DA3484">
        <v>0.11332468572476186</v>
      </c>
      <c r="DB3484" t="str">
        <v/>
      </c>
    </row>
    <row r="3485" spans="83:106" x14ac:dyDescent="0.2">
      <c r="CE3485"/>
      <c r="CF3485"/>
      <c r="CG3485"/>
      <c r="CH3485"/>
      <c r="CI3485"/>
      <c r="CU3485" s="21">
        <v>3480</v>
      </c>
      <c r="CV3485" s="41">
        <v>4</v>
      </c>
      <c r="CW3485" s="41">
        <v>0.11332468572476186</v>
      </c>
      <c r="CX3485" s="41" t="e">
        <v>#N/A</v>
      </c>
      <c r="CY3485" s="41" t="e">
        <v>#N/A</v>
      </c>
      <c r="CZ3485" s="47" t="e">
        <v>#N/A</v>
      </c>
      <c r="DA3485">
        <v>0.11332468572476186</v>
      </c>
      <c r="DB3485" t="str">
        <v/>
      </c>
    </row>
    <row r="3486" spans="83:106" x14ac:dyDescent="0.2">
      <c r="CE3486"/>
      <c r="CF3486"/>
      <c r="CG3486"/>
      <c r="CH3486"/>
      <c r="CI3486"/>
      <c r="CU3486" s="21">
        <v>3481</v>
      </c>
      <c r="CV3486" s="41">
        <v>4</v>
      </c>
      <c r="CW3486" s="41">
        <v>0.11332468572476186</v>
      </c>
      <c r="CX3486" s="41" t="e">
        <v>#N/A</v>
      </c>
      <c r="CY3486" s="41" t="e">
        <v>#N/A</v>
      </c>
      <c r="CZ3486" s="47" t="e">
        <v>#N/A</v>
      </c>
      <c r="DA3486">
        <v>0.11332468572476186</v>
      </c>
      <c r="DB3486" t="str">
        <v/>
      </c>
    </row>
    <row r="3487" spans="83:106" x14ac:dyDescent="0.2">
      <c r="CE3487"/>
      <c r="CF3487"/>
      <c r="CG3487"/>
      <c r="CH3487"/>
      <c r="CI3487"/>
      <c r="CU3487" s="21">
        <v>3482</v>
      </c>
      <c r="CV3487" s="41">
        <v>4</v>
      </c>
      <c r="CW3487" s="41">
        <v>0.11332468572476186</v>
      </c>
      <c r="CX3487" s="41" t="e">
        <v>#N/A</v>
      </c>
      <c r="CY3487" s="41" t="e">
        <v>#N/A</v>
      </c>
      <c r="CZ3487" s="47" t="e">
        <v>#N/A</v>
      </c>
      <c r="DA3487">
        <v>0.11332468572476186</v>
      </c>
      <c r="DB3487" t="str">
        <v/>
      </c>
    </row>
    <row r="3488" spans="83:106" x14ac:dyDescent="0.2">
      <c r="CE3488"/>
      <c r="CF3488"/>
      <c r="CG3488"/>
      <c r="CH3488"/>
      <c r="CI3488"/>
      <c r="CU3488" s="21">
        <v>3483</v>
      </c>
      <c r="CV3488" s="41">
        <v>4</v>
      </c>
      <c r="CW3488" s="41">
        <v>0.11332468572476186</v>
      </c>
      <c r="CX3488" s="41" t="e">
        <v>#N/A</v>
      </c>
      <c r="CY3488" s="41" t="e">
        <v>#N/A</v>
      </c>
      <c r="CZ3488" s="47" t="e">
        <v>#N/A</v>
      </c>
      <c r="DA3488">
        <v>0.11332468572476186</v>
      </c>
      <c r="DB3488" t="str">
        <v/>
      </c>
    </row>
    <row r="3489" spans="83:106" x14ac:dyDescent="0.2">
      <c r="CE3489"/>
      <c r="CF3489"/>
      <c r="CG3489"/>
      <c r="CH3489"/>
      <c r="CI3489"/>
      <c r="CU3489" s="21">
        <v>3484</v>
      </c>
      <c r="CV3489" s="41">
        <v>4</v>
      </c>
      <c r="CW3489" s="41">
        <v>0.11332468572476186</v>
      </c>
      <c r="CX3489" s="41" t="e">
        <v>#N/A</v>
      </c>
      <c r="CY3489" s="41" t="e">
        <v>#N/A</v>
      </c>
      <c r="CZ3489" s="47" t="e">
        <v>#N/A</v>
      </c>
      <c r="DA3489">
        <v>0.11332468572476186</v>
      </c>
      <c r="DB3489" t="str">
        <v/>
      </c>
    </row>
    <row r="3490" spans="83:106" x14ac:dyDescent="0.2">
      <c r="CE3490"/>
      <c r="CF3490"/>
      <c r="CG3490"/>
      <c r="CH3490"/>
      <c r="CI3490"/>
      <c r="CU3490" s="21">
        <v>3485</v>
      </c>
      <c r="CV3490" s="41">
        <v>4</v>
      </c>
      <c r="CW3490" s="41">
        <v>0.11332468572476186</v>
      </c>
      <c r="CX3490" s="41" t="e">
        <v>#N/A</v>
      </c>
      <c r="CY3490" s="41" t="e">
        <v>#N/A</v>
      </c>
      <c r="CZ3490" s="47" t="e">
        <v>#N/A</v>
      </c>
      <c r="DA3490">
        <v>0.11332468572476186</v>
      </c>
      <c r="DB3490" t="str">
        <v/>
      </c>
    </row>
    <row r="3491" spans="83:106" x14ac:dyDescent="0.2">
      <c r="CE3491"/>
      <c r="CF3491"/>
      <c r="CG3491"/>
      <c r="CH3491"/>
      <c r="CI3491"/>
      <c r="CU3491" s="21">
        <v>3486</v>
      </c>
      <c r="CV3491" s="41">
        <v>4</v>
      </c>
      <c r="CW3491" s="41">
        <v>0.11332468572476186</v>
      </c>
      <c r="CX3491" s="41" t="e">
        <v>#N/A</v>
      </c>
      <c r="CY3491" s="41" t="e">
        <v>#N/A</v>
      </c>
      <c r="CZ3491" s="47" t="e">
        <v>#N/A</v>
      </c>
      <c r="DA3491">
        <v>0.11332468572476186</v>
      </c>
      <c r="DB3491" t="str">
        <v/>
      </c>
    </row>
    <row r="3492" spans="83:106" x14ac:dyDescent="0.2">
      <c r="CE3492"/>
      <c r="CF3492"/>
      <c r="CG3492"/>
      <c r="CH3492"/>
      <c r="CI3492"/>
      <c r="CU3492" s="21">
        <v>3487</v>
      </c>
      <c r="CV3492" s="41">
        <v>4</v>
      </c>
      <c r="CW3492" s="41">
        <v>0.11332468572476186</v>
      </c>
      <c r="CX3492" s="41" t="e">
        <v>#N/A</v>
      </c>
      <c r="CY3492" s="41" t="e">
        <v>#N/A</v>
      </c>
      <c r="CZ3492" s="47" t="e">
        <v>#N/A</v>
      </c>
      <c r="DA3492">
        <v>0.11332468572476186</v>
      </c>
      <c r="DB3492" t="str">
        <v/>
      </c>
    </row>
    <row r="3493" spans="83:106" x14ac:dyDescent="0.2">
      <c r="CE3493"/>
      <c r="CF3493"/>
      <c r="CG3493"/>
      <c r="CH3493"/>
      <c r="CI3493"/>
      <c r="CU3493" s="21">
        <v>3488</v>
      </c>
      <c r="CV3493" s="41">
        <v>4</v>
      </c>
      <c r="CW3493" s="41">
        <v>0.11332468572476186</v>
      </c>
      <c r="CX3493" s="41" t="e">
        <v>#N/A</v>
      </c>
      <c r="CY3493" s="41" t="e">
        <v>#N/A</v>
      </c>
      <c r="CZ3493" s="47" t="e">
        <v>#N/A</v>
      </c>
      <c r="DA3493">
        <v>0.11332468572476186</v>
      </c>
      <c r="DB3493" t="str">
        <v/>
      </c>
    </row>
    <row r="3494" spans="83:106" x14ac:dyDescent="0.2">
      <c r="CE3494"/>
      <c r="CF3494"/>
      <c r="CG3494"/>
      <c r="CH3494"/>
      <c r="CI3494"/>
      <c r="CU3494" s="21">
        <v>3489</v>
      </c>
      <c r="CV3494" s="41">
        <v>4</v>
      </c>
      <c r="CW3494" s="41">
        <v>0.11332468572476186</v>
      </c>
      <c r="CX3494" s="41" t="e">
        <v>#N/A</v>
      </c>
      <c r="CY3494" s="41" t="e">
        <v>#N/A</v>
      </c>
      <c r="CZ3494" s="47" t="e">
        <v>#N/A</v>
      </c>
      <c r="DA3494">
        <v>0.11332468572476186</v>
      </c>
      <c r="DB3494" t="str">
        <v/>
      </c>
    </row>
    <row r="3495" spans="83:106" x14ac:dyDescent="0.2">
      <c r="CE3495"/>
      <c r="CF3495"/>
      <c r="CG3495"/>
      <c r="CH3495"/>
      <c r="CI3495"/>
      <c r="CU3495" s="21">
        <v>3490</v>
      </c>
      <c r="CV3495" s="41">
        <v>4</v>
      </c>
      <c r="CW3495" s="41">
        <v>0.11332468572476186</v>
      </c>
      <c r="CX3495" s="41" t="e">
        <v>#N/A</v>
      </c>
      <c r="CY3495" s="41" t="e">
        <v>#N/A</v>
      </c>
      <c r="CZ3495" s="47" t="e">
        <v>#N/A</v>
      </c>
      <c r="DA3495">
        <v>0.11332468572476186</v>
      </c>
      <c r="DB3495" t="str">
        <v/>
      </c>
    </row>
    <row r="3496" spans="83:106" x14ac:dyDescent="0.2">
      <c r="CE3496"/>
      <c r="CF3496"/>
      <c r="CG3496"/>
      <c r="CH3496"/>
      <c r="CI3496"/>
      <c r="CU3496" s="21">
        <v>3491</v>
      </c>
      <c r="CV3496" s="41">
        <v>4</v>
      </c>
      <c r="CW3496" s="41">
        <v>0.11332468572476186</v>
      </c>
      <c r="CX3496" s="41" t="e">
        <v>#N/A</v>
      </c>
      <c r="CY3496" s="41" t="e">
        <v>#N/A</v>
      </c>
      <c r="CZ3496" s="47" t="e">
        <v>#N/A</v>
      </c>
      <c r="DA3496">
        <v>0.11332468572476186</v>
      </c>
      <c r="DB3496" t="str">
        <v/>
      </c>
    </row>
    <row r="3497" spans="83:106" x14ac:dyDescent="0.2">
      <c r="CE3497"/>
      <c r="CF3497"/>
      <c r="CG3497"/>
      <c r="CH3497"/>
      <c r="CI3497"/>
      <c r="CU3497" s="21">
        <v>3492</v>
      </c>
      <c r="CV3497" s="41">
        <v>4</v>
      </c>
      <c r="CW3497" s="41">
        <v>0.11332468572476186</v>
      </c>
      <c r="CX3497" s="41" t="e">
        <v>#N/A</v>
      </c>
      <c r="CY3497" s="41" t="e">
        <v>#N/A</v>
      </c>
      <c r="CZ3497" s="47" t="e">
        <v>#N/A</v>
      </c>
      <c r="DA3497">
        <v>0.11332468572476186</v>
      </c>
      <c r="DB3497" t="str">
        <v/>
      </c>
    </row>
    <row r="3498" spans="83:106" x14ac:dyDescent="0.2">
      <c r="CE3498"/>
      <c r="CF3498"/>
      <c r="CG3498"/>
      <c r="CH3498"/>
      <c r="CI3498"/>
      <c r="CU3498" s="21">
        <v>3493</v>
      </c>
      <c r="CV3498" s="41">
        <v>4</v>
      </c>
      <c r="CW3498" s="41">
        <v>0.11332468572476186</v>
      </c>
      <c r="CX3498" s="41" t="e">
        <v>#N/A</v>
      </c>
      <c r="CY3498" s="41" t="e">
        <v>#N/A</v>
      </c>
      <c r="CZ3498" s="47" t="e">
        <v>#N/A</v>
      </c>
      <c r="DA3498">
        <v>0.11332468572476186</v>
      </c>
      <c r="DB3498" t="str">
        <v/>
      </c>
    </row>
    <row r="3499" spans="83:106" x14ac:dyDescent="0.2">
      <c r="CE3499"/>
      <c r="CF3499"/>
      <c r="CG3499"/>
      <c r="CH3499"/>
      <c r="CI3499"/>
      <c r="CU3499" s="21">
        <v>3494</v>
      </c>
      <c r="CV3499" s="41">
        <v>4</v>
      </c>
      <c r="CW3499" s="41">
        <v>0.11332468572476186</v>
      </c>
      <c r="CX3499" s="41" t="e">
        <v>#N/A</v>
      </c>
      <c r="CY3499" s="41" t="e">
        <v>#N/A</v>
      </c>
      <c r="CZ3499" s="47" t="e">
        <v>#N/A</v>
      </c>
      <c r="DA3499">
        <v>0.11332468572476186</v>
      </c>
      <c r="DB3499" t="str">
        <v/>
      </c>
    </row>
    <row r="3500" spans="83:106" x14ac:dyDescent="0.2">
      <c r="CE3500"/>
      <c r="CF3500"/>
      <c r="CG3500"/>
      <c r="CH3500"/>
      <c r="CI3500"/>
      <c r="CU3500" s="21">
        <v>3495</v>
      </c>
      <c r="CV3500" s="41">
        <v>4</v>
      </c>
      <c r="CW3500" s="41">
        <v>0.11332468572476186</v>
      </c>
      <c r="CX3500" s="41" t="e">
        <v>#N/A</v>
      </c>
      <c r="CY3500" s="41" t="e">
        <v>#N/A</v>
      </c>
      <c r="CZ3500" s="47" t="e">
        <v>#N/A</v>
      </c>
      <c r="DA3500">
        <v>0.11332468572476186</v>
      </c>
      <c r="DB3500" t="str">
        <v/>
      </c>
    </row>
    <row r="3501" spans="83:106" x14ac:dyDescent="0.2">
      <c r="CE3501"/>
      <c r="CF3501"/>
      <c r="CG3501"/>
      <c r="CH3501"/>
      <c r="CI3501"/>
      <c r="CU3501" s="21">
        <v>3496</v>
      </c>
      <c r="CV3501" s="41">
        <v>4</v>
      </c>
      <c r="CW3501" s="41">
        <v>0.11332468572476186</v>
      </c>
      <c r="CX3501" s="41" t="e">
        <v>#N/A</v>
      </c>
      <c r="CY3501" s="41" t="e">
        <v>#N/A</v>
      </c>
      <c r="CZ3501" s="47" t="e">
        <v>#N/A</v>
      </c>
      <c r="DA3501">
        <v>0.11332468572476186</v>
      </c>
      <c r="DB3501" t="str">
        <v/>
      </c>
    </row>
    <row r="3502" spans="83:106" x14ac:dyDescent="0.2">
      <c r="CE3502"/>
      <c r="CF3502"/>
      <c r="CG3502"/>
      <c r="CH3502"/>
      <c r="CI3502"/>
      <c r="CU3502" s="21">
        <v>3497</v>
      </c>
      <c r="CV3502" s="41">
        <v>4</v>
      </c>
      <c r="CW3502" s="41">
        <v>0.11332468572476186</v>
      </c>
      <c r="CX3502" s="41" t="e">
        <v>#N/A</v>
      </c>
      <c r="CY3502" s="41" t="e">
        <v>#N/A</v>
      </c>
      <c r="CZ3502" s="47" t="e">
        <v>#N/A</v>
      </c>
      <c r="DA3502">
        <v>0.11332468572476186</v>
      </c>
      <c r="DB3502" t="str">
        <v/>
      </c>
    </row>
    <row r="3503" spans="83:106" x14ac:dyDescent="0.2">
      <c r="CE3503"/>
      <c r="CF3503"/>
      <c r="CG3503"/>
      <c r="CH3503"/>
      <c r="CI3503"/>
      <c r="CU3503" s="21">
        <v>3498</v>
      </c>
      <c r="CV3503" s="41">
        <v>4</v>
      </c>
      <c r="CW3503" s="41">
        <v>0.11332468572476186</v>
      </c>
      <c r="CX3503" s="41" t="e">
        <v>#N/A</v>
      </c>
      <c r="CY3503" s="41" t="e">
        <v>#N/A</v>
      </c>
      <c r="CZ3503" s="47" t="e">
        <v>#N/A</v>
      </c>
      <c r="DA3503">
        <v>0.11332468572476186</v>
      </c>
      <c r="DB3503" t="str">
        <v/>
      </c>
    </row>
    <row r="3504" spans="83:106" x14ac:dyDescent="0.2">
      <c r="CE3504"/>
      <c r="CF3504"/>
      <c r="CG3504"/>
      <c r="CH3504"/>
      <c r="CI3504"/>
      <c r="CU3504" s="21">
        <v>3499</v>
      </c>
      <c r="CV3504" s="41">
        <v>4</v>
      </c>
      <c r="CW3504" s="41">
        <v>0.11332468572476186</v>
      </c>
      <c r="CX3504" s="41" t="e">
        <v>#N/A</v>
      </c>
      <c r="CY3504" s="41" t="e">
        <v>#N/A</v>
      </c>
      <c r="CZ3504" s="47" t="e">
        <v>#N/A</v>
      </c>
      <c r="DA3504">
        <v>0.11332468572476186</v>
      </c>
      <c r="DB3504" t="str">
        <v/>
      </c>
    </row>
    <row r="3505" spans="83:106" x14ac:dyDescent="0.2">
      <c r="CE3505"/>
      <c r="CF3505"/>
      <c r="CG3505"/>
      <c r="CH3505"/>
      <c r="CI3505"/>
      <c r="CU3505" s="21">
        <v>3500</v>
      </c>
      <c r="CV3505" s="41">
        <v>4</v>
      </c>
      <c r="CW3505" s="41">
        <v>0.11332468572476186</v>
      </c>
      <c r="CX3505" s="41" t="e">
        <v>#N/A</v>
      </c>
      <c r="CY3505" s="41" t="e">
        <v>#N/A</v>
      </c>
      <c r="CZ3505" s="47" t="e">
        <v>#N/A</v>
      </c>
      <c r="DA3505">
        <v>0.11332468572476186</v>
      </c>
      <c r="DB3505" t="str">
        <v/>
      </c>
    </row>
    <row r="3506" spans="83:106" x14ac:dyDescent="0.2">
      <c r="CE3506"/>
      <c r="CF3506"/>
      <c r="CG3506"/>
      <c r="CH3506"/>
      <c r="CI3506"/>
      <c r="CU3506" s="21">
        <v>3501</v>
      </c>
      <c r="CV3506" s="41">
        <v>4</v>
      </c>
      <c r="CW3506" s="41">
        <v>0.11332468572476186</v>
      </c>
      <c r="CX3506" s="41" t="e">
        <v>#N/A</v>
      </c>
      <c r="CY3506" s="41" t="e">
        <v>#N/A</v>
      </c>
      <c r="CZ3506" s="47" t="e">
        <v>#N/A</v>
      </c>
      <c r="DA3506">
        <v>0.11332468572476186</v>
      </c>
      <c r="DB3506" t="str">
        <v/>
      </c>
    </row>
    <row r="3507" spans="83:106" x14ac:dyDescent="0.2">
      <c r="CE3507"/>
      <c r="CF3507"/>
      <c r="CG3507"/>
      <c r="CH3507"/>
      <c r="CI3507"/>
      <c r="CU3507" s="21">
        <v>3502</v>
      </c>
      <c r="CV3507" s="41">
        <v>4</v>
      </c>
      <c r="CW3507" s="41">
        <v>0.11332468572476186</v>
      </c>
      <c r="CX3507" s="41" t="e">
        <v>#N/A</v>
      </c>
      <c r="CY3507" s="41" t="e">
        <v>#N/A</v>
      </c>
      <c r="CZ3507" s="47" t="e">
        <v>#N/A</v>
      </c>
      <c r="DA3507">
        <v>0.11332468572476186</v>
      </c>
      <c r="DB3507" t="str">
        <v/>
      </c>
    </row>
    <row r="3508" spans="83:106" x14ac:dyDescent="0.2">
      <c r="CE3508"/>
      <c r="CF3508"/>
      <c r="CG3508"/>
      <c r="CH3508"/>
      <c r="CI3508"/>
      <c r="CU3508" s="21">
        <v>3503</v>
      </c>
      <c r="CV3508" s="41">
        <v>4</v>
      </c>
      <c r="CW3508" s="41">
        <v>0.11332468572476186</v>
      </c>
      <c r="CX3508" s="41" t="e">
        <v>#N/A</v>
      </c>
      <c r="CY3508" s="41" t="e">
        <v>#N/A</v>
      </c>
      <c r="CZ3508" s="47" t="e">
        <v>#N/A</v>
      </c>
      <c r="DA3508">
        <v>0.11332468572476186</v>
      </c>
      <c r="DB3508" t="str">
        <v/>
      </c>
    </row>
    <row r="3509" spans="83:106" x14ac:dyDescent="0.2">
      <c r="CE3509"/>
      <c r="CF3509"/>
      <c r="CG3509"/>
      <c r="CH3509"/>
      <c r="CI3509"/>
      <c r="CU3509" s="21">
        <v>3504</v>
      </c>
      <c r="CV3509" s="41">
        <v>4</v>
      </c>
      <c r="CW3509" s="41">
        <v>0.11332468572476186</v>
      </c>
      <c r="CX3509" s="41" t="e">
        <v>#N/A</v>
      </c>
      <c r="CY3509" s="41" t="e">
        <v>#N/A</v>
      </c>
      <c r="CZ3509" s="47" t="e">
        <v>#N/A</v>
      </c>
      <c r="DA3509">
        <v>0.11332468572476186</v>
      </c>
      <c r="DB3509" t="str">
        <v/>
      </c>
    </row>
    <row r="3510" spans="83:106" x14ac:dyDescent="0.2">
      <c r="CE3510"/>
      <c r="CF3510"/>
      <c r="CG3510"/>
      <c r="CH3510"/>
      <c r="CI3510"/>
      <c r="CU3510" s="21">
        <v>3505</v>
      </c>
      <c r="CV3510" s="41">
        <v>4</v>
      </c>
      <c r="CW3510" s="41">
        <v>0.11332468572476186</v>
      </c>
      <c r="CX3510" s="41" t="e">
        <v>#N/A</v>
      </c>
      <c r="CY3510" s="41" t="e">
        <v>#N/A</v>
      </c>
      <c r="CZ3510" s="47" t="e">
        <v>#N/A</v>
      </c>
      <c r="DA3510">
        <v>0.11332468572476186</v>
      </c>
      <c r="DB3510" t="str">
        <v/>
      </c>
    </row>
    <row r="3511" spans="83:106" x14ac:dyDescent="0.2">
      <c r="CE3511"/>
      <c r="CF3511"/>
      <c r="CG3511"/>
      <c r="CH3511"/>
      <c r="CI3511"/>
      <c r="CU3511" s="21">
        <v>3506</v>
      </c>
      <c r="CV3511" s="41">
        <v>4</v>
      </c>
      <c r="CW3511" s="41">
        <v>0.11332468572476186</v>
      </c>
      <c r="CX3511" s="41" t="e">
        <v>#N/A</v>
      </c>
      <c r="CY3511" s="41" t="e">
        <v>#N/A</v>
      </c>
      <c r="CZ3511" s="47" t="e">
        <v>#N/A</v>
      </c>
      <c r="DA3511">
        <v>0.11332468572476186</v>
      </c>
      <c r="DB3511" t="str">
        <v/>
      </c>
    </row>
    <row r="3512" spans="83:106" x14ac:dyDescent="0.2">
      <c r="CE3512"/>
      <c r="CF3512"/>
      <c r="CG3512"/>
      <c r="CH3512"/>
      <c r="CI3512"/>
      <c r="CU3512" s="21">
        <v>3507</v>
      </c>
      <c r="CV3512" s="41">
        <v>4</v>
      </c>
      <c r="CW3512" s="41">
        <v>0.11332468572476186</v>
      </c>
      <c r="CX3512" s="41" t="e">
        <v>#N/A</v>
      </c>
      <c r="CY3512" s="41" t="e">
        <v>#N/A</v>
      </c>
      <c r="CZ3512" s="47" t="e">
        <v>#N/A</v>
      </c>
      <c r="DA3512">
        <v>0.11332468572476186</v>
      </c>
      <c r="DB3512" t="str">
        <v/>
      </c>
    </row>
    <row r="3513" spans="83:106" x14ac:dyDescent="0.2">
      <c r="CE3513"/>
      <c r="CF3513"/>
      <c r="CG3513"/>
      <c r="CH3513"/>
      <c r="CI3513"/>
      <c r="CU3513" s="21">
        <v>3508</v>
      </c>
      <c r="CV3513" s="41">
        <v>4</v>
      </c>
      <c r="CW3513" s="41">
        <v>0.11332468572476186</v>
      </c>
      <c r="CX3513" s="41" t="e">
        <v>#N/A</v>
      </c>
      <c r="CY3513" s="41" t="e">
        <v>#N/A</v>
      </c>
      <c r="CZ3513" s="47" t="e">
        <v>#N/A</v>
      </c>
      <c r="DA3513">
        <v>0.11332468572476186</v>
      </c>
      <c r="DB3513" t="str">
        <v/>
      </c>
    </row>
    <row r="3514" spans="83:106" x14ac:dyDescent="0.2">
      <c r="CE3514"/>
      <c r="CF3514"/>
      <c r="CG3514"/>
      <c r="CH3514"/>
      <c r="CI3514"/>
      <c r="CU3514" s="21">
        <v>3509</v>
      </c>
      <c r="CV3514" s="41">
        <v>4</v>
      </c>
      <c r="CW3514" s="41">
        <v>0.11332468572476186</v>
      </c>
      <c r="CX3514" s="41" t="e">
        <v>#N/A</v>
      </c>
      <c r="CY3514" s="41" t="e">
        <v>#N/A</v>
      </c>
      <c r="CZ3514" s="47" t="e">
        <v>#N/A</v>
      </c>
      <c r="DA3514">
        <v>0.11332468572476186</v>
      </c>
      <c r="DB3514" t="str">
        <v/>
      </c>
    </row>
    <row r="3515" spans="83:106" x14ac:dyDescent="0.2">
      <c r="CE3515"/>
      <c r="CF3515"/>
      <c r="CG3515"/>
      <c r="CH3515"/>
      <c r="CI3515"/>
      <c r="CU3515" s="21">
        <v>3510</v>
      </c>
      <c r="CV3515" s="41">
        <v>4</v>
      </c>
      <c r="CW3515" s="41">
        <v>0.11332468572476186</v>
      </c>
      <c r="CX3515" s="41" t="e">
        <v>#N/A</v>
      </c>
      <c r="CY3515" s="41" t="e">
        <v>#N/A</v>
      </c>
      <c r="CZ3515" s="47" t="e">
        <v>#N/A</v>
      </c>
      <c r="DA3515">
        <v>0.11332468572476186</v>
      </c>
      <c r="DB3515" t="str">
        <v/>
      </c>
    </row>
    <row r="3516" spans="83:106" x14ac:dyDescent="0.2">
      <c r="CE3516"/>
      <c r="CF3516"/>
      <c r="CG3516"/>
      <c r="CH3516"/>
      <c r="CI3516"/>
      <c r="CU3516" s="21">
        <v>3511</v>
      </c>
      <c r="CV3516" s="41">
        <v>4</v>
      </c>
      <c r="CW3516" s="41">
        <v>0.11332468572476186</v>
      </c>
      <c r="CX3516" s="41" t="e">
        <v>#N/A</v>
      </c>
      <c r="CY3516" s="41" t="e">
        <v>#N/A</v>
      </c>
      <c r="CZ3516" s="47" t="e">
        <v>#N/A</v>
      </c>
      <c r="DA3516">
        <v>0.11332468572476186</v>
      </c>
      <c r="DB3516" t="str">
        <v/>
      </c>
    </row>
    <row r="3517" spans="83:106" x14ac:dyDescent="0.2">
      <c r="CE3517"/>
      <c r="CF3517"/>
      <c r="CG3517"/>
      <c r="CH3517"/>
      <c r="CI3517"/>
      <c r="CU3517" s="21">
        <v>3512</v>
      </c>
      <c r="CV3517" s="41">
        <v>4</v>
      </c>
      <c r="CW3517" s="41">
        <v>0.11332468572476186</v>
      </c>
      <c r="CX3517" s="41" t="e">
        <v>#N/A</v>
      </c>
      <c r="CY3517" s="41" t="e">
        <v>#N/A</v>
      </c>
      <c r="CZ3517" s="47" t="e">
        <v>#N/A</v>
      </c>
      <c r="DA3517">
        <v>0.11332468572476186</v>
      </c>
      <c r="DB3517" t="str">
        <v/>
      </c>
    </row>
    <row r="3518" spans="83:106" x14ac:dyDescent="0.2">
      <c r="CE3518"/>
      <c r="CF3518"/>
      <c r="CG3518"/>
      <c r="CH3518"/>
      <c r="CI3518"/>
      <c r="CU3518" s="21">
        <v>3513</v>
      </c>
      <c r="CV3518" s="41">
        <v>4</v>
      </c>
      <c r="CW3518" s="41">
        <v>0.11332468572476186</v>
      </c>
      <c r="CX3518" s="41" t="e">
        <v>#N/A</v>
      </c>
      <c r="CY3518" s="41" t="e">
        <v>#N/A</v>
      </c>
      <c r="CZ3518" s="47" t="e">
        <v>#N/A</v>
      </c>
      <c r="DA3518">
        <v>0.11332468572476186</v>
      </c>
      <c r="DB3518" t="str">
        <v/>
      </c>
    </row>
    <row r="3519" spans="83:106" x14ac:dyDescent="0.2">
      <c r="CE3519"/>
      <c r="CF3519"/>
      <c r="CG3519"/>
      <c r="CH3519"/>
      <c r="CI3519"/>
      <c r="CU3519" s="21">
        <v>3514</v>
      </c>
      <c r="CV3519" s="41">
        <v>4</v>
      </c>
      <c r="CW3519" s="41">
        <v>0.11332468572476186</v>
      </c>
      <c r="CX3519" s="41" t="e">
        <v>#N/A</v>
      </c>
      <c r="CY3519" s="41" t="e">
        <v>#N/A</v>
      </c>
      <c r="CZ3519" s="47" t="e">
        <v>#N/A</v>
      </c>
      <c r="DA3519">
        <v>0.11332468572476186</v>
      </c>
      <c r="DB3519" t="str">
        <v/>
      </c>
    </row>
    <row r="3520" spans="83:106" x14ac:dyDescent="0.2">
      <c r="CE3520"/>
      <c r="CF3520"/>
      <c r="CG3520"/>
      <c r="CH3520"/>
      <c r="CI3520"/>
      <c r="CU3520" s="21">
        <v>3515</v>
      </c>
      <c r="CV3520" s="41">
        <v>4</v>
      </c>
      <c r="CW3520" s="41">
        <v>0.11332468572476186</v>
      </c>
      <c r="CX3520" s="41" t="e">
        <v>#N/A</v>
      </c>
      <c r="CY3520" s="41" t="e">
        <v>#N/A</v>
      </c>
      <c r="CZ3520" s="47" t="e">
        <v>#N/A</v>
      </c>
      <c r="DA3520">
        <v>0.11332468572476186</v>
      </c>
      <c r="DB3520" t="str">
        <v/>
      </c>
    </row>
    <row r="3521" spans="83:106" x14ac:dyDescent="0.2">
      <c r="CE3521"/>
      <c r="CF3521"/>
      <c r="CG3521"/>
      <c r="CH3521"/>
      <c r="CI3521"/>
      <c r="CU3521" s="21">
        <v>3516</v>
      </c>
      <c r="CV3521" s="41">
        <v>4</v>
      </c>
      <c r="CW3521" s="41">
        <v>0.11332468572476186</v>
      </c>
      <c r="CX3521" s="41" t="e">
        <v>#N/A</v>
      </c>
      <c r="CY3521" s="41" t="e">
        <v>#N/A</v>
      </c>
      <c r="CZ3521" s="47" t="e">
        <v>#N/A</v>
      </c>
      <c r="DA3521">
        <v>0.11332468572476186</v>
      </c>
      <c r="DB3521" t="str">
        <v/>
      </c>
    </row>
    <row r="3522" spans="83:106" x14ac:dyDescent="0.2">
      <c r="CE3522"/>
      <c r="CF3522"/>
      <c r="CG3522"/>
      <c r="CH3522"/>
      <c r="CI3522"/>
      <c r="CU3522" s="21">
        <v>3517</v>
      </c>
      <c r="CV3522" s="41">
        <v>4</v>
      </c>
      <c r="CW3522" s="41">
        <v>0.11332468572476186</v>
      </c>
      <c r="CX3522" s="41" t="e">
        <v>#N/A</v>
      </c>
      <c r="CY3522" s="41" t="e">
        <v>#N/A</v>
      </c>
      <c r="CZ3522" s="47" t="e">
        <v>#N/A</v>
      </c>
      <c r="DA3522">
        <v>0.11332468572476186</v>
      </c>
      <c r="DB3522" t="str">
        <v/>
      </c>
    </row>
    <row r="3523" spans="83:106" x14ac:dyDescent="0.2">
      <c r="CE3523"/>
      <c r="CF3523"/>
      <c r="CG3523"/>
      <c r="CH3523"/>
      <c r="CI3523"/>
      <c r="CU3523" s="21">
        <v>3518</v>
      </c>
      <c r="CV3523" s="41">
        <v>4</v>
      </c>
      <c r="CW3523" s="41">
        <v>0.11332468572476186</v>
      </c>
      <c r="CX3523" s="41" t="e">
        <v>#N/A</v>
      </c>
      <c r="CY3523" s="41" t="e">
        <v>#N/A</v>
      </c>
      <c r="CZ3523" s="47" t="e">
        <v>#N/A</v>
      </c>
      <c r="DA3523">
        <v>0.11332468572476186</v>
      </c>
      <c r="DB3523" t="str">
        <v/>
      </c>
    </row>
    <row r="3524" spans="83:106" x14ac:dyDescent="0.2">
      <c r="CE3524"/>
      <c r="CF3524"/>
      <c r="CG3524"/>
      <c r="CH3524"/>
      <c r="CI3524"/>
      <c r="CU3524" s="21">
        <v>3519</v>
      </c>
      <c r="CV3524" s="41">
        <v>4</v>
      </c>
      <c r="CW3524" s="41">
        <v>0.11332468572476186</v>
      </c>
      <c r="CX3524" s="41" t="e">
        <v>#N/A</v>
      </c>
      <c r="CY3524" s="41" t="e">
        <v>#N/A</v>
      </c>
      <c r="CZ3524" s="47" t="e">
        <v>#N/A</v>
      </c>
      <c r="DA3524">
        <v>0.11332468572476186</v>
      </c>
      <c r="DB3524" t="str">
        <v/>
      </c>
    </row>
    <row r="3525" spans="83:106" x14ac:dyDescent="0.2">
      <c r="CE3525"/>
      <c r="CF3525"/>
      <c r="CG3525"/>
      <c r="CH3525"/>
      <c r="CI3525"/>
      <c r="CU3525" s="21">
        <v>3520</v>
      </c>
      <c r="CV3525" s="41">
        <v>4</v>
      </c>
      <c r="CW3525" s="41">
        <v>0.11332468572476186</v>
      </c>
      <c r="CX3525" s="41" t="e">
        <v>#N/A</v>
      </c>
      <c r="CY3525" s="41" t="e">
        <v>#N/A</v>
      </c>
      <c r="CZ3525" s="47" t="e">
        <v>#N/A</v>
      </c>
      <c r="DA3525">
        <v>0.11332468572476186</v>
      </c>
      <c r="DB3525" t="str">
        <v/>
      </c>
    </row>
    <row r="3526" spans="83:106" x14ac:dyDescent="0.2">
      <c r="CE3526"/>
      <c r="CF3526"/>
      <c r="CG3526"/>
      <c r="CH3526"/>
      <c r="CI3526"/>
      <c r="CU3526" s="21">
        <v>3521</v>
      </c>
      <c r="CV3526" s="41">
        <v>4</v>
      </c>
      <c r="CW3526" s="41">
        <v>0.11332468572476186</v>
      </c>
      <c r="CX3526" s="41" t="e">
        <v>#N/A</v>
      </c>
      <c r="CY3526" s="41" t="e">
        <v>#N/A</v>
      </c>
      <c r="CZ3526" s="47" t="e">
        <v>#N/A</v>
      </c>
      <c r="DA3526">
        <v>0.11332468572476186</v>
      </c>
      <c r="DB3526" t="str">
        <v/>
      </c>
    </row>
    <row r="3527" spans="83:106" x14ac:dyDescent="0.2">
      <c r="CE3527"/>
      <c r="CF3527"/>
      <c r="CG3527"/>
      <c r="CH3527"/>
      <c r="CI3527"/>
      <c r="CU3527" s="21">
        <v>3522</v>
      </c>
      <c r="CV3527" s="41">
        <v>4</v>
      </c>
      <c r="CW3527" s="41">
        <v>0.11332468572476186</v>
      </c>
      <c r="CX3527" s="41" t="e">
        <v>#N/A</v>
      </c>
      <c r="CY3527" s="41" t="e">
        <v>#N/A</v>
      </c>
      <c r="CZ3527" s="47" t="e">
        <v>#N/A</v>
      </c>
      <c r="DA3527">
        <v>0.11332468572476186</v>
      </c>
      <c r="DB3527" t="str">
        <v/>
      </c>
    </row>
    <row r="3528" spans="83:106" x14ac:dyDescent="0.2">
      <c r="CE3528"/>
      <c r="CF3528"/>
      <c r="CG3528"/>
      <c r="CH3528"/>
      <c r="CI3528"/>
      <c r="CU3528" s="21">
        <v>3523</v>
      </c>
      <c r="CV3528" s="41">
        <v>4</v>
      </c>
      <c r="CW3528" s="41">
        <v>0.11332468572476186</v>
      </c>
      <c r="CX3528" s="41" t="e">
        <v>#N/A</v>
      </c>
      <c r="CY3528" s="41" t="e">
        <v>#N/A</v>
      </c>
      <c r="CZ3528" s="47" t="e">
        <v>#N/A</v>
      </c>
      <c r="DA3528">
        <v>0.11332468572476186</v>
      </c>
      <c r="DB3528" t="str">
        <v/>
      </c>
    </row>
    <row r="3529" spans="83:106" x14ac:dyDescent="0.2">
      <c r="CE3529"/>
      <c r="CF3529"/>
      <c r="CG3529"/>
      <c r="CH3529"/>
      <c r="CI3529"/>
      <c r="CU3529" s="21">
        <v>3524</v>
      </c>
      <c r="CV3529" s="41">
        <v>4</v>
      </c>
      <c r="CW3529" s="41">
        <v>0.11332468572476186</v>
      </c>
      <c r="CX3529" s="41" t="e">
        <v>#N/A</v>
      </c>
      <c r="CY3529" s="41" t="e">
        <v>#N/A</v>
      </c>
      <c r="CZ3529" s="47" t="e">
        <v>#N/A</v>
      </c>
      <c r="DA3529">
        <v>0.11332468572476186</v>
      </c>
      <c r="DB3529" t="str">
        <v/>
      </c>
    </row>
    <row r="3530" spans="83:106" x14ac:dyDescent="0.2">
      <c r="CE3530"/>
      <c r="CF3530"/>
      <c r="CG3530"/>
      <c r="CH3530"/>
      <c r="CI3530"/>
      <c r="CU3530" s="21">
        <v>3525</v>
      </c>
      <c r="CV3530" s="41">
        <v>4</v>
      </c>
      <c r="CW3530" s="41">
        <v>0.11332468572476186</v>
      </c>
      <c r="CX3530" s="41" t="e">
        <v>#N/A</v>
      </c>
      <c r="CY3530" s="41" t="e">
        <v>#N/A</v>
      </c>
      <c r="CZ3530" s="47" t="e">
        <v>#N/A</v>
      </c>
      <c r="DA3530">
        <v>0.11332468572476186</v>
      </c>
      <c r="DB3530" t="str">
        <v/>
      </c>
    </row>
    <row r="3531" spans="83:106" x14ac:dyDescent="0.2">
      <c r="CE3531"/>
      <c r="CF3531"/>
      <c r="CG3531"/>
      <c r="CH3531"/>
      <c r="CI3531"/>
      <c r="CU3531" s="21">
        <v>3526</v>
      </c>
      <c r="CV3531" s="41">
        <v>4</v>
      </c>
      <c r="CW3531" s="41">
        <v>0.11332468572476186</v>
      </c>
      <c r="CX3531" s="41" t="e">
        <v>#N/A</v>
      </c>
      <c r="CY3531" s="41" t="e">
        <v>#N/A</v>
      </c>
      <c r="CZ3531" s="47" t="e">
        <v>#N/A</v>
      </c>
      <c r="DA3531">
        <v>0.11332468572476186</v>
      </c>
      <c r="DB3531" t="str">
        <v/>
      </c>
    </row>
    <row r="3532" spans="83:106" x14ac:dyDescent="0.2">
      <c r="CE3532"/>
      <c r="CF3532"/>
      <c r="CG3532"/>
      <c r="CH3532"/>
      <c r="CI3532"/>
      <c r="CU3532" s="21">
        <v>3527</v>
      </c>
      <c r="CV3532" s="41">
        <v>4</v>
      </c>
      <c r="CW3532" s="41">
        <v>0.11332468572476186</v>
      </c>
      <c r="CX3532" s="41" t="e">
        <v>#N/A</v>
      </c>
      <c r="CY3532" s="41" t="e">
        <v>#N/A</v>
      </c>
      <c r="CZ3532" s="47" t="e">
        <v>#N/A</v>
      </c>
      <c r="DA3532">
        <v>0.11332468572476186</v>
      </c>
      <c r="DB3532" t="str">
        <v/>
      </c>
    </row>
    <row r="3533" spans="83:106" x14ac:dyDescent="0.2">
      <c r="CE3533"/>
      <c r="CF3533"/>
      <c r="CG3533"/>
      <c r="CH3533"/>
      <c r="CI3533"/>
      <c r="CU3533" s="21">
        <v>3528</v>
      </c>
      <c r="CV3533" s="41">
        <v>4</v>
      </c>
      <c r="CW3533" s="41">
        <v>0.11332468572476186</v>
      </c>
      <c r="CX3533" s="41" t="e">
        <v>#N/A</v>
      </c>
      <c r="CY3533" s="41" t="e">
        <v>#N/A</v>
      </c>
      <c r="CZ3533" s="47" t="e">
        <v>#N/A</v>
      </c>
      <c r="DA3533">
        <v>0.11332468572476186</v>
      </c>
      <c r="DB3533" t="str">
        <v/>
      </c>
    </row>
    <row r="3534" spans="83:106" x14ac:dyDescent="0.2">
      <c r="CE3534"/>
      <c r="CF3534"/>
      <c r="CG3534"/>
      <c r="CH3534"/>
      <c r="CI3534"/>
      <c r="CU3534" s="21">
        <v>3529</v>
      </c>
      <c r="CV3534" s="41">
        <v>4</v>
      </c>
      <c r="CW3534" s="41">
        <v>0.11332468572476186</v>
      </c>
      <c r="CX3534" s="41" t="e">
        <v>#N/A</v>
      </c>
      <c r="CY3534" s="41" t="e">
        <v>#N/A</v>
      </c>
      <c r="CZ3534" s="47" t="e">
        <v>#N/A</v>
      </c>
      <c r="DA3534">
        <v>0.11332468572476186</v>
      </c>
      <c r="DB3534" t="str">
        <v/>
      </c>
    </row>
    <row r="3535" spans="83:106" x14ac:dyDescent="0.2">
      <c r="CE3535"/>
      <c r="CF3535"/>
      <c r="CG3535"/>
      <c r="CH3535"/>
      <c r="CI3535"/>
      <c r="CU3535" s="21">
        <v>3530</v>
      </c>
      <c r="CV3535" s="41">
        <v>4</v>
      </c>
      <c r="CW3535" s="41">
        <v>0.11332468572476186</v>
      </c>
      <c r="CX3535" s="41" t="e">
        <v>#N/A</v>
      </c>
      <c r="CY3535" s="41" t="e">
        <v>#N/A</v>
      </c>
      <c r="CZ3535" s="47" t="e">
        <v>#N/A</v>
      </c>
      <c r="DA3535">
        <v>0.11332468572476186</v>
      </c>
      <c r="DB3535" t="str">
        <v/>
      </c>
    </row>
    <row r="3536" spans="83:106" x14ac:dyDescent="0.2">
      <c r="CE3536"/>
      <c r="CF3536"/>
      <c r="CG3536"/>
      <c r="CH3536"/>
      <c r="CI3536"/>
      <c r="CU3536" s="21">
        <v>3531</v>
      </c>
      <c r="CV3536" s="41">
        <v>4</v>
      </c>
      <c r="CW3536" s="41">
        <v>0.11332468572476186</v>
      </c>
      <c r="CX3536" s="41" t="e">
        <v>#N/A</v>
      </c>
      <c r="CY3536" s="41" t="e">
        <v>#N/A</v>
      </c>
      <c r="CZ3536" s="47" t="e">
        <v>#N/A</v>
      </c>
      <c r="DA3536">
        <v>0.11332468572476186</v>
      </c>
      <c r="DB3536" t="str">
        <v/>
      </c>
    </row>
    <row r="3537" spans="83:106" x14ac:dyDescent="0.2">
      <c r="CE3537"/>
      <c r="CF3537"/>
      <c r="CG3537"/>
      <c r="CH3537"/>
      <c r="CI3537"/>
      <c r="CU3537" s="21">
        <v>3532</v>
      </c>
      <c r="CV3537" s="41">
        <v>4</v>
      </c>
      <c r="CW3537" s="41">
        <v>0.11332468572476186</v>
      </c>
      <c r="CX3537" s="41" t="e">
        <v>#N/A</v>
      </c>
      <c r="CY3537" s="41" t="e">
        <v>#N/A</v>
      </c>
      <c r="CZ3537" s="47" t="e">
        <v>#N/A</v>
      </c>
      <c r="DA3537">
        <v>0.11332468572476186</v>
      </c>
      <c r="DB3537" t="str">
        <v/>
      </c>
    </row>
    <row r="3538" spans="83:106" x14ac:dyDescent="0.2">
      <c r="CE3538"/>
      <c r="CF3538"/>
      <c r="CG3538"/>
      <c r="CH3538"/>
      <c r="CI3538"/>
      <c r="CU3538" s="21">
        <v>3533</v>
      </c>
      <c r="CV3538" s="41">
        <v>4</v>
      </c>
      <c r="CW3538" s="41">
        <v>0.11332468572476186</v>
      </c>
      <c r="CX3538" s="41" t="e">
        <v>#N/A</v>
      </c>
      <c r="CY3538" s="41" t="e">
        <v>#N/A</v>
      </c>
      <c r="CZ3538" s="47" t="e">
        <v>#N/A</v>
      </c>
      <c r="DA3538">
        <v>0.11332468572476186</v>
      </c>
      <c r="DB3538" t="str">
        <v/>
      </c>
    </row>
    <row r="3539" spans="83:106" x14ac:dyDescent="0.2">
      <c r="CE3539"/>
      <c r="CF3539"/>
      <c r="CG3539"/>
      <c r="CH3539"/>
      <c r="CI3539"/>
      <c r="CU3539" s="21">
        <v>3534</v>
      </c>
      <c r="CV3539" s="41">
        <v>4</v>
      </c>
      <c r="CW3539" s="41">
        <v>0.11332468572476186</v>
      </c>
      <c r="CX3539" s="41" t="e">
        <v>#N/A</v>
      </c>
      <c r="CY3539" s="41" t="e">
        <v>#N/A</v>
      </c>
      <c r="CZ3539" s="47" t="e">
        <v>#N/A</v>
      </c>
      <c r="DA3539">
        <v>0.11332468572476186</v>
      </c>
      <c r="DB3539" t="str">
        <v/>
      </c>
    </row>
    <row r="3540" spans="83:106" x14ac:dyDescent="0.2">
      <c r="CE3540"/>
      <c r="CF3540"/>
      <c r="CG3540"/>
      <c r="CH3540"/>
      <c r="CI3540"/>
      <c r="CU3540" s="21">
        <v>3535</v>
      </c>
      <c r="CV3540" s="41">
        <v>4</v>
      </c>
      <c r="CW3540" s="41">
        <v>0.11332468572476186</v>
      </c>
      <c r="CX3540" s="41" t="e">
        <v>#N/A</v>
      </c>
      <c r="CY3540" s="41" t="e">
        <v>#N/A</v>
      </c>
      <c r="CZ3540" s="47" t="e">
        <v>#N/A</v>
      </c>
      <c r="DA3540">
        <v>0.11332468572476186</v>
      </c>
      <c r="DB3540" t="str">
        <v/>
      </c>
    </row>
    <row r="3541" spans="83:106" x14ac:dyDescent="0.2">
      <c r="CE3541"/>
      <c r="CF3541"/>
      <c r="CG3541"/>
      <c r="CH3541"/>
      <c r="CI3541"/>
      <c r="CU3541" s="21">
        <v>3536</v>
      </c>
      <c r="CV3541" s="41">
        <v>4</v>
      </c>
      <c r="CW3541" s="41">
        <v>0.11332468572476186</v>
      </c>
      <c r="CX3541" s="41" t="e">
        <v>#N/A</v>
      </c>
      <c r="CY3541" s="41" t="e">
        <v>#N/A</v>
      </c>
      <c r="CZ3541" s="47" t="e">
        <v>#N/A</v>
      </c>
      <c r="DA3541">
        <v>0.11332468572476186</v>
      </c>
      <c r="DB3541" t="str">
        <v/>
      </c>
    </row>
    <row r="3542" spans="83:106" x14ac:dyDescent="0.2">
      <c r="CE3542"/>
      <c r="CF3542"/>
      <c r="CG3542"/>
      <c r="CH3542"/>
      <c r="CI3542"/>
      <c r="CU3542" s="21">
        <v>3537</v>
      </c>
      <c r="CV3542" s="41">
        <v>4</v>
      </c>
      <c r="CW3542" s="41">
        <v>0.11332468572476186</v>
      </c>
      <c r="CX3542" s="41" t="e">
        <v>#N/A</v>
      </c>
      <c r="CY3542" s="41" t="e">
        <v>#N/A</v>
      </c>
      <c r="CZ3542" s="47" t="e">
        <v>#N/A</v>
      </c>
      <c r="DA3542">
        <v>0.11332468572476186</v>
      </c>
      <c r="DB3542" t="str">
        <v/>
      </c>
    </row>
    <row r="3543" spans="83:106" x14ac:dyDescent="0.2">
      <c r="CE3543"/>
      <c r="CF3543"/>
      <c r="CG3543"/>
      <c r="CH3543"/>
      <c r="CI3543"/>
      <c r="CU3543" s="21">
        <v>3538</v>
      </c>
      <c r="CV3543" s="41">
        <v>4</v>
      </c>
      <c r="CW3543" s="41">
        <v>0.11332468572476186</v>
      </c>
      <c r="CX3543" s="41" t="e">
        <v>#N/A</v>
      </c>
      <c r="CY3543" s="41" t="e">
        <v>#N/A</v>
      </c>
      <c r="CZ3543" s="47" t="e">
        <v>#N/A</v>
      </c>
      <c r="DA3543">
        <v>0.11332468572476186</v>
      </c>
      <c r="DB3543" t="str">
        <v/>
      </c>
    </row>
    <row r="3544" spans="83:106" x14ac:dyDescent="0.2">
      <c r="CE3544"/>
      <c r="CF3544"/>
      <c r="CG3544"/>
      <c r="CH3544"/>
      <c r="CI3544"/>
      <c r="CU3544" s="21">
        <v>3539</v>
      </c>
      <c r="CV3544" s="41">
        <v>4</v>
      </c>
      <c r="CW3544" s="41">
        <v>0.11332468572476186</v>
      </c>
      <c r="CX3544" s="41" t="e">
        <v>#N/A</v>
      </c>
      <c r="CY3544" s="41" t="e">
        <v>#N/A</v>
      </c>
      <c r="CZ3544" s="47" t="e">
        <v>#N/A</v>
      </c>
      <c r="DA3544">
        <v>0.11332468572476186</v>
      </c>
      <c r="DB3544" t="str">
        <v/>
      </c>
    </row>
    <row r="3545" spans="83:106" x14ac:dyDescent="0.2">
      <c r="CE3545"/>
      <c r="CF3545"/>
      <c r="CG3545"/>
      <c r="CH3545"/>
      <c r="CI3545"/>
      <c r="CU3545" s="21">
        <v>3540</v>
      </c>
      <c r="CV3545" s="41">
        <v>4</v>
      </c>
      <c r="CW3545" s="41">
        <v>0.11332468572476186</v>
      </c>
      <c r="CX3545" s="41" t="e">
        <v>#N/A</v>
      </c>
      <c r="CY3545" s="41" t="e">
        <v>#N/A</v>
      </c>
      <c r="CZ3545" s="47" t="e">
        <v>#N/A</v>
      </c>
      <c r="DA3545">
        <v>0.11332468572476186</v>
      </c>
      <c r="DB3545" t="str">
        <v/>
      </c>
    </row>
    <row r="3546" spans="83:106" x14ac:dyDescent="0.2">
      <c r="CE3546"/>
      <c r="CF3546"/>
      <c r="CG3546"/>
      <c r="CH3546"/>
      <c r="CI3546"/>
      <c r="CU3546" s="21">
        <v>3541</v>
      </c>
      <c r="CV3546" s="41">
        <v>4</v>
      </c>
      <c r="CW3546" s="41">
        <v>0.11332468572476186</v>
      </c>
      <c r="CX3546" s="41" t="e">
        <v>#N/A</v>
      </c>
      <c r="CY3546" s="41" t="e">
        <v>#N/A</v>
      </c>
      <c r="CZ3546" s="47" t="e">
        <v>#N/A</v>
      </c>
      <c r="DA3546">
        <v>0.11332468572476186</v>
      </c>
      <c r="DB3546" t="str">
        <v/>
      </c>
    </row>
    <row r="3547" spans="83:106" x14ac:dyDescent="0.2">
      <c r="CE3547"/>
      <c r="CF3547"/>
      <c r="CG3547"/>
      <c r="CH3547"/>
      <c r="CI3547"/>
      <c r="CU3547" s="21">
        <v>3542</v>
      </c>
      <c r="CV3547" s="41">
        <v>4</v>
      </c>
      <c r="CW3547" s="41">
        <v>0.11332468572476186</v>
      </c>
      <c r="CX3547" s="41" t="e">
        <v>#N/A</v>
      </c>
      <c r="CY3547" s="41" t="e">
        <v>#N/A</v>
      </c>
      <c r="CZ3547" s="47" t="e">
        <v>#N/A</v>
      </c>
      <c r="DA3547">
        <v>0.11332468572476186</v>
      </c>
      <c r="DB3547" t="str">
        <v/>
      </c>
    </row>
    <row r="3548" spans="83:106" x14ac:dyDescent="0.2">
      <c r="CE3548"/>
      <c r="CF3548"/>
      <c r="CG3548"/>
      <c r="CH3548"/>
      <c r="CI3548"/>
      <c r="CU3548" s="21">
        <v>3543</v>
      </c>
      <c r="CV3548" s="41">
        <v>4</v>
      </c>
      <c r="CW3548" s="41">
        <v>0.11332468572476186</v>
      </c>
      <c r="CX3548" s="41" t="e">
        <v>#N/A</v>
      </c>
      <c r="CY3548" s="41" t="e">
        <v>#N/A</v>
      </c>
      <c r="CZ3548" s="47" t="e">
        <v>#N/A</v>
      </c>
      <c r="DA3548">
        <v>0.11332468572476186</v>
      </c>
      <c r="DB3548" t="str">
        <v/>
      </c>
    </row>
    <row r="3549" spans="83:106" x14ac:dyDescent="0.2">
      <c r="CE3549"/>
      <c r="CF3549"/>
      <c r="CG3549"/>
      <c r="CH3549"/>
      <c r="CI3549"/>
      <c r="CU3549" s="21">
        <v>3544</v>
      </c>
      <c r="CV3549" s="41">
        <v>4</v>
      </c>
      <c r="CW3549" s="41">
        <v>0.11332468572476186</v>
      </c>
      <c r="CX3549" s="41" t="e">
        <v>#N/A</v>
      </c>
      <c r="CY3549" s="41" t="e">
        <v>#N/A</v>
      </c>
      <c r="CZ3549" s="47" t="e">
        <v>#N/A</v>
      </c>
      <c r="DA3549">
        <v>0.11332468572476186</v>
      </c>
      <c r="DB3549" t="str">
        <v/>
      </c>
    </row>
    <row r="3550" spans="83:106" x14ac:dyDescent="0.2">
      <c r="CE3550"/>
      <c r="CF3550"/>
      <c r="CG3550"/>
      <c r="CH3550"/>
      <c r="CI3550"/>
      <c r="CU3550" s="21">
        <v>3545</v>
      </c>
      <c r="CV3550" s="41">
        <v>4</v>
      </c>
      <c r="CW3550" s="41">
        <v>0.11332468572476186</v>
      </c>
      <c r="CX3550" s="41" t="e">
        <v>#N/A</v>
      </c>
      <c r="CY3550" s="41" t="e">
        <v>#N/A</v>
      </c>
      <c r="CZ3550" s="47" t="e">
        <v>#N/A</v>
      </c>
      <c r="DA3550">
        <v>0.11332468572476186</v>
      </c>
      <c r="DB3550" t="str">
        <v/>
      </c>
    </row>
    <row r="3551" spans="83:106" x14ac:dyDescent="0.2">
      <c r="CE3551"/>
      <c r="CF3551"/>
      <c r="CG3551"/>
      <c r="CH3551"/>
      <c r="CI3551"/>
      <c r="CU3551" s="21">
        <v>3546</v>
      </c>
      <c r="CV3551" s="41">
        <v>4</v>
      </c>
      <c r="CW3551" s="41">
        <v>0.11332468572476186</v>
      </c>
      <c r="CX3551" s="41" t="e">
        <v>#N/A</v>
      </c>
      <c r="CY3551" s="41" t="e">
        <v>#N/A</v>
      </c>
      <c r="CZ3551" s="47" t="e">
        <v>#N/A</v>
      </c>
      <c r="DA3551">
        <v>0.11332468572476186</v>
      </c>
      <c r="DB3551" t="str">
        <v/>
      </c>
    </row>
    <row r="3552" spans="83:106" x14ac:dyDescent="0.2">
      <c r="CE3552"/>
      <c r="CF3552"/>
      <c r="CG3552"/>
      <c r="CH3552"/>
      <c r="CI3552"/>
      <c r="CU3552" s="21">
        <v>3547</v>
      </c>
      <c r="CV3552" s="41">
        <v>4</v>
      </c>
      <c r="CW3552" s="41">
        <v>0.11332468572476186</v>
      </c>
      <c r="CX3552" s="41" t="e">
        <v>#N/A</v>
      </c>
      <c r="CY3552" s="41" t="e">
        <v>#N/A</v>
      </c>
      <c r="CZ3552" s="47" t="e">
        <v>#N/A</v>
      </c>
      <c r="DA3552">
        <v>0.11332468572476186</v>
      </c>
      <c r="DB3552" t="str">
        <v/>
      </c>
    </row>
    <row r="3553" spans="83:106" x14ac:dyDescent="0.2">
      <c r="CE3553"/>
      <c r="CF3553"/>
      <c r="CG3553"/>
      <c r="CH3553"/>
      <c r="CI3553"/>
      <c r="CU3553" s="21">
        <v>3548</v>
      </c>
      <c r="CV3553" s="41">
        <v>4</v>
      </c>
      <c r="CW3553" s="41">
        <v>0.11332468572476186</v>
      </c>
      <c r="CX3553" s="41" t="e">
        <v>#N/A</v>
      </c>
      <c r="CY3553" s="41" t="e">
        <v>#N/A</v>
      </c>
      <c r="CZ3553" s="47" t="e">
        <v>#N/A</v>
      </c>
      <c r="DA3553">
        <v>0.11332468572476186</v>
      </c>
      <c r="DB3553" t="str">
        <v/>
      </c>
    </row>
    <row r="3554" spans="83:106" x14ac:dyDescent="0.2">
      <c r="CE3554"/>
      <c r="CF3554"/>
      <c r="CG3554"/>
      <c r="CH3554"/>
      <c r="CI3554"/>
      <c r="CU3554" s="21">
        <v>3549</v>
      </c>
      <c r="CV3554" s="41">
        <v>4</v>
      </c>
      <c r="CW3554" s="41">
        <v>0.11332468572476186</v>
      </c>
      <c r="CX3554" s="41" t="e">
        <v>#N/A</v>
      </c>
      <c r="CY3554" s="41" t="e">
        <v>#N/A</v>
      </c>
      <c r="CZ3554" s="47" t="e">
        <v>#N/A</v>
      </c>
      <c r="DA3554">
        <v>0.11332468572476186</v>
      </c>
      <c r="DB3554" t="str">
        <v/>
      </c>
    </row>
    <row r="3555" spans="83:106" x14ac:dyDescent="0.2">
      <c r="CE3555"/>
      <c r="CF3555"/>
      <c r="CG3555"/>
      <c r="CH3555"/>
      <c r="CI3555"/>
      <c r="CU3555" s="21">
        <v>3550</v>
      </c>
      <c r="CV3555" s="41">
        <v>4</v>
      </c>
      <c r="CW3555" s="41">
        <v>0.11332468572476186</v>
      </c>
      <c r="CX3555" s="41" t="e">
        <v>#N/A</v>
      </c>
      <c r="CY3555" s="41" t="e">
        <v>#N/A</v>
      </c>
      <c r="CZ3555" s="47" t="e">
        <v>#N/A</v>
      </c>
      <c r="DA3555">
        <v>0.11332468572476186</v>
      </c>
      <c r="DB3555" t="str">
        <v/>
      </c>
    </row>
    <row r="3556" spans="83:106" x14ac:dyDescent="0.2">
      <c r="CE3556"/>
      <c r="CF3556"/>
      <c r="CG3556"/>
      <c r="CH3556"/>
      <c r="CI3556"/>
      <c r="CU3556" s="21">
        <v>3551</v>
      </c>
      <c r="CV3556" s="41">
        <v>4</v>
      </c>
      <c r="CW3556" s="41">
        <v>0.11332468572476186</v>
      </c>
      <c r="CX3556" s="41" t="e">
        <v>#N/A</v>
      </c>
      <c r="CY3556" s="41" t="e">
        <v>#N/A</v>
      </c>
      <c r="CZ3556" s="47" t="e">
        <v>#N/A</v>
      </c>
      <c r="DA3556">
        <v>0.11332468572476186</v>
      </c>
      <c r="DB3556" t="str">
        <v/>
      </c>
    </row>
    <row r="3557" spans="83:106" x14ac:dyDescent="0.2">
      <c r="CE3557"/>
      <c r="CF3557"/>
      <c r="CG3557"/>
      <c r="CH3557"/>
      <c r="CI3557"/>
      <c r="CU3557" s="21">
        <v>3552</v>
      </c>
      <c r="CV3557" s="41">
        <v>4</v>
      </c>
      <c r="CW3557" s="41">
        <v>0.11332468572476186</v>
      </c>
      <c r="CX3557" s="41" t="e">
        <v>#N/A</v>
      </c>
      <c r="CY3557" s="41" t="e">
        <v>#N/A</v>
      </c>
      <c r="CZ3557" s="47" t="e">
        <v>#N/A</v>
      </c>
      <c r="DA3557">
        <v>0.11332468572476186</v>
      </c>
      <c r="DB3557" t="str">
        <v/>
      </c>
    </row>
    <row r="3558" spans="83:106" x14ac:dyDescent="0.2">
      <c r="CE3558"/>
      <c r="CF3558"/>
      <c r="CG3558"/>
      <c r="CH3558"/>
      <c r="CI3558"/>
      <c r="CU3558" s="21">
        <v>3553</v>
      </c>
      <c r="CV3558" s="41">
        <v>4</v>
      </c>
      <c r="CW3558" s="41">
        <v>0.11332468572476186</v>
      </c>
      <c r="CX3558" s="41" t="e">
        <v>#N/A</v>
      </c>
      <c r="CY3558" s="41" t="e">
        <v>#N/A</v>
      </c>
      <c r="CZ3558" s="47" t="e">
        <v>#N/A</v>
      </c>
      <c r="DA3558">
        <v>0.11332468572476186</v>
      </c>
      <c r="DB3558" t="str">
        <v/>
      </c>
    </row>
    <row r="3559" spans="83:106" x14ac:dyDescent="0.2">
      <c r="CE3559"/>
      <c r="CF3559"/>
      <c r="CG3559"/>
      <c r="CH3559"/>
      <c r="CI3559"/>
      <c r="CU3559" s="21">
        <v>3554</v>
      </c>
      <c r="CV3559" s="41">
        <v>4</v>
      </c>
      <c r="CW3559" s="41">
        <v>0.11332468572476186</v>
      </c>
      <c r="CX3559" s="41" t="e">
        <v>#N/A</v>
      </c>
      <c r="CY3559" s="41" t="e">
        <v>#N/A</v>
      </c>
      <c r="CZ3559" s="47" t="e">
        <v>#N/A</v>
      </c>
      <c r="DA3559">
        <v>0.11332468572476186</v>
      </c>
      <c r="DB3559" t="str">
        <v/>
      </c>
    </row>
    <row r="3560" spans="83:106" x14ac:dyDescent="0.2">
      <c r="CE3560"/>
      <c r="CF3560"/>
      <c r="CG3560"/>
      <c r="CH3560"/>
      <c r="CI3560"/>
      <c r="CU3560" s="21">
        <v>3555</v>
      </c>
      <c r="CV3560" s="41">
        <v>4</v>
      </c>
      <c r="CW3560" s="41">
        <v>0.11332468572476186</v>
      </c>
      <c r="CX3560" s="41" t="e">
        <v>#N/A</v>
      </c>
      <c r="CY3560" s="41" t="e">
        <v>#N/A</v>
      </c>
      <c r="CZ3560" s="47" t="e">
        <v>#N/A</v>
      </c>
      <c r="DA3560">
        <v>0.11332468572476186</v>
      </c>
      <c r="DB3560" t="str">
        <v/>
      </c>
    </row>
    <row r="3561" spans="83:106" x14ac:dyDescent="0.2">
      <c r="CE3561"/>
      <c r="CF3561"/>
      <c r="CG3561"/>
      <c r="CH3561"/>
      <c r="CI3561"/>
      <c r="CU3561" s="21">
        <v>3556</v>
      </c>
      <c r="CV3561" s="41">
        <v>4</v>
      </c>
      <c r="CW3561" s="41">
        <v>0.11332468572476186</v>
      </c>
      <c r="CX3561" s="41" t="e">
        <v>#N/A</v>
      </c>
      <c r="CY3561" s="41" t="e">
        <v>#N/A</v>
      </c>
      <c r="CZ3561" s="47" t="e">
        <v>#N/A</v>
      </c>
      <c r="DA3561">
        <v>0.11332468572476186</v>
      </c>
      <c r="DB3561" t="str">
        <v/>
      </c>
    </row>
    <row r="3562" spans="83:106" x14ac:dyDescent="0.2">
      <c r="CE3562"/>
      <c r="CF3562"/>
      <c r="CG3562"/>
      <c r="CH3562"/>
      <c r="CI3562"/>
      <c r="CU3562" s="21">
        <v>3557</v>
      </c>
      <c r="CV3562" s="41">
        <v>4</v>
      </c>
      <c r="CW3562" s="41">
        <v>0.11332468572476186</v>
      </c>
      <c r="CX3562" s="41" t="e">
        <v>#N/A</v>
      </c>
      <c r="CY3562" s="41" t="e">
        <v>#N/A</v>
      </c>
      <c r="CZ3562" s="47" t="e">
        <v>#N/A</v>
      </c>
      <c r="DA3562">
        <v>0.11332468572476186</v>
      </c>
      <c r="DB3562" t="str">
        <v/>
      </c>
    </row>
    <row r="3563" spans="83:106" x14ac:dyDescent="0.2">
      <c r="CE3563"/>
      <c r="CF3563"/>
      <c r="CG3563"/>
      <c r="CH3563"/>
      <c r="CI3563"/>
      <c r="CU3563" s="21">
        <v>3558</v>
      </c>
      <c r="CV3563" s="41">
        <v>4</v>
      </c>
      <c r="CW3563" s="41">
        <v>0.11332468572476186</v>
      </c>
      <c r="CX3563" s="41" t="e">
        <v>#N/A</v>
      </c>
      <c r="CY3563" s="41" t="e">
        <v>#N/A</v>
      </c>
      <c r="CZ3563" s="47" t="e">
        <v>#N/A</v>
      </c>
      <c r="DA3563">
        <v>0.11332468572476186</v>
      </c>
      <c r="DB3563" t="str">
        <v/>
      </c>
    </row>
    <row r="3564" spans="83:106" x14ac:dyDescent="0.2">
      <c r="CE3564"/>
      <c r="CF3564"/>
      <c r="CG3564"/>
      <c r="CH3564"/>
      <c r="CI3564"/>
      <c r="CU3564" s="21">
        <v>3559</v>
      </c>
      <c r="CV3564" s="41">
        <v>4</v>
      </c>
      <c r="CW3564" s="41">
        <v>0.11332468572476186</v>
      </c>
      <c r="CX3564" s="41" t="e">
        <v>#N/A</v>
      </c>
      <c r="CY3564" s="41" t="e">
        <v>#N/A</v>
      </c>
      <c r="CZ3564" s="47" t="e">
        <v>#N/A</v>
      </c>
      <c r="DA3564">
        <v>0.11332468572476186</v>
      </c>
      <c r="DB3564" t="str">
        <v/>
      </c>
    </row>
    <row r="3565" spans="83:106" x14ac:dyDescent="0.2">
      <c r="CE3565"/>
      <c r="CF3565"/>
      <c r="CG3565"/>
      <c r="CH3565"/>
      <c r="CI3565"/>
      <c r="CU3565" s="21">
        <v>3560</v>
      </c>
      <c r="CV3565" s="41">
        <v>4</v>
      </c>
      <c r="CW3565" s="41">
        <v>0.11332468572476186</v>
      </c>
      <c r="CX3565" s="41" t="e">
        <v>#N/A</v>
      </c>
      <c r="CY3565" s="41" t="e">
        <v>#N/A</v>
      </c>
      <c r="CZ3565" s="47" t="e">
        <v>#N/A</v>
      </c>
      <c r="DA3565">
        <v>0.11332468572476186</v>
      </c>
      <c r="DB3565" t="str">
        <v/>
      </c>
    </row>
    <row r="3566" spans="83:106" x14ac:dyDescent="0.2">
      <c r="CE3566"/>
      <c r="CF3566"/>
      <c r="CG3566"/>
      <c r="CH3566"/>
      <c r="CI3566"/>
      <c r="CU3566" s="21">
        <v>3561</v>
      </c>
      <c r="CV3566" s="41">
        <v>4</v>
      </c>
      <c r="CW3566" s="41">
        <v>0.11332468572476186</v>
      </c>
      <c r="CX3566" s="41" t="e">
        <v>#N/A</v>
      </c>
      <c r="CY3566" s="41" t="e">
        <v>#N/A</v>
      </c>
      <c r="CZ3566" s="47" t="e">
        <v>#N/A</v>
      </c>
      <c r="DA3566">
        <v>0.11332468572476186</v>
      </c>
      <c r="DB3566" t="str">
        <v/>
      </c>
    </row>
    <row r="3567" spans="83:106" x14ac:dyDescent="0.2">
      <c r="CE3567"/>
      <c r="CF3567"/>
      <c r="CG3567"/>
      <c r="CH3567"/>
      <c r="CI3567"/>
      <c r="CU3567" s="21">
        <v>3562</v>
      </c>
      <c r="CV3567" s="41">
        <v>4</v>
      </c>
      <c r="CW3567" s="41">
        <v>0.11332468572476186</v>
      </c>
      <c r="CX3567" s="41" t="e">
        <v>#N/A</v>
      </c>
      <c r="CY3567" s="41" t="e">
        <v>#N/A</v>
      </c>
      <c r="CZ3567" s="47" t="e">
        <v>#N/A</v>
      </c>
      <c r="DA3567">
        <v>0.11332468572476186</v>
      </c>
      <c r="DB3567" t="str">
        <v/>
      </c>
    </row>
    <row r="3568" spans="83:106" x14ac:dyDescent="0.2">
      <c r="CE3568"/>
      <c r="CF3568"/>
      <c r="CG3568"/>
      <c r="CH3568"/>
      <c r="CI3568"/>
      <c r="CU3568" s="21">
        <v>3563</v>
      </c>
      <c r="CV3568" s="41">
        <v>4</v>
      </c>
      <c r="CW3568" s="41">
        <v>0.11332468572476186</v>
      </c>
      <c r="CX3568" s="41" t="e">
        <v>#N/A</v>
      </c>
      <c r="CY3568" s="41" t="e">
        <v>#N/A</v>
      </c>
      <c r="CZ3568" s="47" t="e">
        <v>#N/A</v>
      </c>
      <c r="DA3568">
        <v>0.11332468572476186</v>
      </c>
      <c r="DB3568" t="str">
        <v/>
      </c>
    </row>
    <row r="3569" spans="83:106" x14ac:dyDescent="0.2">
      <c r="CE3569"/>
      <c r="CF3569"/>
      <c r="CG3569"/>
      <c r="CH3569"/>
      <c r="CI3569"/>
      <c r="CU3569" s="21">
        <v>3564</v>
      </c>
      <c r="CV3569" s="41">
        <v>4</v>
      </c>
      <c r="CW3569" s="41">
        <v>0.11332468572476186</v>
      </c>
      <c r="CX3569" s="41" t="e">
        <v>#N/A</v>
      </c>
      <c r="CY3569" s="41" t="e">
        <v>#N/A</v>
      </c>
      <c r="CZ3569" s="47" t="e">
        <v>#N/A</v>
      </c>
      <c r="DA3569">
        <v>0.11332468572476186</v>
      </c>
      <c r="DB3569" t="str">
        <v/>
      </c>
    </row>
    <row r="3570" spans="83:106" x14ac:dyDescent="0.2">
      <c r="CE3570"/>
      <c r="CF3570"/>
      <c r="CG3570"/>
      <c r="CH3570"/>
      <c r="CI3570"/>
      <c r="CU3570" s="21">
        <v>3565</v>
      </c>
      <c r="CV3570" s="41">
        <v>4</v>
      </c>
      <c r="CW3570" s="41">
        <v>0.11332468572476186</v>
      </c>
      <c r="CX3570" s="41" t="e">
        <v>#N/A</v>
      </c>
      <c r="CY3570" s="41" t="e">
        <v>#N/A</v>
      </c>
      <c r="CZ3570" s="47" t="e">
        <v>#N/A</v>
      </c>
      <c r="DA3570">
        <v>0.11332468572476186</v>
      </c>
      <c r="DB3570" t="str">
        <v/>
      </c>
    </row>
    <row r="3571" spans="83:106" x14ac:dyDescent="0.2">
      <c r="CE3571"/>
      <c r="CF3571"/>
      <c r="CG3571"/>
      <c r="CH3571"/>
      <c r="CI3571"/>
      <c r="CU3571" s="21">
        <v>3566</v>
      </c>
      <c r="CV3571" s="41">
        <v>4</v>
      </c>
      <c r="CW3571" s="41">
        <v>0.11332468572476186</v>
      </c>
      <c r="CX3571" s="41" t="e">
        <v>#N/A</v>
      </c>
      <c r="CY3571" s="41" t="e">
        <v>#N/A</v>
      </c>
      <c r="CZ3571" s="47" t="e">
        <v>#N/A</v>
      </c>
      <c r="DA3571">
        <v>0.11332468572476186</v>
      </c>
      <c r="DB3571" t="str">
        <v/>
      </c>
    </row>
    <row r="3572" spans="83:106" x14ac:dyDescent="0.2">
      <c r="CE3572"/>
      <c r="CF3572"/>
      <c r="CG3572"/>
      <c r="CH3572"/>
      <c r="CI3572"/>
      <c r="CU3572" s="21">
        <v>3567</v>
      </c>
      <c r="CV3572" s="41">
        <v>4</v>
      </c>
      <c r="CW3572" s="41">
        <v>0.11332468572476186</v>
      </c>
      <c r="CX3572" s="41" t="e">
        <v>#N/A</v>
      </c>
      <c r="CY3572" s="41" t="e">
        <v>#N/A</v>
      </c>
      <c r="CZ3572" s="47" t="e">
        <v>#N/A</v>
      </c>
      <c r="DA3572">
        <v>0.11332468572476186</v>
      </c>
      <c r="DB3572" t="str">
        <v/>
      </c>
    </row>
    <row r="3573" spans="83:106" x14ac:dyDescent="0.2">
      <c r="CE3573"/>
      <c r="CF3573"/>
      <c r="CG3573"/>
      <c r="CH3573"/>
      <c r="CI3573"/>
      <c r="CU3573" s="21">
        <v>3568</v>
      </c>
      <c r="CV3573" s="41">
        <v>4</v>
      </c>
      <c r="CW3573" s="41">
        <v>0.11332468572476186</v>
      </c>
      <c r="CX3573" s="41" t="e">
        <v>#N/A</v>
      </c>
      <c r="CY3573" s="41" t="e">
        <v>#N/A</v>
      </c>
      <c r="CZ3573" s="47" t="e">
        <v>#N/A</v>
      </c>
      <c r="DA3573">
        <v>0.11332468572476186</v>
      </c>
      <c r="DB3573" t="str">
        <v/>
      </c>
    </row>
    <row r="3574" spans="83:106" x14ac:dyDescent="0.2">
      <c r="CE3574"/>
      <c r="CF3574"/>
      <c r="CG3574"/>
      <c r="CH3574"/>
      <c r="CI3574"/>
      <c r="CU3574" s="21">
        <v>3569</v>
      </c>
      <c r="CV3574" s="41">
        <v>4</v>
      </c>
      <c r="CW3574" s="41">
        <v>0.11332468572476186</v>
      </c>
      <c r="CX3574" s="41" t="e">
        <v>#N/A</v>
      </c>
      <c r="CY3574" s="41" t="e">
        <v>#N/A</v>
      </c>
      <c r="CZ3574" s="47" t="e">
        <v>#N/A</v>
      </c>
      <c r="DA3574">
        <v>0.11332468572476186</v>
      </c>
      <c r="DB3574" t="str">
        <v/>
      </c>
    </row>
    <row r="3575" spans="83:106" x14ac:dyDescent="0.2">
      <c r="CE3575"/>
      <c r="CF3575"/>
      <c r="CG3575"/>
      <c r="CH3575"/>
      <c r="CI3575"/>
      <c r="CU3575" s="21">
        <v>3570</v>
      </c>
      <c r="CV3575" s="41">
        <v>4</v>
      </c>
      <c r="CW3575" s="41">
        <v>0.11332468572476186</v>
      </c>
      <c r="CX3575" s="41" t="e">
        <v>#N/A</v>
      </c>
      <c r="CY3575" s="41" t="e">
        <v>#N/A</v>
      </c>
      <c r="CZ3575" s="47" t="e">
        <v>#N/A</v>
      </c>
      <c r="DA3575">
        <v>0.11332468572476186</v>
      </c>
      <c r="DB3575" t="str">
        <v/>
      </c>
    </row>
    <row r="3576" spans="83:106" x14ac:dyDescent="0.2">
      <c r="CE3576"/>
      <c r="CF3576"/>
      <c r="CG3576"/>
      <c r="CH3576"/>
      <c r="CI3576"/>
      <c r="CU3576" s="21">
        <v>3571</v>
      </c>
      <c r="CV3576" s="41">
        <v>4</v>
      </c>
      <c r="CW3576" s="41">
        <v>0.11332468572476186</v>
      </c>
      <c r="CX3576" s="41" t="e">
        <v>#N/A</v>
      </c>
      <c r="CY3576" s="41" t="e">
        <v>#N/A</v>
      </c>
      <c r="CZ3576" s="47" t="e">
        <v>#N/A</v>
      </c>
      <c r="DA3576">
        <v>0.11332468572476186</v>
      </c>
      <c r="DB3576" t="str">
        <v/>
      </c>
    </row>
    <row r="3577" spans="83:106" x14ac:dyDescent="0.2">
      <c r="CE3577"/>
      <c r="CF3577"/>
      <c r="CG3577"/>
      <c r="CH3577"/>
      <c r="CI3577"/>
      <c r="CU3577" s="21">
        <v>3572</v>
      </c>
      <c r="CV3577" s="41">
        <v>4</v>
      </c>
      <c r="CW3577" s="41">
        <v>0.11332468572476186</v>
      </c>
      <c r="CX3577" s="41" t="e">
        <v>#N/A</v>
      </c>
      <c r="CY3577" s="41" t="e">
        <v>#N/A</v>
      </c>
      <c r="CZ3577" s="47" t="e">
        <v>#N/A</v>
      </c>
      <c r="DA3577">
        <v>0.11332468572476186</v>
      </c>
      <c r="DB3577" t="str">
        <v/>
      </c>
    </row>
    <row r="3578" spans="83:106" x14ac:dyDescent="0.2">
      <c r="CE3578"/>
      <c r="CF3578"/>
      <c r="CG3578"/>
      <c r="CH3578"/>
      <c r="CI3578"/>
      <c r="CU3578" s="21">
        <v>3573</v>
      </c>
      <c r="CV3578" s="41">
        <v>4</v>
      </c>
      <c r="CW3578" s="41">
        <v>0.11332468572476186</v>
      </c>
      <c r="CX3578" s="41" t="e">
        <v>#N/A</v>
      </c>
      <c r="CY3578" s="41" t="e">
        <v>#N/A</v>
      </c>
      <c r="CZ3578" s="47" t="e">
        <v>#N/A</v>
      </c>
      <c r="DA3578">
        <v>0.11332468572476186</v>
      </c>
      <c r="DB3578" t="str">
        <v/>
      </c>
    </row>
    <row r="3579" spans="83:106" x14ac:dyDescent="0.2">
      <c r="CE3579"/>
      <c r="CF3579"/>
      <c r="CG3579"/>
      <c r="CH3579"/>
      <c r="CI3579"/>
      <c r="CU3579" s="21">
        <v>3574</v>
      </c>
      <c r="CV3579" s="41">
        <v>4</v>
      </c>
      <c r="CW3579" s="41">
        <v>0.11332468572476186</v>
      </c>
      <c r="CX3579" s="41" t="e">
        <v>#N/A</v>
      </c>
      <c r="CY3579" s="41" t="e">
        <v>#N/A</v>
      </c>
      <c r="CZ3579" s="47" t="e">
        <v>#N/A</v>
      </c>
      <c r="DA3579">
        <v>0.11332468572476186</v>
      </c>
      <c r="DB3579" t="str">
        <v/>
      </c>
    </row>
    <row r="3580" spans="83:106" x14ac:dyDescent="0.2">
      <c r="CE3580"/>
      <c r="CF3580"/>
      <c r="CG3580"/>
      <c r="CH3580"/>
      <c r="CI3580"/>
      <c r="CU3580" s="21">
        <v>3575</v>
      </c>
      <c r="CV3580" s="41">
        <v>4</v>
      </c>
      <c r="CW3580" s="41">
        <v>0.11332468572476186</v>
      </c>
      <c r="CX3580" s="41" t="e">
        <v>#N/A</v>
      </c>
      <c r="CY3580" s="41" t="e">
        <v>#N/A</v>
      </c>
      <c r="CZ3580" s="47" t="e">
        <v>#N/A</v>
      </c>
      <c r="DA3580">
        <v>0.11332468572476186</v>
      </c>
      <c r="DB3580" t="str">
        <v/>
      </c>
    </row>
    <row r="3581" spans="83:106" x14ac:dyDescent="0.2">
      <c r="CE3581"/>
      <c r="CF3581"/>
      <c r="CG3581"/>
      <c r="CH3581"/>
      <c r="CI3581"/>
      <c r="CU3581" s="21">
        <v>3576</v>
      </c>
      <c r="CV3581" s="41">
        <v>4</v>
      </c>
      <c r="CW3581" s="41">
        <v>0.11332468572476186</v>
      </c>
      <c r="CX3581" s="41" t="e">
        <v>#N/A</v>
      </c>
      <c r="CY3581" s="41" t="e">
        <v>#N/A</v>
      </c>
      <c r="CZ3581" s="47" t="e">
        <v>#N/A</v>
      </c>
      <c r="DA3581">
        <v>0.11332468572476186</v>
      </c>
      <c r="DB3581" t="str">
        <v/>
      </c>
    </row>
    <row r="3582" spans="83:106" x14ac:dyDescent="0.2">
      <c r="CE3582"/>
      <c r="CF3582"/>
      <c r="CG3582"/>
      <c r="CH3582"/>
      <c r="CI3582"/>
      <c r="CU3582" s="21">
        <v>3577</v>
      </c>
      <c r="CV3582" s="41">
        <v>4</v>
      </c>
      <c r="CW3582" s="41">
        <v>0.11332468572476186</v>
      </c>
      <c r="CX3582" s="41" t="e">
        <v>#N/A</v>
      </c>
      <c r="CY3582" s="41" t="e">
        <v>#N/A</v>
      </c>
      <c r="CZ3582" s="47" t="e">
        <v>#N/A</v>
      </c>
      <c r="DA3582">
        <v>0.11332468572476186</v>
      </c>
      <c r="DB3582" t="str">
        <v/>
      </c>
    </row>
    <row r="3583" spans="83:106" x14ac:dyDescent="0.2">
      <c r="CE3583"/>
      <c r="CF3583"/>
      <c r="CG3583"/>
      <c r="CH3583"/>
      <c r="CI3583"/>
      <c r="CU3583" s="21">
        <v>3578</v>
      </c>
      <c r="CV3583" s="41">
        <v>4</v>
      </c>
      <c r="CW3583" s="41">
        <v>0.11332468572476186</v>
      </c>
      <c r="CX3583" s="41" t="e">
        <v>#N/A</v>
      </c>
      <c r="CY3583" s="41" t="e">
        <v>#N/A</v>
      </c>
      <c r="CZ3583" s="47" t="e">
        <v>#N/A</v>
      </c>
      <c r="DA3583">
        <v>0.11332468572476186</v>
      </c>
      <c r="DB3583" t="str">
        <v/>
      </c>
    </row>
    <row r="3584" spans="83:106" x14ac:dyDescent="0.2">
      <c r="CE3584"/>
      <c r="CF3584"/>
      <c r="CG3584"/>
      <c r="CH3584"/>
      <c r="CI3584"/>
      <c r="CU3584" s="21">
        <v>3579</v>
      </c>
      <c r="CV3584" s="41">
        <v>4</v>
      </c>
      <c r="CW3584" s="41">
        <v>0.11332468572476186</v>
      </c>
      <c r="CX3584" s="41" t="e">
        <v>#N/A</v>
      </c>
      <c r="CY3584" s="41" t="e">
        <v>#N/A</v>
      </c>
      <c r="CZ3584" s="47" t="e">
        <v>#N/A</v>
      </c>
      <c r="DA3584">
        <v>0.11332468572476186</v>
      </c>
      <c r="DB3584" t="str">
        <v/>
      </c>
    </row>
    <row r="3585" spans="83:106" x14ac:dyDescent="0.2">
      <c r="CE3585"/>
      <c r="CF3585"/>
      <c r="CG3585"/>
      <c r="CH3585"/>
      <c r="CI3585"/>
      <c r="CU3585" s="21">
        <v>3580</v>
      </c>
      <c r="CV3585" s="41">
        <v>4</v>
      </c>
      <c r="CW3585" s="41">
        <v>0.11332468572476186</v>
      </c>
      <c r="CX3585" s="41" t="e">
        <v>#N/A</v>
      </c>
      <c r="CY3585" s="41" t="e">
        <v>#N/A</v>
      </c>
      <c r="CZ3585" s="47" t="e">
        <v>#N/A</v>
      </c>
      <c r="DA3585">
        <v>0.11332468572476186</v>
      </c>
      <c r="DB3585" t="str">
        <v/>
      </c>
    </row>
    <row r="3586" spans="83:106" x14ac:dyDescent="0.2">
      <c r="CE3586"/>
      <c r="CF3586"/>
      <c r="CG3586"/>
      <c r="CH3586"/>
      <c r="CI3586"/>
      <c r="CU3586" s="21">
        <v>3581</v>
      </c>
      <c r="CV3586" s="41">
        <v>4</v>
      </c>
      <c r="CW3586" s="41">
        <v>0.11332468572476186</v>
      </c>
      <c r="CX3586" s="41" t="e">
        <v>#N/A</v>
      </c>
      <c r="CY3586" s="41" t="e">
        <v>#N/A</v>
      </c>
      <c r="CZ3586" s="47" t="e">
        <v>#N/A</v>
      </c>
      <c r="DA3586">
        <v>0.11332468572476186</v>
      </c>
      <c r="DB3586" t="str">
        <v/>
      </c>
    </row>
    <row r="3587" spans="83:106" x14ac:dyDescent="0.2">
      <c r="CE3587"/>
      <c r="CF3587"/>
      <c r="CG3587"/>
      <c r="CH3587"/>
      <c r="CI3587"/>
      <c r="CU3587" s="21">
        <v>3582</v>
      </c>
      <c r="CV3587" s="41">
        <v>4</v>
      </c>
      <c r="CW3587" s="41">
        <v>0.11332468572476186</v>
      </c>
      <c r="CX3587" s="41" t="e">
        <v>#N/A</v>
      </c>
      <c r="CY3587" s="41" t="e">
        <v>#N/A</v>
      </c>
      <c r="CZ3587" s="47" t="e">
        <v>#N/A</v>
      </c>
      <c r="DA3587">
        <v>0.11332468572476186</v>
      </c>
      <c r="DB3587" t="str">
        <v/>
      </c>
    </row>
    <row r="3588" spans="83:106" x14ac:dyDescent="0.2">
      <c r="CE3588"/>
      <c r="CF3588"/>
      <c r="CG3588"/>
      <c r="CH3588"/>
      <c r="CI3588"/>
      <c r="CU3588" s="21">
        <v>3583</v>
      </c>
      <c r="CV3588" s="41">
        <v>4</v>
      </c>
      <c r="CW3588" s="41">
        <v>0.11332468572476186</v>
      </c>
      <c r="CX3588" s="41" t="e">
        <v>#N/A</v>
      </c>
      <c r="CY3588" s="41" t="e">
        <v>#N/A</v>
      </c>
      <c r="CZ3588" s="47" t="e">
        <v>#N/A</v>
      </c>
      <c r="DA3588">
        <v>0.11332468572476186</v>
      </c>
      <c r="DB3588" t="str">
        <v/>
      </c>
    </row>
    <row r="3589" spans="83:106" x14ac:dyDescent="0.2">
      <c r="CE3589"/>
      <c r="CF3589"/>
      <c r="CG3589"/>
      <c r="CH3589"/>
      <c r="CI3589"/>
      <c r="CU3589" s="21">
        <v>3584</v>
      </c>
      <c r="CV3589" s="41">
        <v>4</v>
      </c>
      <c r="CW3589" s="41">
        <v>0.11332468572476186</v>
      </c>
      <c r="CX3589" s="41" t="e">
        <v>#N/A</v>
      </c>
      <c r="CY3589" s="41" t="e">
        <v>#N/A</v>
      </c>
      <c r="CZ3589" s="47" t="e">
        <v>#N/A</v>
      </c>
      <c r="DA3589">
        <v>0.11332468572476186</v>
      </c>
      <c r="DB3589" t="str">
        <v/>
      </c>
    </row>
    <row r="3590" spans="83:106" x14ac:dyDescent="0.2">
      <c r="CE3590"/>
      <c r="CF3590"/>
      <c r="CG3590"/>
      <c r="CH3590"/>
      <c r="CI3590"/>
      <c r="CU3590" s="21">
        <v>3585</v>
      </c>
      <c r="CV3590" s="41">
        <v>4</v>
      </c>
      <c r="CW3590" s="41">
        <v>0.11332468572476186</v>
      </c>
      <c r="CX3590" s="41" t="e">
        <v>#N/A</v>
      </c>
      <c r="CY3590" s="41" t="e">
        <v>#N/A</v>
      </c>
      <c r="CZ3590" s="47" t="e">
        <v>#N/A</v>
      </c>
      <c r="DA3590">
        <v>0.11332468572476186</v>
      </c>
      <c r="DB3590" t="str">
        <v/>
      </c>
    </row>
    <row r="3591" spans="83:106" x14ac:dyDescent="0.2">
      <c r="CE3591"/>
      <c r="CF3591"/>
      <c r="CG3591"/>
      <c r="CH3591"/>
      <c r="CI3591"/>
      <c r="CU3591" s="21">
        <v>3586</v>
      </c>
      <c r="CV3591" s="41">
        <v>4</v>
      </c>
      <c r="CW3591" s="41">
        <v>0.11332468572476186</v>
      </c>
      <c r="CX3591" s="41" t="e">
        <v>#N/A</v>
      </c>
      <c r="CY3591" s="41" t="e">
        <v>#N/A</v>
      </c>
      <c r="CZ3591" s="47" t="e">
        <v>#N/A</v>
      </c>
      <c r="DA3591">
        <v>0.11332468572476186</v>
      </c>
      <c r="DB3591" t="str">
        <v/>
      </c>
    </row>
    <row r="3592" spans="83:106" x14ac:dyDescent="0.2">
      <c r="CE3592"/>
      <c r="CF3592"/>
      <c r="CG3592"/>
      <c r="CH3592"/>
      <c r="CI3592"/>
      <c r="CU3592" s="21">
        <v>3587</v>
      </c>
      <c r="CV3592" s="41">
        <v>4</v>
      </c>
      <c r="CW3592" s="41">
        <v>0.11332468572476186</v>
      </c>
      <c r="CX3592" s="41" t="e">
        <v>#N/A</v>
      </c>
      <c r="CY3592" s="41" t="e">
        <v>#N/A</v>
      </c>
      <c r="CZ3592" s="47" t="e">
        <v>#N/A</v>
      </c>
      <c r="DA3592">
        <v>0.11332468572476186</v>
      </c>
      <c r="DB3592" t="str">
        <v/>
      </c>
    </row>
    <row r="3593" spans="83:106" x14ac:dyDescent="0.2">
      <c r="CE3593"/>
      <c r="CF3593"/>
      <c r="CG3593"/>
      <c r="CH3593"/>
      <c r="CI3593"/>
      <c r="CU3593" s="21">
        <v>3588</v>
      </c>
      <c r="CV3593" s="41">
        <v>4</v>
      </c>
      <c r="CW3593" s="41">
        <v>0.11332468572476186</v>
      </c>
      <c r="CX3593" s="41" t="e">
        <v>#N/A</v>
      </c>
      <c r="CY3593" s="41" t="e">
        <v>#N/A</v>
      </c>
      <c r="CZ3593" s="47" t="e">
        <v>#N/A</v>
      </c>
      <c r="DA3593">
        <v>0.11332468572476186</v>
      </c>
      <c r="DB3593" t="str">
        <v/>
      </c>
    </row>
    <row r="3594" spans="83:106" x14ac:dyDescent="0.2">
      <c r="CE3594"/>
      <c r="CF3594"/>
      <c r="CG3594"/>
      <c r="CH3594"/>
      <c r="CI3594"/>
      <c r="CU3594" s="21">
        <v>3589</v>
      </c>
      <c r="CV3594" s="41">
        <v>4</v>
      </c>
      <c r="CW3594" s="41">
        <v>0.11332468572476186</v>
      </c>
      <c r="CX3594" s="41" t="e">
        <v>#N/A</v>
      </c>
      <c r="CY3594" s="41" t="e">
        <v>#N/A</v>
      </c>
      <c r="CZ3594" s="47" t="e">
        <v>#N/A</v>
      </c>
      <c r="DA3594">
        <v>0.11332468572476186</v>
      </c>
      <c r="DB3594" t="str">
        <v/>
      </c>
    </row>
    <row r="3595" spans="83:106" x14ac:dyDescent="0.2">
      <c r="CE3595"/>
      <c r="CF3595"/>
      <c r="CG3595"/>
      <c r="CH3595"/>
      <c r="CI3595"/>
      <c r="CU3595" s="21">
        <v>3590</v>
      </c>
      <c r="CV3595" s="41">
        <v>4</v>
      </c>
      <c r="CW3595" s="41">
        <v>0.11332468572476186</v>
      </c>
      <c r="CX3595" s="41" t="e">
        <v>#N/A</v>
      </c>
      <c r="CY3595" s="41" t="e">
        <v>#N/A</v>
      </c>
      <c r="CZ3595" s="47" t="e">
        <v>#N/A</v>
      </c>
      <c r="DA3595">
        <v>0.11332468572476186</v>
      </c>
      <c r="DB3595" t="str">
        <v/>
      </c>
    </row>
    <row r="3596" spans="83:106" x14ac:dyDescent="0.2">
      <c r="CE3596"/>
      <c r="CF3596"/>
      <c r="CG3596"/>
      <c r="CH3596"/>
      <c r="CI3596"/>
      <c r="CU3596" s="21">
        <v>3591</v>
      </c>
      <c r="CV3596" s="41">
        <v>4</v>
      </c>
      <c r="CW3596" s="41">
        <v>0.11332468572476186</v>
      </c>
      <c r="CX3596" s="41" t="e">
        <v>#N/A</v>
      </c>
      <c r="CY3596" s="41" t="e">
        <v>#N/A</v>
      </c>
      <c r="CZ3596" s="47" t="e">
        <v>#N/A</v>
      </c>
      <c r="DA3596">
        <v>0.11332468572476186</v>
      </c>
      <c r="DB3596" t="str">
        <v/>
      </c>
    </row>
    <row r="3597" spans="83:106" x14ac:dyDescent="0.2">
      <c r="CE3597"/>
      <c r="CF3597"/>
      <c r="CG3597"/>
      <c r="CH3597"/>
      <c r="CI3597"/>
      <c r="CU3597" s="21">
        <v>3592</v>
      </c>
      <c r="CV3597" s="41">
        <v>4</v>
      </c>
      <c r="CW3597" s="41">
        <v>0.11332468572476186</v>
      </c>
      <c r="CX3597" s="41" t="e">
        <v>#N/A</v>
      </c>
      <c r="CY3597" s="41" t="e">
        <v>#N/A</v>
      </c>
      <c r="CZ3597" s="47" t="e">
        <v>#N/A</v>
      </c>
      <c r="DA3597">
        <v>0.11332468572476186</v>
      </c>
      <c r="DB3597" t="str">
        <v/>
      </c>
    </row>
    <row r="3598" spans="83:106" x14ac:dyDescent="0.2">
      <c r="CE3598"/>
      <c r="CF3598"/>
      <c r="CG3598"/>
      <c r="CH3598"/>
      <c r="CI3598"/>
      <c r="CU3598" s="21">
        <v>3593</v>
      </c>
      <c r="CV3598" s="41">
        <v>4</v>
      </c>
      <c r="CW3598" s="41">
        <v>0.11332468572476186</v>
      </c>
      <c r="CX3598" s="41" t="e">
        <v>#N/A</v>
      </c>
      <c r="CY3598" s="41" t="e">
        <v>#N/A</v>
      </c>
      <c r="CZ3598" s="47" t="e">
        <v>#N/A</v>
      </c>
      <c r="DA3598">
        <v>0.11332468572476186</v>
      </c>
      <c r="DB3598" t="str">
        <v/>
      </c>
    </row>
    <row r="3599" spans="83:106" x14ac:dyDescent="0.2">
      <c r="CE3599"/>
      <c r="CF3599"/>
      <c r="CG3599"/>
      <c r="CH3599"/>
      <c r="CI3599"/>
      <c r="CU3599" s="21">
        <v>3594</v>
      </c>
      <c r="CV3599" s="41">
        <v>4</v>
      </c>
      <c r="CW3599" s="41">
        <v>0.11332468572476186</v>
      </c>
      <c r="CX3599" s="41" t="e">
        <v>#N/A</v>
      </c>
      <c r="CY3599" s="41" t="e">
        <v>#N/A</v>
      </c>
      <c r="CZ3599" s="47" t="e">
        <v>#N/A</v>
      </c>
      <c r="DA3599">
        <v>0.11332468572476186</v>
      </c>
      <c r="DB3599" t="str">
        <v/>
      </c>
    </row>
    <row r="3600" spans="83:106" x14ac:dyDescent="0.2">
      <c r="CE3600"/>
      <c r="CF3600"/>
      <c r="CG3600"/>
      <c r="CH3600"/>
      <c r="CI3600"/>
      <c r="CU3600" s="21">
        <v>3595</v>
      </c>
      <c r="CV3600" s="41">
        <v>4</v>
      </c>
      <c r="CW3600" s="41">
        <v>0.11332468572476186</v>
      </c>
      <c r="CX3600" s="41" t="e">
        <v>#N/A</v>
      </c>
      <c r="CY3600" s="41" t="e">
        <v>#N/A</v>
      </c>
      <c r="CZ3600" s="47" t="e">
        <v>#N/A</v>
      </c>
      <c r="DA3600">
        <v>0.11332468572476186</v>
      </c>
      <c r="DB3600" t="str">
        <v/>
      </c>
    </row>
    <row r="3601" spans="83:106" x14ac:dyDescent="0.2">
      <c r="CE3601"/>
      <c r="CF3601"/>
      <c r="CG3601"/>
      <c r="CH3601"/>
      <c r="CI3601"/>
      <c r="CU3601" s="21">
        <v>3596</v>
      </c>
      <c r="CV3601" s="41">
        <v>4</v>
      </c>
      <c r="CW3601" s="41">
        <v>0.11332468572476186</v>
      </c>
      <c r="CX3601" s="41" t="e">
        <v>#N/A</v>
      </c>
      <c r="CY3601" s="41" t="e">
        <v>#N/A</v>
      </c>
      <c r="CZ3601" s="47" t="e">
        <v>#N/A</v>
      </c>
      <c r="DA3601">
        <v>0.11332468572476186</v>
      </c>
      <c r="DB3601" t="str">
        <v/>
      </c>
    </row>
    <row r="3602" spans="83:106" x14ac:dyDescent="0.2">
      <c r="CE3602"/>
      <c r="CF3602"/>
      <c r="CG3602"/>
      <c r="CH3602"/>
      <c r="CI3602"/>
      <c r="CU3602" s="21">
        <v>3597</v>
      </c>
      <c r="CV3602" s="41">
        <v>4</v>
      </c>
      <c r="CW3602" s="41">
        <v>0.11332468572476186</v>
      </c>
      <c r="CX3602" s="41" t="e">
        <v>#N/A</v>
      </c>
      <c r="CY3602" s="41" t="e">
        <v>#N/A</v>
      </c>
      <c r="CZ3602" s="47" t="e">
        <v>#N/A</v>
      </c>
      <c r="DA3602">
        <v>0.11332468572476186</v>
      </c>
      <c r="DB3602" t="str">
        <v/>
      </c>
    </row>
    <row r="3603" spans="83:106" x14ac:dyDescent="0.2">
      <c r="CE3603"/>
      <c r="CF3603"/>
      <c r="CG3603"/>
      <c r="CH3603"/>
      <c r="CI3603"/>
      <c r="CU3603" s="21">
        <v>3598</v>
      </c>
      <c r="CV3603" s="41">
        <v>4</v>
      </c>
      <c r="CW3603" s="41">
        <v>0.11332468572476186</v>
      </c>
      <c r="CX3603" s="41" t="e">
        <v>#N/A</v>
      </c>
      <c r="CY3603" s="41" t="e">
        <v>#N/A</v>
      </c>
      <c r="CZ3603" s="47" t="e">
        <v>#N/A</v>
      </c>
      <c r="DA3603">
        <v>0.11332468572476186</v>
      </c>
      <c r="DB3603" t="str">
        <v/>
      </c>
    </row>
    <row r="3604" spans="83:106" x14ac:dyDescent="0.2">
      <c r="CE3604"/>
      <c r="CF3604"/>
      <c r="CG3604"/>
      <c r="CH3604"/>
      <c r="CI3604"/>
      <c r="CU3604" s="21">
        <v>3599</v>
      </c>
      <c r="CV3604" s="41">
        <v>4</v>
      </c>
      <c r="CW3604" s="41">
        <v>0.11332468572476186</v>
      </c>
      <c r="CX3604" s="41" t="e">
        <v>#N/A</v>
      </c>
      <c r="CY3604" s="41" t="e">
        <v>#N/A</v>
      </c>
      <c r="CZ3604" s="47" t="e">
        <v>#N/A</v>
      </c>
      <c r="DA3604">
        <v>0.11332468572476186</v>
      </c>
      <c r="DB3604" t="str">
        <v/>
      </c>
    </row>
    <row r="3605" spans="83:106" x14ac:dyDescent="0.2">
      <c r="CE3605"/>
      <c r="CF3605"/>
      <c r="CG3605"/>
      <c r="CH3605"/>
      <c r="CI3605"/>
      <c r="CU3605" s="21">
        <v>3600</v>
      </c>
      <c r="CV3605" s="41">
        <v>4</v>
      </c>
      <c r="CW3605" s="41">
        <v>0.11332468572476186</v>
      </c>
      <c r="CX3605" s="41" t="e">
        <v>#N/A</v>
      </c>
      <c r="CY3605" s="41" t="e">
        <v>#N/A</v>
      </c>
      <c r="CZ3605" s="47" t="e">
        <v>#N/A</v>
      </c>
      <c r="DA3605">
        <v>0.11332468572476186</v>
      </c>
      <c r="DB3605" t="str">
        <v/>
      </c>
    </row>
    <row r="3606" spans="83:106" x14ac:dyDescent="0.2">
      <c r="CE3606"/>
      <c r="CF3606"/>
      <c r="CG3606"/>
      <c r="CH3606"/>
      <c r="CI3606"/>
      <c r="CU3606" s="21">
        <v>3601</v>
      </c>
      <c r="CV3606" s="41">
        <v>4</v>
      </c>
      <c r="CW3606" s="41">
        <v>0.11332468572476186</v>
      </c>
      <c r="CX3606" s="41" t="e">
        <v>#N/A</v>
      </c>
      <c r="CY3606" s="41" t="e">
        <v>#N/A</v>
      </c>
      <c r="CZ3606" s="47" t="e">
        <v>#N/A</v>
      </c>
      <c r="DA3606">
        <v>0.11332468572476186</v>
      </c>
      <c r="DB3606" t="str">
        <v/>
      </c>
    </row>
    <row r="3607" spans="83:106" x14ac:dyDescent="0.2">
      <c r="CE3607"/>
      <c r="CF3607"/>
      <c r="CG3607"/>
      <c r="CH3607"/>
      <c r="CI3607"/>
      <c r="CU3607" s="21">
        <v>3602</v>
      </c>
      <c r="CV3607" s="41">
        <v>4</v>
      </c>
      <c r="CW3607" s="41">
        <v>0.11332468572476186</v>
      </c>
      <c r="CX3607" s="41" t="e">
        <v>#N/A</v>
      </c>
      <c r="CY3607" s="41" t="e">
        <v>#N/A</v>
      </c>
      <c r="CZ3607" s="47" t="e">
        <v>#N/A</v>
      </c>
      <c r="DA3607">
        <v>0.11332468572476186</v>
      </c>
      <c r="DB3607" t="str">
        <v/>
      </c>
    </row>
    <row r="3608" spans="83:106" x14ac:dyDescent="0.2">
      <c r="CE3608"/>
      <c r="CF3608"/>
      <c r="CG3608"/>
      <c r="CH3608"/>
      <c r="CI3608"/>
      <c r="CU3608" s="21">
        <v>3603</v>
      </c>
      <c r="CV3608" s="41">
        <v>4</v>
      </c>
      <c r="CW3608" s="41">
        <v>0.11332468572476186</v>
      </c>
      <c r="CX3608" s="41" t="e">
        <v>#N/A</v>
      </c>
      <c r="CY3608" s="41" t="e">
        <v>#N/A</v>
      </c>
      <c r="CZ3608" s="47" t="e">
        <v>#N/A</v>
      </c>
      <c r="DA3608">
        <v>0.11332468572476186</v>
      </c>
      <c r="DB3608" t="str">
        <v/>
      </c>
    </row>
    <row r="3609" spans="83:106" x14ac:dyDescent="0.2">
      <c r="CE3609"/>
      <c r="CF3609"/>
      <c r="CG3609"/>
      <c r="CH3609"/>
      <c r="CI3609"/>
      <c r="CU3609" s="21">
        <v>3604</v>
      </c>
      <c r="CV3609" s="41">
        <v>4</v>
      </c>
      <c r="CW3609" s="41">
        <v>0.11332468572476186</v>
      </c>
      <c r="CX3609" s="41" t="e">
        <v>#N/A</v>
      </c>
      <c r="CY3609" s="41" t="e">
        <v>#N/A</v>
      </c>
      <c r="CZ3609" s="47" t="e">
        <v>#N/A</v>
      </c>
      <c r="DA3609">
        <v>0.11332468572476186</v>
      </c>
      <c r="DB3609" t="str">
        <v/>
      </c>
    </row>
    <row r="3610" spans="83:106" x14ac:dyDescent="0.2">
      <c r="CE3610"/>
      <c r="CF3610"/>
      <c r="CG3610"/>
      <c r="CH3610"/>
      <c r="CI3610"/>
      <c r="CU3610" s="21">
        <v>3605</v>
      </c>
      <c r="CV3610" s="41">
        <v>4</v>
      </c>
      <c r="CW3610" s="41">
        <v>0.11332468572476186</v>
      </c>
      <c r="CX3610" s="41" t="e">
        <v>#N/A</v>
      </c>
      <c r="CY3610" s="41" t="e">
        <v>#N/A</v>
      </c>
      <c r="CZ3610" s="47" t="e">
        <v>#N/A</v>
      </c>
      <c r="DA3610">
        <v>0.11332468572476186</v>
      </c>
      <c r="DB3610" t="str">
        <v/>
      </c>
    </row>
    <row r="3611" spans="83:106" x14ac:dyDescent="0.2">
      <c r="CE3611"/>
      <c r="CF3611"/>
      <c r="CG3611"/>
      <c r="CH3611"/>
      <c r="CI3611"/>
      <c r="CU3611" s="21">
        <v>3606</v>
      </c>
      <c r="CV3611" s="41">
        <v>4</v>
      </c>
      <c r="CW3611" s="41">
        <v>0.11332468572476186</v>
      </c>
      <c r="CX3611" s="41" t="e">
        <v>#N/A</v>
      </c>
      <c r="CY3611" s="41" t="e">
        <v>#N/A</v>
      </c>
      <c r="CZ3611" s="47" t="e">
        <v>#N/A</v>
      </c>
      <c r="DA3611">
        <v>0.11332468572476186</v>
      </c>
      <c r="DB3611" t="str">
        <v/>
      </c>
    </row>
    <row r="3612" spans="83:106" x14ac:dyDescent="0.2">
      <c r="CE3612"/>
      <c r="CF3612"/>
      <c r="CG3612"/>
      <c r="CH3612"/>
      <c r="CI3612"/>
      <c r="CU3612" s="21">
        <v>3607</v>
      </c>
      <c r="CV3612" s="41">
        <v>4</v>
      </c>
      <c r="CW3612" s="41">
        <v>0.11332468572476186</v>
      </c>
      <c r="CX3612" s="41" t="e">
        <v>#N/A</v>
      </c>
      <c r="CY3612" s="41" t="e">
        <v>#N/A</v>
      </c>
      <c r="CZ3612" s="47" t="e">
        <v>#N/A</v>
      </c>
      <c r="DA3612">
        <v>0.11332468572476186</v>
      </c>
      <c r="DB3612" t="str">
        <v/>
      </c>
    </row>
    <row r="3613" spans="83:106" x14ac:dyDescent="0.2">
      <c r="CE3613"/>
      <c r="CF3613"/>
      <c r="CG3613"/>
      <c r="CH3613"/>
      <c r="CI3613"/>
      <c r="CU3613" s="21">
        <v>3608</v>
      </c>
      <c r="CV3613" s="41">
        <v>4</v>
      </c>
      <c r="CW3613" s="41">
        <v>0.11332468572476186</v>
      </c>
      <c r="CX3613" s="41" t="e">
        <v>#N/A</v>
      </c>
      <c r="CY3613" s="41" t="e">
        <v>#N/A</v>
      </c>
      <c r="CZ3613" s="47" t="e">
        <v>#N/A</v>
      </c>
      <c r="DA3613">
        <v>0.11332468572476186</v>
      </c>
      <c r="DB3613" t="str">
        <v/>
      </c>
    </row>
    <row r="3614" spans="83:106" x14ac:dyDescent="0.2">
      <c r="CE3614"/>
      <c r="CF3614"/>
      <c r="CG3614"/>
      <c r="CH3614"/>
      <c r="CI3614"/>
      <c r="CU3614" s="21">
        <v>3609</v>
      </c>
      <c r="CV3614" s="41">
        <v>4</v>
      </c>
      <c r="CW3614" s="41">
        <v>0.11332468572476186</v>
      </c>
      <c r="CX3614" s="41" t="e">
        <v>#N/A</v>
      </c>
      <c r="CY3614" s="41" t="e">
        <v>#N/A</v>
      </c>
      <c r="CZ3614" s="47" t="e">
        <v>#N/A</v>
      </c>
      <c r="DA3614">
        <v>0.11332468572476186</v>
      </c>
      <c r="DB3614" t="str">
        <v/>
      </c>
    </row>
    <row r="3615" spans="83:106" x14ac:dyDescent="0.2">
      <c r="CE3615"/>
      <c r="CF3615"/>
      <c r="CG3615"/>
      <c r="CH3615"/>
      <c r="CI3615"/>
      <c r="CU3615" s="21">
        <v>3610</v>
      </c>
      <c r="CV3615" s="41">
        <v>4</v>
      </c>
      <c r="CW3615" s="41">
        <v>0.11332468572476186</v>
      </c>
      <c r="CX3615" s="41" t="e">
        <v>#N/A</v>
      </c>
      <c r="CY3615" s="41" t="e">
        <v>#N/A</v>
      </c>
      <c r="CZ3615" s="47" t="e">
        <v>#N/A</v>
      </c>
      <c r="DA3615">
        <v>0.11332468572476186</v>
      </c>
      <c r="DB3615" t="str">
        <v/>
      </c>
    </row>
    <row r="3616" spans="83:106" x14ac:dyDescent="0.2">
      <c r="CE3616"/>
      <c r="CF3616"/>
      <c r="CG3616"/>
      <c r="CH3616"/>
      <c r="CI3616"/>
      <c r="CU3616" s="21">
        <v>3611</v>
      </c>
      <c r="CV3616" s="41">
        <v>4</v>
      </c>
      <c r="CW3616" s="41">
        <v>0.11332468572476186</v>
      </c>
      <c r="CX3616" s="41" t="e">
        <v>#N/A</v>
      </c>
      <c r="CY3616" s="41" t="e">
        <v>#N/A</v>
      </c>
      <c r="CZ3616" s="47" t="e">
        <v>#N/A</v>
      </c>
      <c r="DA3616">
        <v>0.11332468572476186</v>
      </c>
      <c r="DB3616" t="str">
        <v/>
      </c>
    </row>
    <row r="3617" spans="83:106" x14ac:dyDescent="0.2">
      <c r="CE3617"/>
      <c r="CF3617"/>
      <c r="CG3617"/>
      <c r="CH3617"/>
      <c r="CI3617"/>
      <c r="CU3617" s="21">
        <v>3612</v>
      </c>
      <c r="CV3617" s="41">
        <v>4</v>
      </c>
      <c r="CW3617" s="41">
        <v>0.11332468572476186</v>
      </c>
      <c r="CX3617" s="41" t="e">
        <v>#N/A</v>
      </c>
      <c r="CY3617" s="41" t="e">
        <v>#N/A</v>
      </c>
      <c r="CZ3617" s="47" t="e">
        <v>#N/A</v>
      </c>
      <c r="DA3617">
        <v>0.11332468572476186</v>
      </c>
      <c r="DB3617" t="str">
        <v/>
      </c>
    </row>
    <row r="3618" spans="83:106" x14ac:dyDescent="0.2">
      <c r="CE3618"/>
      <c r="CF3618"/>
      <c r="CG3618"/>
      <c r="CH3618"/>
      <c r="CI3618"/>
      <c r="CU3618" s="21">
        <v>3613</v>
      </c>
      <c r="CV3618" s="41">
        <v>4</v>
      </c>
      <c r="CW3618" s="41">
        <v>0.11332468572476186</v>
      </c>
      <c r="CX3618" s="41" t="e">
        <v>#N/A</v>
      </c>
      <c r="CY3618" s="41" t="e">
        <v>#N/A</v>
      </c>
      <c r="CZ3618" s="47" t="e">
        <v>#N/A</v>
      </c>
      <c r="DA3618">
        <v>0.11332468572476186</v>
      </c>
      <c r="DB3618" t="str">
        <v/>
      </c>
    </row>
    <row r="3619" spans="83:106" x14ac:dyDescent="0.2">
      <c r="CE3619"/>
      <c r="CF3619"/>
      <c r="CG3619"/>
      <c r="CH3619"/>
      <c r="CI3619"/>
      <c r="CU3619" s="21">
        <v>3614</v>
      </c>
      <c r="CV3619" s="41">
        <v>4</v>
      </c>
      <c r="CW3619" s="41">
        <v>0.11332468572476186</v>
      </c>
      <c r="CX3619" s="41" t="e">
        <v>#N/A</v>
      </c>
      <c r="CY3619" s="41" t="e">
        <v>#N/A</v>
      </c>
      <c r="CZ3619" s="47" t="e">
        <v>#N/A</v>
      </c>
      <c r="DA3619">
        <v>0.11332468572476186</v>
      </c>
      <c r="DB3619" t="str">
        <v/>
      </c>
    </row>
    <row r="3620" spans="83:106" x14ac:dyDescent="0.2">
      <c r="CE3620"/>
      <c r="CF3620"/>
      <c r="CG3620"/>
      <c r="CH3620"/>
      <c r="CI3620"/>
      <c r="CU3620" s="21">
        <v>3615</v>
      </c>
      <c r="CV3620" s="41">
        <v>4</v>
      </c>
      <c r="CW3620" s="41">
        <v>0.11332468572476186</v>
      </c>
      <c r="CX3620" s="41" t="e">
        <v>#N/A</v>
      </c>
      <c r="CY3620" s="41" t="e">
        <v>#N/A</v>
      </c>
      <c r="CZ3620" s="47" t="e">
        <v>#N/A</v>
      </c>
      <c r="DA3620">
        <v>0.11332468572476186</v>
      </c>
      <c r="DB3620" t="str">
        <v/>
      </c>
    </row>
    <row r="3621" spans="83:106" x14ac:dyDescent="0.2">
      <c r="CE3621"/>
      <c r="CF3621"/>
      <c r="CG3621"/>
      <c r="CH3621"/>
      <c r="CI3621"/>
      <c r="CU3621" s="21">
        <v>3616</v>
      </c>
      <c r="CV3621" s="41">
        <v>4</v>
      </c>
      <c r="CW3621" s="41">
        <v>0.11332468572476186</v>
      </c>
      <c r="CX3621" s="41" t="e">
        <v>#N/A</v>
      </c>
      <c r="CY3621" s="41" t="e">
        <v>#N/A</v>
      </c>
      <c r="CZ3621" s="47" t="e">
        <v>#N/A</v>
      </c>
      <c r="DA3621">
        <v>0.11332468572476186</v>
      </c>
      <c r="DB3621" t="str">
        <v/>
      </c>
    </row>
    <row r="3622" spans="83:106" x14ac:dyDescent="0.2">
      <c r="CE3622"/>
      <c r="CF3622"/>
      <c r="CG3622"/>
      <c r="CH3622"/>
      <c r="CI3622"/>
      <c r="CU3622" s="21">
        <v>3617</v>
      </c>
      <c r="CV3622" s="41">
        <v>4</v>
      </c>
      <c r="CW3622" s="41">
        <v>0.11332468572476186</v>
      </c>
      <c r="CX3622" s="41" t="e">
        <v>#N/A</v>
      </c>
      <c r="CY3622" s="41" t="e">
        <v>#N/A</v>
      </c>
      <c r="CZ3622" s="47" t="e">
        <v>#N/A</v>
      </c>
      <c r="DA3622">
        <v>0.11332468572476186</v>
      </c>
      <c r="DB3622" t="str">
        <v/>
      </c>
    </row>
    <row r="3623" spans="83:106" x14ac:dyDescent="0.2">
      <c r="CE3623"/>
      <c r="CF3623"/>
      <c r="CG3623"/>
      <c r="CH3623"/>
      <c r="CI3623"/>
      <c r="CU3623" s="21">
        <v>3618</v>
      </c>
      <c r="CV3623" s="41">
        <v>4</v>
      </c>
      <c r="CW3623" s="41">
        <v>0.11332468572476186</v>
      </c>
      <c r="CX3623" s="41" t="e">
        <v>#N/A</v>
      </c>
      <c r="CY3623" s="41" t="e">
        <v>#N/A</v>
      </c>
      <c r="CZ3623" s="47" t="e">
        <v>#N/A</v>
      </c>
      <c r="DA3623">
        <v>0.11332468572476186</v>
      </c>
      <c r="DB3623" t="str">
        <v/>
      </c>
    </row>
    <row r="3624" spans="83:106" x14ac:dyDescent="0.2">
      <c r="CE3624"/>
      <c r="CF3624"/>
      <c r="CG3624"/>
      <c r="CH3624"/>
      <c r="CI3624"/>
      <c r="CU3624" s="21">
        <v>3619</v>
      </c>
      <c r="CV3624" s="41">
        <v>4</v>
      </c>
      <c r="CW3624" s="41">
        <v>0.11332468572476186</v>
      </c>
      <c r="CX3624" s="41" t="e">
        <v>#N/A</v>
      </c>
      <c r="CY3624" s="41" t="e">
        <v>#N/A</v>
      </c>
      <c r="CZ3624" s="47" t="e">
        <v>#N/A</v>
      </c>
      <c r="DA3624">
        <v>0.11332468572476186</v>
      </c>
      <c r="DB3624" t="str">
        <v/>
      </c>
    </row>
    <row r="3625" spans="83:106" x14ac:dyDescent="0.2">
      <c r="CE3625"/>
      <c r="CF3625"/>
      <c r="CG3625"/>
      <c r="CH3625"/>
      <c r="CI3625"/>
      <c r="CU3625" s="21">
        <v>3620</v>
      </c>
      <c r="CV3625" s="41">
        <v>4</v>
      </c>
      <c r="CW3625" s="41">
        <v>0.11332468572476186</v>
      </c>
      <c r="CX3625" s="41" t="e">
        <v>#N/A</v>
      </c>
      <c r="CY3625" s="41" t="e">
        <v>#N/A</v>
      </c>
      <c r="CZ3625" s="47" t="e">
        <v>#N/A</v>
      </c>
      <c r="DA3625">
        <v>0.11332468572476186</v>
      </c>
      <c r="DB3625" t="str">
        <v/>
      </c>
    </row>
    <row r="3626" spans="83:106" x14ac:dyDescent="0.2">
      <c r="CE3626"/>
      <c r="CF3626"/>
      <c r="CG3626"/>
      <c r="CH3626"/>
      <c r="CI3626"/>
      <c r="CU3626" s="21">
        <v>3621</v>
      </c>
      <c r="CV3626" s="41">
        <v>4</v>
      </c>
      <c r="CW3626" s="41">
        <v>0.11332468572476186</v>
      </c>
      <c r="CX3626" s="41" t="e">
        <v>#N/A</v>
      </c>
      <c r="CY3626" s="41" t="e">
        <v>#N/A</v>
      </c>
      <c r="CZ3626" s="47" t="e">
        <v>#N/A</v>
      </c>
      <c r="DA3626">
        <v>0.11332468572476186</v>
      </c>
      <c r="DB3626" t="str">
        <v/>
      </c>
    </row>
    <row r="3627" spans="83:106" x14ac:dyDescent="0.2">
      <c r="CE3627"/>
      <c r="CF3627"/>
      <c r="CG3627"/>
      <c r="CH3627"/>
      <c r="CI3627"/>
      <c r="CU3627" s="21">
        <v>3622</v>
      </c>
      <c r="CV3627" s="41">
        <v>4</v>
      </c>
      <c r="CW3627" s="41">
        <v>0.11332468572476186</v>
      </c>
      <c r="CX3627" s="41" t="e">
        <v>#N/A</v>
      </c>
      <c r="CY3627" s="41" t="e">
        <v>#N/A</v>
      </c>
      <c r="CZ3627" s="47" t="e">
        <v>#N/A</v>
      </c>
      <c r="DA3627">
        <v>0.11332468572476186</v>
      </c>
      <c r="DB3627" t="str">
        <v/>
      </c>
    </row>
    <row r="3628" spans="83:106" x14ac:dyDescent="0.2">
      <c r="CE3628"/>
      <c r="CF3628"/>
      <c r="CG3628"/>
      <c r="CH3628"/>
      <c r="CI3628"/>
      <c r="CU3628" s="21">
        <v>3623</v>
      </c>
      <c r="CV3628" s="41">
        <v>4</v>
      </c>
      <c r="CW3628" s="41">
        <v>0.11332468572476186</v>
      </c>
      <c r="CX3628" s="41" t="e">
        <v>#N/A</v>
      </c>
      <c r="CY3628" s="41" t="e">
        <v>#N/A</v>
      </c>
      <c r="CZ3628" s="47" t="e">
        <v>#N/A</v>
      </c>
      <c r="DA3628">
        <v>0.11332468572476186</v>
      </c>
      <c r="DB3628" t="str">
        <v/>
      </c>
    </row>
    <row r="3629" spans="83:106" x14ac:dyDescent="0.2">
      <c r="CE3629"/>
      <c r="CF3629"/>
      <c r="CG3629"/>
      <c r="CH3629"/>
      <c r="CI3629"/>
      <c r="CU3629" s="21">
        <v>3624</v>
      </c>
      <c r="CV3629" s="41">
        <v>4</v>
      </c>
      <c r="CW3629" s="41">
        <v>0.11332468572476186</v>
      </c>
      <c r="CX3629" s="41" t="e">
        <v>#N/A</v>
      </c>
      <c r="CY3629" s="41" t="e">
        <v>#N/A</v>
      </c>
      <c r="CZ3629" s="47" t="e">
        <v>#N/A</v>
      </c>
      <c r="DA3629">
        <v>0.11332468572476186</v>
      </c>
      <c r="DB3629" t="str">
        <v/>
      </c>
    </row>
    <row r="3630" spans="83:106" x14ac:dyDescent="0.2">
      <c r="CE3630"/>
      <c r="CF3630"/>
      <c r="CG3630"/>
      <c r="CH3630"/>
      <c r="CI3630"/>
      <c r="CU3630" s="21">
        <v>3625</v>
      </c>
      <c r="CV3630" s="41">
        <v>4</v>
      </c>
      <c r="CW3630" s="41">
        <v>0.11332468572476186</v>
      </c>
      <c r="CX3630" s="41" t="e">
        <v>#N/A</v>
      </c>
      <c r="CY3630" s="41" t="e">
        <v>#N/A</v>
      </c>
      <c r="CZ3630" s="47" t="e">
        <v>#N/A</v>
      </c>
      <c r="DA3630">
        <v>0.11332468572476186</v>
      </c>
      <c r="DB3630" t="str">
        <v/>
      </c>
    </row>
    <row r="3631" spans="83:106" x14ac:dyDescent="0.2">
      <c r="CE3631"/>
      <c r="CF3631"/>
      <c r="CG3631"/>
      <c r="CH3631"/>
      <c r="CI3631"/>
      <c r="CU3631" s="21">
        <v>3626</v>
      </c>
      <c r="CV3631" s="41">
        <v>4</v>
      </c>
      <c r="CW3631" s="41">
        <v>0.11332468572476186</v>
      </c>
      <c r="CX3631" s="41" t="e">
        <v>#N/A</v>
      </c>
      <c r="CY3631" s="41" t="e">
        <v>#N/A</v>
      </c>
      <c r="CZ3631" s="47" t="e">
        <v>#N/A</v>
      </c>
      <c r="DA3631">
        <v>0.11332468572476186</v>
      </c>
      <c r="DB3631" t="str">
        <v/>
      </c>
    </row>
    <row r="3632" spans="83:106" x14ac:dyDescent="0.2">
      <c r="CE3632"/>
      <c r="CF3632"/>
      <c r="CG3632"/>
      <c r="CH3632"/>
      <c r="CI3632"/>
      <c r="CU3632" s="21">
        <v>3627</v>
      </c>
      <c r="CV3632" s="41">
        <v>4</v>
      </c>
      <c r="CW3632" s="41">
        <v>0.11332468572476186</v>
      </c>
      <c r="CX3632" s="41" t="e">
        <v>#N/A</v>
      </c>
      <c r="CY3632" s="41" t="e">
        <v>#N/A</v>
      </c>
      <c r="CZ3632" s="47" t="e">
        <v>#N/A</v>
      </c>
      <c r="DA3632">
        <v>0.11332468572476186</v>
      </c>
      <c r="DB3632" t="str">
        <v/>
      </c>
    </row>
    <row r="3633" spans="83:106" x14ac:dyDescent="0.2">
      <c r="CE3633"/>
      <c r="CF3633"/>
      <c r="CG3633"/>
      <c r="CH3633"/>
      <c r="CI3633"/>
      <c r="CU3633" s="21">
        <v>3628</v>
      </c>
      <c r="CV3633" s="41">
        <v>4</v>
      </c>
      <c r="CW3633" s="41">
        <v>0.11332468572476186</v>
      </c>
      <c r="CX3633" s="41" t="e">
        <v>#N/A</v>
      </c>
      <c r="CY3633" s="41" t="e">
        <v>#N/A</v>
      </c>
      <c r="CZ3633" s="47" t="e">
        <v>#N/A</v>
      </c>
      <c r="DA3633">
        <v>0.11332468572476186</v>
      </c>
      <c r="DB3633" t="str">
        <v/>
      </c>
    </row>
    <row r="3634" spans="83:106" x14ac:dyDescent="0.2">
      <c r="CE3634"/>
      <c r="CF3634"/>
      <c r="CG3634"/>
      <c r="CH3634"/>
      <c r="CI3634"/>
      <c r="CU3634" s="21">
        <v>3629</v>
      </c>
      <c r="CV3634" s="41">
        <v>4</v>
      </c>
      <c r="CW3634" s="41">
        <v>0.11332468572476186</v>
      </c>
      <c r="CX3634" s="41" t="e">
        <v>#N/A</v>
      </c>
      <c r="CY3634" s="41" t="e">
        <v>#N/A</v>
      </c>
      <c r="CZ3634" s="47" t="e">
        <v>#N/A</v>
      </c>
      <c r="DA3634">
        <v>0.11332468572476186</v>
      </c>
      <c r="DB3634" t="str">
        <v/>
      </c>
    </row>
    <row r="3635" spans="83:106" x14ac:dyDescent="0.2">
      <c r="CE3635"/>
      <c r="CF3635"/>
      <c r="CG3635"/>
      <c r="CH3635"/>
      <c r="CI3635"/>
      <c r="CU3635" s="21">
        <v>3630</v>
      </c>
      <c r="CV3635" s="41">
        <v>4</v>
      </c>
      <c r="CW3635" s="41">
        <v>0.11332468572476186</v>
      </c>
      <c r="CX3635" s="41" t="e">
        <v>#N/A</v>
      </c>
      <c r="CY3635" s="41" t="e">
        <v>#N/A</v>
      </c>
      <c r="CZ3635" s="47" t="e">
        <v>#N/A</v>
      </c>
      <c r="DA3635">
        <v>0.11332468572476186</v>
      </c>
      <c r="DB3635" t="str">
        <v/>
      </c>
    </row>
    <row r="3636" spans="83:106" x14ac:dyDescent="0.2">
      <c r="CE3636"/>
      <c r="CF3636"/>
      <c r="CG3636"/>
      <c r="CH3636"/>
      <c r="CI3636"/>
      <c r="CU3636" s="21">
        <v>3631</v>
      </c>
      <c r="CV3636" s="41">
        <v>4</v>
      </c>
      <c r="CW3636" s="41">
        <v>0.11332468572476186</v>
      </c>
      <c r="CX3636" s="41" t="e">
        <v>#N/A</v>
      </c>
      <c r="CY3636" s="41" t="e">
        <v>#N/A</v>
      </c>
      <c r="CZ3636" s="47" t="e">
        <v>#N/A</v>
      </c>
      <c r="DA3636">
        <v>0.11332468572476186</v>
      </c>
      <c r="DB3636" t="str">
        <v/>
      </c>
    </row>
    <row r="3637" spans="83:106" x14ac:dyDescent="0.2">
      <c r="CE3637"/>
      <c r="CF3637"/>
      <c r="CG3637"/>
      <c r="CH3637"/>
      <c r="CI3637"/>
      <c r="CU3637" s="21">
        <v>3632</v>
      </c>
      <c r="CV3637" s="41">
        <v>4</v>
      </c>
      <c r="CW3637" s="41">
        <v>0.11332468572476186</v>
      </c>
      <c r="CX3637" s="41" t="e">
        <v>#N/A</v>
      </c>
      <c r="CY3637" s="41" t="e">
        <v>#N/A</v>
      </c>
      <c r="CZ3637" s="47" t="e">
        <v>#N/A</v>
      </c>
      <c r="DA3637">
        <v>0.11332468572476186</v>
      </c>
      <c r="DB3637" t="str">
        <v/>
      </c>
    </row>
    <row r="3638" spans="83:106" x14ac:dyDescent="0.2">
      <c r="CE3638"/>
      <c r="CF3638"/>
      <c r="CG3638"/>
      <c r="CH3638"/>
      <c r="CI3638"/>
      <c r="CU3638" s="21">
        <v>3633</v>
      </c>
      <c r="CV3638" s="41">
        <v>4</v>
      </c>
      <c r="CW3638" s="41">
        <v>0.11332468572476186</v>
      </c>
      <c r="CX3638" s="41" t="e">
        <v>#N/A</v>
      </c>
      <c r="CY3638" s="41" t="e">
        <v>#N/A</v>
      </c>
      <c r="CZ3638" s="47" t="e">
        <v>#N/A</v>
      </c>
      <c r="DA3638">
        <v>0.11332468572476186</v>
      </c>
      <c r="DB3638" t="str">
        <v/>
      </c>
    </row>
    <row r="3639" spans="83:106" x14ac:dyDescent="0.2">
      <c r="CE3639"/>
      <c r="CF3639"/>
      <c r="CG3639"/>
      <c r="CH3639"/>
      <c r="CI3639"/>
      <c r="CU3639" s="21">
        <v>3634</v>
      </c>
      <c r="CV3639" s="41">
        <v>4</v>
      </c>
      <c r="CW3639" s="41">
        <v>0.11332468572476186</v>
      </c>
      <c r="CX3639" s="41" t="e">
        <v>#N/A</v>
      </c>
      <c r="CY3639" s="41" t="e">
        <v>#N/A</v>
      </c>
      <c r="CZ3639" s="47" t="e">
        <v>#N/A</v>
      </c>
      <c r="DA3639">
        <v>0.11332468572476186</v>
      </c>
      <c r="DB3639" t="str">
        <v/>
      </c>
    </row>
    <row r="3640" spans="83:106" x14ac:dyDescent="0.2">
      <c r="CE3640"/>
      <c r="CF3640"/>
      <c r="CG3640"/>
      <c r="CH3640"/>
      <c r="CI3640"/>
      <c r="CU3640" s="21">
        <v>3635</v>
      </c>
      <c r="CV3640" s="41">
        <v>4</v>
      </c>
      <c r="CW3640" s="41">
        <v>0.11332468572476186</v>
      </c>
      <c r="CX3640" s="41" t="e">
        <v>#N/A</v>
      </c>
      <c r="CY3640" s="41" t="e">
        <v>#N/A</v>
      </c>
      <c r="CZ3640" s="47" t="e">
        <v>#N/A</v>
      </c>
      <c r="DA3640">
        <v>0.11332468572476186</v>
      </c>
      <c r="DB3640" t="str">
        <v/>
      </c>
    </row>
    <row r="3641" spans="83:106" x14ac:dyDescent="0.2">
      <c r="CE3641"/>
      <c r="CF3641"/>
      <c r="CG3641"/>
      <c r="CH3641"/>
      <c r="CI3641"/>
      <c r="CU3641" s="21">
        <v>3636</v>
      </c>
      <c r="CV3641" s="41">
        <v>4</v>
      </c>
      <c r="CW3641" s="41">
        <v>0.11332468572476186</v>
      </c>
      <c r="CX3641" s="41" t="e">
        <v>#N/A</v>
      </c>
      <c r="CY3641" s="41" t="e">
        <v>#N/A</v>
      </c>
      <c r="CZ3641" s="47" t="e">
        <v>#N/A</v>
      </c>
      <c r="DA3641">
        <v>0.11332468572476186</v>
      </c>
      <c r="DB3641" t="str">
        <v/>
      </c>
    </row>
    <row r="3642" spans="83:106" x14ac:dyDescent="0.2">
      <c r="CE3642"/>
      <c r="CF3642"/>
      <c r="CG3642"/>
      <c r="CH3642"/>
      <c r="CI3642"/>
      <c r="CU3642" s="21">
        <v>3637</v>
      </c>
      <c r="CV3642" s="41">
        <v>4</v>
      </c>
      <c r="CW3642" s="41">
        <v>0.11332468572476186</v>
      </c>
      <c r="CX3642" s="41" t="e">
        <v>#N/A</v>
      </c>
      <c r="CY3642" s="41" t="e">
        <v>#N/A</v>
      </c>
      <c r="CZ3642" s="47" t="e">
        <v>#N/A</v>
      </c>
      <c r="DA3642">
        <v>0.11332468572476186</v>
      </c>
      <c r="DB3642" t="str">
        <v/>
      </c>
    </row>
    <row r="3643" spans="83:106" x14ac:dyDescent="0.2">
      <c r="CE3643"/>
      <c r="CF3643"/>
      <c r="CG3643"/>
      <c r="CH3643"/>
      <c r="CI3643"/>
      <c r="CU3643" s="21">
        <v>3638</v>
      </c>
      <c r="CV3643" s="41">
        <v>4</v>
      </c>
      <c r="CW3643" s="41">
        <v>0.11332468572476186</v>
      </c>
      <c r="CX3643" s="41" t="e">
        <v>#N/A</v>
      </c>
      <c r="CY3643" s="41" t="e">
        <v>#N/A</v>
      </c>
      <c r="CZ3643" s="47" t="e">
        <v>#N/A</v>
      </c>
      <c r="DA3643">
        <v>0.11332468572476186</v>
      </c>
      <c r="DB3643" t="str">
        <v/>
      </c>
    </row>
    <row r="3644" spans="83:106" x14ac:dyDescent="0.2">
      <c r="CE3644"/>
      <c r="CF3644"/>
      <c r="CG3644"/>
      <c r="CH3644"/>
      <c r="CI3644"/>
      <c r="CU3644" s="21">
        <v>3639</v>
      </c>
      <c r="CV3644" s="41">
        <v>4</v>
      </c>
      <c r="CW3644" s="41">
        <v>0.11332468572476186</v>
      </c>
      <c r="CX3644" s="41" t="e">
        <v>#N/A</v>
      </c>
      <c r="CY3644" s="41" t="e">
        <v>#N/A</v>
      </c>
      <c r="CZ3644" s="47" t="e">
        <v>#N/A</v>
      </c>
      <c r="DA3644">
        <v>0.11332468572476186</v>
      </c>
      <c r="DB3644" t="str">
        <v/>
      </c>
    </row>
    <row r="3645" spans="83:106" x14ac:dyDescent="0.2">
      <c r="CE3645"/>
      <c r="CF3645"/>
      <c r="CG3645"/>
      <c r="CH3645"/>
      <c r="CI3645"/>
      <c r="CU3645" s="21">
        <v>3640</v>
      </c>
      <c r="CV3645" s="41">
        <v>4</v>
      </c>
      <c r="CW3645" s="41">
        <v>0.11332468572476186</v>
      </c>
      <c r="CX3645" s="41" t="e">
        <v>#N/A</v>
      </c>
      <c r="CY3645" s="41" t="e">
        <v>#N/A</v>
      </c>
      <c r="CZ3645" s="47" t="e">
        <v>#N/A</v>
      </c>
      <c r="DA3645">
        <v>0.11332468572476186</v>
      </c>
      <c r="DB3645" t="str">
        <v/>
      </c>
    </row>
    <row r="3646" spans="83:106" x14ac:dyDescent="0.2">
      <c r="CE3646"/>
      <c r="CF3646"/>
      <c r="CG3646"/>
      <c r="CH3646"/>
      <c r="CI3646"/>
      <c r="CU3646" s="21">
        <v>3641</v>
      </c>
      <c r="CV3646" s="41">
        <v>4</v>
      </c>
      <c r="CW3646" s="41">
        <v>0.11332468572476186</v>
      </c>
      <c r="CX3646" s="41" t="e">
        <v>#N/A</v>
      </c>
      <c r="CY3646" s="41" t="e">
        <v>#N/A</v>
      </c>
      <c r="CZ3646" s="47" t="e">
        <v>#N/A</v>
      </c>
      <c r="DA3646">
        <v>0.11332468572476186</v>
      </c>
      <c r="DB3646" t="str">
        <v/>
      </c>
    </row>
    <row r="3647" spans="83:106" x14ac:dyDescent="0.2">
      <c r="CE3647"/>
      <c r="CF3647"/>
      <c r="CG3647"/>
      <c r="CH3647"/>
      <c r="CI3647"/>
      <c r="CU3647" s="21">
        <v>3642</v>
      </c>
      <c r="CV3647" s="41">
        <v>4</v>
      </c>
      <c r="CW3647" s="41">
        <v>0.11332468572476186</v>
      </c>
      <c r="CX3647" s="41" t="e">
        <v>#N/A</v>
      </c>
      <c r="CY3647" s="41" t="e">
        <v>#N/A</v>
      </c>
      <c r="CZ3647" s="47" t="e">
        <v>#N/A</v>
      </c>
      <c r="DA3647">
        <v>0.11332468572476186</v>
      </c>
      <c r="DB3647" t="str">
        <v/>
      </c>
    </row>
    <row r="3648" spans="83:106" x14ac:dyDescent="0.2">
      <c r="CE3648"/>
      <c r="CF3648"/>
      <c r="CG3648"/>
      <c r="CH3648"/>
      <c r="CI3648"/>
      <c r="CU3648" s="21">
        <v>3643</v>
      </c>
      <c r="CV3648" s="41">
        <v>4</v>
      </c>
      <c r="CW3648" s="41">
        <v>0.11332468572476186</v>
      </c>
      <c r="CX3648" s="41" t="e">
        <v>#N/A</v>
      </c>
      <c r="CY3648" s="41" t="e">
        <v>#N/A</v>
      </c>
      <c r="CZ3648" s="47" t="e">
        <v>#N/A</v>
      </c>
      <c r="DA3648">
        <v>0.11332468572476186</v>
      </c>
      <c r="DB3648" t="str">
        <v/>
      </c>
    </row>
    <row r="3649" spans="83:106" x14ac:dyDescent="0.2">
      <c r="CE3649"/>
      <c r="CF3649"/>
      <c r="CG3649"/>
      <c r="CH3649"/>
      <c r="CI3649"/>
      <c r="CU3649" s="21">
        <v>3644</v>
      </c>
      <c r="CV3649" s="41">
        <v>4</v>
      </c>
      <c r="CW3649" s="41">
        <v>0.11332468572476186</v>
      </c>
      <c r="CX3649" s="41" t="e">
        <v>#N/A</v>
      </c>
      <c r="CY3649" s="41" t="e">
        <v>#N/A</v>
      </c>
      <c r="CZ3649" s="47" t="e">
        <v>#N/A</v>
      </c>
      <c r="DA3649">
        <v>0.11332468572476186</v>
      </c>
      <c r="DB3649" t="str">
        <v/>
      </c>
    </row>
    <row r="3650" spans="83:106" x14ac:dyDescent="0.2">
      <c r="CE3650"/>
      <c r="CF3650"/>
      <c r="CG3650"/>
      <c r="CH3650"/>
      <c r="CI3650"/>
      <c r="CU3650" s="21">
        <v>3645</v>
      </c>
      <c r="CV3650" s="41">
        <v>4</v>
      </c>
      <c r="CW3650" s="41">
        <v>0.11332468572476186</v>
      </c>
      <c r="CX3650" s="41" t="e">
        <v>#N/A</v>
      </c>
      <c r="CY3650" s="41" t="e">
        <v>#N/A</v>
      </c>
      <c r="CZ3650" s="47" t="e">
        <v>#N/A</v>
      </c>
      <c r="DA3650">
        <v>0.11332468572476186</v>
      </c>
      <c r="DB3650" t="str">
        <v/>
      </c>
    </row>
    <row r="3651" spans="83:106" x14ac:dyDescent="0.2">
      <c r="CE3651"/>
      <c r="CF3651"/>
      <c r="CG3651"/>
      <c r="CH3651"/>
      <c r="CI3651"/>
      <c r="CU3651" s="21">
        <v>3646</v>
      </c>
      <c r="CV3651" s="41">
        <v>4</v>
      </c>
      <c r="CW3651" s="41">
        <v>0.11332468572476186</v>
      </c>
      <c r="CX3651" s="41" t="e">
        <v>#N/A</v>
      </c>
      <c r="CY3651" s="41" t="e">
        <v>#N/A</v>
      </c>
      <c r="CZ3651" s="47" t="e">
        <v>#N/A</v>
      </c>
      <c r="DA3651">
        <v>0.11332468572476186</v>
      </c>
      <c r="DB3651" t="str">
        <v/>
      </c>
    </row>
    <row r="3652" spans="83:106" x14ac:dyDescent="0.2">
      <c r="CE3652"/>
      <c r="CF3652"/>
      <c r="CG3652"/>
      <c r="CH3652"/>
      <c r="CI3652"/>
      <c r="CU3652" s="21">
        <v>3647</v>
      </c>
      <c r="CV3652" s="41">
        <v>4</v>
      </c>
      <c r="CW3652" s="41">
        <v>0.11332468572476186</v>
      </c>
      <c r="CX3652" s="41" t="e">
        <v>#N/A</v>
      </c>
      <c r="CY3652" s="41" t="e">
        <v>#N/A</v>
      </c>
      <c r="CZ3652" s="47" t="e">
        <v>#N/A</v>
      </c>
      <c r="DA3652">
        <v>0.11332468572476186</v>
      </c>
      <c r="DB3652" t="str">
        <v/>
      </c>
    </row>
    <row r="3653" spans="83:106" x14ac:dyDescent="0.2">
      <c r="CE3653"/>
      <c r="CF3653"/>
      <c r="CG3653"/>
      <c r="CH3653"/>
      <c r="CI3653"/>
      <c r="CU3653" s="21">
        <v>3648</v>
      </c>
      <c r="CV3653" s="41">
        <v>4</v>
      </c>
      <c r="CW3653" s="41">
        <v>0.11332468572476186</v>
      </c>
      <c r="CX3653" s="41" t="e">
        <v>#N/A</v>
      </c>
      <c r="CY3653" s="41" t="e">
        <v>#N/A</v>
      </c>
      <c r="CZ3653" s="47" t="e">
        <v>#N/A</v>
      </c>
      <c r="DA3653">
        <v>0.11332468572476186</v>
      </c>
      <c r="DB3653" t="str">
        <v/>
      </c>
    </row>
    <row r="3654" spans="83:106" x14ac:dyDescent="0.2">
      <c r="CE3654"/>
      <c r="CF3654"/>
      <c r="CG3654"/>
      <c r="CH3654"/>
      <c r="CI3654"/>
      <c r="CU3654" s="21">
        <v>3649</v>
      </c>
      <c r="CV3654" s="41">
        <v>4</v>
      </c>
      <c r="CW3654" s="41">
        <v>0.11332468572476186</v>
      </c>
      <c r="CX3654" s="41" t="e">
        <v>#N/A</v>
      </c>
      <c r="CY3654" s="41" t="e">
        <v>#N/A</v>
      </c>
      <c r="CZ3654" s="47" t="e">
        <v>#N/A</v>
      </c>
      <c r="DA3654">
        <v>0.11332468572476186</v>
      </c>
      <c r="DB3654" t="str">
        <v/>
      </c>
    </row>
    <row r="3655" spans="83:106" x14ac:dyDescent="0.2">
      <c r="CE3655"/>
      <c r="CF3655"/>
      <c r="CG3655"/>
      <c r="CH3655"/>
      <c r="CI3655"/>
      <c r="CU3655" s="21">
        <v>3650</v>
      </c>
      <c r="CV3655" s="41">
        <v>4</v>
      </c>
      <c r="CW3655" s="41">
        <v>0.11332468572476186</v>
      </c>
      <c r="CX3655" s="41" t="e">
        <v>#N/A</v>
      </c>
      <c r="CY3655" s="41" t="e">
        <v>#N/A</v>
      </c>
      <c r="CZ3655" s="47" t="e">
        <v>#N/A</v>
      </c>
      <c r="DA3655">
        <v>0.11332468572476186</v>
      </c>
      <c r="DB3655" t="str">
        <v/>
      </c>
    </row>
    <row r="3656" spans="83:106" x14ac:dyDescent="0.2">
      <c r="CE3656"/>
      <c r="CF3656"/>
      <c r="CG3656"/>
      <c r="CH3656"/>
      <c r="CI3656"/>
      <c r="CU3656" s="21">
        <v>3651</v>
      </c>
      <c r="CV3656" s="41">
        <v>4</v>
      </c>
      <c r="CW3656" s="41">
        <v>0.11332468572476186</v>
      </c>
      <c r="CX3656" s="41" t="e">
        <v>#N/A</v>
      </c>
      <c r="CY3656" s="41" t="e">
        <v>#N/A</v>
      </c>
      <c r="CZ3656" s="47" t="e">
        <v>#N/A</v>
      </c>
      <c r="DA3656">
        <v>0.11332468572476186</v>
      </c>
      <c r="DB3656" t="str">
        <v/>
      </c>
    </row>
    <row r="3657" spans="83:106" x14ac:dyDescent="0.2">
      <c r="CE3657"/>
      <c r="CF3657"/>
      <c r="CG3657"/>
      <c r="CH3657"/>
      <c r="CI3657"/>
      <c r="CU3657" s="21">
        <v>3652</v>
      </c>
      <c r="CV3657" s="41">
        <v>4</v>
      </c>
      <c r="CW3657" s="41">
        <v>0.11332468572476186</v>
      </c>
      <c r="CX3657" s="41" t="e">
        <v>#N/A</v>
      </c>
      <c r="CY3657" s="41" t="e">
        <v>#N/A</v>
      </c>
      <c r="CZ3657" s="47" t="e">
        <v>#N/A</v>
      </c>
      <c r="DA3657">
        <v>0.11332468572476186</v>
      </c>
      <c r="DB3657" t="str">
        <v/>
      </c>
    </row>
    <row r="3658" spans="83:106" x14ac:dyDescent="0.2">
      <c r="CE3658"/>
      <c r="CF3658"/>
      <c r="CG3658"/>
      <c r="CH3658"/>
      <c r="CI3658"/>
      <c r="CU3658" s="21">
        <v>3653</v>
      </c>
      <c r="CV3658" s="41">
        <v>4</v>
      </c>
      <c r="CW3658" s="41">
        <v>0.11332468572476186</v>
      </c>
      <c r="CX3658" s="41" t="e">
        <v>#N/A</v>
      </c>
      <c r="CY3658" s="41" t="e">
        <v>#N/A</v>
      </c>
      <c r="CZ3658" s="47" t="e">
        <v>#N/A</v>
      </c>
      <c r="DA3658">
        <v>0.11332468572476186</v>
      </c>
      <c r="DB3658" t="str">
        <v/>
      </c>
    </row>
    <row r="3659" spans="83:106" x14ac:dyDescent="0.2">
      <c r="CE3659"/>
      <c r="CF3659"/>
      <c r="CG3659"/>
      <c r="CH3659"/>
      <c r="CI3659"/>
      <c r="CU3659" s="21">
        <v>3654</v>
      </c>
      <c r="CV3659" s="41">
        <v>4</v>
      </c>
      <c r="CW3659" s="41">
        <v>0.11332468572476186</v>
      </c>
      <c r="CX3659" s="41" t="e">
        <v>#N/A</v>
      </c>
      <c r="CY3659" s="41" t="e">
        <v>#N/A</v>
      </c>
      <c r="CZ3659" s="47" t="e">
        <v>#N/A</v>
      </c>
      <c r="DA3659">
        <v>0.11332468572476186</v>
      </c>
      <c r="DB3659" t="str">
        <v/>
      </c>
    </row>
    <row r="3660" spans="83:106" x14ac:dyDescent="0.2">
      <c r="CE3660"/>
      <c r="CF3660"/>
      <c r="CG3660"/>
      <c r="CH3660"/>
      <c r="CI3660"/>
      <c r="CU3660" s="21">
        <v>3655</v>
      </c>
      <c r="CV3660" s="41">
        <v>4</v>
      </c>
      <c r="CW3660" s="41">
        <v>0.11332468572476186</v>
      </c>
      <c r="CX3660" s="41" t="e">
        <v>#N/A</v>
      </c>
      <c r="CY3660" s="41" t="e">
        <v>#N/A</v>
      </c>
      <c r="CZ3660" s="47" t="e">
        <v>#N/A</v>
      </c>
      <c r="DA3660">
        <v>0.11332468572476186</v>
      </c>
      <c r="DB3660" t="str">
        <v/>
      </c>
    </row>
    <row r="3661" spans="83:106" x14ac:dyDescent="0.2">
      <c r="CE3661"/>
      <c r="CF3661"/>
      <c r="CG3661"/>
      <c r="CH3661"/>
      <c r="CI3661"/>
      <c r="CU3661" s="21">
        <v>3656</v>
      </c>
      <c r="CV3661" s="41">
        <v>4</v>
      </c>
      <c r="CW3661" s="41">
        <v>0.11332468572476186</v>
      </c>
      <c r="CX3661" s="41" t="e">
        <v>#N/A</v>
      </c>
      <c r="CY3661" s="41" t="e">
        <v>#N/A</v>
      </c>
      <c r="CZ3661" s="47" t="e">
        <v>#N/A</v>
      </c>
      <c r="DA3661">
        <v>0.11332468572476186</v>
      </c>
      <c r="DB3661" t="str">
        <v/>
      </c>
    </row>
    <row r="3662" spans="83:106" x14ac:dyDescent="0.2">
      <c r="CE3662"/>
      <c r="CF3662"/>
      <c r="CG3662"/>
      <c r="CH3662"/>
      <c r="CI3662"/>
      <c r="CU3662" s="21">
        <v>3657</v>
      </c>
      <c r="CV3662" s="41">
        <v>4</v>
      </c>
      <c r="CW3662" s="41">
        <v>0.11332468572476186</v>
      </c>
      <c r="CX3662" s="41" t="e">
        <v>#N/A</v>
      </c>
      <c r="CY3662" s="41" t="e">
        <v>#N/A</v>
      </c>
      <c r="CZ3662" s="47" t="e">
        <v>#N/A</v>
      </c>
      <c r="DA3662">
        <v>0.11332468572476186</v>
      </c>
      <c r="DB3662" t="str">
        <v/>
      </c>
    </row>
    <row r="3663" spans="83:106" x14ac:dyDescent="0.2">
      <c r="CE3663"/>
      <c r="CF3663"/>
      <c r="CG3663"/>
      <c r="CH3663"/>
      <c r="CI3663"/>
      <c r="CU3663" s="21">
        <v>3658</v>
      </c>
      <c r="CV3663" s="41">
        <v>4</v>
      </c>
      <c r="CW3663" s="41">
        <v>0.11332468572476186</v>
      </c>
      <c r="CX3663" s="41" t="e">
        <v>#N/A</v>
      </c>
      <c r="CY3663" s="41" t="e">
        <v>#N/A</v>
      </c>
      <c r="CZ3663" s="47" t="e">
        <v>#N/A</v>
      </c>
      <c r="DA3663">
        <v>0.11332468572476186</v>
      </c>
      <c r="DB3663" t="str">
        <v/>
      </c>
    </row>
    <row r="3664" spans="83:106" x14ac:dyDescent="0.2">
      <c r="CE3664"/>
      <c r="CF3664"/>
      <c r="CG3664"/>
      <c r="CH3664"/>
      <c r="CI3664"/>
      <c r="CU3664" s="21">
        <v>3659</v>
      </c>
      <c r="CV3664" s="41">
        <v>4</v>
      </c>
      <c r="CW3664" s="41">
        <v>0.11332468572476186</v>
      </c>
      <c r="CX3664" s="41" t="e">
        <v>#N/A</v>
      </c>
      <c r="CY3664" s="41" t="e">
        <v>#N/A</v>
      </c>
      <c r="CZ3664" s="47" t="e">
        <v>#N/A</v>
      </c>
      <c r="DA3664">
        <v>0.11332468572476186</v>
      </c>
      <c r="DB3664" t="str">
        <v/>
      </c>
    </row>
    <row r="3665" spans="83:106" x14ac:dyDescent="0.2">
      <c r="CE3665"/>
      <c r="CF3665"/>
      <c r="CG3665"/>
      <c r="CH3665"/>
      <c r="CI3665"/>
      <c r="CU3665" s="21">
        <v>3660</v>
      </c>
      <c r="CV3665" s="41">
        <v>4</v>
      </c>
      <c r="CW3665" s="41">
        <v>0.11332468572476186</v>
      </c>
      <c r="CX3665" s="41" t="e">
        <v>#N/A</v>
      </c>
      <c r="CY3665" s="41" t="e">
        <v>#N/A</v>
      </c>
      <c r="CZ3665" s="47" t="e">
        <v>#N/A</v>
      </c>
      <c r="DA3665">
        <v>0.11332468572476186</v>
      </c>
      <c r="DB3665" t="str">
        <v/>
      </c>
    </row>
    <row r="3666" spans="83:106" x14ac:dyDescent="0.2">
      <c r="CE3666"/>
      <c r="CF3666"/>
      <c r="CG3666"/>
      <c r="CH3666"/>
      <c r="CI3666"/>
      <c r="CU3666" s="21">
        <v>3661</v>
      </c>
      <c r="CV3666" s="41">
        <v>4</v>
      </c>
      <c r="CW3666" s="41">
        <v>0.11332468572476186</v>
      </c>
      <c r="CX3666" s="41" t="e">
        <v>#N/A</v>
      </c>
      <c r="CY3666" s="41" t="e">
        <v>#N/A</v>
      </c>
      <c r="CZ3666" s="47" t="e">
        <v>#N/A</v>
      </c>
      <c r="DA3666">
        <v>0.11332468572476186</v>
      </c>
      <c r="DB3666" t="str">
        <v/>
      </c>
    </row>
    <row r="3667" spans="83:106" x14ac:dyDescent="0.2">
      <c r="CE3667"/>
      <c r="CF3667"/>
      <c r="CG3667"/>
      <c r="CH3667"/>
      <c r="CI3667"/>
      <c r="CU3667" s="21">
        <v>3662</v>
      </c>
      <c r="CV3667" s="41">
        <v>4</v>
      </c>
      <c r="CW3667" s="41">
        <v>0.11332468572476186</v>
      </c>
      <c r="CX3667" s="41" t="e">
        <v>#N/A</v>
      </c>
      <c r="CY3667" s="41" t="e">
        <v>#N/A</v>
      </c>
      <c r="CZ3667" s="47" t="e">
        <v>#N/A</v>
      </c>
      <c r="DA3667">
        <v>0.11332468572476186</v>
      </c>
      <c r="DB3667" t="str">
        <v/>
      </c>
    </row>
    <row r="3668" spans="83:106" x14ac:dyDescent="0.2">
      <c r="CE3668"/>
      <c r="CF3668"/>
      <c r="CG3668"/>
      <c r="CH3668"/>
      <c r="CI3668"/>
      <c r="CU3668" s="21">
        <v>3663</v>
      </c>
      <c r="CV3668" s="41">
        <v>4</v>
      </c>
      <c r="CW3668" s="41">
        <v>0.11332468572476186</v>
      </c>
      <c r="CX3668" s="41" t="e">
        <v>#N/A</v>
      </c>
      <c r="CY3668" s="41" t="e">
        <v>#N/A</v>
      </c>
      <c r="CZ3668" s="47" t="e">
        <v>#N/A</v>
      </c>
      <c r="DA3668">
        <v>0.11332468572476186</v>
      </c>
      <c r="DB3668" t="str">
        <v/>
      </c>
    </row>
    <row r="3669" spans="83:106" x14ac:dyDescent="0.2">
      <c r="CE3669"/>
      <c r="CF3669"/>
      <c r="CG3669"/>
      <c r="CH3669"/>
      <c r="CI3669"/>
      <c r="CU3669" s="21">
        <v>3664</v>
      </c>
      <c r="CV3669" s="41">
        <v>4</v>
      </c>
      <c r="CW3669" s="41">
        <v>0.11332468572476186</v>
      </c>
      <c r="CX3669" s="41" t="e">
        <v>#N/A</v>
      </c>
      <c r="CY3669" s="41" t="e">
        <v>#N/A</v>
      </c>
      <c r="CZ3669" s="47" t="e">
        <v>#N/A</v>
      </c>
      <c r="DA3669">
        <v>0.11332468572476186</v>
      </c>
      <c r="DB3669" t="str">
        <v/>
      </c>
    </row>
    <row r="3670" spans="83:106" x14ac:dyDescent="0.2">
      <c r="CE3670"/>
      <c r="CF3670"/>
      <c r="CG3670"/>
      <c r="CH3670"/>
      <c r="CI3670"/>
      <c r="CU3670" s="21">
        <v>3665</v>
      </c>
      <c r="CV3670" s="41">
        <v>4</v>
      </c>
      <c r="CW3670" s="41">
        <v>0.11332468572476186</v>
      </c>
      <c r="CX3670" s="41" t="e">
        <v>#N/A</v>
      </c>
      <c r="CY3670" s="41" t="e">
        <v>#N/A</v>
      </c>
      <c r="CZ3670" s="47" t="e">
        <v>#N/A</v>
      </c>
      <c r="DA3670">
        <v>0.11332468572476186</v>
      </c>
      <c r="DB3670" t="str">
        <v/>
      </c>
    </row>
    <row r="3671" spans="83:106" x14ac:dyDescent="0.2">
      <c r="CE3671"/>
      <c r="CF3671"/>
      <c r="CG3671"/>
      <c r="CH3671"/>
      <c r="CI3671"/>
      <c r="CU3671" s="21">
        <v>3666</v>
      </c>
      <c r="CV3671" s="41">
        <v>4</v>
      </c>
      <c r="CW3671" s="41">
        <v>0.11332468572476186</v>
      </c>
      <c r="CX3671" s="41" t="e">
        <v>#N/A</v>
      </c>
      <c r="CY3671" s="41" t="e">
        <v>#N/A</v>
      </c>
      <c r="CZ3671" s="47" t="e">
        <v>#N/A</v>
      </c>
      <c r="DA3671">
        <v>0.11332468572476186</v>
      </c>
      <c r="DB3671" t="str">
        <v/>
      </c>
    </row>
    <row r="3672" spans="83:106" x14ac:dyDescent="0.2">
      <c r="CE3672"/>
      <c r="CF3672"/>
      <c r="CG3672"/>
      <c r="CH3672"/>
      <c r="CI3672"/>
      <c r="CU3672" s="21">
        <v>3667</v>
      </c>
      <c r="CV3672" s="41">
        <v>4</v>
      </c>
      <c r="CW3672" s="41">
        <v>0.11332468572476186</v>
      </c>
      <c r="CX3672" s="41" t="e">
        <v>#N/A</v>
      </c>
      <c r="CY3672" s="41" t="e">
        <v>#N/A</v>
      </c>
      <c r="CZ3672" s="47" t="e">
        <v>#N/A</v>
      </c>
      <c r="DA3672">
        <v>0.11332468572476186</v>
      </c>
      <c r="DB3672" t="str">
        <v/>
      </c>
    </row>
    <row r="3673" spans="83:106" x14ac:dyDescent="0.2">
      <c r="CE3673"/>
      <c r="CF3673"/>
      <c r="CG3673"/>
      <c r="CH3673"/>
      <c r="CI3673"/>
      <c r="CU3673" s="21">
        <v>3668</v>
      </c>
      <c r="CV3673" s="41">
        <v>4</v>
      </c>
      <c r="CW3673" s="41">
        <v>0.11332468572476186</v>
      </c>
      <c r="CX3673" s="41" t="e">
        <v>#N/A</v>
      </c>
      <c r="CY3673" s="41" t="e">
        <v>#N/A</v>
      </c>
      <c r="CZ3673" s="47" t="e">
        <v>#N/A</v>
      </c>
      <c r="DA3673">
        <v>0.11332468572476186</v>
      </c>
      <c r="DB3673" t="str">
        <v/>
      </c>
    </row>
    <row r="3674" spans="83:106" x14ac:dyDescent="0.2">
      <c r="CE3674"/>
      <c r="CF3674"/>
      <c r="CG3674"/>
      <c r="CH3674"/>
      <c r="CI3674"/>
      <c r="CU3674" s="21">
        <v>3669</v>
      </c>
      <c r="CV3674" s="41">
        <v>4</v>
      </c>
      <c r="CW3674" s="41">
        <v>0.11332468572476186</v>
      </c>
      <c r="CX3674" s="41" t="e">
        <v>#N/A</v>
      </c>
      <c r="CY3674" s="41" t="e">
        <v>#N/A</v>
      </c>
      <c r="CZ3674" s="47" t="e">
        <v>#N/A</v>
      </c>
      <c r="DA3674">
        <v>0.11332468572476186</v>
      </c>
      <c r="DB3674" t="str">
        <v/>
      </c>
    </row>
    <row r="3675" spans="83:106" x14ac:dyDescent="0.2">
      <c r="CE3675"/>
      <c r="CF3675"/>
      <c r="CG3675"/>
      <c r="CH3675"/>
      <c r="CI3675"/>
      <c r="CU3675" s="21">
        <v>3670</v>
      </c>
      <c r="CV3675" s="41">
        <v>4</v>
      </c>
      <c r="CW3675" s="41">
        <v>0.11332468572476186</v>
      </c>
      <c r="CX3675" s="41" t="e">
        <v>#N/A</v>
      </c>
      <c r="CY3675" s="41" t="e">
        <v>#N/A</v>
      </c>
      <c r="CZ3675" s="47" t="e">
        <v>#N/A</v>
      </c>
      <c r="DA3675">
        <v>0.11332468572476186</v>
      </c>
      <c r="DB3675" t="str">
        <v/>
      </c>
    </row>
    <row r="3676" spans="83:106" x14ac:dyDescent="0.2">
      <c r="CE3676"/>
      <c r="CF3676"/>
      <c r="CG3676"/>
      <c r="CH3676"/>
      <c r="CI3676"/>
      <c r="CU3676" s="21">
        <v>3671</v>
      </c>
      <c r="CV3676" s="41">
        <v>4</v>
      </c>
      <c r="CW3676" s="41">
        <v>0.11332468572476186</v>
      </c>
      <c r="CX3676" s="41" t="e">
        <v>#N/A</v>
      </c>
      <c r="CY3676" s="41" t="e">
        <v>#N/A</v>
      </c>
      <c r="CZ3676" s="47" t="e">
        <v>#N/A</v>
      </c>
      <c r="DA3676">
        <v>0.11332468572476186</v>
      </c>
      <c r="DB3676" t="str">
        <v/>
      </c>
    </row>
    <row r="3677" spans="83:106" x14ac:dyDescent="0.2">
      <c r="CE3677"/>
      <c r="CF3677"/>
      <c r="CG3677"/>
      <c r="CH3677"/>
      <c r="CI3677"/>
      <c r="CU3677" s="21">
        <v>3672</v>
      </c>
      <c r="CV3677" s="41">
        <v>4</v>
      </c>
      <c r="CW3677" s="41">
        <v>0.11332468572476186</v>
      </c>
      <c r="CX3677" s="41" t="e">
        <v>#N/A</v>
      </c>
      <c r="CY3677" s="41" t="e">
        <v>#N/A</v>
      </c>
      <c r="CZ3677" s="47" t="e">
        <v>#N/A</v>
      </c>
      <c r="DA3677">
        <v>0.11332468572476186</v>
      </c>
      <c r="DB3677" t="str">
        <v/>
      </c>
    </row>
    <row r="3678" spans="83:106" x14ac:dyDescent="0.2">
      <c r="CE3678"/>
      <c r="CF3678"/>
      <c r="CG3678"/>
      <c r="CH3678"/>
      <c r="CI3678"/>
      <c r="CU3678" s="21">
        <v>3673</v>
      </c>
      <c r="CV3678" s="41">
        <v>4</v>
      </c>
      <c r="CW3678" s="41">
        <v>0.11332468572476186</v>
      </c>
      <c r="CX3678" s="41" t="e">
        <v>#N/A</v>
      </c>
      <c r="CY3678" s="41" t="e">
        <v>#N/A</v>
      </c>
      <c r="CZ3678" s="47" t="e">
        <v>#N/A</v>
      </c>
      <c r="DA3678">
        <v>0.11332468572476186</v>
      </c>
      <c r="DB3678" t="str">
        <v/>
      </c>
    </row>
    <row r="3679" spans="83:106" x14ac:dyDescent="0.2">
      <c r="CE3679"/>
      <c r="CF3679"/>
      <c r="CG3679"/>
      <c r="CH3679"/>
      <c r="CI3679"/>
      <c r="CU3679" s="21">
        <v>3674</v>
      </c>
      <c r="CV3679" s="41">
        <v>4</v>
      </c>
      <c r="CW3679" s="41">
        <v>0.11332468572476186</v>
      </c>
      <c r="CX3679" s="41" t="e">
        <v>#N/A</v>
      </c>
      <c r="CY3679" s="41" t="e">
        <v>#N/A</v>
      </c>
      <c r="CZ3679" s="47" t="e">
        <v>#N/A</v>
      </c>
      <c r="DA3679">
        <v>0.11332468572476186</v>
      </c>
      <c r="DB3679" t="str">
        <v/>
      </c>
    </row>
    <row r="3680" spans="83:106" x14ac:dyDescent="0.2">
      <c r="CE3680"/>
      <c r="CF3680"/>
      <c r="CG3680"/>
      <c r="CH3680"/>
      <c r="CI3680"/>
      <c r="CU3680" s="21">
        <v>3675</v>
      </c>
      <c r="CV3680" s="41">
        <v>4</v>
      </c>
      <c r="CW3680" s="41">
        <v>0.11332468572476186</v>
      </c>
      <c r="CX3680" s="41" t="e">
        <v>#N/A</v>
      </c>
      <c r="CY3680" s="41" t="e">
        <v>#N/A</v>
      </c>
      <c r="CZ3680" s="47" t="e">
        <v>#N/A</v>
      </c>
      <c r="DA3680">
        <v>0.11332468572476186</v>
      </c>
      <c r="DB3680" t="str">
        <v/>
      </c>
    </row>
    <row r="3681" spans="83:106" x14ac:dyDescent="0.2">
      <c r="CE3681"/>
      <c r="CF3681"/>
      <c r="CG3681"/>
      <c r="CH3681"/>
      <c r="CI3681"/>
      <c r="CU3681" s="21">
        <v>3676</v>
      </c>
      <c r="CV3681" s="41">
        <v>4</v>
      </c>
      <c r="CW3681" s="41">
        <v>0.11332468572476186</v>
      </c>
      <c r="CX3681" s="41" t="e">
        <v>#N/A</v>
      </c>
      <c r="CY3681" s="41" t="e">
        <v>#N/A</v>
      </c>
      <c r="CZ3681" s="47" t="e">
        <v>#N/A</v>
      </c>
      <c r="DA3681">
        <v>0.11332468572476186</v>
      </c>
      <c r="DB3681" t="str">
        <v/>
      </c>
    </row>
    <row r="3682" spans="83:106" x14ac:dyDescent="0.2">
      <c r="CE3682"/>
      <c r="CF3682"/>
      <c r="CG3682"/>
      <c r="CH3682"/>
      <c r="CI3682"/>
      <c r="CU3682" s="21">
        <v>3677</v>
      </c>
      <c r="CV3682" s="41">
        <v>4</v>
      </c>
      <c r="CW3682" s="41">
        <v>0.11332468572476186</v>
      </c>
      <c r="CX3682" s="41" t="e">
        <v>#N/A</v>
      </c>
      <c r="CY3682" s="41" t="e">
        <v>#N/A</v>
      </c>
      <c r="CZ3682" s="47" t="e">
        <v>#N/A</v>
      </c>
      <c r="DA3682">
        <v>0.11332468572476186</v>
      </c>
      <c r="DB3682" t="str">
        <v/>
      </c>
    </row>
    <row r="3683" spans="83:106" x14ac:dyDescent="0.2">
      <c r="CE3683"/>
      <c r="CF3683"/>
      <c r="CG3683"/>
      <c r="CH3683"/>
      <c r="CI3683"/>
      <c r="CU3683" s="21">
        <v>3678</v>
      </c>
      <c r="CV3683" s="41">
        <v>4</v>
      </c>
      <c r="CW3683" s="41">
        <v>0.11332468572476186</v>
      </c>
      <c r="CX3683" s="41" t="e">
        <v>#N/A</v>
      </c>
      <c r="CY3683" s="41" t="e">
        <v>#N/A</v>
      </c>
      <c r="CZ3683" s="47" t="e">
        <v>#N/A</v>
      </c>
      <c r="DA3683">
        <v>0.11332468572476186</v>
      </c>
      <c r="DB3683" t="str">
        <v/>
      </c>
    </row>
    <row r="3684" spans="83:106" x14ac:dyDescent="0.2">
      <c r="CE3684"/>
      <c r="CF3684"/>
      <c r="CG3684"/>
      <c r="CH3684"/>
      <c r="CI3684"/>
      <c r="CU3684" s="21">
        <v>3679</v>
      </c>
      <c r="CV3684" s="41">
        <v>4</v>
      </c>
      <c r="CW3684" s="41">
        <v>0.11332468572476186</v>
      </c>
      <c r="CX3684" s="41" t="e">
        <v>#N/A</v>
      </c>
      <c r="CY3684" s="41" t="e">
        <v>#N/A</v>
      </c>
      <c r="CZ3684" s="47" t="e">
        <v>#N/A</v>
      </c>
      <c r="DA3684">
        <v>0.11332468572476186</v>
      </c>
      <c r="DB3684" t="str">
        <v/>
      </c>
    </row>
    <row r="3685" spans="83:106" x14ac:dyDescent="0.2">
      <c r="CE3685"/>
      <c r="CF3685"/>
      <c r="CG3685"/>
      <c r="CH3685"/>
      <c r="CI3685"/>
      <c r="CU3685" s="21">
        <v>3680</v>
      </c>
      <c r="CV3685" s="41">
        <v>4</v>
      </c>
      <c r="CW3685" s="41">
        <v>0.11332468572476186</v>
      </c>
      <c r="CX3685" s="41" t="e">
        <v>#N/A</v>
      </c>
      <c r="CY3685" s="41" t="e">
        <v>#N/A</v>
      </c>
      <c r="CZ3685" s="47" t="e">
        <v>#N/A</v>
      </c>
      <c r="DA3685">
        <v>0.11332468572476186</v>
      </c>
      <c r="DB3685" t="str">
        <v/>
      </c>
    </row>
    <row r="3686" spans="83:106" x14ac:dyDescent="0.2">
      <c r="CE3686"/>
      <c r="CF3686"/>
      <c r="CG3686"/>
      <c r="CH3686"/>
      <c r="CI3686"/>
      <c r="CU3686" s="21">
        <v>3681</v>
      </c>
      <c r="CV3686" s="41">
        <v>4</v>
      </c>
      <c r="CW3686" s="41">
        <v>0.11332468572476186</v>
      </c>
      <c r="CX3686" s="41" t="e">
        <v>#N/A</v>
      </c>
      <c r="CY3686" s="41" t="e">
        <v>#N/A</v>
      </c>
      <c r="CZ3686" s="47" t="e">
        <v>#N/A</v>
      </c>
      <c r="DA3686">
        <v>0.11332468572476186</v>
      </c>
      <c r="DB3686" t="str">
        <v/>
      </c>
    </row>
    <row r="3687" spans="83:106" x14ac:dyDescent="0.2">
      <c r="CE3687"/>
      <c r="CF3687"/>
      <c r="CG3687"/>
      <c r="CH3687"/>
      <c r="CI3687"/>
      <c r="CU3687" s="21">
        <v>3682</v>
      </c>
      <c r="CV3687" s="41">
        <v>4</v>
      </c>
      <c r="CW3687" s="41">
        <v>0.11332468572476186</v>
      </c>
      <c r="CX3687" s="41" t="e">
        <v>#N/A</v>
      </c>
      <c r="CY3687" s="41" t="e">
        <v>#N/A</v>
      </c>
      <c r="CZ3687" s="47" t="e">
        <v>#N/A</v>
      </c>
      <c r="DA3687">
        <v>0.11332468572476186</v>
      </c>
      <c r="DB3687" t="str">
        <v/>
      </c>
    </row>
    <row r="3688" spans="83:106" x14ac:dyDescent="0.2">
      <c r="CE3688"/>
      <c r="CF3688"/>
      <c r="CG3688"/>
      <c r="CH3688"/>
      <c r="CI3688"/>
      <c r="CU3688" s="21">
        <v>3683</v>
      </c>
      <c r="CV3688" s="41">
        <v>4</v>
      </c>
      <c r="CW3688" s="41">
        <v>0.11332468572476186</v>
      </c>
      <c r="CX3688" s="41" t="e">
        <v>#N/A</v>
      </c>
      <c r="CY3688" s="41" t="e">
        <v>#N/A</v>
      </c>
      <c r="CZ3688" s="47" t="e">
        <v>#N/A</v>
      </c>
      <c r="DA3688">
        <v>0.11332468572476186</v>
      </c>
      <c r="DB3688" t="str">
        <v/>
      </c>
    </row>
    <row r="3689" spans="83:106" x14ac:dyDescent="0.2">
      <c r="CE3689"/>
      <c r="CF3689"/>
      <c r="CG3689"/>
      <c r="CH3689"/>
      <c r="CI3689"/>
      <c r="CU3689" s="21">
        <v>3684</v>
      </c>
      <c r="CV3689" s="41">
        <v>4</v>
      </c>
      <c r="CW3689" s="41">
        <v>0.11332468572476186</v>
      </c>
      <c r="CX3689" s="41" t="e">
        <v>#N/A</v>
      </c>
      <c r="CY3689" s="41" t="e">
        <v>#N/A</v>
      </c>
      <c r="CZ3689" s="47" t="e">
        <v>#N/A</v>
      </c>
      <c r="DA3689">
        <v>0.11332468572476186</v>
      </c>
      <c r="DB3689" t="str">
        <v/>
      </c>
    </row>
    <row r="3690" spans="83:106" x14ac:dyDescent="0.2">
      <c r="CE3690"/>
      <c r="CF3690"/>
      <c r="CG3690"/>
      <c r="CH3690"/>
      <c r="CI3690"/>
      <c r="CU3690" s="21">
        <v>3685</v>
      </c>
      <c r="CV3690" s="41">
        <v>4</v>
      </c>
      <c r="CW3690" s="41">
        <v>0.11332468572476186</v>
      </c>
      <c r="CX3690" s="41" t="e">
        <v>#N/A</v>
      </c>
      <c r="CY3690" s="41" t="e">
        <v>#N/A</v>
      </c>
      <c r="CZ3690" s="47" t="e">
        <v>#N/A</v>
      </c>
      <c r="DA3690">
        <v>0.11332468572476186</v>
      </c>
      <c r="DB3690" t="str">
        <v/>
      </c>
    </row>
    <row r="3691" spans="83:106" x14ac:dyDescent="0.2">
      <c r="CE3691"/>
      <c r="CF3691"/>
      <c r="CG3691"/>
      <c r="CH3691"/>
      <c r="CI3691"/>
      <c r="CU3691" s="21">
        <v>3686</v>
      </c>
      <c r="CV3691" s="41">
        <v>4</v>
      </c>
      <c r="CW3691" s="41">
        <v>0.11332468572476186</v>
      </c>
      <c r="CX3691" s="41" t="e">
        <v>#N/A</v>
      </c>
      <c r="CY3691" s="41" t="e">
        <v>#N/A</v>
      </c>
      <c r="CZ3691" s="47" t="e">
        <v>#N/A</v>
      </c>
      <c r="DA3691">
        <v>0.11332468572476186</v>
      </c>
      <c r="DB3691" t="str">
        <v/>
      </c>
    </row>
    <row r="3692" spans="83:106" x14ac:dyDescent="0.2">
      <c r="CE3692"/>
      <c r="CF3692"/>
      <c r="CG3692"/>
      <c r="CH3692"/>
      <c r="CI3692"/>
      <c r="CU3692" s="21">
        <v>3687</v>
      </c>
      <c r="CV3692" s="41">
        <v>4</v>
      </c>
      <c r="CW3692" s="41">
        <v>0.11332468572476186</v>
      </c>
      <c r="CX3692" s="41" t="e">
        <v>#N/A</v>
      </c>
      <c r="CY3692" s="41" t="e">
        <v>#N/A</v>
      </c>
      <c r="CZ3692" s="47" t="e">
        <v>#N/A</v>
      </c>
      <c r="DA3692">
        <v>0.11332468572476186</v>
      </c>
      <c r="DB3692" t="str">
        <v/>
      </c>
    </row>
    <row r="3693" spans="83:106" x14ac:dyDescent="0.2">
      <c r="CE3693"/>
      <c r="CF3693"/>
      <c r="CG3693"/>
      <c r="CH3693"/>
      <c r="CI3693"/>
      <c r="CU3693" s="21">
        <v>3688</v>
      </c>
      <c r="CV3693" s="41">
        <v>4</v>
      </c>
      <c r="CW3693" s="41">
        <v>0.11332468572476186</v>
      </c>
      <c r="CX3693" s="41" t="e">
        <v>#N/A</v>
      </c>
      <c r="CY3693" s="41" t="e">
        <v>#N/A</v>
      </c>
      <c r="CZ3693" s="47" t="e">
        <v>#N/A</v>
      </c>
      <c r="DA3693">
        <v>0.11332468572476186</v>
      </c>
      <c r="DB3693" t="str">
        <v/>
      </c>
    </row>
    <row r="3694" spans="83:106" x14ac:dyDescent="0.2">
      <c r="CE3694"/>
      <c r="CF3694"/>
      <c r="CG3694"/>
      <c r="CH3694"/>
      <c r="CI3694"/>
      <c r="CU3694" s="21">
        <v>3689</v>
      </c>
      <c r="CV3694" s="41">
        <v>4</v>
      </c>
      <c r="CW3694" s="41">
        <v>0.11332468572476186</v>
      </c>
      <c r="CX3694" s="41" t="e">
        <v>#N/A</v>
      </c>
      <c r="CY3694" s="41" t="e">
        <v>#N/A</v>
      </c>
      <c r="CZ3694" s="47" t="e">
        <v>#N/A</v>
      </c>
      <c r="DA3694">
        <v>0.11332468572476186</v>
      </c>
      <c r="DB3694" t="str">
        <v/>
      </c>
    </row>
    <row r="3695" spans="83:106" x14ac:dyDescent="0.2">
      <c r="CE3695"/>
      <c r="CF3695"/>
      <c r="CG3695"/>
      <c r="CH3695"/>
      <c r="CI3695"/>
      <c r="CU3695" s="21">
        <v>3690</v>
      </c>
      <c r="CV3695" s="41">
        <v>4</v>
      </c>
      <c r="CW3695" s="41">
        <v>0.11332468572476186</v>
      </c>
      <c r="CX3695" s="41" t="e">
        <v>#N/A</v>
      </c>
      <c r="CY3695" s="41" t="e">
        <v>#N/A</v>
      </c>
      <c r="CZ3695" s="47" t="e">
        <v>#N/A</v>
      </c>
      <c r="DA3695">
        <v>0.11332468572476186</v>
      </c>
      <c r="DB3695" t="str">
        <v/>
      </c>
    </row>
    <row r="3696" spans="83:106" x14ac:dyDescent="0.2">
      <c r="CE3696"/>
      <c r="CF3696"/>
      <c r="CG3696"/>
      <c r="CH3696"/>
      <c r="CI3696"/>
      <c r="CU3696" s="21">
        <v>3691</v>
      </c>
      <c r="CV3696" s="41">
        <v>4</v>
      </c>
      <c r="CW3696" s="41">
        <v>0.11332468572476186</v>
      </c>
      <c r="CX3696" s="41" t="e">
        <v>#N/A</v>
      </c>
      <c r="CY3696" s="41" t="e">
        <v>#N/A</v>
      </c>
      <c r="CZ3696" s="47" t="e">
        <v>#N/A</v>
      </c>
      <c r="DA3696">
        <v>0.11332468572476186</v>
      </c>
      <c r="DB3696" t="str">
        <v/>
      </c>
    </row>
    <row r="3697" spans="83:106" x14ac:dyDescent="0.2">
      <c r="CE3697"/>
      <c r="CF3697"/>
      <c r="CG3697"/>
      <c r="CH3697"/>
      <c r="CI3697"/>
      <c r="CU3697" s="21">
        <v>3692</v>
      </c>
      <c r="CV3697" s="41">
        <v>4</v>
      </c>
      <c r="CW3697" s="41">
        <v>0.11332468572476186</v>
      </c>
      <c r="CX3697" s="41" t="e">
        <v>#N/A</v>
      </c>
      <c r="CY3697" s="41" t="e">
        <v>#N/A</v>
      </c>
      <c r="CZ3697" s="47" t="e">
        <v>#N/A</v>
      </c>
      <c r="DA3697">
        <v>0.11332468572476186</v>
      </c>
      <c r="DB3697" t="str">
        <v/>
      </c>
    </row>
    <row r="3698" spans="83:106" x14ac:dyDescent="0.2">
      <c r="CE3698"/>
      <c r="CF3698"/>
      <c r="CG3698"/>
      <c r="CH3698"/>
      <c r="CI3698"/>
      <c r="CU3698" s="21">
        <v>3693</v>
      </c>
      <c r="CV3698" s="41">
        <v>4</v>
      </c>
      <c r="CW3698" s="41">
        <v>0.11332468572476186</v>
      </c>
      <c r="CX3698" s="41" t="e">
        <v>#N/A</v>
      </c>
      <c r="CY3698" s="41" t="e">
        <v>#N/A</v>
      </c>
      <c r="CZ3698" s="47" t="e">
        <v>#N/A</v>
      </c>
      <c r="DA3698">
        <v>0.11332468572476186</v>
      </c>
      <c r="DB3698" t="str">
        <v/>
      </c>
    </row>
    <row r="3699" spans="83:106" x14ac:dyDescent="0.2">
      <c r="CE3699"/>
      <c r="CF3699"/>
      <c r="CG3699"/>
      <c r="CH3699"/>
      <c r="CI3699"/>
      <c r="CU3699" s="21">
        <v>3694</v>
      </c>
      <c r="CV3699" s="41">
        <v>4</v>
      </c>
      <c r="CW3699" s="41">
        <v>0.11332468572476186</v>
      </c>
      <c r="CX3699" s="41" t="e">
        <v>#N/A</v>
      </c>
      <c r="CY3699" s="41" t="e">
        <v>#N/A</v>
      </c>
      <c r="CZ3699" s="47" t="e">
        <v>#N/A</v>
      </c>
      <c r="DA3699">
        <v>0.11332468572476186</v>
      </c>
      <c r="DB3699" t="str">
        <v/>
      </c>
    </row>
    <row r="3700" spans="83:106" x14ac:dyDescent="0.2">
      <c r="CE3700"/>
      <c r="CF3700"/>
      <c r="CG3700"/>
      <c r="CH3700"/>
      <c r="CI3700"/>
      <c r="CU3700" s="21">
        <v>3695</v>
      </c>
      <c r="CV3700" s="41">
        <v>4</v>
      </c>
      <c r="CW3700" s="41">
        <v>0.11332468572476186</v>
      </c>
      <c r="CX3700" s="41" t="e">
        <v>#N/A</v>
      </c>
      <c r="CY3700" s="41" t="e">
        <v>#N/A</v>
      </c>
      <c r="CZ3700" s="47" t="e">
        <v>#N/A</v>
      </c>
      <c r="DA3700">
        <v>0.11332468572476186</v>
      </c>
      <c r="DB3700" t="str">
        <v/>
      </c>
    </row>
    <row r="3701" spans="83:106" x14ac:dyDescent="0.2">
      <c r="CE3701"/>
      <c r="CF3701"/>
      <c r="CG3701"/>
      <c r="CH3701"/>
      <c r="CI3701"/>
      <c r="CU3701" s="21">
        <v>3696</v>
      </c>
      <c r="CV3701" s="41">
        <v>4</v>
      </c>
      <c r="CW3701" s="41">
        <v>0.11332468572476186</v>
      </c>
      <c r="CX3701" s="41" t="e">
        <v>#N/A</v>
      </c>
      <c r="CY3701" s="41" t="e">
        <v>#N/A</v>
      </c>
      <c r="CZ3701" s="47" t="e">
        <v>#N/A</v>
      </c>
      <c r="DA3701">
        <v>0.11332468572476186</v>
      </c>
      <c r="DB3701" t="str">
        <v/>
      </c>
    </row>
    <row r="3702" spans="83:106" x14ac:dyDescent="0.2">
      <c r="CE3702"/>
      <c r="CF3702"/>
      <c r="CG3702"/>
      <c r="CH3702"/>
      <c r="CI3702"/>
      <c r="CU3702" s="21">
        <v>3697</v>
      </c>
      <c r="CV3702" s="41">
        <v>4</v>
      </c>
      <c r="CW3702" s="41">
        <v>0.11332468572476186</v>
      </c>
      <c r="CX3702" s="41" t="e">
        <v>#N/A</v>
      </c>
      <c r="CY3702" s="41" t="e">
        <v>#N/A</v>
      </c>
      <c r="CZ3702" s="47" t="e">
        <v>#N/A</v>
      </c>
      <c r="DA3702">
        <v>0.11332468572476186</v>
      </c>
      <c r="DB3702" t="str">
        <v/>
      </c>
    </row>
    <row r="3703" spans="83:106" x14ac:dyDescent="0.2">
      <c r="CE3703"/>
      <c r="CF3703"/>
      <c r="CG3703"/>
      <c r="CH3703"/>
      <c r="CI3703"/>
      <c r="CU3703" s="21">
        <v>3698</v>
      </c>
      <c r="CV3703" s="41">
        <v>4</v>
      </c>
      <c r="CW3703" s="41">
        <v>0.11332468572476186</v>
      </c>
      <c r="CX3703" s="41" t="e">
        <v>#N/A</v>
      </c>
      <c r="CY3703" s="41" t="e">
        <v>#N/A</v>
      </c>
      <c r="CZ3703" s="47" t="e">
        <v>#N/A</v>
      </c>
      <c r="DA3703">
        <v>0.11332468572476186</v>
      </c>
      <c r="DB3703" t="str">
        <v/>
      </c>
    </row>
    <row r="3704" spans="83:106" x14ac:dyDescent="0.2">
      <c r="CE3704"/>
      <c r="CF3704"/>
      <c r="CG3704"/>
      <c r="CH3704"/>
      <c r="CI3704"/>
      <c r="CU3704" s="21">
        <v>3699</v>
      </c>
      <c r="CV3704" s="41">
        <v>4</v>
      </c>
      <c r="CW3704" s="41">
        <v>0.11332468572476186</v>
      </c>
      <c r="CX3704" s="41" t="e">
        <v>#N/A</v>
      </c>
      <c r="CY3704" s="41" t="e">
        <v>#N/A</v>
      </c>
      <c r="CZ3704" s="47" t="e">
        <v>#N/A</v>
      </c>
      <c r="DA3704">
        <v>0.11332468572476186</v>
      </c>
      <c r="DB3704" t="str">
        <v/>
      </c>
    </row>
    <row r="3705" spans="83:106" x14ac:dyDescent="0.2">
      <c r="CE3705"/>
      <c r="CF3705"/>
      <c r="CG3705"/>
      <c r="CH3705"/>
      <c r="CI3705"/>
      <c r="CU3705" s="21">
        <v>3700</v>
      </c>
      <c r="CV3705" s="41">
        <v>4</v>
      </c>
      <c r="CW3705" s="41">
        <v>0.11332468572476186</v>
      </c>
      <c r="CX3705" s="41" t="e">
        <v>#N/A</v>
      </c>
      <c r="CY3705" s="41" t="e">
        <v>#N/A</v>
      </c>
      <c r="CZ3705" s="47" t="e">
        <v>#N/A</v>
      </c>
      <c r="DA3705">
        <v>0.11332468572476186</v>
      </c>
      <c r="DB3705" t="str">
        <v/>
      </c>
    </row>
    <row r="3706" spans="83:106" x14ac:dyDescent="0.2">
      <c r="CE3706"/>
      <c r="CF3706"/>
      <c r="CG3706"/>
      <c r="CH3706"/>
      <c r="CI3706"/>
      <c r="CU3706" s="21">
        <v>3701</v>
      </c>
      <c r="CV3706" s="41">
        <v>4</v>
      </c>
      <c r="CW3706" s="41">
        <v>0.11332468572476186</v>
      </c>
      <c r="CX3706" s="41" t="e">
        <v>#N/A</v>
      </c>
      <c r="CY3706" s="41" t="e">
        <v>#N/A</v>
      </c>
      <c r="CZ3706" s="47" t="e">
        <v>#N/A</v>
      </c>
      <c r="DA3706">
        <v>0.11332468572476186</v>
      </c>
      <c r="DB3706" t="str">
        <v/>
      </c>
    </row>
    <row r="3707" spans="83:106" x14ac:dyDescent="0.2">
      <c r="CE3707"/>
      <c r="CF3707"/>
      <c r="CG3707"/>
      <c r="CH3707"/>
      <c r="CI3707"/>
      <c r="CU3707" s="21">
        <v>3702</v>
      </c>
      <c r="CV3707" s="41">
        <v>4</v>
      </c>
      <c r="CW3707" s="41">
        <v>0.11332468572476186</v>
      </c>
      <c r="CX3707" s="41" t="e">
        <v>#N/A</v>
      </c>
      <c r="CY3707" s="41" t="e">
        <v>#N/A</v>
      </c>
      <c r="CZ3707" s="47" t="e">
        <v>#N/A</v>
      </c>
      <c r="DA3707">
        <v>0.11332468572476186</v>
      </c>
      <c r="DB3707" t="str">
        <v/>
      </c>
    </row>
    <row r="3708" spans="83:106" x14ac:dyDescent="0.2">
      <c r="CE3708"/>
      <c r="CF3708"/>
      <c r="CG3708"/>
      <c r="CH3708"/>
      <c r="CI3708"/>
      <c r="CU3708" s="21">
        <v>3703</v>
      </c>
      <c r="CV3708" s="41">
        <v>4</v>
      </c>
      <c r="CW3708" s="41">
        <v>0.11332468572476186</v>
      </c>
      <c r="CX3708" s="41" t="e">
        <v>#N/A</v>
      </c>
      <c r="CY3708" s="41" t="e">
        <v>#N/A</v>
      </c>
      <c r="CZ3708" s="47" t="e">
        <v>#N/A</v>
      </c>
      <c r="DA3708">
        <v>0.11332468572476186</v>
      </c>
      <c r="DB3708" t="str">
        <v/>
      </c>
    </row>
    <row r="3709" spans="83:106" x14ac:dyDescent="0.2">
      <c r="CE3709"/>
      <c r="CF3709"/>
      <c r="CG3709"/>
      <c r="CH3709"/>
      <c r="CI3709"/>
      <c r="CU3709" s="21">
        <v>3704</v>
      </c>
      <c r="CV3709" s="41">
        <v>4</v>
      </c>
      <c r="CW3709" s="41">
        <v>0.11332468572476186</v>
      </c>
      <c r="CX3709" s="41" t="e">
        <v>#N/A</v>
      </c>
      <c r="CY3709" s="41" t="e">
        <v>#N/A</v>
      </c>
      <c r="CZ3709" s="47" t="e">
        <v>#N/A</v>
      </c>
      <c r="DA3709">
        <v>0.11332468572476186</v>
      </c>
      <c r="DB3709" t="str">
        <v/>
      </c>
    </row>
    <row r="3710" spans="83:106" x14ac:dyDescent="0.2">
      <c r="CE3710"/>
      <c r="CF3710"/>
      <c r="CG3710"/>
      <c r="CH3710"/>
      <c r="CI3710"/>
      <c r="CU3710" s="21">
        <v>3705</v>
      </c>
      <c r="CV3710" s="41">
        <v>4</v>
      </c>
      <c r="CW3710" s="41">
        <v>0.11332468572476186</v>
      </c>
      <c r="CX3710" s="41" t="e">
        <v>#N/A</v>
      </c>
      <c r="CY3710" s="41" t="e">
        <v>#N/A</v>
      </c>
      <c r="CZ3710" s="47" t="e">
        <v>#N/A</v>
      </c>
      <c r="DA3710">
        <v>0.11332468572476186</v>
      </c>
      <c r="DB3710" t="str">
        <v/>
      </c>
    </row>
    <row r="3711" spans="83:106" x14ac:dyDescent="0.2">
      <c r="CE3711"/>
      <c r="CF3711"/>
      <c r="CG3711"/>
      <c r="CH3711"/>
      <c r="CI3711"/>
      <c r="CU3711" s="21">
        <v>3706</v>
      </c>
      <c r="CV3711" s="41">
        <v>4</v>
      </c>
      <c r="CW3711" s="41">
        <v>0.11332468572476186</v>
      </c>
      <c r="CX3711" s="41" t="e">
        <v>#N/A</v>
      </c>
      <c r="CY3711" s="41" t="e">
        <v>#N/A</v>
      </c>
      <c r="CZ3711" s="47" t="e">
        <v>#N/A</v>
      </c>
      <c r="DA3711">
        <v>0.11332468572476186</v>
      </c>
      <c r="DB3711" t="str">
        <v/>
      </c>
    </row>
    <row r="3712" spans="83:106" x14ac:dyDescent="0.2">
      <c r="CE3712"/>
      <c r="CF3712"/>
      <c r="CG3712"/>
      <c r="CH3712"/>
      <c r="CI3712"/>
      <c r="CU3712" s="21">
        <v>3707</v>
      </c>
      <c r="CV3712" s="41">
        <v>4</v>
      </c>
      <c r="CW3712" s="41">
        <v>0.11332468572476186</v>
      </c>
      <c r="CX3712" s="41" t="e">
        <v>#N/A</v>
      </c>
      <c r="CY3712" s="41" t="e">
        <v>#N/A</v>
      </c>
      <c r="CZ3712" s="47" t="e">
        <v>#N/A</v>
      </c>
      <c r="DA3712">
        <v>0.11332468572476186</v>
      </c>
      <c r="DB3712" t="str">
        <v/>
      </c>
    </row>
    <row r="3713" spans="83:106" x14ac:dyDescent="0.2">
      <c r="CE3713"/>
      <c r="CF3713"/>
      <c r="CG3713"/>
      <c r="CH3713"/>
      <c r="CI3713"/>
      <c r="CU3713" s="21">
        <v>3708</v>
      </c>
      <c r="CV3713" s="41">
        <v>4</v>
      </c>
      <c r="CW3713" s="41">
        <v>0.11332468572476186</v>
      </c>
      <c r="CX3713" s="41" t="e">
        <v>#N/A</v>
      </c>
      <c r="CY3713" s="41" t="e">
        <v>#N/A</v>
      </c>
      <c r="CZ3713" s="47" t="e">
        <v>#N/A</v>
      </c>
      <c r="DA3713">
        <v>0.11332468572476186</v>
      </c>
      <c r="DB3713" t="str">
        <v/>
      </c>
    </row>
    <row r="3714" spans="83:106" x14ac:dyDescent="0.2">
      <c r="CE3714"/>
      <c r="CF3714"/>
      <c r="CG3714"/>
      <c r="CH3714"/>
      <c r="CI3714"/>
      <c r="CU3714" s="21">
        <v>3709</v>
      </c>
      <c r="CV3714" s="41">
        <v>4</v>
      </c>
      <c r="CW3714" s="41">
        <v>0.11332468572476186</v>
      </c>
      <c r="CX3714" s="41" t="e">
        <v>#N/A</v>
      </c>
      <c r="CY3714" s="41" t="e">
        <v>#N/A</v>
      </c>
      <c r="CZ3714" s="47" t="e">
        <v>#N/A</v>
      </c>
      <c r="DA3714">
        <v>0.11332468572476186</v>
      </c>
      <c r="DB3714" t="str">
        <v/>
      </c>
    </row>
    <row r="3715" spans="83:106" x14ac:dyDescent="0.2">
      <c r="CE3715"/>
      <c r="CF3715"/>
      <c r="CG3715"/>
      <c r="CH3715"/>
      <c r="CI3715"/>
      <c r="CU3715" s="21">
        <v>3710</v>
      </c>
      <c r="CV3715" s="41">
        <v>4</v>
      </c>
      <c r="CW3715" s="41">
        <v>0.11332468572476186</v>
      </c>
      <c r="CX3715" s="41" t="e">
        <v>#N/A</v>
      </c>
      <c r="CY3715" s="41" t="e">
        <v>#N/A</v>
      </c>
      <c r="CZ3715" s="47" t="e">
        <v>#N/A</v>
      </c>
      <c r="DA3715">
        <v>0.11332468572476186</v>
      </c>
      <c r="DB3715" t="str">
        <v/>
      </c>
    </row>
    <row r="3716" spans="83:106" x14ac:dyDescent="0.2">
      <c r="CE3716"/>
      <c r="CF3716"/>
      <c r="CG3716"/>
      <c r="CH3716"/>
      <c r="CI3716"/>
      <c r="CU3716" s="21">
        <v>3711</v>
      </c>
      <c r="CV3716" s="41">
        <v>4</v>
      </c>
      <c r="CW3716" s="41">
        <v>0.11332468572476186</v>
      </c>
      <c r="CX3716" s="41" t="e">
        <v>#N/A</v>
      </c>
      <c r="CY3716" s="41" t="e">
        <v>#N/A</v>
      </c>
      <c r="CZ3716" s="47" t="e">
        <v>#N/A</v>
      </c>
      <c r="DA3716">
        <v>0.11332468572476186</v>
      </c>
      <c r="DB3716" t="str">
        <v/>
      </c>
    </row>
    <row r="3717" spans="83:106" x14ac:dyDescent="0.2">
      <c r="CE3717"/>
      <c r="CF3717"/>
      <c r="CG3717"/>
      <c r="CH3717"/>
      <c r="CI3717"/>
      <c r="CU3717" s="21">
        <v>3712</v>
      </c>
      <c r="CV3717" s="41">
        <v>4</v>
      </c>
      <c r="CW3717" s="41">
        <v>0.11332468572476186</v>
      </c>
      <c r="CX3717" s="41" t="e">
        <v>#N/A</v>
      </c>
      <c r="CY3717" s="41" t="e">
        <v>#N/A</v>
      </c>
      <c r="CZ3717" s="47" t="e">
        <v>#N/A</v>
      </c>
      <c r="DA3717">
        <v>0.11332468572476186</v>
      </c>
      <c r="DB3717" t="str">
        <v/>
      </c>
    </row>
    <row r="3718" spans="83:106" x14ac:dyDescent="0.2">
      <c r="CE3718"/>
      <c r="CF3718"/>
      <c r="CG3718"/>
      <c r="CH3718"/>
      <c r="CI3718"/>
      <c r="CU3718" s="21">
        <v>3713</v>
      </c>
      <c r="CV3718" s="41">
        <v>4</v>
      </c>
      <c r="CW3718" s="41">
        <v>0.11332468572476186</v>
      </c>
      <c r="CX3718" s="41" t="e">
        <v>#N/A</v>
      </c>
      <c r="CY3718" s="41" t="e">
        <v>#N/A</v>
      </c>
      <c r="CZ3718" s="47" t="e">
        <v>#N/A</v>
      </c>
      <c r="DA3718">
        <v>0.11332468572476186</v>
      </c>
      <c r="DB3718" t="str">
        <v/>
      </c>
    </row>
    <row r="3719" spans="83:106" x14ac:dyDescent="0.2">
      <c r="CE3719"/>
      <c r="CF3719"/>
      <c r="CG3719"/>
      <c r="CH3719"/>
      <c r="CI3719"/>
      <c r="CU3719" s="21">
        <v>3714</v>
      </c>
      <c r="CV3719" s="41">
        <v>4</v>
      </c>
      <c r="CW3719" s="41">
        <v>0.11332468572476186</v>
      </c>
      <c r="CX3719" s="41" t="e">
        <v>#N/A</v>
      </c>
      <c r="CY3719" s="41" t="e">
        <v>#N/A</v>
      </c>
      <c r="CZ3719" s="47" t="e">
        <v>#N/A</v>
      </c>
      <c r="DA3719">
        <v>0.11332468572476186</v>
      </c>
      <c r="DB3719" t="str">
        <v/>
      </c>
    </row>
    <row r="3720" spans="83:106" x14ac:dyDescent="0.2">
      <c r="CE3720"/>
      <c r="CF3720"/>
      <c r="CG3720"/>
      <c r="CH3720"/>
      <c r="CI3720"/>
      <c r="CU3720" s="21">
        <v>3715</v>
      </c>
      <c r="CV3720" s="41">
        <v>4</v>
      </c>
      <c r="CW3720" s="41">
        <v>0.11332468572476186</v>
      </c>
      <c r="CX3720" s="41" t="e">
        <v>#N/A</v>
      </c>
      <c r="CY3720" s="41" t="e">
        <v>#N/A</v>
      </c>
      <c r="CZ3720" s="47" t="e">
        <v>#N/A</v>
      </c>
      <c r="DA3720">
        <v>0.11332468572476186</v>
      </c>
      <c r="DB3720" t="str">
        <v/>
      </c>
    </row>
    <row r="3721" spans="83:106" x14ac:dyDescent="0.2">
      <c r="CE3721"/>
      <c r="CF3721"/>
      <c r="CG3721"/>
      <c r="CH3721"/>
      <c r="CI3721"/>
      <c r="CU3721" s="21">
        <v>3716</v>
      </c>
      <c r="CV3721" s="41">
        <v>4</v>
      </c>
      <c r="CW3721" s="41">
        <v>0.11332468572476186</v>
      </c>
      <c r="CX3721" s="41" t="e">
        <v>#N/A</v>
      </c>
      <c r="CY3721" s="41" t="e">
        <v>#N/A</v>
      </c>
      <c r="CZ3721" s="47" t="e">
        <v>#N/A</v>
      </c>
      <c r="DA3721">
        <v>0.11332468572476186</v>
      </c>
      <c r="DB3721" t="str">
        <v/>
      </c>
    </row>
    <row r="3722" spans="83:106" x14ac:dyDescent="0.2">
      <c r="CE3722"/>
      <c r="CF3722"/>
      <c r="CG3722"/>
      <c r="CH3722"/>
      <c r="CI3722"/>
      <c r="CU3722" s="21">
        <v>3717</v>
      </c>
      <c r="CV3722" s="41">
        <v>4</v>
      </c>
      <c r="CW3722" s="41">
        <v>0.11332468572476186</v>
      </c>
      <c r="CX3722" s="41" t="e">
        <v>#N/A</v>
      </c>
      <c r="CY3722" s="41" t="e">
        <v>#N/A</v>
      </c>
      <c r="CZ3722" s="47" t="e">
        <v>#N/A</v>
      </c>
      <c r="DA3722">
        <v>0.11332468572476186</v>
      </c>
      <c r="DB3722" t="str">
        <v/>
      </c>
    </row>
    <row r="3723" spans="83:106" x14ac:dyDescent="0.2">
      <c r="CE3723"/>
      <c r="CF3723"/>
      <c r="CG3723"/>
      <c r="CH3723"/>
      <c r="CI3723"/>
      <c r="CU3723" s="21">
        <v>3718</v>
      </c>
      <c r="CV3723" s="41">
        <v>4</v>
      </c>
      <c r="CW3723" s="41">
        <v>0.11332468572476186</v>
      </c>
      <c r="CX3723" s="41" t="e">
        <v>#N/A</v>
      </c>
      <c r="CY3723" s="41" t="e">
        <v>#N/A</v>
      </c>
      <c r="CZ3723" s="47" t="e">
        <v>#N/A</v>
      </c>
      <c r="DA3723">
        <v>0.11332468572476186</v>
      </c>
      <c r="DB3723" t="str">
        <v/>
      </c>
    </row>
    <row r="3724" spans="83:106" x14ac:dyDescent="0.2">
      <c r="CE3724"/>
      <c r="CF3724"/>
      <c r="CG3724"/>
      <c r="CH3724"/>
      <c r="CI3724"/>
      <c r="CU3724" s="21">
        <v>3719</v>
      </c>
      <c r="CV3724" s="41">
        <v>4</v>
      </c>
      <c r="CW3724" s="41">
        <v>0.11332468572476186</v>
      </c>
      <c r="CX3724" s="41" t="e">
        <v>#N/A</v>
      </c>
      <c r="CY3724" s="41" t="e">
        <v>#N/A</v>
      </c>
      <c r="CZ3724" s="47" t="e">
        <v>#N/A</v>
      </c>
      <c r="DA3724">
        <v>0.11332468572476186</v>
      </c>
      <c r="DB3724" t="str">
        <v/>
      </c>
    </row>
    <row r="3725" spans="83:106" x14ac:dyDescent="0.2">
      <c r="CE3725"/>
      <c r="CF3725"/>
      <c r="CG3725"/>
      <c r="CH3725"/>
      <c r="CI3725"/>
      <c r="CU3725" s="21">
        <v>3720</v>
      </c>
      <c r="CV3725" s="41">
        <v>4</v>
      </c>
      <c r="CW3725" s="41">
        <v>0.11332468572476186</v>
      </c>
      <c r="CX3725" s="41" t="e">
        <v>#N/A</v>
      </c>
      <c r="CY3725" s="41" t="e">
        <v>#N/A</v>
      </c>
      <c r="CZ3725" s="47" t="e">
        <v>#N/A</v>
      </c>
      <c r="DA3725">
        <v>0.11332468572476186</v>
      </c>
      <c r="DB3725" t="str">
        <v/>
      </c>
    </row>
    <row r="3726" spans="83:106" x14ac:dyDescent="0.2">
      <c r="CE3726"/>
      <c r="CF3726"/>
      <c r="CG3726"/>
      <c r="CH3726"/>
      <c r="CI3726"/>
      <c r="CU3726" s="21">
        <v>3721</v>
      </c>
      <c r="CV3726" s="41">
        <v>4</v>
      </c>
      <c r="CW3726" s="41">
        <v>0.11332468572476186</v>
      </c>
      <c r="CX3726" s="41" t="e">
        <v>#N/A</v>
      </c>
      <c r="CY3726" s="41" t="e">
        <v>#N/A</v>
      </c>
      <c r="CZ3726" s="47" t="e">
        <v>#N/A</v>
      </c>
      <c r="DA3726">
        <v>0.11332468572476186</v>
      </c>
      <c r="DB3726" t="str">
        <v/>
      </c>
    </row>
    <row r="3727" spans="83:106" x14ac:dyDescent="0.2">
      <c r="CE3727"/>
      <c r="CF3727"/>
      <c r="CG3727"/>
      <c r="CH3727"/>
      <c r="CI3727"/>
      <c r="CU3727" s="21">
        <v>3722</v>
      </c>
      <c r="CV3727" s="41">
        <v>4</v>
      </c>
      <c r="CW3727" s="41">
        <v>0.11332468572476186</v>
      </c>
      <c r="CX3727" s="41" t="e">
        <v>#N/A</v>
      </c>
      <c r="CY3727" s="41" t="e">
        <v>#N/A</v>
      </c>
      <c r="CZ3727" s="47" t="e">
        <v>#N/A</v>
      </c>
      <c r="DA3727">
        <v>0.11332468572476186</v>
      </c>
      <c r="DB3727" t="str">
        <v/>
      </c>
    </row>
    <row r="3728" spans="83:106" x14ac:dyDescent="0.2">
      <c r="CE3728"/>
      <c r="CF3728"/>
      <c r="CG3728"/>
      <c r="CH3728"/>
      <c r="CI3728"/>
      <c r="CU3728" s="21">
        <v>3723</v>
      </c>
      <c r="CV3728" s="41">
        <v>4</v>
      </c>
      <c r="CW3728" s="41">
        <v>0.11332468572476186</v>
      </c>
      <c r="CX3728" s="41" t="e">
        <v>#N/A</v>
      </c>
      <c r="CY3728" s="41" t="e">
        <v>#N/A</v>
      </c>
      <c r="CZ3728" s="47" t="e">
        <v>#N/A</v>
      </c>
      <c r="DA3728">
        <v>0.11332468572476186</v>
      </c>
      <c r="DB3728" t="str">
        <v/>
      </c>
    </row>
    <row r="3729" spans="83:106" x14ac:dyDescent="0.2">
      <c r="CE3729"/>
      <c r="CF3729"/>
      <c r="CG3729"/>
      <c r="CH3729"/>
      <c r="CI3729"/>
      <c r="CU3729" s="21">
        <v>3724</v>
      </c>
      <c r="CV3729" s="41">
        <v>4</v>
      </c>
      <c r="CW3729" s="41">
        <v>0.11332468572476186</v>
      </c>
      <c r="CX3729" s="41" t="e">
        <v>#N/A</v>
      </c>
      <c r="CY3729" s="41" t="e">
        <v>#N/A</v>
      </c>
      <c r="CZ3729" s="47" t="e">
        <v>#N/A</v>
      </c>
      <c r="DA3729">
        <v>0.11332468572476186</v>
      </c>
      <c r="DB3729" t="str">
        <v/>
      </c>
    </row>
    <row r="3730" spans="83:106" x14ac:dyDescent="0.2">
      <c r="CE3730"/>
      <c r="CF3730"/>
      <c r="CG3730"/>
      <c r="CH3730"/>
      <c r="CI3730"/>
      <c r="CU3730" s="21">
        <v>3725</v>
      </c>
      <c r="CV3730" s="41">
        <v>4</v>
      </c>
      <c r="CW3730" s="41">
        <v>0.11332468572476186</v>
      </c>
      <c r="CX3730" s="41" t="e">
        <v>#N/A</v>
      </c>
      <c r="CY3730" s="41" t="e">
        <v>#N/A</v>
      </c>
      <c r="CZ3730" s="47" t="e">
        <v>#N/A</v>
      </c>
      <c r="DA3730">
        <v>0.11332468572476186</v>
      </c>
      <c r="DB3730" t="str">
        <v/>
      </c>
    </row>
    <row r="3731" spans="83:106" x14ac:dyDescent="0.2">
      <c r="CE3731"/>
      <c r="CF3731"/>
      <c r="CG3731"/>
      <c r="CH3731"/>
      <c r="CI3731"/>
      <c r="CU3731" s="21">
        <v>3726</v>
      </c>
      <c r="CV3731" s="41">
        <v>4</v>
      </c>
      <c r="CW3731" s="41">
        <v>0.11332468572476186</v>
      </c>
      <c r="CX3731" s="41" t="e">
        <v>#N/A</v>
      </c>
      <c r="CY3731" s="41" t="e">
        <v>#N/A</v>
      </c>
      <c r="CZ3731" s="47" t="e">
        <v>#N/A</v>
      </c>
      <c r="DA3731">
        <v>0.11332468572476186</v>
      </c>
      <c r="DB3731" t="str">
        <v/>
      </c>
    </row>
    <row r="3732" spans="83:106" x14ac:dyDescent="0.2">
      <c r="CE3732"/>
      <c r="CF3732"/>
      <c r="CG3732"/>
      <c r="CH3732"/>
      <c r="CI3732"/>
      <c r="CU3732" s="21">
        <v>3727</v>
      </c>
      <c r="CV3732" s="41">
        <v>4</v>
      </c>
      <c r="CW3732" s="41">
        <v>0.11332468572476186</v>
      </c>
      <c r="CX3732" s="41" t="e">
        <v>#N/A</v>
      </c>
      <c r="CY3732" s="41" t="e">
        <v>#N/A</v>
      </c>
      <c r="CZ3732" s="47" t="e">
        <v>#N/A</v>
      </c>
      <c r="DA3732">
        <v>0.11332468572476186</v>
      </c>
      <c r="DB3732" t="str">
        <v/>
      </c>
    </row>
    <row r="3733" spans="83:106" x14ac:dyDescent="0.2">
      <c r="CE3733"/>
      <c r="CF3733"/>
      <c r="CG3733"/>
      <c r="CH3733"/>
      <c r="CI3733"/>
      <c r="CU3733" s="21">
        <v>3728</v>
      </c>
      <c r="CV3733" s="41">
        <v>4</v>
      </c>
      <c r="CW3733" s="41">
        <v>0.11332468572476186</v>
      </c>
      <c r="CX3733" s="41" t="e">
        <v>#N/A</v>
      </c>
      <c r="CY3733" s="41" t="e">
        <v>#N/A</v>
      </c>
      <c r="CZ3733" s="47" t="e">
        <v>#N/A</v>
      </c>
      <c r="DA3733">
        <v>0.11332468572476186</v>
      </c>
      <c r="DB3733" t="str">
        <v/>
      </c>
    </row>
    <row r="3734" spans="83:106" x14ac:dyDescent="0.2">
      <c r="CE3734"/>
      <c r="CF3734"/>
      <c r="CG3734"/>
      <c r="CH3734"/>
      <c r="CI3734"/>
      <c r="CU3734" s="21">
        <v>3729</v>
      </c>
      <c r="CV3734" s="41">
        <v>4</v>
      </c>
      <c r="CW3734" s="41">
        <v>0.11332468572476186</v>
      </c>
      <c r="CX3734" s="41" t="e">
        <v>#N/A</v>
      </c>
      <c r="CY3734" s="41" t="e">
        <v>#N/A</v>
      </c>
      <c r="CZ3734" s="47" t="e">
        <v>#N/A</v>
      </c>
      <c r="DA3734">
        <v>0.11332468572476186</v>
      </c>
      <c r="DB3734" t="str">
        <v/>
      </c>
    </row>
    <row r="3735" spans="83:106" x14ac:dyDescent="0.2">
      <c r="CE3735"/>
      <c r="CF3735"/>
      <c r="CG3735"/>
      <c r="CH3735"/>
      <c r="CI3735"/>
      <c r="CU3735" s="21">
        <v>3730</v>
      </c>
      <c r="CV3735" s="41">
        <v>4</v>
      </c>
      <c r="CW3735" s="41">
        <v>0.11332468572476186</v>
      </c>
      <c r="CX3735" s="41" t="e">
        <v>#N/A</v>
      </c>
      <c r="CY3735" s="41" t="e">
        <v>#N/A</v>
      </c>
      <c r="CZ3735" s="47" t="e">
        <v>#N/A</v>
      </c>
      <c r="DA3735">
        <v>0.11332468572476186</v>
      </c>
      <c r="DB3735" t="str">
        <v/>
      </c>
    </row>
    <row r="3736" spans="83:106" x14ac:dyDescent="0.2">
      <c r="CE3736"/>
      <c r="CF3736"/>
      <c r="CG3736"/>
      <c r="CH3736"/>
      <c r="CI3736"/>
      <c r="CU3736" s="21">
        <v>3731</v>
      </c>
      <c r="CV3736" s="41">
        <v>4</v>
      </c>
      <c r="CW3736" s="41">
        <v>0.11332468572476186</v>
      </c>
      <c r="CX3736" s="41" t="e">
        <v>#N/A</v>
      </c>
      <c r="CY3736" s="41" t="e">
        <v>#N/A</v>
      </c>
      <c r="CZ3736" s="47" t="e">
        <v>#N/A</v>
      </c>
      <c r="DA3736">
        <v>0.11332468572476186</v>
      </c>
      <c r="DB3736" t="str">
        <v/>
      </c>
    </row>
    <row r="3737" spans="83:106" x14ac:dyDescent="0.2">
      <c r="CE3737"/>
      <c r="CF3737"/>
      <c r="CG3737"/>
      <c r="CH3737"/>
      <c r="CI3737"/>
      <c r="CU3737" s="21">
        <v>3732</v>
      </c>
      <c r="CV3737" s="41">
        <v>4</v>
      </c>
      <c r="CW3737" s="41">
        <v>0.11332468572476186</v>
      </c>
      <c r="CX3737" s="41" t="e">
        <v>#N/A</v>
      </c>
      <c r="CY3737" s="41" t="e">
        <v>#N/A</v>
      </c>
      <c r="CZ3737" s="47" t="e">
        <v>#N/A</v>
      </c>
      <c r="DA3737">
        <v>0.11332468572476186</v>
      </c>
      <c r="DB3737" t="str">
        <v/>
      </c>
    </row>
    <row r="3738" spans="83:106" x14ac:dyDescent="0.2">
      <c r="CE3738"/>
      <c r="CF3738"/>
      <c r="CG3738"/>
      <c r="CH3738"/>
      <c r="CI3738"/>
      <c r="CU3738" s="21">
        <v>3733</v>
      </c>
      <c r="CV3738" s="41">
        <v>4</v>
      </c>
      <c r="CW3738" s="41">
        <v>0.11332468572476186</v>
      </c>
      <c r="CX3738" s="41" t="e">
        <v>#N/A</v>
      </c>
      <c r="CY3738" s="41" t="e">
        <v>#N/A</v>
      </c>
      <c r="CZ3738" s="47" t="e">
        <v>#N/A</v>
      </c>
      <c r="DA3738">
        <v>0.11332468572476186</v>
      </c>
      <c r="DB3738" t="str">
        <v/>
      </c>
    </row>
    <row r="3739" spans="83:106" x14ac:dyDescent="0.2">
      <c r="CE3739"/>
      <c r="CF3739"/>
      <c r="CG3739"/>
      <c r="CH3739"/>
      <c r="CI3739"/>
      <c r="CU3739" s="21">
        <v>3734</v>
      </c>
      <c r="CV3739" s="41">
        <v>4</v>
      </c>
      <c r="CW3739" s="41">
        <v>0.11332468572476186</v>
      </c>
      <c r="CX3739" s="41" t="e">
        <v>#N/A</v>
      </c>
      <c r="CY3739" s="41" t="e">
        <v>#N/A</v>
      </c>
      <c r="CZ3739" s="47" t="e">
        <v>#N/A</v>
      </c>
      <c r="DA3739">
        <v>0.11332468572476186</v>
      </c>
      <c r="DB3739" t="str">
        <v/>
      </c>
    </row>
    <row r="3740" spans="83:106" x14ac:dyDescent="0.2">
      <c r="CE3740"/>
      <c r="CF3740"/>
      <c r="CG3740"/>
      <c r="CH3740"/>
      <c r="CI3740"/>
      <c r="CU3740" s="21">
        <v>3735</v>
      </c>
      <c r="CV3740" s="41">
        <v>4</v>
      </c>
      <c r="CW3740" s="41">
        <v>0.11332468572476186</v>
      </c>
      <c r="CX3740" s="41" t="e">
        <v>#N/A</v>
      </c>
      <c r="CY3740" s="41" t="e">
        <v>#N/A</v>
      </c>
      <c r="CZ3740" s="47" t="e">
        <v>#N/A</v>
      </c>
      <c r="DA3740">
        <v>0.11332468572476186</v>
      </c>
      <c r="DB3740" t="str">
        <v/>
      </c>
    </row>
    <row r="3741" spans="83:106" x14ac:dyDescent="0.2">
      <c r="CE3741"/>
      <c r="CF3741"/>
      <c r="CG3741"/>
      <c r="CH3741"/>
      <c r="CI3741"/>
      <c r="CU3741" s="21">
        <v>3736</v>
      </c>
      <c r="CV3741" s="41">
        <v>4</v>
      </c>
      <c r="CW3741" s="41">
        <v>0.11332468572476186</v>
      </c>
      <c r="CX3741" s="41" t="e">
        <v>#N/A</v>
      </c>
      <c r="CY3741" s="41" t="e">
        <v>#N/A</v>
      </c>
      <c r="CZ3741" s="47" t="e">
        <v>#N/A</v>
      </c>
      <c r="DA3741">
        <v>0.11332468572476186</v>
      </c>
      <c r="DB3741" t="str">
        <v/>
      </c>
    </row>
    <row r="3742" spans="83:106" x14ac:dyDescent="0.2">
      <c r="CE3742"/>
      <c r="CF3742"/>
      <c r="CG3742"/>
      <c r="CH3742"/>
      <c r="CI3742"/>
      <c r="CU3742" s="21">
        <v>3737</v>
      </c>
      <c r="CV3742" s="41">
        <v>4</v>
      </c>
      <c r="CW3742" s="41">
        <v>0.11332468572476186</v>
      </c>
      <c r="CX3742" s="41" t="e">
        <v>#N/A</v>
      </c>
      <c r="CY3742" s="41" t="e">
        <v>#N/A</v>
      </c>
      <c r="CZ3742" s="47" t="e">
        <v>#N/A</v>
      </c>
      <c r="DA3742">
        <v>0.11332468572476186</v>
      </c>
      <c r="DB3742" t="str">
        <v/>
      </c>
    </row>
    <row r="3743" spans="83:106" x14ac:dyDescent="0.2">
      <c r="CE3743"/>
      <c r="CF3743"/>
      <c r="CG3743"/>
      <c r="CH3743"/>
      <c r="CI3743"/>
      <c r="CU3743" s="21">
        <v>3738</v>
      </c>
      <c r="CV3743" s="41">
        <v>4</v>
      </c>
      <c r="CW3743" s="41">
        <v>0.11332468572476186</v>
      </c>
      <c r="CX3743" s="41" t="e">
        <v>#N/A</v>
      </c>
      <c r="CY3743" s="41" t="e">
        <v>#N/A</v>
      </c>
      <c r="CZ3743" s="47" t="e">
        <v>#N/A</v>
      </c>
      <c r="DA3743">
        <v>0.11332468572476186</v>
      </c>
      <c r="DB3743" t="str">
        <v/>
      </c>
    </row>
    <row r="3744" spans="83:106" x14ac:dyDescent="0.2">
      <c r="CE3744"/>
      <c r="CF3744"/>
      <c r="CG3744"/>
      <c r="CH3744"/>
      <c r="CI3744"/>
      <c r="CU3744" s="21">
        <v>3739</v>
      </c>
      <c r="CV3744" s="41">
        <v>4</v>
      </c>
      <c r="CW3744" s="41">
        <v>0.11332468572476186</v>
      </c>
      <c r="CX3744" s="41" t="e">
        <v>#N/A</v>
      </c>
      <c r="CY3744" s="41" t="e">
        <v>#N/A</v>
      </c>
      <c r="CZ3744" s="47" t="e">
        <v>#N/A</v>
      </c>
      <c r="DA3744">
        <v>0.11332468572476186</v>
      </c>
      <c r="DB3744" t="str">
        <v/>
      </c>
    </row>
    <row r="3745" spans="83:106" x14ac:dyDescent="0.2">
      <c r="CE3745"/>
      <c r="CF3745"/>
      <c r="CG3745"/>
      <c r="CH3745"/>
      <c r="CI3745"/>
      <c r="CU3745" s="21">
        <v>3740</v>
      </c>
      <c r="CV3745" s="41">
        <v>4</v>
      </c>
      <c r="CW3745" s="41">
        <v>0.11332468572476186</v>
      </c>
      <c r="CX3745" s="41" t="e">
        <v>#N/A</v>
      </c>
      <c r="CY3745" s="41" t="e">
        <v>#N/A</v>
      </c>
      <c r="CZ3745" s="47" t="e">
        <v>#N/A</v>
      </c>
      <c r="DA3745">
        <v>0.11332468572476186</v>
      </c>
      <c r="DB3745" t="str">
        <v/>
      </c>
    </row>
    <row r="3746" spans="83:106" x14ac:dyDescent="0.2">
      <c r="CE3746"/>
      <c r="CF3746"/>
      <c r="CG3746"/>
      <c r="CH3746"/>
      <c r="CI3746"/>
      <c r="CU3746" s="21">
        <v>3741</v>
      </c>
      <c r="CV3746" s="41">
        <v>4</v>
      </c>
      <c r="CW3746" s="41">
        <v>0.11332468572476186</v>
      </c>
      <c r="CX3746" s="41" t="e">
        <v>#N/A</v>
      </c>
      <c r="CY3746" s="41" t="e">
        <v>#N/A</v>
      </c>
      <c r="CZ3746" s="47" t="e">
        <v>#N/A</v>
      </c>
      <c r="DA3746">
        <v>0.11332468572476186</v>
      </c>
      <c r="DB3746" t="str">
        <v/>
      </c>
    </row>
    <row r="3747" spans="83:106" x14ac:dyDescent="0.2">
      <c r="CE3747"/>
      <c r="CF3747"/>
      <c r="CG3747"/>
      <c r="CH3747"/>
      <c r="CI3747"/>
      <c r="CU3747" s="21">
        <v>3742</v>
      </c>
      <c r="CV3747" s="41">
        <v>4</v>
      </c>
      <c r="CW3747" s="41">
        <v>0.11332468572476186</v>
      </c>
      <c r="CX3747" s="41" t="e">
        <v>#N/A</v>
      </c>
      <c r="CY3747" s="41" t="e">
        <v>#N/A</v>
      </c>
      <c r="CZ3747" s="47" t="e">
        <v>#N/A</v>
      </c>
      <c r="DA3747">
        <v>0.11332468572476186</v>
      </c>
      <c r="DB3747" t="str">
        <v/>
      </c>
    </row>
    <row r="3748" spans="83:106" x14ac:dyDescent="0.2">
      <c r="CE3748"/>
      <c r="CF3748"/>
      <c r="CG3748"/>
      <c r="CH3748"/>
      <c r="CI3748"/>
      <c r="CU3748" s="21">
        <v>3743</v>
      </c>
      <c r="CV3748" s="41">
        <v>4</v>
      </c>
      <c r="CW3748" s="41">
        <v>0.11332468572476186</v>
      </c>
      <c r="CX3748" s="41" t="e">
        <v>#N/A</v>
      </c>
      <c r="CY3748" s="41" t="e">
        <v>#N/A</v>
      </c>
      <c r="CZ3748" s="47" t="e">
        <v>#N/A</v>
      </c>
      <c r="DA3748">
        <v>0.11332468572476186</v>
      </c>
      <c r="DB3748" t="str">
        <v/>
      </c>
    </row>
    <row r="3749" spans="83:106" x14ac:dyDescent="0.2">
      <c r="CE3749"/>
      <c r="CF3749"/>
      <c r="CG3749"/>
      <c r="CH3749"/>
      <c r="CI3749"/>
      <c r="CU3749" s="21">
        <v>3744</v>
      </c>
      <c r="CV3749" s="41">
        <v>4</v>
      </c>
      <c r="CW3749" s="41">
        <v>0.11332468572476186</v>
      </c>
      <c r="CX3749" s="41" t="e">
        <v>#N/A</v>
      </c>
      <c r="CY3749" s="41" t="e">
        <v>#N/A</v>
      </c>
      <c r="CZ3749" s="47" t="e">
        <v>#N/A</v>
      </c>
      <c r="DA3749">
        <v>0.11332468572476186</v>
      </c>
      <c r="DB3749" t="str">
        <v/>
      </c>
    </row>
    <row r="3750" spans="83:106" x14ac:dyDescent="0.2">
      <c r="CE3750"/>
      <c r="CF3750"/>
      <c r="CG3750"/>
      <c r="CH3750"/>
      <c r="CI3750"/>
      <c r="CU3750" s="21">
        <v>3745</v>
      </c>
      <c r="CV3750" s="41">
        <v>4</v>
      </c>
      <c r="CW3750" s="41">
        <v>0.11332468572476186</v>
      </c>
      <c r="CX3750" s="41" t="e">
        <v>#N/A</v>
      </c>
      <c r="CY3750" s="41" t="e">
        <v>#N/A</v>
      </c>
      <c r="CZ3750" s="47" t="e">
        <v>#N/A</v>
      </c>
      <c r="DA3750">
        <v>0.11332468572476186</v>
      </c>
      <c r="DB3750" t="str">
        <v/>
      </c>
    </row>
    <row r="3751" spans="83:106" x14ac:dyDescent="0.2">
      <c r="CE3751"/>
      <c r="CF3751"/>
      <c r="CG3751"/>
      <c r="CH3751"/>
      <c r="CI3751"/>
      <c r="CU3751" s="21">
        <v>3746</v>
      </c>
      <c r="CV3751" s="41">
        <v>4</v>
      </c>
      <c r="CW3751" s="41">
        <v>0.11332468572476186</v>
      </c>
      <c r="CX3751" s="41" t="e">
        <v>#N/A</v>
      </c>
      <c r="CY3751" s="41" t="e">
        <v>#N/A</v>
      </c>
      <c r="CZ3751" s="47" t="e">
        <v>#N/A</v>
      </c>
      <c r="DA3751">
        <v>0.11332468572476186</v>
      </c>
      <c r="DB3751" t="str">
        <v/>
      </c>
    </row>
    <row r="3752" spans="83:106" x14ac:dyDescent="0.2">
      <c r="CE3752"/>
      <c r="CF3752"/>
      <c r="CG3752"/>
      <c r="CH3752"/>
      <c r="CI3752"/>
      <c r="CU3752" s="21">
        <v>3747</v>
      </c>
      <c r="CV3752" s="41">
        <v>4</v>
      </c>
      <c r="CW3752" s="41">
        <v>0.11332468572476186</v>
      </c>
      <c r="CX3752" s="41" t="e">
        <v>#N/A</v>
      </c>
      <c r="CY3752" s="41" t="e">
        <v>#N/A</v>
      </c>
      <c r="CZ3752" s="47" t="e">
        <v>#N/A</v>
      </c>
      <c r="DA3752">
        <v>0.11332468572476186</v>
      </c>
      <c r="DB3752" t="str">
        <v/>
      </c>
    </row>
    <row r="3753" spans="83:106" x14ac:dyDescent="0.2">
      <c r="CE3753"/>
      <c r="CF3753"/>
      <c r="CG3753"/>
      <c r="CH3753"/>
      <c r="CI3753"/>
      <c r="CU3753" s="21">
        <v>3748</v>
      </c>
      <c r="CV3753" s="41">
        <v>4</v>
      </c>
      <c r="CW3753" s="41">
        <v>0.11332468572476186</v>
      </c>
      <c r="CX3753" s="41" t="e">
        <v>#N/A</v>
      </c>
      <c r="CY3753" s="41" t="e">
        <v>#N/A</v>
      </c>
      <c r="CZ3753" s="47" t="e">
        <v>#N/A</v>
      </c>
      <c r="DA3753">
        <v>0.11332468572476186</v>
      </c>
      <c r="DB3753" t="str">
        <v/>
      </c>
    </row>
    <row r="3754" spans="83:106" x14ac:dyDescent="0.2">
      <c r="CE3754"/>
      <c r="CF3754"/>
      <c r="CG3754"/>
      <c r="CH3754"/>
      <c r="CI3754"/>
      <c r="CU3754" s="21">
        <v>3749</v>
      </c>
      <c r="CV3754" s="41">
        <v>4</v>
      </c>
      <c r="CW3754" s="41">
        <v>0.11332468572476186</v>
      </c>
      <c r="CX3754" s="41" t="e">
        <v>#N/A</v>
      </c>
      <c r="CY3754" s="41" t="e">
        <v>#N/A</v>
      </c>
      <c r="CZ3754" s="47" t="e">
        <v>#N/A</v>
      </c>
      <c r="DA3754">
        <v>0.11332468572476186</v>
      </c>
      <c r="DB3754" t="str">
        <v/>
      </c>
    </row>
    <row r="3755" spans="83:106" x14ac:dyDescent="0.2">
      <c r="CE3755"/>
      <c r="CF3755"/>
      <c r="CG3755"/>
      <c r="CH3755"/>
      <c r="CI3755"/>
      <c r="CU3755" s="21">
        <v>3750</v>
      </c>
      <c r="CV3755" s="41">
        <v>4</v>
      </c>
      <c r="CW3755" s="41">
        <v>0.11332468572476186</v>
      </c>
      <c r="CX3755" s="41" t="e">
        <v>#N/A</v>
      </c>
      <c r="CY3755" s="41" t="e">
        <v>#N/A</v>
      </c>
      <c r="CZ3755" s="47" t="e">
        <v>#N/A</v>
      </c>
      <c r="DA3755">
        <v>0.11332468572476186</v>
      </c>
      <c r="DB3755" t="str">
        <v/>
      </c>
    </row>
    <row r="3756" spans="83:106" x14ac:dyDescent="0.2">
      <c r="CE3756"/>
      <c r="CF3756"/>
      <c r="CG3756"/>
      <c r="CH3756"/>
      <c r="CI3756"/>
      <c r="CU3756" s="21">
        <v>3751</v>
      </c>
      <c r="CV3756" s="41">
        <v>4</v>
      </c>
      <c r="CW3756" s="41">
        <v>0.11332468572476186</v>
      </c>
      <c r="CX3756" s="41" t="e">
        <v>#N/A</v>
      </c>
      <c r="CY3756" s="41" t="e">
        <v>#N/A</v>
      </c>
      <c r="CZ3756" s="47" t="e">
        <v>#N/A</v>
      </c>
      <c r="DA3756">
        <v>0.11332468572476186</v>
      </c>
      <c r="DB3756" t="str">
        <v/>
      </c>
    </row>
    <row r="3757" spans="83:106" x14ac:dyDescent="0.2">
      <c r="CE3757"/>
      <c r="CF3757"/>
      <c r="CG3757"/>
      <c r="CH3757"/>
      <c r="CI3757"/>
      <c r="CU3757" s="21">
        <v>3752</v>
      </c>
      <c r="CV3757" s="41">
        <v>4</v>
      </c>
      <c r="CW3757" s="41">
        <v>0.11332468572476186</v>
      </c>
      <c r="CX3757" s="41" t="e">
        <v>#N/A</v>
      </c>
      <c r="CY3757" s="41" t="e">
        <v>#N/A</v>
      </c>
      <c r="CZ3757" s="47" t="e">
        <v>#N/A</v>
      </c>
      <c r="DA3757">
        <v>0.11332468572476186</v>
      </c>
      <c r="DB3757" t="str">
        <v/>
      </c>
    </row>
    <row r="3758" spans="83:106" x14ac:dyDescent="0.2">
      <c r="CE3758"/>
      <c r="CF3758"/>
      <c r="CG3758"/>
      <c r="CH3758"/>
      <c r="CI3758"/>
      <c r="CU3758" s="21">
        <v>3753</v>
      </c>
      <c r="CV3758" s="41">
        <v>4</v>
      </c>
      <c r="CW3758" s="41">
        <v>0.11332468572476186</v>
      </c>
      <c r="CX3758" s="41" t="e">
        <v>#N/A</v>
      </c>
      <c r="CY3758" s="41" t="e">
        <v>#N/A</v>
      </c>
      <c r="CZ3758" s="47" t="e">
        <v>#N/A</v>
      </c>
      <c r="DA3758">
        <v>0.11332468572476186</v>
      </c>
      <c r="DB3758" t="str">
        <v/>
      </c>
    </row>
    <row r="3759" spans="83:106" x14ac:dyDescent="0.2">
      <c r="CE3759"/>
      <c r="CF3759"/>
      <c r="CG3759"/>
      <c r="CH3759"/>
      <c r="CI3759"/>
      <c r="CU3759" s="21">
        <v>3754</v>
      </c>
      <c r="CV3759" s="41">
        <v>4</v>
      </c>
      <c r="CW3759" s="41">
        <v>0.11332468572476186</v>
      </c>
      <c r="CX3759" s="41" t="e">
        <v>#N/A</v>
      </c>
      <c r="CY3759" s="41" t="e">
        <v>#N/A</v>
      </c>
      <c r="CZ3759" s="47" t="e">
        <v>#N/A</v>
      </c>
      <c r="DA3759">
        <v>0.11332468572476186</v>
      </c>
      <c r="DB3759" t="str">
        <v/>
      </c>
    </row>
    <row r="3760" spans="83:106" x14ac:dyDescent="0.2">
      <c r="CE3760"/>
      <c r="CF3760"/>
      <c r="CG3760"/>
      <c r="CH3760"/>
      <c r="CI3760"/>
      <c r="CU3760" s="21">
        <v>3755</v>
      </c>
      <c r="CV3760" s="41">
        <v>4</v>
      </c>
      <c r="CW3760" s="41">
        <v>0.11332468572476186</v>
      </c>
      <c r="CX3760" s="41" t="e">
        <v>#N/A</v>
      </c>
      <c r="CY3760" s="41" t="e">
        <v>#N/A</v>
      </c>
      <c r="CZ3760" s="47" t="e">
        <v>#N/A</v>
      </c>
      <c r="DA3760">
        <v>0.11332468572476186</v>
      </c>
      <c r="DB3760" t="str">
        <v/>
      </c>
    </row>
    <row r="3761" spans="83:106" x14ac:dyDescent="0.2">
      <c r="CE3761"/>
      <c r="CF3761"/>
      <c r="CG3761"/>
      <c r="CH3761"/>
      <c r="CI3761"/>
      <c r="CU3761" s="21">
        <v>3756</v>
      </c>
      <c r="CV3761" s="41">
        <v>4</v>
      </c>
      <c r="CW3761" s="41">
        <v>0.11332468572476186</v>
      </c>
      <c r="CX3761" s="41" t="e">
        <v>#N/A</v>
      </c>
      <c r="CY3761" s="41" t="e">
        <v>#N/A</v>
      </c>
      <c r="CZ3761" s="47" t="e">
        <v>#N/A</v>
      </c>
      <c r="DA3761">
        <v>0.11332468572476186</v>
      </c>
      <c r="DB3761" t="str">
        <v/>
      </c>
    </row>
    <row r="3762" spans="83:106" x14ac:dyDescent="0.2">
      <c r="CE3762"/>
      <c r="CF3762"/>
      <c r="CG3762"/>
      <c r="CH3762"/>
      <c r="CI3762"/>
      <c r="CU3762" s="21">
        <v>3757</v>
      </c>
      <c r="CV3762" s="41">
        <v>4</v>
      </c>
      <c r="CW3762" s="41">
        <v>0.11332468572476186</v>
      </c>
      <c r="CX3762" s="41" t="e">
        <v>#N/A</v>
      </c>
      <c r="CY3762" s="41" t="e">
        <v>#N/A</v>
      </c>
      <c r="CZ3762" s="47" t="e">
        <v>#N/A</v>
      </c>
      <c r="DA3762">
        <v>0.11332468572476186</v>
      </c>
      <c r="DB3762" t="str">
        <v/>
      </c>
    </row>
    <row r="3763" spans="83:106" x14ac:dyDescent="0.2">
      <c r="CE3763"/>
      <c r="CF3763"/>
      <c r="CG3763"/>
      <c r="CH3763"/>
      <c r="CI3763"/>
      <c r="CU3763" s="21">
        <v>3758</v>
      </c>
      <c r="CV3763" s="41">
        <v>4</v>
      </c>
      <c r="CW3763" s="41">
        <v>0.11332468572476186</v>
      </c>
      <c r="CX3763" s="41" t="e">
        <v>#N/A</v>
      </c>
      <c r="CY3763" s="41" t="e">
        <v>#N/A</v>
      </c>
      <c r="CZ3763" s="47" t="e">
        <v>#N/A</v>
      </c>
      <c r="DA3763">
        <v>0.11332468572476186</v>
      </c>
      <c r="DB3763" t="str">
        <v/>
      </c>
    </row>
    <row r="3764" spans="83:106" x14ac:dyDescent="0.2">
      <c r="CE3764"/>
      <c r="CF3764"/>
      <c r="CG3764"/>
      <c r="CH3764"/>
      <c r="CI3764"/>
      <c r="CU3764" s="21">
        <v>3759</v>
      </c>
      <c r="CV3764" s="41">
        <v>4</v>
      </c>
      <c r="CW3764" s="41">
        <v>0.11332468572476186</v>
      </c>
      <c r="CX3764" s="41" t="e">
        <v>#N/A</v>
      </c>
      <c r="CY3764" s="41" t="e">
        <v>#N/A</v>
      </c>
      <c r="CZ3764" s="47" t="e">
        <v>#N/A</v>
      </c>
      <c r="DA3764">
        <v>0.11332468572476186</v>
      </c>
      <c r="DB3764" t="str">
        <v/>
      </c>
    </row>
    <row r="3765" spans="83:106" x14ac:dyDescent="0.2">
      <c r="CE3765"/>
      <c r="CF3765"/>
      <c r="CG3765"/>
      <c r="CH3765"/>
      <c r="CI3765"/>
      <c r="CU3765" s="21">
        <v>3760</v>
      </c>
      <c r="CV3765" s="41">
        <v>4</v>
      </c>
      <c r="CW3765" s="41">
        <v>0.11332468572476186</v>
      </c>
      <c r="CX3765" s="41" t="e">
        <v>#N/A</v>
      </c>
      <c r="CY3765" s="41" t="e">
        <v>#N/A</v>
      </c>
      <c r="CZ3765" s="47" t="e">
        <v>#N/A</v>
      </c>
      <c r="DA3765">
        <v>0.11332468572476186</v>
      </c>
      <c r="DB3765" t="str">
        <v/>
      </c>
    </row>
    <row r="3766" spans="83:106" x14ac:dyDescent="0.2">
      <c r="CE3766"/>
      <c r="CF3766"/>
      <c r="CG3766"/>
      <c r="CH3766"/>
      <c r="CI3766"/>
      <c r="CU3766" s="21">
        <v>3761</v>
      </c>
      <c r="CV3766" s="41">
        <v>4</v>
      </c>
      <c r="CW3766" s="41">
        <v>0.11332468572476186</v>
      </c>
      <c r="CX3766" s="41" t="e">
        <v>#N/A</v>
      </c>
      <c r="CY3766" s="41" t="e">
        <v>#N/A</v>
      </c>
      <c r="CZ3766" s="47" t="e">
        <v>#N/A</v>
      </c>
      <c r="DA3766">
        <v>0.11332468572476186</v>
      </c>
      <c r="DB3766" t="str">
        <v/>
      </c>
    </row>
    <row r="3767" spans="83:106" x14ac:dyDescent="0.2">
      <c r="CE3767"/>
      <c r="CF3767"/>
      <c r="CG3767"/>
      <c r="CH3767"/>
      <c r="CI3767"/>
      <c r="CU3767" s="21">
        <v>3762</v>
      </c>
      <c r="CV3767" s="41">
        <v>4</v>
      </c>
      <c r="CW3767" s="41">
        <v>0.11332468572476186</v>
      </c>
      <c r="CX3767" s="41" t="e">
        <v>#N/A</v>
      </c>
      <c r="CY3767" s="41" t="e">
        <v>#N/A</v>
      </c>
      <c r="CZ3767" s="47" t="e">
        <v>#N/A</v>
      </c>
      <c r="DA3767">
        <v>0.11332468572476186</v>
      </c>
      <c r="DB3767" t="str">
        <v/>
      </c>
    </row>
    <row r="3768" spans="83:106" x14ac:dyDescent="0.2">
      <c r="CE3768"/>
      <c r="CF3768"/>
      <c r="CG3768"/>
      <c r="CH3768"/>
      <c r="CI3768"/>
      <c r="CU3768" s="21">
        <v>3763</v>
      </c>
      <c r="CV3768" s="41">
        <v>4</v>
      </c>
      <c r="CW3768" s="41">
        <v>0.11332468572476186</v>
      </c>
      <c r="CX3768" s="41" t="e">
        <v>#N/A</v>
      </c>
      <c r="CY3768" s="41" t="e">
        <v>#N/A</v>
      </c>
      <c r="CZ3768" s="47" t="e">
        <v>#N/A</v>
      </c>
      <c r="DA3768">
        <v>0.11332468572476186</v>
      </c>
      <c r="DB3768" t="str">
        <v/>
      </c>
    </row>
    <row r="3769" spans="83:106" x14ac:dyDescent="0.2">
      <c r="CE3769"/>
      <c r="CF3769"/>
      <c r="CG3769"/>
      <c r="CH3769"/>
      <c r="CI3769"/>
      <c r="CU3769" s="21">
        <v>3764</v>
      </c>
      <c r="CV3769" s="41">
        <v>4</v>
      </c>
      <c r="CW3769" s="41">
        <v>0.11332468572476186</v>
      </c>
      <c r="CX3769" s="41" t="e">
        <v>#N/A</v>
      </c>
      <c r="CY3769" s="41" t="e">
        <v>#N/A</v>
      </c>
      <c r="CZ3769" s="47" t="e">
        <v>#N/A</v>
      </c>
      <c r="DA3769">
        <v>0.11332468572476186</v>
      </c>
      <c r="DB3769" t="str">
        <v/>
      </c>
    </row>
    <row r="3770" spans="83:106" x14ac:dyDescent="0.2">
      <c r="CE3770"/>
      <c r="CF3770"/>
      <c r="CG3770"/>
      <c r="CH3770"/>
      <c r="CI3770"/>
      <c r="CU3770" s="21">
        <v>3765</v>
      </c>
      <c r="CV3770" s="41">
        <v>4</v>
      </c>
      <c r="CW3770" s="41">
        <v>0.11332468572476186</v>
      </c>
      <c r="CX3770" s="41" t="e">
        <v>#N/A</v>
      </c>
      <c r="CY3770" s="41" t="e">
        <v>#N/A</v>
      </c>
      <c r="CZ3770" s="47" t="e">
        <v>#N/A</v>
      </c>
      <c r="DA3770">
        <v>0.11332468572476186</v>
      </c>
      <c r="DB3770" t="str">
        <v/>
      </c>
    </row>
    <row r="3771" spans="83:106" x14ac:dyDescent="0.2">
      <c r="CE3771"/>
      <c r="CF3771"/>
      <c r="CG3771"/>
      <c r="CH3771"/>
      <c r="CI3771"/>
      <c r="CU3771" s="21">
        <v>3766</v>
      </c>
      <c r="CV3771" s="41">
        <v>4</v>
      </c>
      <c r="CW3771" s="41">
        <v>0.11332468572476186</v>
      </c>
      <c r="CX3771" s="41" t="e">
        <v>#N/A</v>
      </c>
      <c r="CY3771" s="41" t="e">
        <v>#N/A</v>
      </c>
      <c r="CZ3771" s="47" t="e">
        <v>#N/A</v>
      </c>
      <c r="DA3771">
        <v>0.11332468572476186</v>
      </c>
      <c r="DB3771" t="str">
        <v/>
      </c>
    </row>
    <row r="3772" spans="83:106" x14ac:dyDescent="0.2">
      <c r="CE3772"/>
      <c r="CF3772"/>
      <c r="CG3772"/>
      <c r="CH3772"/>
      <c r="CI3772"/>
      <c r="CU3772" s="21">
        <v>3767</v>
      </c>
      <c r="CV3772" s="41">
        <v>4</v>
      </c>
      <c r="CW3772" s="41">
        <v>0.11332468572476186</v>
      </c>
      <c r="CX3772" s="41" t="e">
        <v>#N/A</v>
      </c>
      <c r="CY3772" s="41" t="e">
        <v>#N/A</v>
      </c>
      <c r="CZ3772" s="47" t="e">
        <v>#N/A</v>
      </c>
      <c r="DA3772">
        <v>0.11332468572476186</v>
      </c>
      <c r="DB3772" t="str">
        <v/>
      </c>
    </row>
    <row r="3773" spans="83:106" x14ac:dyDescent="0.2">
      <c r="CE3773"/>
      <c r="CF3773"/>
      <c r="CG3773"/>
      <c r="CH3773"/>
      <c r="CI3773"/>
      <c r="CU3773" s="21">
        <v>3768</v>
      </c>
      <c r="CV3773" s="41">
        <v>4</v>
      </c>
      <c r="CW3773" s="41">
        <v>0.11332468572476186</v>
      </c>
      <c r="CX3773" s="41" t="e">
        <v>#N/A</v>
      </c>
      <c r="CY3773" s="41" t="e">
        <v>#N/A</v>
      </c>
      <c r="CZ3773" s="47" t="e">
        <v>#N/A</v>
      </c>
      <c r="DA3773">
        <v>0.11332468572476186</v>
      </c>
      <c r="DB3773" t="str">
        <v/>
      </c>
    </row>
    <row r="3774" spans="83:106" x14ac:dyDescent="0.2">
      <c r="CE3774"/>
      <c r="CF3774"/>
      <c r="CG3774"/>
      <c r="CH3774"/>
      <c r="CI3774"/>
      <c r="CU3774" s="21">
        <v>3769</v>
      </c>
      <c r="CV3774" s="41">
        <v>4</v>
      </c>
      <c r="CW3774" s="41">
        <v>0.11332468572476186</v>
      </c>
      <c r="CX3774" s="41" t="e">
        <v>#N/A</v>
      </c>
      <c r="CY3774" s="41" t="e">
        <v>#N/A</v>
      </c>
      <c r="CZ3774" s="47" t="e">
        <v>#N/A</v>
      </c>
      <c r="DA3774">
        <v>0.11332468572476186</v>
      </c>
      <c r="DB3774" t="str">
        <v/>
      </c>
    </row>
    <row r="3775" spans="83:106" x14ac:dyDescent="0.2">
      <c r="CE3775"/>
      <c r="CF3775"/>
      <c r="CG3775"/>
      <c r="CH3775"/>
      <c r="CI3775"/>
      <c r="CU3775" s="21">
        <v>3770</v>
      </c>
      <c r="CV3775" s="41">
        <v>4</v>
      </c>
      <c r="CW3775" s="41">
        <v>0.11332468572476186</v>
      </c>
      <c r="CX3775" s="41" t="e">
        <v>#N/A</v>
      </c>
      <c r="CY3775" s="41" t="e">
        <v>#N/A</v>
      </c>
      <c r="CZ3775" s="47" t="e">
        <v>#N/A</v>
      </c>
      <c r="DA3775">
        <v>0.11332468572476186</v>
      </c>
      <c r="DB3775" t="str">
        <v/>
      </c>
    </row>
    <row r="3776" spans="83:106" x14ac:dyDescent="0.2">
      <c r="CE3776"/>
      <c r="CF3776"/>
      <c r="CG3776"/>
      <c r="CH3776"/>
      <c r="CI3776"/>
      <c r="CU3776" s="21">
        <v>3771</v>
      </c>
      <c r="CV3776" s="41">
        <v>4</v>
      </c>
      <c r="CW3776" s="41">
        <v>0.11332468572476186</v>
      </c>
      <c r="CX3776" s="41" t="e">
        <v>#N/A</v>
      </c>
      <c r="CY3776" s="41" t="e">
        <v>#N/A</v>
      </c>
      <c r="CZ3776" s="47" t="e">
        <v>#N/A</v>
      </c>
      <c r="DA3776">
        <v>0.11332468572476186</v>
      </c>
      <c r="DB3776" t="str">
        <v/>
      </c>
    </row>
    <row r="3777" spans="83:106" x14ac:dyDescent="0.2">
      <c r="CE3777"/>
      <c r="CF3777"/>
      <c r="CG3777"/>
      <c r="CH3777"/>
      <c r="CI3777"/>
      <c r="CU3777" s="21">
        <v>3772</v>
      </c>
      <c r="CV3777" s="41">
        <v>4</v>
      </c>
      <c r="CW3777" s="41">
        <v>0.11332468572476186</v>
      </c>
      <c r="CX3777" s="41" t="e">
        <v>#N/A</v>
      </c>
      <c r="CY3777" s="41" t="e">
        <v>#N/A</v>
      </c>
      <c r="CZ3777" s="47" t="e">
        <v>#N/A</v>
      </c>
      <c r="DA3777">
        <v>0.11332468572476186</v>
      </c>
      <c r="DB3777" t="str">
        <v/>
      </c>
    </row>
    <row r="3778" spans="83:106" x14ac:dyDescent="0.2">
      <c r="CE3778"/>
      <c r="CF3778"/>
      <c r="CG3778"/>
      <c r="CH3778"/>
      <c r="CI3778"/>
      <c r="CU3778" s="21">
        <v>3773</v>
      </c>
      <c r="CV3778" s="41">
        <v>4</v>
      </c>
      <c r="CW3778" s="41">
        <v>0.11332468572476186</v>
      </c>
      <c r="CX3778" s="41" t="e">
        <v>#N/A</v>
      </c>
      <c r="CY3778" s="41" t="e">
        <v>#N/A</v>
      </c>
      <c r="CZ3778" s="47" t="e">
        <v>#N/A</v>
      </c>
      <c r="DA3778">
        <v>0.11332468572476186</v>
      </c>
      <c r="DB3778" t="str">
        <v/>
      </c>
    </row>
    <row r="3779" spans="83:106" x14ac:dyDescent="0.2">
      <c r="CE3779"/>
      <c r="CF3779"/>
      <c r="CG3779"/>
      <c r="CH3779"/>
      <c r="CI3779"/>
      <c r="CU3779" s="21">
        <v>3774</v>
      </c>
      <c r="CV3779" s="41">
        <v>4</v>
      </c>
      <c r="CW3779" s="41">
        <v>0.11332468572476186</v>
      </c>
      <c r="CX3779" s="41" t="e">
        <v>#N/A</v>
      </c>
      <c r="CY3779" s="41" t="e">
        <v>#N/A</v>
      </c>
      <c r="CZ3779" s="47" t="e">
        <v>#N/A</v>
      </c>
      <c r="DA3779">
        <v>0.11332468572476186</v>
      </c>
      <c r="DB3779" t="str">
        <v/>
      </c>
    </row>
    <row r="3780" spans="83:106" x14ac:dyDescent="0.2">
      <c r="CE3780"/>
      <c r="CF3780"/>
      <c r="CG3780"/>
      <c r="CH3780"/>
      <c r="CI3780"/>
      <c r="CU3780" s="21">
        <v>3775</v>
      </c>
      <c r="CV3780" s="41">
        <v>4</v>
      </c>
      <c r="CW3780" s="41">
        <v>0.11332468572476186</v>
      </c>
      <c r="CX3780" s="41" t="e">
        <v>#N/A</v>
      </c>
      <c r="CY3780" s="41" t="e">
        <v>#N/A</v>
      </c>
      <c r="CZ3780" s="47" t="e">
        <v>#N/A</v>
      </c>
      <c r="DA3780">
        <v>0.11332468572476186</v>
      </c>
      <c r="DB3780" t="str">
        <v/>
      </c>
    </row>
    <row r="3781" spans="83:106" x14ac:dyDescent="0.2">
      <c r="CE3781"/>
      <c r="CF3781"/>
      <c r="CG3781"/>
      <c r="CH3781"/>
      <c r="CI3781"/>
      <c r="CU3781" s="21">
        <v>3776</v>
      </c>
      <c r="CV3781" s="41">
        <v>4</v>
      </c>
      <c r="CW3781" s="41">
        <v>0.11332468572476186</v>
      </c>
      <c r="CX3781" s="41" t="e">
        <v>#N/A</v>
      </c>
      <c r="CY3781" s="41" t="e">
        <v>#N/A</v>
      </c>
      <c r="CZ3781" s="47" t="e">
        <v>#N/A</v>
      </c>
      <c r="DA3781">
        <v>0.11332468572476186</v>
      </c>
      <c r="DB3781" t="str">
        <v/>
      </c>
    </row>
    <row r="3782" spans="83:106" x14ac:dyDescent="0.2">
      <c r="CE3782"/>
      <c r="CF3782"/>
      <c r="CG3782"/>
      <c r="CH3782"/>
      <c r="CI3782"/>
      <c r="CU3782" s="21">
        <v>3777</v>
      </c>
      <c r="CV3782" s="41">
        <v>4</v>
      </c>
      <c r="CW3782" s="41">
        <v>0.11332468572476186</v>
      </c>
      <c r="CX3782" s="41" t="e">
        <v>#N/A</v>
      </c>
      <c r="CY3782" s="41" t="e">
        <v>#N/A</v>
      </c>
      <c r="CZ3782" s="47" t="e">
        <v>#N/A</v>
      </c>
      <c r="DA3782">
        <v>0.11332468572476186</v>
      </c>
      <c r="DB3782" t="str">
        <v/>
      </c>
    </row>
    <row r="3783" spans="83:106" x14ac:dyDescent="0.2">
      <c r="CE3783"/>
      <c r="CF3783"/>
      <c r="CG3783"/>
      <c r="CH3783"/>
      <c r="CI3783"/>
      <c r="CU3783" s="21">
        <v>3778</v>
      </c>
      <c r="CV3783" s="41">
        <v>4</v>
      </c>
      <c r="CW3783" s="41">
        <v>0.11332468572476186</v>
      </c>
      <c r="CX3783" s="41" t="e">
        <v>#N/A</v>
      </c>
      <c r="CY3783" s="41" t="e">
        <v>#N/A</v>
      </c>
      <c r="CZ3783" s="47" t="e">
        <v>#N/A</v>
      </c>
      <c r="DA3783">
        <v>0.11332468572476186</v>
      </c>
      <c r="DB3783" t="str">
        <v/>
      </c>
    </row>
    <row r="3784" spans="83:106" x14ac:dyDescent="0.2">
      <c r="CE3784"/>
      <c r="CF3784"/>
      <c r="CG3784"/>
      <c r="CH3784"/>
      <c r="CI3784"/>
      <c r="CU3784" s="21">
        <v>3779</v>
      </c>
      <c r="CV3784" s="41">
        <v>4</v>
      </c>
      <c r="CW3784" s="41">
        <v>0.11332468572476186</v>
      </c>
      <c r="CX3784" s="41" t="e">
        <v>#N/A</v>
      </c>
      <c r="CY3784" s="41" t="e">
        <v>#N/A</v>
      </c>
      <c r="CZ3784" s="47" t="e">
        <v>#N/A</v>
      </c>
      <c r="DA3784">
        <v>0.11332468572476186</v>
      </c>
      <c r="DB3784" t="str">
        <v/>
      </c>
    </row>
    <row r="3785" spans="83:106" x14ac:dyDescent="0.2">
      <c r="CE3785"/>
      <c r="CF3785"/>
      <c r="CG3785"/>
      <c r="CH3785"/>
      <c r="CI3785"/>
      <c r="CU3785" s="21">
        <v>3780</v>
      </c>
      <c r="CV3785" s="41">
        <v>4</v>
      </c>
      <c r="CW3785" s="41">
        <v>0.11332468572476186</v>
      </c>
      <c r="CX3785" s="41" t="e">
        <v>#N/A</v>
      </c>
      <c r="CY3785" s="41" t="e">
        <v>#N/A</v>
      </c>
      <c r="CZ3785" s="47" t="e">
        <v>#N/A</v>
      </c>
      <c r="DA3785">
        <v>0.11332468572476186</v>
      </c>
      <c r="DB3785" t="str">
        <v/>
      </c>
    </row>
    <row r="3786" spans="83:106" x14ac:dyDescent="0.2">
      <c r="CE3786"/>
      <c r="CF3786"/>
      <c r="CG3786"/>
      <c r="CH3786"/>
      <c r="CI3786"/>
      <c r="CU3786" s="21">
        <v>3781</v>
      </c>
      <c r="CV3786" s="41">
        <v>4</v>
      </c>
      <c r="CW3786" s="41">
        <v>0.11332468572476186</v>
      </c>
      <c r="CX3786" s="41" t="e">
        <v>#N/A</v>
      </c>
      <c r="CY3786" s="41" t="e">
        <v>#N/A</v>
      </c>
      <c r="CZ3786" s="47" t="e">
        <v>#N/A</v>
      </c>
      <c r="DA3786">
        <v>0.11332468572476186</v>
      </c>
      <c r="DB3786" t="str">
        <v/>
      </c>
    </row>
    <row r="3787" spans="83:106" x14ac:dyDescent="0.2">
      <c r="CE3787"/>
      <c r="CF3787"/>
      <c r="CG3787"/>
      <c r="CH3787"/>
      <c r="CI3787"/>
      <c r="CU3787" s="21">
        <v>3782</v>
      </c>
      <c r="CV3787" s="41">
        <v>4</v>
      </c>
      <c r="CW3787" s="41">
        <v>0.11332468572476186</v>
      </c>
      <c r="CX3787" s="41" t="e">
        <v>#N/A</v>
      </c>
      <c r="CY3787" s="41" t="e">
        <v>#N/A</v>
      </c>
      <c r="CZ3787" s="47" t="e">
        <v>#N/A</v>
      </c>
      <c r="DA3787">
        <v>0.11332468572476186</v>
      </c>
      <c r="DB3787" t="str">
        <v/>
      </c>
    </row>
    <row r="3788" spans="83:106" x14ac:dyDescent="0.2">
      <c r="CE3788"/>
      <c r="CF3788"/>
      <c r="CG3788"/>
      <c r="CH3788"/>
      <c r="CI3788"/>
      <c r="CU3788" s="21">
        <v>3783</v>
      </c>
      <c r="CV3788" s="41">
        <v>4</v>
      </c>
      <c r="CW3788" s="41">
        <v>0.11332468572476186</v>
      </c>
      <c r="CX3788" s="41" t="e">
        <v>#N/A</v>
      </c>
      <c r="CY3788" s="41" t="e">
        <v>#N/A</v>
      </c>
      <c r="CZ3788" s="47" t="e">
        <v>#N/A</v>
      </c>
      <c r="DA3788">
        <v>0.11332468572476186</v>
      </c>
      <c r="DB3788" t="str">
        <v/>
      </c>
    </row>
    <row r="3789" spans="83:106" x14ac:dyDescent="0.2">
      <c r="CE3789"/>
      <c r="CF3789"/>
      <c r="CG3789"/>
      <c r="CH3789"/>
      <c r="CI3789"/>
      <c r="CU3789" s="21">
        <v>3784</v>
      </c>
      <c r="CV3789" s="41">
        <v>4</v>
      </c>
      <c r="CW3789" s="41">
        <v>0.11332468572476186</v>
      </c>
      <c r="CX3789" s="41" t="e">
        <v>#N/A</v>
      </c>
      <c r="CY3789" s="41" t="e">
        <v>#N/A</v>
      </c>
      <c r="CZ3789" s="47" t="e">
        <v>#N/A</v>
      </c>
      <c r="DA3789">
        <v>0.11332468572476186</v>
      </c>
      <c r="DB3789" t="str">
        <v/>
      </c>
    </row>
    <row r="3790" spans="83:106" x14ac:dyDescent="0.2">
      <c r="CE3790"/>
      <c r="CF3790"/>
      <c r="CG3790"/>
      <c r="CH3790"/>
      <c r="CI3790"/>
      <c r="CU3790" s="21">
        <v>3785</v>
      </c>
      <c r="CV3790" s="41">
        <v>4</v>
      </c>
      <c r="CW3790" s="41">
        <v>0.11332468572476186</v>
      </c>
      <c r="CX3790" s="41" t="e">
        <v>#N/A</v>
      </c>
      <c r="CY3790" s="41" t="e">
        <v>#N/A</v>
      </c>
      <c r="CZ3790" s="47" t="e">
        <v>#N/A</v>
      </c>
      <c r="DA3790">
        <v>0.11332468572476186</v>
      </c>
      <c r="DB3790" t="str">
        <v/>
      </c>
    </row>
    <row r="3791" spans="83:106" x14ac:dyDescent="0.2">
      <c r="CE3791"/>
      <c r="CF3791"/>
      <c r="CG3791"/>
      <c r="CH3791"/>
      <c r="CI3791"/>
      <c r="CU3791" s="21">
        <v>3786</v>
      </c>
      <c r="CV3791" s="41">
        <v>4</v>
      </c>
      <c r="CW3791" s="41">
        <v>0.11332468572476186</v>
      </c>
      <c r="CX3791" s="41" t="e">
        <v>#N/A</v>
      </c>
      <c r="CY3791" s="41" t="e">
        <v>#N/A</v>
      </c>
      <c r="CZ3791" s="47" t="e">
        <v>#N/A</v>
      </c>
      <c r="DA3791">
        <v>0.11332468572476186</v>
      </c>
      <c r="DB3791" t="str">
        <v/>
      </c>
    </row>
    <row r="3792" spans="83:106" x14ac:dyDescent="0.2">
      <c r="CE3792"/>
      <c r="CF3792"/>
      <c r="CG3792"/>
      <c r="CH3792"/>
      <c r="CI3792"/>
      <c r="CU3792" s="21">
        <v>3787</v>
      </c>
      <c r="CV3792" s="41">
        <v>4</v>
      </c>
      <c r="CW3792" s="41">
        <v>0.11332468572476186</v>
      </c>
      <c r="CX3792" s="41" t="e">
        <v>#N/A</v>
      </c>
      <c r="CY3792" s="41" t="e">
        <v>#N/A</v>
      </c>
      <c r="CZ3792" s="47" t="e">
        <v>#N/A</v>
      </c>
      <c r="DA3792">
        <v>0.11332468572476186</v>
      </c>
      <c r="DB3792" t="str">
        <v/>
      </c>
    </row>
    <row r="3793" spans="83:106" x14ac:dyDescent="0.2">
      <c r="CE3793"/>
      <c r="CF3793"/>
      <c r="CG3793"/>
      <c r="CH3793"/>
      <c r="CI3793"/>
      <c r="CU3793" s="21">
        <v>3788</v>
      </c>
      <c r="CV3793" s="41">
        <v>4</v>
      </c>
      <c r="CW3793" s="41">
        <v>0.11332468572476186</v>
      </c>
      <c r="CX3793" s="41" t="e">
        <v>#N/A</v>
      </c>
      <c r="CY3793" s="41" t="e">
        <v>#N/A</v>
      </c>
      <c r="CZ3793" s="47" t="e">
        <v>#N/A</v>
      </c>
      <c r="DA3793">
        <v>0.11332468572476186</v>
      </c>
      <c r="DB3793" t="str">
        <v/>
      </c>
    </row>
    <row r="3794" spans="83:106" x14ac:dyDescent="0.2">
      <c r="CE3794"/>
      <c r="CF3794"/>
      <c r="CG3794"/>
      <c r="CH3794"/>
      <c r="CI3794"/>
      <c r="CU3794" s="21">
        <v>3789</v>
      </c>
      <c r="CV3794" s="41">
        <v>4</v>
      </c>
      <c r="CW3794" s="41">
        <v>0.11332468572476186</v>
      </c>
      <c r="CX3794" s="41" t="e">
        <v>#N/A</v>
      </c>
      <c r="CY3794" s="41" t="e">
        <v>#N/A</v>
      </c>
      <c r="CZ3794" s="47" t="e">
        <v>#N/A</v>
      </c>
      <c r="DA3794">
        <v>0.11332468572476186</v>
      </c>
      <c r="DB3794" t="str">
        <v/>
      </c>
    </row>
    <row r="3795" spans="83:106" x14ac:dyDescent="0.2">
      <c r="CE3795"/>
      <c r="CF3795"/>
      <c r="CG3795"/>
      <c r="CH3795"/>
      <c r="CI3795"/>
      <c r="CU3795" s="21">
        <v>3790</v>
      </c>
      <c r="CV3795" s="41">
        <v>4</v>
      </c>
      <c r="CW3795" s="41">
        <v>0.11332468572476186</v>
      </c>
      <c r="CX3795" s="41" t="e">
        <v>#N/A</v>
      </c>
      <c r="CY3795" s="41" t="e">
        <v>#N/A</v>
      </c>
      <c r="CZ3795" s="47" t="e">
        <v>#N/A</v>
      </c>
      <c r="DA3795">
        <v>0.11332468572476186</v>
      </c>
      <c r="DB3795" t="str">
        <v/>
      </c>
    </row>
    <row r="3796" spans="83:106" x14ac:dyDescent="0.2">
      <c r="CE3796"/>
      <c r="CF3796"/>
      <c r="CG3796"/>
      <c r="CH3796"/>
      <c r="CI3796"/>
      <c r="CU3796" s="21">
        <v>3791</v>
      </c>
      <c r="CV3796" s="41">
        <v>4</v>
      </c>
      <c r="CW3796" s="41">
        <v>0.11332468572476186</v>
      </c>
      <c r="CX3796" s="41" t="e">
        <v>#N/A</v>
      </c>
      <c r="CY3796" s="41" t="e">
        <v>#N/A</v>
      </c>
      <c r="CZ3796" s="47" t="e">
        <v>#N/A</v>
      </c>
      <c r="DA3796">
        <v>0.11332468572476186</v>
      </c>
      <c r="DB3796" t="str">
        <v/>
      </c>
    </row>
    <row r="3797" spans="83:106" x14ac:dyDescent="0.2">
      <c r="CE3797"/>
      <c r="CF3797"/>
      <c r="CG3797"/>
      <c r="CH3797"/>
      <c r="CI3797"/>
      <c r="CU3797" s="21">
        <v>3792</v>
      </c>
      <c r="CV3797" s="41">
        <v>4</v>
      </c>
      <c r="CW3797" s="41">
        <v>0.11332468572476186</v>
      </c>
      <c r="CX3797" s="41" t="e">
        <v>#N/A</v>
      </c>
      <c r="CY3797" s="41" t="e">
        <v>#N/A</v>
      </c>
      <c r="CZ3797" s="47" t="e">
        <v>#N/A</v>
      </c>
      <c r="DA3797">
        <v>0.11332468572476186</v>
      </c>
      <c r="DB3797" t="str">
        <v/>
      </c>
    </row>
    <row r="3798" spans="83:106" x14ac:dyDescent="0.2">
      <c r="CE3798"/>
      <c r="CF3798"/>
      <c r="CG3798"/>
      <c r="CH3798"/>
      <c r="CI3798"/>
      <c r="CU3798" s="21">
        <v>3793</v>
      </c>
      <c r="CV3798" s="41">
        <v>4</v>
      </c>
      <c r="CW3798" s="41">
        <v>0.11332468572476186</v>
      </c>
      <c r="CX3798" s="41" t="e">
        <v>#N/A</v>
      </c>
      <c r="CY3798" s="41" t="e">
        <v>#N/A</v>
      </c>
      <c r="CZ3798" s="47" t="e">
        <v>#N/A</v>
      </c>
      <c r="DA3798">
        <v>0.11332468572476186</v>
      </c>
      <c r="DB3798" t="str">
        <v/>
      </c>
    </row>
    <row r="3799" spans="83:106" x14ac:dyDescent="0.2">
      <c r="CE3799"/>
      <c r="CF3799"/>
      <c r="CG3799"/>
      <c r="CH3799"/>
      <c r="CI3799"/>
      <c r="CU3799" s="21">
        <v>3794</v>
      </c>
      <c r="CV3799" s="41">
        <v>4</v>
      </c>
      <c r="CW3799" s="41">
        <v>0.11332468572476186</v>
      </c>
      <c r="CX3799" s="41" t="e">
        <v>#N/A</v>
      </c>
      <c r="CY3799" s="41" t="e">
        <v>#N/A</v>
      </c>
      <c r="CZ3799" s="47" t="e">
        <v>#N/A</v>
      </c>
      <c r="DA3799">
        <v>0.11332468572476186</v>
      </c>
      <c r="DB3799" t="str">
        <v/>
      </c>
    </row>
    <row r="3800" spans="83:106" x14ac:dyDescent="0.2">
      <c r="CE3800"/>
      <c r="CF3800"/>
      <c r="CG3800"/>
      <c r="CH3800"/>
      <c r="CI3800"/>
      <c r="CU3800" s="21">
        <v>3795</v>
      </c>
      <c r="CV3800" s="41">
        <v>4</v>
      </c>
      <c r="CW3800" s="41">
        <v>0.11332468572476186</v>
      </c>
      <c r="CX3800" s="41" t="e">
        <v>#N/A</v>
      </c>
      <c r="CY3800" s="41" t="e">
        <v>#N/A</v>
      </c>
      <c r="CZ3800" s="47" t="e">
        <v>#N/A</v>
      </c>
      <c r="DA3800">
        <v>0.11332468572476186</v>
      </c>
      <c r="DB3800" t="str">
        <v/>
      </c>
    </row>
    <row r="3801" spans="83:106" x14ac:dyDescent="0.2">
      <c r="CE3801"/>
      <c r="CF3801"/>
      <c r="CG3801"/>
      <c r="CH3801"/>
      <c r="CI3801"/>
      <c r="CU3801" s="21">
        <v>3796</v>
      </c>
      <c r="CV3801" s="41">
        <v>4</v>
      </c>
      <c r="CW3801" s="41">
        <v>0.11332468572476186</v>
      </c>
      <c r="CX3801" s="41" t="e">
        <v>#N/A</v>
      </c>
      <c r="CY3801" s="41" t="e">
        <v>#N/A</v>
      </c>
      <c r="CZ3801" s="47" t="e">
        <v>#N/A</v>
      </c>
      <c r="DA3801">
        <v>0.11332468572476186</v>
      </c>
      <c r="DB3801" t="str">
        <v/>
      </c>
    </row>
    <row r="3802" spans="83:106" x14ac:dyDescent="0.2">
      <c r="CE3802"/>
      <c r="CF3802"/>
      <c r="CG3802"/>
      <c r="CH3802"/>
      <c r="CI3802"/>
      <c r="CU3802" s="21">
        <v>3797</v>
      </c>
      <c r="CV3802" s="41">
        <v>4</v>
      </c>
      <c r="CW3802" s="41">
        <v>0.11332468572476186</v>
      </c>
      <c r="CX3802" s="41" t="e">
        <v>#N/A</v>
      </c>
      <c r="CY3802" s="41" t="e">
        <v>#N/A</v>
      </c>
      <c r="CZ3802" s="47" t="e">
        <v>#N/A</v>
      </c>
      <c r="DA3802">
        <v>0.11332468572476186</v>
      </c>
      <c r="DB3802" t="str">
        <v/>
      </c>
    </row>
    <row r="3803" spans="83:106" x14ac:dyDescent="0.2">
      <c r="CE3803"/>
      <c r="CF3803"/>
      <c r="CG3803"/>
      <c r="CH3803"/>
      <c r="CI3803"/>
      <c r="CU3803" s="21">
        <v>3798</v>
      </c>
      <c r="CV3803" s="41">
        <v>4</v>
      </c>
      <c r="CW3803" s="41">
        <v>0.11332468572476186</v>
      </c>
      <c r="CX3803" s="41" t="e">
        <v>#N/A</v>
      </c>
      <c r="CY3803" s="41" t="e">
        <v>#N/A</v>
      </c>
      <c r="CZ3803" s="47" t="e">
        <v>#N/A</v>
      </c>
      <c r="DA3803">
        <v>0.11332468572476186</v>
      </c>
      <c r="DB3803" t="str">
        <v/>
      </c>
    </row>
    <row r="3804" spans="83:106" x14ac:dyDescent="0.2">
      <c r="CE3804"/>
      <c r="CF3804"/>
      <c r="CG3804"/>
      <c r="CH3804"/>
      <c r="CI3804"/>
      <c r="CU3804" s="21">
        <v>3799</v>
      </c>
      <c r="CV3804" s="41">
        <v>4</v>
      </c>
      <c r="CW3804" s="41">
        <v>0.11332468572476186</v>
      </c>
      <c r="CX3804" s="41" t="e">
        <v>#N/A</v>
      </c>
      <c r="CY3804" s="41" t="e">
        <v>#N/A</v>
      </c>
      <c r="CZ3804" s="47" t="e">
        <v>#N/A</v>
      </c>
      <c r="DA3804">
        <v>0.11332468572476186</v>
      </c>
      <c r="DB3804" t="str">
        <v/>
      </c>
    </row>
    <row r="3805" spans="83:106" x14ac:dyDescent="0.2">
      <c r="CE3805"/>
      <c r="CF3805"/>
      <c r="CG3805"/>
      <c r="CH3805"/>
      <c r="CI3805"/>
      <c r="CU3805" s="21">
        <v>3800</v>
      </c>
      <c r="CV3805" s="41">
        <v>4</v>
      </c>
      <c r="CW3805" s="41">
        <v>0.11332468572476186</v>
      </c>
      <c r="CX3805" s="41" t="e">
        <v>#N/A</v>
      </c>
      <c r="CY3805" s="41" t="e">
        <v>#N/A</v>
      </c>
      <c r="CZ3805" s="47" t="e">
        <v>#N/A</v>
      </c>
      <c r="DA3805">
        <v>0.11332468572476186</v>
      </c>
      <c r="DB3805" t="str">
        <v/>
      </c>
    </row>
    <row r="3806" spans="83:106" x14ac:dyDescent="0.2">
      <c r="CE3806"/>
      <c r="CF3806"/>
      <c r="CG3806"/>
      <c r="CH3806"/>
      <c r="CI3806"/>
      <c r="CU3806" s="21">
        <v>3801</v>
      </c>
      <c r="CV3806" s="41">
        <v>4</v>
      </c>
      <c r="CW3806" s="41">
        <v>0.11332468572476186</v>
      </c>
      <c r="CX3806" s="41" t="e">
        <v>#N/A</v>
      </c>
      <c r="CY3806" s="41" t="e">
        <v>#N/A</v>
      </c>
      <c r="CZ3806" s="47" t="e">
        <v>#N/A</v>
      </c>
      <c r="DA3806">
        <v>0.11332468572476186</v>
      </c>
      <c r="DB3806" t="str">
        <v/>
      </c>
    </row>
    <row r="3807" spans="83:106" x14ac:dyDescent="0.2">
      <c r="CE3807"/>
      <c r="CF3807"/>
      <c r="CG3807"/>
      <c r="CH3807"/>
      <c r="CI3807"/>
      <c r="CU3807" s="21">
        <v>3802</v>
      </c>
      <c r="CV3807" s="41">
        <v>4</v>
      </c>
      <c r="CW3807" s="41">
        <v>0.11332468572476186</v>
      </c>
      <c r="CX3807" s="41" t="e">
        <v>#N/A</v>
      </c>
      <c r="CY3807" s="41" t="e">
        <v>#N/A</v>
      </c>
      <c r="CZ3807" s="47" t="e">
        <v>#N/A</v>
      </c>
      <c r="DA3807">
        <v>0.11332468572476186</v>
      </c>
      <c r="DB3807" t="str">
        <v/>
      </c>
    </row>
    <row r="3808" spans="83:106" x14ac:dyDescent="0.2">
      <c r="CE3808"/>
      <c r="CF3808"/>
      <c r="CG3808"/>
      <c r="CH3808"/>
      <c r="CI3808"/>
      <c r="CU3808" s="21">
        <v>3803</v>
      </c>
      <c r="CV3808" s="41">
        <v>4</v>
      </c>
      <c r="CW3808" s="41">
        <v>0.11332468572476186</v>
      </c>
      <c r="CX3808" s="41" t="e">
        <v>#N/A</v>
      </c>
      <c r="CY3808" s="41" t="e">
        <v>#N/A</v>
      </c>
      <c r="CZ3808" s="47" t="e">
        <v>#N/A</v>
      </c>
      <c r="DA3808">
        <v>0.11332468572476186</v>
      </c>
      <c r="DB3808" t="str">
        <v/>
      </c>
    </row>
    <row r="3809" spans="83:106" x14ac:dyDescent="0.2">
      <c r="CE3809"/>
      <c r="CF3809"/>
      <c r="CG3809"/>
      <c r="CH3809"/>
      <c r="CI3809"/>
      <c r="CU3809" s="21">
        <v>3804</v>
      </c>
      <c r="CV3809" s="41">
        <v>4</v>
      </c>
      <c r="CW3809" s="41">
        <v>0.11332468572476186</v>
      </c>
      <c r="CX3809" s="41" t="e">
        <v>#N/A</v>
      </c>
      <c r="CY3809" s="41" t="e">
        <v>#N/A</v>
      </c>
      <c r="CZ3809" s="47" t="e">
        <v>#N/A</v>
      </c>
      <c r="DA3809">
        <v>0.11332468572476186</v>
      </c>
      <c r="DB3809" t="str">
        <v/>
      </c>
    </row>
    <row r="3810" spans="83:106" x14ac:dyDescent="0.2">
      <c r="CE3810"/>
      <c r="CF3810"/>
      <c r="CG3810"/>
      <c r="CH3810"/>
      <c r="CI3810"/>
      <c r="CU3810" s="21">
        <v>3805</v>
      </c>
      <c r="CV3810" s="41">
        <v>4</v>
      </c>
      <c r="CW3810" s="41">
        <v>0.11332468572476186</v>
      </c>
      <c r="CX3810" s="41" t="e">
        <v>#N/A</v>
      </c>
      <c r="CY3810" s="41" t="e">
        <v>#N/A</v>
      </c>
      <c r="CZ3810" s="47" t="e">
        <v>#N/A</v>
      </c>
      <c r="DA3810">
        <v>0.11332468572476186</v>
      </c>
      <c r="DB3810" t="str">
        <v/>
      </c>
    </row>
    <row r="3811" spans="83:106" x14ac:dyDescent="0.2">
      <c r="CE3811"/>
      <c r="CF3811"/>
      <c r="CG3811"/>
      <c r="CH3811"/>
      <c r="CI3811"/>
      <c r="CU3811" s="21">
        <v>3806</v>
      </c>
      <c r="CV3811" s="41">
        <v>4</v>
      </c>
      <c r="CW3811" s="41">
        <v>0.11332468572476186</v>
      </c>
      <c r="CX3811" s="41" t="e">
        <v>#N/A</v>
      </c>
      <c r="CY3811" s="41" t="e">
        <v>#N/A</v>
      </c>
      <c r="CZ3811" s="47" t="e">
        <v>#N/A</v>
      </c>
      <c r="DA3811">
        <v>0.11332468572476186</v>
      </c>
      <c r="DB3811" t="str">
        <v/>
      </c>
    </row>
    <row r="3812" spans="83:106" x14ac:dyDescent="0.2">
      <c r="CE3812"/>
      <c r="CF3812"/>
      <c r="CG3812"/>
      <c r="CH3812"/>
      <c r="CI3812"/>
      <c r="CU3812" s="21">
        <v>3807</v>
      </c>
      <c r="CV3812" s="41">
        <v>4</v>
      </c>
      <c r="CW3812" s="41">
        <v>0.11332468572476186</v>
      </c>
      <c r="CX3812" s="41" t="e">
        <v>#N/A</v>
      </c>
      <c r="CY3812" s="41" t="e">
        <v>#N/A</v>
      </c>
      <c r="CZ3812" s="47" t="e">
        <v>#N/A</v>
      </c>
      <c r="DA3812">
        <v>0.11332468572476186</v>
      </c>
      <c r="DB3812" t="str">
        <v/>
      </c>
    </row>
    <row r="3813" spans="83:106" x14ac:dyDescent="0.2">
      <c r="CE3813"/>
      <c r="CF3813"/>
      <c r="CG3813"/>
      <c r="CH3813"/>
      <c r="CI3813"/>
      <c r="CU3813" s="21">
        <v>3808</v>
      </c>
      <c r="CV3813" s="41">
        <v>4</v>
      </c>
      <c r="CW3813" s="41">
        <v>0.11332468572476186</v>
      </c>
      <c r="CX3813" s="41" t="e">
        <v>#N/A</v>
      </c>
      <c r="CY3813" s="41" t="e">
        <v>#N/A</v>
      </c>
      <c r="CZ3813" s="47" t="e">
        <v>#N/A</v>
      </c>
      <c r="DA3813">
        <v>0.11332468572476186</v>
      </c>
      <c r="DB3813" t="str">
        <v/>
      </c>
    </row>
    <row r="3814" spans="83:106" x14ac:dyDescent="0.2">
      <c r="CE3814"/>
      <c r="CF3814"/>
      <c r="CG3814"/>
      <c r="CH3814"/>
      <c r="CI3814"/>
      <c r="CU3814" s="21">
        <v>3809</v>
      </c>
      <c r="CV3814" s="41">
        <v>4</v>
      </c>
      <c r="CW3814" s="41">
        <v>0.11332468572476186</v>
      </c>
      <c r="CX3814" s="41" t="e">
        <v>#N/A</v>
      </c>
      <c r="CY3814" s="41" t="e">
        <v>#N/A</v>
      </c>
      <c r="CZ3814" s="47" t="e">
        <v>#N/A</v>
      </c>
      <c r="DA3814">
        <v>0.11332468572476186</v>
      </c>
      <c r="DB3814" t="str">
        <v/>
      </c>
    </row>
    <row r="3815" spans="83:106" x14ac:dyDescent="0.2">
      <c r="CE3815"/>
      <c r="CF3815"/>
      <c r="CG3815"/>
      <c r="CH3815"/>
      <c r="CI3815"/>
      <c r="CU3815" s="21">
        <v>3810</v>
      </c>
      <c r="CV3815" s="41">
        <v>4</v>
      </c>
      <c r="CW3815" s="41">
        <v>0.11332468572476186</v>
      </c>
      <c r="CX3815" s="41" t="e">
        <v>#N/A</v>
      </c>
      <c r="CY3815" s="41" t="e">
        <v>#N/A</v>
      </c>
      <c r="CZ3815" s="47" t="e">
        <v>#N/A</v>
      </c>
      <c r="DA3815">
        <v>0.11332468572476186</v>
      </c>
      <c r="DB3815" t="str">
        <v/>
      </c>
    </row>
    <row r="3816" spans="83:106" x14ac:dyDescent="0.2">
      <c r="CE3816"/>
      <c r="CF3816"/>
      <c r="CG3816"/>
      <c r="CH3816"/>
      <c r="CI3816"/>
      <c r="CU3816" s="21">
        <v>3811</v>
      </c>
      <c r="CV3816" s="41">
        <v>4</v>
      </c>
      <c r="CW3816" s="41">
        <v>0.11332468572476186</v>
      </c>
      <c r="CX3816" s="41" t="e">
        <v>#N/A</v>
      </c>
      <c r="CY3816" s="41" t="e">
        <v>#N/A</v>
      </c>
      <c r="CZ3816" s="47" t="e">
        <v>#N/A</v>
      </c>
      <c r="DA3816">
        <v>0.11332468572476186</v>
      </c>
      <c r="DB3816" t="str">
        <v/>
      </c>
    </row>
    <row r="3817" spans="83:106" x14ac:dyDescent="0.2">
      <c r="CE3817"/>
      <c r="CF3817"/>
      <c r="CG3817"/>
      <c r="CH3817"/>
      <c r="CI3817"/>
      <c r="CU3817" s="21">
        <v>3812</v>
      </c>
      <c r="CV3817" s="41">
        <v>4</v>
      </c>
      <c r="CW3817" s="41">
        <v>0.11332468572476186</v>
      </c>
      <c r="CX3817" s="41" t="e">
        <v>#N/A</v>
      </c>
      <c r="CY3817" s="41" t="e">
        <v>#N/A</v>
      </c>
      <c r="CZ3817" s="47" t="e">
        <v>#N/A</v>
      </c>
      <c r="DA3817">
        <v>0.11332468572476186</v>
      </c>
      <c r="DB3817" t="str">
        <v/>
      </c>
    </row>
    <row r="3818" spans="83:106" x14ac:dyDescent="0.2">
      <c r="CE3818"/>
      <c r="CF3818"/>
      <c r="CG3818"/>
      <c r="CH3818"/>
      <c r="CI3818"/>
      <c r="CU3818" s="21">
        <v>3813</v>
      </c>
      <c r="CV3818" s="41">
        <v>4</v>
      </c>
      <c r="CW3818" s="41">
        <v>0.11332468572476186</v>
      </c>
      <c r="CX3818" s="41" t="e">
        <v>#N/A</v>
      </c>
      <c r="CY3818" s="41" t="e">
        <v>#N/A</v>
      </c>
      <c r="CZ3818" s="47" t="e">
        <v>#N/A</v>
      </c>
      <c r="DA3818">
        <v>0.11332468572476186</v>
      </c>
      <c r="DB3818" t="str">
        <v/>
      </c>
    </row>
    <row r="3819" spans="83:106" x14ac:dyDescent="0.2">
      <c r="CE3819"/>
      <c r="CF3819"/>
      <c r="CG3819"/>
      <c r="CH3819"/>
      <c r="CI3819"/>
      <c r="CU3819" s="21">
        <v>3814</v>
      </c>
      <c r="CV3819" s="41">
        <v>4</v>
      </c>
      <c r="CW3819" s="41">
        <v>0.11332468572476186</v>
      </c>
      <c r="CX3819" s="41" t="e">
        <v>#N/A</v>
      </c>
      <c r="CY3819" s="41" t="e">
        <v>#N/A</v>
      </c>
      <c r="CZ3819" s="47" t="e">
        <v>#N/A</v>
      </c>
      <c r="DA3819">
        <v>0.11332468572476186</v>
      </c>
      <c r="DB3819" t="str">
        <v/>
      </c>
    </row>
    <row r="3820" spans="83:106" x14ac:dyDescent="0.2">
      <c r="CE3820"/>
      <c r="CF3820"/>
      <c r="CG3820"/>
      <c r="CH3820"/>
      <c r="CI3820"/>
      <c r="CU3820" s="21">
        <v>3815</v>
      </c>
      <c r="CV3820" s="41">
        <v>4</v>
      </c>
      <c r="CW3820" s="41">
        <v>0.11332468572476186</v>
      </c>
      <c r="CX3820" s="41" t="e">
        <v>#N/A</v>
      </c>
      <c r="CY3820" s="41" t="e">
        <v>#N/A</v>
      </c>
      <c r="CZ3820" s="47" t="e">
        <v>#N/A</v>
      </c>
      <c r="DA3820">
        <v>0.11332468572476186</v>
      </c>
      <c r="DB3820" t="str">
        <v/>
      </c>
    </row>
    <row r="3821" spans="83:106" x14ac:dyDescent="0.2">
      <c r="CE3821"/>
      <c r="CF3821"/>
      <c r="CG3821"/>
      <c r="CH3821"/>
      <c r="CI3821"/>
      <c r="CU3821" s="21">
        <v>3816</v>
      </c>
      <c r="CV3821" s="41">
        <v>4</v>
      </c>
      <c r="CW3821" s="41">
        <v>0.11332468572476186</v>
      </c>
      <c r="CX3821" s="41" t="e">
        <v>#N/A</v>
      </c>
      <c r="CY3821" s="41" t="e">
        <v>#N/A</v>
      </c>
      <c r="CZ3821" s="47" t="e">
        <v>#N/A</v>
      </c>
      <c r="DA3821">
        <v>0.11332468572476186</v>
      </c>
      <c r="DB3821" t="str">
        <v/>
      </c>
    </row>
    <row r="3822" spans="83:106" x14ac:dyDescent="0.2">
      <c r="CE3822"/>
      <c r="CF3822"/>
      <c r="CG3822"/>
      <c r="CH3822"/>
      <c r="CI3822"/>
      <c r="CU3822" s="21">
        <v>3817</v>
      </c>
      <c r="CV3822" s="41">
        <v>4</v>
      </c>
      <c r="CW3822" s="41">
        <v>0.11332468572476186</v>
      </c>
      <c r="CX3822" s="41" t="e">
        <v>#N/A</v>
      </c>
      <c r="CY3822" s="41" t="e">
        <v>#N/A</v>
      </c>
      <c r="CZ3822" s="47" t="e">
        <v>#N/A</v>
      </c>
      <c r="DA3822">
        <v>0.11332468572476186</v>
      </c>
      <c r="DB3822" t="str">
        <v/>
      </c>
    </row>
    <row r="3823" spans="83:106" x14ac:dyDescent="0.2">
      <c r="CE3823"/>
      <c r="CF3823"/>
      <c r="CG3823"/>
      <c r="CH3823"/>
      <c r="CI3823"/>
      <c r="CU3823" s="21">
        <v>3818</v>
      </c>
      <c r="CV3823" s="41">
        <v>4</v>
      </c>
      <c r="CW3823" s="41">
        <v>0.11332468572476186</v>
      </c>
      <c r="CX3823" s="41" t="e">
        <v>#N/A</v>
      </c>
      <c r="CY3823" s="41" t="e">
        <v>#N/A</v>
      </c>
      <c r="CZ3823" s="47" t="e">
        <v>#N/A</v>
      </c>
      <c r="DA3823">
        <v>0.11332468572476186</v>
      </c>
      <c r="DB3823" t="str">
        <v/>
      </c>
    </row>
    <row r="3824" spans="83:106" x14ac:dyDescent="0.2">
      <c r="CE3824"/>
      <c r="CF3824"/>
      <c r="CG3824"/>
      <c r="CH3824"/>
      <c r="CI3824"/>
      <c r="CU3824" s="21">
        <v>3819</v>
      </c>
      <c r="CV3824" s="41">
        <v>4</v>
      </c>
      <c r="CW3824" s="41">
        <v>0.11332468572476186</v>
      </c>
      <c r="CX3824" s="41" t="e">
        <v>#N/A</v>
      </c>
      <c r="CY3824" s="41" t="e">
        <v>#N/A</v>
      </c>
      <c r="CZ3824" s="47" t="e">
        <v>#N/A</v>
      </c>
      <c r="DA3824">
        <v>0.11332468572476186</v>
      </c>
      <c r="DB3824" t="str">
        <v/>
      </c>
    </row>
    <row r="3825" spans="83:106" x14ac:dyDescent="0.2">
      <c r="CE3825"/>
      <c r="CF3825"/>
      <c r="CG3825"/>
      <c r="CH3825"/>
      <c r="CI3825"/>
      <c r="CU3825" s="21">
        <v>3820</v>
      </c>
      <c r="CV3825" s="41">
        <v>4</v>
      </c>
      <c r="CW3825" s="41">
        <v>0.11332468572476186</v>
      </c>
      <c r="CX3825" s="41" t="e">
        <v>#N/A</v>
      </c>
      <c r="CY3825" s="41" t="e">
        <v>#N/A</v>
      </c>
      <c r="CZ3825" s="47" t="e">
        <v>#N/A</v>
      </c>
      <c r="DA3825">
        <v>0.11332468572476186</v>
      </c>
      <c r="DB3825" t="str">
        <v/>
      </c>
    </row>
    <row r="3826" spans="83:106" x14ac:dyDescent="0.2">
      <c r="CE3826"/>
      <c r="CF3826"/>
      <c r="CG3826"/>
      <c r="CH3826"/>
      <c r="CI3826"/>
      <c r="CU3826" s="21">
        <v>3821</v>
      </c>
      <c r="CV3826" s="41">
        <v>4</v>
      </c>
      <c r="CW3826" s="41">
        <v>0.11332468572476186</v>
      </c>
      <c r="CX3826" s="41" t="e">
        <v>#N/A</v>
      </c>
      <c r="CY3826" s="41" t="e">
        <v>#N/A</v>
      </c>
      <c r="CZ3826" s="47" t="e">
        <v>#N/A</v>
      </c>
      <c r="DA3826">
        <v>0.11332468572476186</v>
      </c>
      <c r="DB3826" t="str">
        <v/>
      </c>
    </row>
    <row r="3827" spans="83:106" x14ac:dyDescent="0.2">
      <c r="CE3827"/>
      <c r="CF3827"/>
      <c r="CG3827"/>
      <c r="CH3827"/>
      <c r="CI3827"/>
      <c r="CU3827" s="21">
        <v>3822</v>
      </c>
      <c r="CV3827" s="41">
        <v>4</v>
      </c>
      <c r="CW3827" s="41">
        <v>0.11332468572476186</v>
      </c>
      <c r="CX3827" s="41" t="e">
        <v>#N/A</v>
      </c>
      <c r="CY3827" s="41" t="e">
        <v>#N/A</v>
      </c>
      <c r="CZ3827" s="47" t="e">
        <v>#N/A</v>
      </c>
      <c r="DA3827">
        <v>0.11332468572476186</v>
      </c>
      <c r="DB3827" t="str">
        <v/>
      </c>
    </row>
    <row r="3828" spans="83:106" x14ac:dyDescent="0.2">
      <c r="CE3828"/>
      <c r="CF3828"/>
      <c r="CG3828"/>
      <c r="CH3828"/>
      <c r="CI3828"/>
      <c r="CU3828" s="21">
        <v>3823</v>
      </c>
      <c r="CV3828" s="41">
        <v>4</v>
      </c>
      <c r="CW3828" s="41">
        <v>0.11332468572476186</v>
      </c>
      <c r="CX3828" s="41" t="e">
        <v>#N/A</v>
      </c>
      <c r="CY3828" s="41" t="e">
        <v>#N/A</v>
      </c>
      <c r="CZ3828" s="47" t="e">
        <v>#N/A</v>
      </c>
      <c r="DA3828">
        <v>0.11332468572476186</v>
      </c>
      <c r="DB3828" t="str">
        <v/>
      </c>
    </row>
    <row r="3829" spans="83:106" x14ac:dyDescent="0.2">
      <c r="CE3829"/>
      <c r="CF3829"/>
      <c r="CG3829"/>
      <c r="CH3829"/>
      <c r="CI3829"/>
      <c r="CU3829" s="21">
        <v>3824</v>
      </c>
      <c r="CV3829" s="41">
        <v>4</v>
      </c>
      <c r="CW3829" s="41">
        <v>0.11332468572476186</v>
      </c>
      <c r="CX3829" s="41" t="e">
        <v>#N/A</v>
      </c>
      <c r="CY3829" s="41" t="e">
        <v>#N/A</v>
      </c>
      <c r="CZ3829" s="47" t="e">
        <v>#N/A</v>
      </c>
      <c r="DA3829">
        <v>0.11332468572476186</v>
      </c>
      <c r="DB3829" t="str">
        <v/>
      </c>
    </row>
    <row r="3830" spans="83:106" x14ac:dyDescent="0.2">
      <c r="CE3830"/>
      <c r="CF3830"/>
      <c r="CG3830"/>
      <c r="CH3830"/>
      <c r="CI3830"/>
      <c r="CU3830" s="21">
        <v>3825</v>
      </c>
      <c r="CV3830" s="41">
        <v>4</v>
      </c>
      <c r="CW3830" s="41">
        <v>0.11332468572476186</v>
      </c>
      <c r="CX3830" s="41" t="e">
        <v>#N/A</v>
      </c>
      <c r="CY3830" s="41" t="e">
        <v>#N/A</v>
      </c>
      <c r="CZ3830" s="47" t="e">
        <v>#N/A</v>
      </c>
      <c r="DA3830">
        <v>0.11332468572476186</v>
      </c>
      <c r="DB3830" t="str">
        <v/>
      </c>
    </row>
    <row r="3831" spans="83:106" x14ac:dyDescent="0.2">
      <c r="CE3831"/>
      <c r="CF3831"/>
      <c r="CG3831"/>
      <c r="CH3831"/>
      <c r="CI3831"/>
      <c r="CU3831" s="21">
        <v>3826</v>
      </c>
      <c r="CV3831" s="41">
        <v>4</v>
      </c>
      <c r="CW3831" s="41">
        <v>0.11332468572476186</v>
      </c>
      <c r="CX3831" s="41" t="e">
        <v>#N/A</v>
      </c>
      <c r="CY3831" s="41" t="e">
        <v>#N/A</v>
      </c>
      <c r="CZ3831" s="47" t="e">
        <v>#N/A</v>
      </c>
      <c r="DA3831">
        <v>0.11332468572476186</v>
      </c>
      <c r="DB3831" t="str">
        <v/>
      </c>
    </row>
    <row r="3832" spans="83:106" x14ac:dyDescent="0.2">
      <c r="CE3832"/>
      <c r="CF3832"/>
      <c r="CG3832"/>
      <c r="CH3832"/>
      <c r="CI3832"/>
      <c r="CU3832" s="21">
        <v>3827</v>
      </c>
      <c r="CV3832" s="41">
        <v>4</v>
      </c>
      <c r="CW3832" s="41">
        <v>0.11332468572476186</v>
      </c>
      <c r="CX3832" s="41" t="e">
        <v>#N/A</v>
      </c>
      <c r="CY3832" s="41" t="e">
        <v>#N/A</v>
      </c>
      <c r="CZ3832" s="47" t="e">
        <v>#N/A</v>
      </c>
      <c r="DA3832">
        <v>0.11332468572476186</v>
      </c>
      <c r="DB3832" t="str">
        <v/>
      </c>
    </row>
    <row r="3833" spans="83:106" x14ac:dyDescent="0.2">
      <c r="CE3833"/>
      <c r="CF3833"/>
      <c r="CG3833"/>
      <c r="CH3833"/>
      <c r="CI3833"/>
      <c r="CU3833" s="21">
        <v>3828</v>
      </c>
      <c r="CV3833" s="41">
        <v>4</v>
      </c>
      <c r="CW3833" s="41">
        <v>0.11332468572476186</v>
      </c>
      <c r="CX3833" s="41" t="e">
        <v>#N/A</v>
      </c>
      <c r="CY3833" s="41" t="e">
        <v>#N/A</v>
      </c>
      <c r="CZ3833" s="47" t="e">
        <v>#N/A</v>
      </c>
      <c r="DA3833">
        <v>0.11332468572476186</v>
      </c>
      <c r="DB3833" t="str">
        <v/>
      </c>
    </row>
    <row r="3834" spans="83:106" x14ac:dyDescent="0.2">
      <c r="CE3834"/>
      <c r="CF3834"/>
      <c r="CG3834"/>
      <c r="CH3834"/>
      <c r="CI3834"/>
      <c r="CU3834" s="21">
        <v>3829</v>
      </c>
      <c r="CV3834" s="41">
        <v>4</v>
      </c>
      <c r="CW3834" s="41">
        <v>0.11332468572476186</v>
      </c>
      <c r="CX3834" s="41" t="e">
        <v>#N/A</v>
      </c>
      <c r="CY3834" s="41" t="e">
        <v>#N/A</v>
      </c>
      <c r="CZ3834" s="47" t="e">
        <v>#N/A</v>
      </c>
      <c r="DA3834">
        <v>0.11332468572476186</v>
      </c>
      <c r="DB3834" t="str">
        <v/>
      </c>
    </row>
    <row r="3835" spans="83:106" x14ac:dyDescent="0.2">
      <c r="CE3835"/>
      <c r="CF3835"/>
      <c r="CG3835"/>
      <c r="CH3835"/>
      <c r="CI3835"/>
      <c r="CU3835" s="21">
        <v>3830</v>
      </c>
      <c r="CV3835" s="41">
        <v>4</v>
      </c>
      <c r="CW3835" s="41">
        <v>0.11332468572476186</v>
      </c>
      <c r="CX3835" s="41" t="e">
        <v>#N/A</v>
      </c>
      <c r="CY3835" s="41" t="e">
        <v>#N/A</v>
      </c>
      <c r="CZ3835" s="47" t="e">
        <v>#N/A</v>
      </c>
      <c r="DA3835">
        <v>0.11332468572476186</v>
      </c>
      <c r="DB3835" t="str">
        <v/>
      </c>
    </row>
    <row r="3836" spans="83:106" x14ac:dyDescent="0.2">
      <c r="CE3836"/>
      <c r="CF3836"/>
      <c r="CG3836"/>
      <c r="CH3836"/>
      <c r="CI3836"/>
      <c r="CU3836" s="21">
        <v>3831</v>
      </c>
      <c r="CV3836" s="41">
        <v>4</v>
      </c>
      <c r="CW3836" s="41">
        <v>0.11332468572476186</v>
      </c>
      <c r="CX3836" s="41" t="e">
        <v>#N/A</v>
      </c>
      <c r="CY3836" s="41" t="e">
        <v>#N/A</v>
      </c>
      <c r="CZ3836" s="47" t="e">
        <v>#N/A</v>
      </c>
      <c r="DA3836">
        <v>0.11332468572476186</v>
      </c>
      <c r="DB3836" t="str">
        <v/>
      </c>
    </row>
    <row r="3837" spans="83:106" x14ac:dyDescent="0.2">
      <c r="CE3837"/>
      <c r="CF3837"/>
      <c r="CG3837"/>
      <c r="CH3837"/>
      <c r="CI3837"/>
      <c r="CU3837" s="21">
        <v>3832</v>
      </c>
      <c r="CV3837" s="41">
        <v>4</v>
      </c>
      <c r="CW3837" s="41">
        <v>0.11332468572476186</v>
      </c>
      <c r="CX3837" s="41" t="e">
        <v>#N/A</v>
      </c>
      <c r="CY3837" s="41" t="e">
        <v>#N/A</v>
      </c>
      <c r="CZ3837" s="47" t="e">
        <v>#N/A</v>
      </c>
      <c r="DA3837">
        <v>0.11332468572476186</v>
      </c>
      <c r="DB3837" t="str">
        <v/>
      </c>
    </row>
    <row r="3838" spans="83:106" x14ac:dyDescent="0.2">
      <c r="CE3838"/>
      <c r="CF3838"/>
      <c r="CG3838"/>
      <c r="CH3838"/>
      <c r="CI3838"/>
      <c r="CU3838" s="21">
        <v>3833</v>
      </c>
      <c r="CV3838" s="41">
        <v>4</v>
      </c>
      <c r="CW3838" s="41">
        <v>0.11332468572476186</v>
      </c>
      <c r="CX3838" s="41" t="e">
        <v>#N/A</v>
      </c>
      <c r="CY3838" s="41" t="e">
        <v>#N/A</v>
      </c>
      <c r="CZ3838" s="47" t="e">
        <v>#N/A</v>
      </c>
      <c r="DA3838">
        <v>0.11332468572476186</v>
      </c>
      <c r="DB3838" t="str">
        <v/>
      </c>
    </row>
    <row r="3839" spans="83:106" x14ac:dyDescent="0.2">
      <c r="CE3839"/>
      <c r="CF3839"/>
      <c r="CG3839"/>
      <c r="CH3839"/>
      <c r="CI3839"/>
      <c r="CU3839" s="21">
        <v>3834</v>
      </c>
      <c r="CV3839" s="41">
        <v>4</v>
      </c>
      <c r="CW3839" s="41">
        <v>0.11332468572476186</v>
      </c>
      <c r="CX3839" s="41" t="e">
        <v>#N/A</v>
      </c>
      <c r="CY3839" s="41" t="e">
        <v>#N/A</v>
      </c>
      <c r="CZ3839" s="47" t="e">
        <v>#N/A</v>
      </c>
      <c r="DA3839">
        <v>0.11332468572476186</v>
      </c>
      <c r="DB3839" t="str">
        <v/>
      </c>
    </row>
    <row r="3840" spans="83:106" x14ac:dyDescent="0.2">
      <c r="CE3840"/>
      <c r="CF3840"/>
      <c r="CG3840"/>
      <c r="CH3840"/>
      <c r="CI3840"/>
      <c r="CU3840" s="21">
        <v>3835</v>
      </c>
      <c r="CV3840" s="41">
        <v>4</v>
      </c>
      <c r="CW3840" s="41">
        <v>0.11332468572476186</v>
      </c>
      <c r="CX3840" s="41" t="e">
        <v>#N/A</v>
      </c>
      <c r="CY3840" s="41" t="e">
        <v>#N/A</v>
      </c>
      <c r="CZ3840" s="47" t="e">
        <v>#N/A</v>
      </c>
      <c r="DA3840">
        <v>0.11332468572476186</v>
      </c>
      <c r="DB3840" t="str">
        <v/>
      </c>
    </row>
    <row r="3841" spans="83:106" x14ac:dyDescent="0.2">
      <c r="CE3841"/>
      <c r="CF3841"/>
      <c r="CG3841"/>
      <c r="CH3841"/>
      <c r="CI3841"/>
      <c r="CU3841" s="21">
        <v>3836</v>
      </c>
      <c r="CV3841" s="41">
        <v>4</v>
      </c>
      <c r="CW3841" s="41">
        <v>0.11332468572476186</v>
      </c>
      <c r="CX3841" s="41" t="e">
        <v>#N/A</v>
      </c>
      <c r="CY3841" s="41" t="e">
        <v>#N/A</v>
      </c>
      <c r="CZ3841" s="47" t="e">
        <v>#N/A</v>
      </c>
      <c r="DA3841">
        <v>0.11332468572476186</v>
      </c>
      <c r="DB3841" t="str">
        <v/>
      </c>
    </row>
    <row r="3842" spans="83:106" x14ac:dyDescent="0.2">
      <c r="CE3842"/>
      <c r="CF3842"/>
      <c r="CG3842"/>
      <c r="CH3842"/>
      <c r="CI3842"/>
      <c r="CU3842" s="21">
        <v>3837</v>
      </c>
      <c r="CV3842" s="41">
        <v>4</v>
      </c>
      <c r="CW3842" s="41">
        <v>0.11332468572476186</v>
      </c>
      <c r="CX3842" s="41" t="e">
        <v>#N/A</v>
      </c>
      <c r="CY3842" s="41" t="e">
        <v>#N/A</v>
      </c>
      <c r="CZ3842" s="47" t="e">
        <v>#N/A</v>
      </c>
      <c r="DA3842">
        <v>0.11332468572476186</v>
      </c>
      <c r="DB3842" t="str">
        <v/>
      </c>
    </row>
    <row r="3843" spans="83:106" x14ac:dyDescent="0.2">
      <c r="CE3843"/>
      <c r="CF3843"/>
      <c r="CG3843"/>
      <c r="CH3843"/>
      <c r="CI3843"/>
      <c r="CU3843" s="21">
        <v>3838</v>
      </c>
      <c r="CV3843" s="41">
        <v>4</v>
      </c>
      <c r="CW3843" s="41">
        <v>0.11332468572476186</v>
      </c>
      <c r="CX3843" s="41" t="e">
        <v>#N/A</v>
      </c>
      <c r="CY3843" s="41" t="e">
        <v>#N/A</v>
      </c>
      <c r="CZ3843" s="47" t="e">
        <v>#N/A</v>
      </c>
      <c r="DA3843">
        <v>0.11332468572476186</v>
      </c>
      <c r="DB3843" t="str">
        <v/>
      </c>
    </row>
    <row r="3844" spans="83:106" x14ac:dyDescent="0.2">
      <c r="CE3844"/>
      <c r="CF3844"/>
      <c r="CG3844"/>
      <c r="CH3844"/>
      <c r="CI3844"/>
      <c r="CU3844" s="21">
        <v>3839</v>
      </c>
      <c r="CV3844" s="41">
        <v>4</v>
      </c>
      <c r="CW3844" s="41">
        <v>0.11332468572476186</v>
      </c>
      <c r="CX3844" s="41" t="e">
        <v>#N/A</v>
      </c>
      <c r="CY3844" s="41" t="e">
        <v>#N/A</v>
      </c>
      <c r="CZ3844" s="47" t="e">
        <v>#N/A</v>
      </c>
      <c r="DA3844">
        <v>0.11332468572476186</v>
      </c>
      <c r="DB3844" t="str">
        <v/>
      </c>
    </row>
    <row r="3845" spans="83:106" x14ac:dyDescent="0.2">
      <c r="CE3845"/>
      <c r="CF3845"/>
      <c r="CG3845"/>
      <c r="CH3845"/>
      <c r="CI3845"/>
      <c r="CU3845" s="21">
        <v>3840</v>
      </c>
      <c r="CV3845" s="41">
        <v>4</v>
      </c>
      <c r="CW3845" s="41">
        <v>0.11332468572476186</v>
      </c>
      <c r="CX3845" s="41" t="e">
        <v>#N/A</v>
      </c>
      <c r="CY3845" s="41" t="e">
        <v>#N/A</v>
      </c>
      <c r="CZ3845" s="47" t="e">
        <v>#N/A</v>
      </c>
      <c r="DA3845">
        <v>0.11332468572476186</v>
      </c>
      <c r="DB3845" t="str">
        <v/>
      </c>
    </row>
    <row r="3846" spans="83:106" x14ac:dyDescent="0.2">
      <c r="CE3846"/>
      <c r="CF3846"/>
      <c r="CG3846"/>
      <c r="CH3846"/>
      <c r="CI3846"/>
      <c r="CU3846" s="21">
        <v>3841</v>
      </c>
      <c r="CV3846" s="41">
        <v>4</v>
      </c>
      <c r="CW3846" s="41">
        <v>0.11332468572476186</v>
      </c>
      <c r="CX3846" s="41" t="e">
        <v>#N/A</v>
      </c>
      <c r="CY3846" s="41" t="e">
        <v>#N/A</v>
      </c>
      <c r="CZ3846" s="47" t="e">
        <v>#N/A</v>
      </c>
      <c r="DA3846">
        <v>0.11332468572476186</v>
      </c>
      <c r="DB3846" t="str">
        <v/>
      </c>
    </row>
    <row r="3847" spans="83:106" x14ac:dyDescent="0.2">
      <c r="CE3847"/>
      <c r="CF3847"/>
      <c r="CG3847"/>
      <c r="CH3847"/>
      <c r="CI3847"/>
      <c r="CU3847" s="21">
        <v>3842</v>
      </c>
      <c r="CV3847" s="41">
        <v>4</v>
      </c>
      <c r="CW3847" s="41">
        <v>0.11332468572476186</v>
      </c>
      <c r="CX3847" s="41" t="e">
        <v>#N/A</v>
      </c>
      <c r="CY3847" s="41" t="e">
        <v>#N/A</v>
      </c>
      <c r="CZ3847" s="47" t="e">
        <v>#N/A</v>
      </c>
      <c r="DA3847">
        <v>0.11332468572476186</v>
      </c>
      <c r="DB3847" t="str">
        <v/>
      </c>
    </row>
    <row r="3848" spans="83:106" x14ac:dyDescent="0.2">
      <c r="CE3848"/>
      <c r="CF3848"/>
      <c r="CG3848"/>
      <c r="CH3848"/>
      <c r="CI3848"/>
      <c r="CU3848" s="21">
        <v>3843</v>
      </c>
      <c r="CV3848" s="41">
        <v>4</v>
      </c>
      <c r="CW3848" s="41">
        <v>0.11332468572476186</v>
      </c>
      <c r="CX3848" s="41" t="e">
        <v>#N/A</v>
      </c>
      <c r="CY3848" s="41" t="e">
        <v>#N/A</v>
      </c>
      <c r="CZ3848" s="47" t="e">
        <v>#N/A</v>
      </c>
      <c r="DA3848">
        <v>0.11332468572476186</v>
      </c>
      <c r="DB3848" t="str">
        <v/>
      </c>
    </row>
    <row r="3849" spans="83:106" x14ac:dyDescent="0.2">
      <c r="CE3849"/>
      <c r="CF3849"/>
      <c r="CG3849"/>
      <c r="CH3849"/>
      <c r="CI3849"/>
      <c r="CU3849" s="21">
        <v>3844</v>
      </c>
      <c r="CV3849" s="41">
        <v>4</v>
      </c>
      <c r="CW3849" s="41">
        <v>0.11332468572476186</v>
      </c>
      <c r="CX3849" s="41" t="e">
        <v>#N/A</v>
      </c>
      <c r="CY3849" s="41" t="e">
        <v>#N/A</v>
      </c>
      <c r="CZ3849" s="47" t="e">
        <v>#N/A</v>
      </c>
      <c r="DA3849">
        <v>0.11332468572476186</v>
      </c>
      <c r="DB3849" t="str">
        <v/>
      </c>
    </row>
    <row r="3850" spans="83:106" x14ac:dyDescent="0.2">
      <c r="CE3850"/>
      <c r="CF3850"/>
      <c r="CG3850"/>
      <c r="CH3850"/>
      <c r="CI3850"/>
      <c r="CU3850" s="21">
        <v>3845</v>
      </c>
      <c r="CV3850" s="41">
        <v>4</v>
      </c>
      <c r="CW3850" s="41">
        <v>0.11332468572476186</v>
      </c>
      <c r="CX3850" s="41" t="e">
        <v>#N/A</v>
      </c>
      <c r="CY3850" s="41" t="e">
        <v>#N/A</v>
      </c>
      <c r="CZ3850" s="47" t="e">
        <v>#N/A</v>
      </c>
      <c r="DA3850">
        <v>0.11332468572476186</v>
      </c>
      <c r="DB3850" t="str">
        <v/>
      </c>
    </row>
    <row r="3851" spans="83:106" x14ac:dyDescent="0.2">
      <c r="CE3851"/>
      <c r="CF3851"/>
      <c r="CG3851"/>
      <c r="CH3851"/>
      <c r="CI3851"/>
      <c r="CU3851" s="21">
        <v>3846</v>
      </c>
      <c r="CV3851" s="41">
        <v>4</v>
      </c>
      <c r="CW3851" s="41">
        <v>0.11332468572476186</v>
      </c>
      <c r="CX3851" s="41" t="e">
        <v>#N/A</v>
      </c>
      <c r="CY3851" s="41" t="e">
        <v>#N/A</v>
      </c>
      <c r="CZ3851" s="47" t="e">
        <v>#N/A</v>
      </c>
      <c r="DA3851">
        <v>0.11332468572476186</v>
      </c>
      <c r="DB3851" t="str">
        <v/>
      </c>
    </row>
    <row r="3852" spans="83:106" x14ac:dyDescent="0.2">
      <c r="CE3852"/>
      <c r="CF3852"/>
      <c r="CG3852"/>
      <c r="CH3852"/>
      <c r="CI3852"/>
      <c r="CU3852" s="21">
        <v>3847</v>
      </c>
      <c r="CV3852" s="41">
        <v>4</v>
      </c>
      <c r="CW3852" s="41">
        <v>0.11332468572476186</v>
      </c>
      <c r="CX3852" s="41" t="e">
        <v>#N/A</v>
      </c>
      <c r="CY3852" s="41" t="e">
        <v>#N/A</v>
      </c>
      <c r="CZ3852" s="47" t="e">
        <v>#N/A</v>
      </c>
      <c r="DA3852">
        <v>0.11332468572476186</v>
      </c>
      <c r="DB3852" t="str">
        <v/>
      </c>
    </row>
    <row r="3853" spans="83:106" x14ac:dyDescent="0.2">
      <c r="CE3853"/>
      <c r="CF3853"/>
      <c r="CG3853"/>
      <c r="CH3853"/>
      <c r="CI3853"/>
      <c r="CU3853" s="21">
        <v>3848</v>
      </c>
      <c r="CV3853" s="41">
        <v>4</v>
      </c>
      <c r="CW3853" s="41">
        <v>0.11332468572476186</v>
      </c>
      <c r="CX3853" s="41" t="e">
        <v>#N/A</v>
      </c>
      <c r="CY3853" s="41" t="e">
        <v>#N/A</v>
      </c>
      <c r="CZ3853" s="47" t="e">
        <v>#N/A</v>
      </c>
      <c r="DA3853">
        <v>0.11332468572476186</v>
      </c>
      <c r="DB3853" t="str">
        <v/>
      </c>
    </row>
    <row r="3854" spans="83:106" x14ac:dyDescent="0.2">
      <c r="CE3854"/>
      <c r="CF3854"/>
      <c r="CG3854"/>
      <c r="CH3854"/>
      <c r="CI3854"/>
      <c r="CU3854" s="21">
        <v>3849</v>
      </c>
      <c r="CV3854" s="41">
        <v>4</v>
      </c>
      <c r="CW3854" s="41">
        <v>0.11332468572476186</v>
      </c>
      <c r="CX3854" s="41" t="e">
        <v>#N/A</v>
      </c>
      <c r="CY3854" s="41" t="e">
        <v>#N/A</v>
      </c>
      <c r="CZ3854" s="47" t="e">
        <v>#N/A</v>
      </c>
      <c r="DA3854">
        <v>0.11332468572476186</v>
      </c>
      <c r="DB3854" t="str">
        <v/>
      </c>
    </row>
    <row r="3855" spans="83:106" x14ac:dyDescent="0.2">
      <c r="CE3855"/>
      <c r="CF3855"/>
      <c r="CG3855"/>
      <c r="CH3855"/>
      <c r="CI3855"/>
      <c r="CU3855" s="21">
        <v>3850</v>
      </c>
      <c r="CV3855" s="41">
        <v>4</v>
      </c>
      <c r="CW3855" s="41">
        <v>0.11332468572476186</v>
      </c>
      <c r="CX3855" s="41" t="e">
        <v>#N/A</v>
      </c>
      <c r="CY3855" s="41" t="e">
        <v>#N/A</v>
      </c>
      <c r="CZ3855" s="47" t="e">
        <v>#N/A</v>
      </c>
      <c r="DA3855">
        <v>0.11332468572476186</v>
      </c>
      <c r="DB3855" t="str">
        <v/>
      </c>
    </row>
    <row r="3856" spans="83:106" x14ac:dyDescent="0.2">
      <c r="CE3856"/>
      <c r="CF3856"/>
      <c r="CG3856"/>
      <c r="CH3856"/>
      <c r="CI3856"/>
      <c r="CU3856" s="21">
        <v>3851</v>
      </c>
      <c r="CV3856" s="41">
        <v>4</v>
      </c>
      <c r="CW3856" s="41">
        <v>0.11332468572476186</v>
      </c>
      <c r="CX3856" s="41" t="e">
        <v>#N/A</v>
      </c>
      <c r="CY3856" s="41" t="e">
        <v>#N/A</v>
      </c>
      <c r="CZ3856" s="47" t="e">
        <v>#N/A</v>
      </c>
      <c r="DA3856">
        <v>0.11332468572476186</v>
      </c>
      <c r="DB3856" t="str">
        <v/>
      </c>
    </row>
    <row r="3857" spans="83:106" x14ac:dyDescent="0.2">
      <c r="CE3857"/>
      <c r="CF3857"/>
      <c r="CG3857"/>
      <c r="CH3857"/>
      <c r="CI3857"/>
      <c r="CU3857" s="21">
        <v>3852</v>
      </c>
      <c r="CV3857" s="41">
        <v>4</v>
      </c>
      <c r="CW3857" s="41">
        <v>0.11332468572476186</v>
      </c>
      <c r="CX3857" s="41" t="e">
        <v>#N/A</v>
      </c>
      <c r="CY3857" s="41" t="e">
        <v>#N/A</v>
      </c>
      <c r="CZ3857" s="47" t="e">
        <v>#N/A</v>
      </c>
      <c r="DA3857">
        <v>0.11332468572476186</v>
      </c>
      <c r="DB3857" t="str">
        <v/>
      </c>
    </row>
    <row r="3858" spans="83:106" x14ac:dyDescent="0.2">
      <c r="CE3858"/>
      <c r="CF3858"/>
      <c r="CG3858"/>
      <c r="CH3858"/>
      <c r="CI3858"/>
      <c r="CU3858" s="21">
        <v>3853</v>
      </c>
      <c r="CV3858" s="41">
        <v>4</v>
      </c>
      <c r="CW3858" s="41">
        <v>0.11332468572476186</v>
      </c>
      <c r="CX3858" s="41" t="e">
        <v>#N/A</v>
      </c>
      <c r="CY3858" s="41" t="e">
        <v>#N/A</v>
      </c>
      <c r="CZ3858" s="47" t="e">
        <v>#N/A</v>
      </c>
      <c r="DA3858">
        <v>0.11332468572476186</v>
      </c>
      <c r="DB3858" t="str">
        <v/>
      </c>
    </row>
    <row r="3859" spans="83:106" x14ac:dyDescent="0.2">
      <c r="CE3859"/>
      <c r="CF3859"/>
      <c r="CG3859"/>
      <c r="CH3859"/>
      <c r="CI3859"/>
      <c r="CU3859" s="21">
        <v>3854</v>
      </c>
      <c r="CV3859" s="41">
        <v>4</v>
      </c>
      <c r="CW3859" s="41">
        <v>0.11332468572476186</v>
      </c>
      <c r="CX3859" s="41" t="e">
        <v>#N/A</v>
      </c>
      <c r="CY3859" s="41" t="e">
        <v>#N/A</v>
      </c>
      <c r="CZ3859" s="47" t="e">
        <v>#N/A</v>
      </c>
      <c r="DA3859">
        <v>0.11332468572476186</v>
      </c>
      <c r="DB3859" t="str">
        <v/>
      </c>
    </row>
    <row r="3860" spans="83:106" x14ac:dyDescent="0.2">
      <c r="CE3860"/>
      <c r="CF3860"/>
      <c r="CG3860"/>
      <c r="CH3860"/>
      <c r="CI3860"/>
      <c r="CU3860" s="21">
        <v>3855</v>
      </c>
      <c r="CV3860" s="41">
        <v>4</v>
      </c>
      <c r="CW3860" s="41">
        <v>0.11332468572476186</v>
      </c>
      <c r="CX3860" s="41" t="e">
        <v>#N/A</v>
      </c>
      <c r="CY3860" s="41" t="e">
        <v>#N/A</v>
      </c>
      <c r="CZ3860" s="47" t="e">
        <v>#N/A</v>
      </c>
      <c r="DA3860">
        <v>0.11332468572476186</v>
      </c>
      <c r="DB3860" t="str">
        <v/>
      </c>
    </row>
    <row r="3861" spans="83:106" x14ac:dyDescent="0.2">
      <c r="CE3861"/>
      <c r="CF3861"/>
      <c r="CG3861"/>
      <c r="CH3861"/>
      <c r="CI3861"/>
      <c r="CU3861" s="21">
        <v>3856</v>
      </c>
      <c r="CV3861" s="41">
        <v>4</v>
      </c>
      <c r="CW3861" s="41">
        <v>0.11332468572476186</v>
      </c>
      <c r="CX3861" s="41" t="e">
        <v>#N/A</v>
      </c>
      <c r="CY3861" s="41" t="e">
        <v>#N/A</v>
      </c>
      <c r="CZ3861" s="47" t="e">
        <v>#N/A</v>
      </c>
      <c r="DA3861">
        <v>0.11332468572476186</v>
      </c>
      <c r="DB3861" t="str">
        <v/>
      </c>
    </row>
    <row r="3862" spans="83:106" x14ac:dyDescent="0.2">
      <c r="CE3862"/>
      <c r="CF3862"/>
      <c r="CG3862"/>
      <c r="CH3862"/>
      <c r="CI3862"/>
      <c r="CU3862" s="21">
        <v>3857</v>
      </c>
      <c r="CV3862" s="41">
        <v>4</v>
      </c>
      <c r="CW3862" s="41">
        <v>0.11332468572476186</v>
      </c>
      <c r="CX3862" s="41" t="e">
        <v>#N/A</v>
      </c>
      <c r="CY3862" s="41" t="e">
        <v>#N/A</v>
      </c>
      <c r="CZ3862" s="47" t="e">
        <v>#N/A</v>
      </c>
      <c r="DA3862">
        <v>0.11332468572476186</v>
      </c>
      <c r="DB3862" t="str">
        <v/>
      </c>
    </row>
    <row r="3863" spans="83:106" x14ac:dyDescent="0.2">
      <c r="CE3863"/>
      <c r="CF3863"/>
      <c r="CG3863"/>
      <c r="CH3863"/>
      <c r="CI3863"/>
      <c r="CU3863" s="21">
        <v>3858</v>
      </c>
      <c r="CV3863" s="41">
        <v>4</v>
      </c>
      <c r="CW3863" s="41">
        <v>0.11332468572476186</v>
      </c>
      <c r="CX3863" s="41" t="e">
        <v>#N/A</v>
      </c>
      <c r="CY3863" s="41" t="e">
        <v>#N/A</v>
      </c>
      <c r="CZ3863" s="47" t="e">
        <v>#N/A</v>
      </c>
      <c r="DA3863">
        <v>0.11332468572476186</v>
      </c>
      <c r="DB3863" t="str">
        <v/>
      </c>
    </row>
    <row r="3864" spans="83:106" x14ac:dyDescent="0.2">
      <c r="CE3864"/>
      <c r="CF3864"/>
      <c r="CG3864"/>
      <c r="CH3864"/>
      <c r="CI3864"/>
      <c r="CU3864" s="21">
        <v>3859</v>
      </c>
      <c r="CV3864" s="41">
        <v>4</v>
      </c>
      <c r="CW3864" s="41">
        <v>0.11332468572476186</v>
      </c>
      <c r="CX3864" s="41" t="e">
        <v>#N/A</v>
      </c>
      <c r="CY3864" s="41" t="e">
        <v>#N/A</v>
      </c>
      <c r="CZ3864" s="47" t="e">
        <v>#N/A</v>
      </c>
      <c r="DA3864">
        <v>0.11332468572476186</v>
      </c>
      <c r="DB3864" t="str">
        <v/>
      </c>
    </row>
    <row r="3865" spans="83:106" x14ac:dyDescent="0.2">
      <c r="CE3865"/>
      <c r="CF3865"/>
      <c r="CG3865"/>
      <c r="CH3865"/>
      <c r="CI3865"/>
      <c r="CU3865" s="21">
        <v>3860</v>
      </c>
      <c r="CV3865" s="41">
        <v>4</v>
      </c>
      <c r="CW3865" s="41">
        <v>0.11332468572476186</v>
      </c>
      <c r="CX3865" s="41" t="e">
        <v>#N/A</v>
      </c>
      <c r="CY3865" s="41" t="e">
        <v>#N/A</v>
      </c>
      <c r="CZ3865" s="47" t="e">
        <v>#N/A</v>
      </c>
      <c r="DA3865">
        <v>0.11332468572476186</v>
      </c>
      <c r="DB3865" t="str">
        <v/>
      </c>
    </row>
    <row r="3866" spans="83:106" x14ac:dyDescent="0.2">
      <c r="CE3866"/>
      <c r="CF3866"/>
      <c r="CG3866"/>
      <c r="CH3866"/>
      <c r="CI3866"/>
      <c r="CU3866" s="21">
        <v>3861</v>
      </c>
      <c r="CV3866" s="41">
        <v>4</v>
      </c>
      <c r="CW3866" s="41">
        <v>0.11332468572476186</v>
      </c>
      <c r="CX3866" s="41" t="e">
        <v>#N/A</v>
      </c>
      <c r="CY3866" s="41" t="e">
        <v>#N/A</v>
      </c>
      <c r="CZ3866" s="47" t="e">
        <v>#N/A</v>
      </c>
      <c r="DA3866">
        <v>0.11332468572476186</v>
      </c>
      <c r="DB3866" t="str">
        <v/>
      </c>
    </row>
    <row r="3867" spans="83:106" x14ac:dyDescent="0.2">
      <c r="CE3867"/>
      <c r="CF3867"/>
      <c r="CG3867"/>
      <c r="CH3867"/>
      <c r="CI3867"/>
      <c r="CU3867" s="21">
        <v>3862</v>
      </c>
      <c r="CV3867" s="41">
        <v>4</v>
      </c>
      <c r="CW3867" s="41">
        <v>0.11332468572476186</v>
      </c>
      <c r="CX3867" s="41" t="e">
        <v>#N/A</v>
      </c>
      <c r="CY3867" s="41" t="e">
        <v>#N/A</v>
      </c>
      <c r="CZ3867" s="47" t="e">
        <v>#N/A</v>
      </c>
      <c r="DA3867">
        <v>0.11332468572476186</v>
      </c>
      <c r="DB3867" t="str">
        <v/>
      </c>
    </row>
    <row r="3868" spans="83:106" x14ac:dyDescent="0.2">
      <c r="CE3868"/>
      <c r="CF3868"/>
      <c r="CG3868"/>
      <c r="CH3868"/>
      <c r="CI3868"/>
      <c r="CU3868" s="21">
        <v>3863</v>
      </c>
      <c r="CV3868" s="41">
        <v>4</v>
      </c>
      <c r="CW3868" s="41">
        <v>0.11332468572476186</v>
      </c>
      <c r="CX3868" s="41" t="e">
        <v>#N/A</v>
      </c>
      <c r="CY3868" s="41" t="e">
        <v>#N/A</v>
      </c>
      <c r="CZ3868" s="47" t="e">
        <v>#N/A</v>
      </c>
      <c r="DA3868">
        <v>0.11332468572476186</v>
      </c>
      <c r="DB3868" t="str">
        <v/>
      </c>
    </row>
    <row r="3869" spans="83:106" x14ac:dyDescent="0.2">
      <c r="CE3869"/>
      <c r="CF3869"/>
      <c r="CG3869"/>
      <c r="CH3869"/>
      <c r="CI3869"/>
      <c r="CU3869" s="21">
        <v>3864</v>
      </c>
      <c r="CV3869" s="41">
        <v>4</v>
      </c>
      <c r="CW3869" s="41">
        <v>0.11332468572476186</v>
      </c>
      <c r="CX3869" s="41" t="e">
        <v>#N/A</v>
      </c>
      <c r="CY3869" s="41" t="e">
        <v>#N/A</v>
      </c>
      <c r="CZ3869" s="47" t="e">
        <v>#N/A</v>
      </c>
      <c r="DA3869">
        <v>0.11332468572476186</v>
      </c>
      <c r="DB3869" t="str">
        <v/>
      </c>
    </row>
    <row r="3870" spans="83:106" x14ac:dyDescent="0.2">
      <c r="CE3870"/>
      <c r="CF3870"/>
      <c r="CG3870"/>
      <c r="CH3870"/>
      <c r="CI3870"/>
      <c r="CU3870" s="21">
        <v>3865</v>
      </c>
      <c r="CV3870" s="41">
        <v>4</v>
      </c>
      <c r="CW3870" s="41">
        <v>0.11332468572476186</v>
      </c>
      <c r="CX3870" s="41" t="e">
        <v>#N/A</v>
      </c>
      <c r="CY3870" s="41" t="e">
        <v>#N/A</v>
      </c>
      <c r="CZ3870" s="47" t="e">
        <v>#N/A</v>
      </c>
      <c r="DA3870">
        <v>0.11332468572476186</v>
      </c>
      <c r="DB3870" t="str">
        <v/>
      </c>
    </row>
    <row r="3871" spans="83:106" x14ac:dyDescent="0.2">
      <c r="CE3871"/>
      <c r="CF3871"/>
      <c r="CG3871"/>
      <c r="CH3871"/>
      <c r="CI3871"/>
      <c r="CU3871" s="21">
        <v>3866</v>
      </c>
      <c r="CV3871" s="41">
        <v>4</v>
      </c>
      <c r="CW3871" s="41">
        <v>0.11332468572476186</v>
      </c>
      <c r="CX3871" s="41" t="e">
        <v>#N/A</v>
      </c>
      <c r="CY3871" s="41" t="e">
        <v>#N/A</v>
      </c>
      <c r="CZ3871" s="47" t="e">
        <v>#N/A</v>
      </c>
      <c r="DA3871">
        <v>0.11332468572476186</v>
      </c>
      <c r="DB3871" t="str">
        <v/>
      </c>
    </row>
    <row r="3872" spans="83:106" x14ac:dyDescent="0.2">
      <c r="CE3872"/>
      <c r="CF3872"/>
      <c r="CG3872"/>
      <c r="CH3872"/>
      <c r="CI3872"/>
      <c r="CU3872" s="21">
        <v>3867</v>
      </c>
      <c r="CV3872" s="41">
        <v>4</v>
      </c>
      <c r="CW3872" s="41">
        <v>0.11332468572476186</v>
      </c>
      <c r="CX3872" s="41" t="e">
        <v>#N/A</v>
      </c>
      <c r="CY3872" s="41" t="e">
        <v>#N/A</v>
      </c>
      <c r="CZ3872" s="47" t="e">
        <v>#N/A</v>
      </c>
      <c r="DA3872">
        <v>0.11332468572476186</v>
      </c>
      <c r="DB3872" t="str">
        <v/>
      </c>
    </row>
    <row r="3873" spans="83:106" x14ac:dyDescent="0.2">
      <c r="CE3873"/>
      <c r="CF3873"/>
      <c r="CG3873"/>
      <c r="CH3873"/>
      <c r="CI3873"/>
      <c r="CU3873" s="21">
        <v>3868</v>
      </c>
      <c r="CV3873" s="41">
        <v>4</v>
      </c>
      <c r="CW3873" s="41">
        <v>0.11332468572476186</v>
      </c>
      <c r="CX3873" s="41" t="e">
        <v>#N/A</v>
      </c>
      <c r="CY3873" s="41" t="e">
        <v>#N/A</v>
      </c>
      <c r="CZ3873" s="47" t="e">
        <v>#N/A</v>
      </c>
      <c r="DA3873">
        <v>0.11332468572476186</v>
      </c>
      <c r="DB3873" t="str">
        <v/>
      </c>
    </row>
    <row r="3874" spans="83:106" x14ac:dyDescent="0.2">
      <c r="CE3874"/>
      <c r="CF3874"/>
      <c r="CG3874"/>
      <c r="CH3874"/>
      <c r="CI3874"/>
      <c r="CU3874" s="21">
        <v>3869</v>
      </c>
      <c r="CV3874" s="41">
        <v>4</v>
      </c>
      <c r="CW3874" s="41">
        <v>0.11332468572476186</v>
      </c>
      <c r="CX3874" s="41" t="e">
        <v>#N/A</v>
      </c>
      <c r="CY3874" s="41" t="e">
        <v>#N/A</v>
      </c>
      <c r="CZ3874" s="47" t="e">
        <v>#N/A</v>
      </c>
      <c r="DA3874">
        <v>0.11332468572476186</v>
      </c>
      <c r="DB3874" t="str">
        <v/>
      </c>
    </row>
    <row r="3875" spans="83:106" x14ac:dyDescent="0.2">
      <c r="CE3875"/>
      <c r="CF3875"/>
      <c r="CG3875"/>
      <c r="CH3875"/>
      <c r="CI3875"/>
      <c r="CU3875" s="21">
        <v>3870</v>
      </c>
      <c r="CV3875" s="41">
        <v>4</v>
      </c>
      <c r="CW3875" s="41">
        <v>0.11332468572476186</v>
      </c>
      <c r="CX3875" s="41" t="e">
        <v>#N/A</v>
      </c>
      <c r="CY3875" s="41" t="e">
        <v>#N/A</v>
      </c>
      <c r="CZ3875" s="47" t="e">
        <v>#N/A</v>
      </c>
      <c r="DA3875">
        <v>0.11332468572476186</v>
      </c>
      <c r="DB3875" t="str">
        <v/>
      </c>
    </row>
    <row r="3876" spans="83:106" x14ac:dyDescent="0.2">
      <c r="CE3876"/>
      <c r="CF3876"/>
      <c r="CG3876"/>
      <c r="CH3876"/>
      <c r="CI3876"/>
      <c r="CU3876" s="21">
        <v>3871</v>
      </c>
      <c r="CV3876" s="41">
        <v>4</v>
      </c>
      <c r="CW3876" s="41">
        <v>0.11332468572476186</v>
      </c>
      <c r="CX3876" s="41" t="e">
        <v>#N/A</v>
      </c>
      <c r="CY3876" s="41" t="e">
        <v>#N/A</v>
      </c>
      <c r="CZ3876" s="47" t="e">
        <v>#N/A</v>
      </c>
      <c r="DA3876">
        <v>0.11332468572476186</v>
      </c>
      <c r="DB3876" t="str">
        <v/>
      </c>
    </row>
    <row r="3877" spans="83:106" x14ac:dyDescent="0.2">
      <c r="CE3877"/>
      <c r="CF3877"/>
      <c r="CG3877"/>
      <c r="CH3877"/>
      <c r="CI3877"/>
      <c r="CU3877" s="21">
        <v>3872</v>
      </c>
      <c r="CV3877" s="41">
        <v>4</v>
      </c>
      <c r="CW3877" s="41">
        <v>0.11332468572476186</v>
      </c>
      <c r="CX3877" s="41" t="e">
        <v>#N/A</v>
      </c>
      <c r="CY3877" s="41" t="e">
        <v>#N/A</v>
      </c>
      <c r="CZ3877" s="47" t="e">
        <v>#N/A</v>
      </c>
      <c r="DA3877">
        <v>0.11332468572476186</v>
      </c>
      <c r="DB3877" t="str">
        <v/>
      </c>
    </row>
    <row r="3878" spans="83:106" x14ac:dyDescent="0.2">
      <c r="CE3878"/>
      <c r="CF3878"/>
      <c r="CG3878"/>
      <c r="CH3878"/>
      <c r="CI3878"/>
      <c r="CU3878" s="21">
        <v>3873</v>
      </c>
      <c r="CV3878" s="41">
        <v>4</v>
      </c>
      <c r="CW3878" s="41">
        <v>0.11332468572476186</v>
      </c>
      <c r="CX3878" s="41" t="e">
        <v>#N/A</v>
      </c>
      <c r="CY3878" s="41" t="e">
        <v>#N/A</v>
      </c>
      <c r="CZ3878" s="47" t="e">
        <v>#N/A</v>
      </c>
      <c r="DA3878">
        <v>0.11332468572476186</v>
      </c>
      <c r="DB3878" t="str">
        <v/>
      </c>
    </row>
    <row r="3879" spans="83:106" x14ac:dyDescent="0.2">
      <c r="CE3879"/>
      <c r="CF3879"/>
      <c r="CG3879"/>
      <c r="CH3879"/>
      <c r="CI3879"/>
      <c r="CU3879" s="21">
        <v>3874</v>
      </c>
      <c r="CV3879" s="41">
        <v>4</v>
      </c>
      <c r="CW3879" s="41">
        <v>0.11332468572476186</v>
      </c>
      <c r="CX3879" s="41" t="e">
        <v>#N/A</v>
      </c>
      <c r="CY3879" s="41" t="e">
        <v>#N/A</v>
      </c>
      <c r="CZ3879" s="47" t="e">
        <v>#N/A</v>
      </c>
      <c r="DA3879">
        <v>0.11332468572476186</v>
      </c>
      <c r="DB3879" t="str">
        <v/>
      </c>
    </row>
    <row r="3880" spans="83:106" x14ac:dyDescent="0.2">
      <c r="CE3880"/>
      <c r="CF3880"/>
      <c r="CG3880"/>
      <c r="CH3880"/>
      <c r="CI3880"/>
      <c r="CU3880" s="21">
        <v>3875</v>
      </c>
      <c r="CV3880" s="41">
        <v>4</v>
      </c>
      <c r="CW3880" s="41">
        <v>0.11332468572476186</v>
      </c>
      <c r="CX3880" s="41" t="e">
        <v>#N/A</v>
      </c>
      <c r="CY3880" s="41" t="e">
        <v>#N/A</v>
      </c>
      <c r="CZ3880" s="47" t="e">
        <v>#N/A</v>
      </c>
      <c r="DA3880">
        <v>0.11332468572476186</v>
      </c>
      <c r="DB3880" t="str">
        <v/>
      </c>
    </row>
    <row r="3881" spans="83:106" x14ac:dyDescent="0.2">
      <c r="CE3881"/>
      <c r="CF3881"/>
      <c r="CG3881"/>
      <c r="CH3881"/>
      <c r="CI3881"/>
      <c r="CU3881" s="21">
        <v>3876</v>
      </c>
      <c r="CV3881" s="41">
        <v>4</v>
      </c>
      <c r="CW3881" s="41">
        <v>0.11332468572476186</v>
      </c>
      <c r="CX3881" s="41" t="e">
        <v>#N/A</v>
      </c>
      <c r="CY3881" s="41" t="e">
        <v>#N/A</v>
      </c>
      <c r="CZ3881" s="47" t="e">
        <v>#N/A</v>
      </c>
      <c r="DA3881">
        <v>0.11332468572476186</v>
      </c>
      <c r="DB3881" t="str">
        <v/>
      </c>
    </row>
    <row r="3882" spans="83:106" x14ac:dyDescent="0.2">
      <c r="CE3882"/>
      <c r="CF3882"/>
      <c r="CG3882"/>
      <c r="CH3882"/>
      <c r="CI3882"/>
      <c r="CU3882" s="21">
        <v>3877</v>
      </c>
      <c r="CV3882" s="41">
        <v>4</v>
      </c>
      <c r="CW3882" s="41">
        <v>0.11332468572476186</v>
      </c>
      <c r="CX3882" s="41" t="e">
        <v>#N/A</v>
      </c>
      <c r="CY3882" s="41" t="e">
        <v>#N/A</v>
      </c>
      <c r="CZ3882" s="47" t="e">
        <v>#N/A</v>
      </c>
      <c r="DA3882">
        <v>0.11332468572476186</v>
      </c>
      <c r="DB3882" t="str">
        <v/>
      </c>
    </row>
    <row r="3883" spans="83:106" x14ac:dyDescent="0.2">
      <c r="CE3883"/>
      <c r="CF3883"/>
      <c r="CG3883"/>
      <c r="CH3883"/>
      <c r="CI3883"/>
      <c r="CU3883" s="21">
        <v>3878</v>
      </c>
      <c r="CV3883" s="41">
        <v>4</v>
      </c>
      <c r="CW3883" s="41">
        <v>0.11332468572476186</v>
      </c>
      <c r="CX3883" s="41" t="e">
        <v>#N/A</v>
      </c>
      <c r="CY3883" s="41" t="e">
        <v>#N/A</v>
      </c>
      <c r="CZ3883" s="47" t="e">
        <v>#N/A</v>
      </c>
      <c r="DA3883">
        <v>0.11332468572476186</v>
      </c>
      <c r="DB3883" t="str">
        <v/>
      </c>
    </row>
    <row r="3884" spans="83:106" x14ac:dyDescent="0.2">
      <c r="CE3884"/>
      <c r="CF3884"/>
      <c r="CG3884"/>
      <c r="CH3884"/>
      <c r="CI3884"/>
      <c r="CU3884" s="21">
        <v>3879</v>
      </c>
      <c r="CV3884" s="41">
        <v>4</v>
      </c>
      <c r="CW3884" s="41">
        <v>0.11332468572476186</v>
      </c>
      <c r="CX3884" s="41" t="e">
        <v>#N/A</v>
      </c>
      <c r="CY3884" s="41" t="e">
        <v>#N/A</v>
      </c>
      <c r="CZ3884" s="47" t="e">
        <v>#N/A</v>
      </c>
      <c r="DA3884">
        <v>0.11332468572476186</v>
      </c>
      <c r="DB3884" t="str">
        <v/>
      </c>
    </row>
    <row r="3885" spans="83:106" x14ac:dyDescent="0.2">
      <c r="CE3885"/>
      <c r="CF3885"/>
      <c r="CG3885"/>
      <c r="CH3885"/>
      <c r="CI3885"/>
      <c r="CU3885" s="21">
        <v>3880</v>
      </c>
      <c r="CV3885" s="41">
        <v>4</v>
      </c>
      <c r="CW3885" s="41">
        <v>0.11332468572476186</v>
      </c>
      <c r="CX3885" s="41" t="e">
        <v>#N/A</v>
      </c>
      <c r="CY3885" s="41" t="e">
        <v>#N/A</v>
      </c>
      <c r="CZ3885" s="47" t="e">
        <v>#N/A</v>
      </c>
      <c r="DA3885">
        <v>0.11332468572476186</v>
      </c>
      <c r="DB3885" t="str">
        <v/>
      </c>
    </row>
    <row r="3886" spans="83:106" x14ac:dyDescent="0.2">
      <c r="CE3886"/>
      <c r="CF3886"/>
      <c r="CG3886"/>
      <c r="CH3886"/>
      <c r="CI3886"/>
      <c r="CU3886" s="21">
        <v>3881</v>
      </c>
      <c r="CV3886" s="41">
        <v>4</v>
      </c>
      <c r="CW3886" s="41">
        <v>0.11332468572476186</v>
      </c>
      <c r="CX3886" s="41" t="e">
        <v>#N/A</v>
      </c>
      <c r="CY3886" s="41" t="e">
        <v>#N/A</v>
      </c>
      <c r="CZ3886" s="47" t="e">
        <v>#N/A</v>
      </c>
      <c r="DA3886">
        <v>0.11332468572476186</v>
      </c>
      <c r="DB3886" t="str">
        <v/>
      </c>
    </row>
    <row r="3887" spans="83:106" x14ac:dyDescent="0.2">
      <c r="CE3887"/>
      <c r="CF3887"/>
      <c r="CG3887"/>
      <c r="CH3887"/>
      <c r="CI3887"/>
      <c r="CU3887" s="21">
        <v>3882</v>
      </c>
      <c r="CV3887" s="41">
        <v>4</v>
      </c>
      <c r="CW3887" s="41">
        <v>0.11332468572476186</v>
      </c>
      <c r="CX3887" s="41" t="e">
        <v>#N/A</v>
      </c>
      <c r="CY3887" s="41" t="e">
        <v>#N/A</v>
      </c>
      <c r="CZ3887" s="47" t="e">
        <v>#N/A</v>
      </c>
      <c r="DA3887">
        <v>0.11332468572476186</v>
      </c>
      <c r="DB3887" t="str">
        <v/>
      </c>
    </row>
    <row r="3888" spans="83:106" x14ac:dyDescent="0.2">
      <c r="CE3888"/>
      <c r="CF3888"/>
      <c r="CG3888"/>
      <c r="CH3888"/>
      <c r="CI3888"/>
      <c r="CU3888" s="21">
        <v>3883</v>
      </c>
      <c r="CV3888" s="41">
        <v>4</v>
      </c>
      <c r="CW3888" s="41">
        <v>0.11332468572476186</v>
      </c>
      <c r="CX3888" s="41" t="e">
        <v>#N/A</v>
      </c>
      <c r="CY3888" s="41" t="e">
        <v>#N/A</v>
      </c>
      <c r="CZ3888" s="47" t="e">
        <v>#N/A</v>
      </c>
      <c r="DA3888">
        <v>0.11332468572476186</v>
      </c>
      <c r="DB3888" t="str">
        <v/>
      </c>
    </row>
    <row r="3889" spans="83:106" x14ac:dyDescent="0.2">
      <c r="CE3889"/>
      <c r="CF3889"/>
      <c r="CG3889"/>
      <c r="CH3889"/>
      <c r="CI3889"/>
      <c r="CU3889" s="21">
        <v>3884</v>
      </c>
      <c r="CV3889" s="41">
        <v>4</v>
      </c>
      <c r="CW3889" s="41">
        <v>0.11332468572476186</v>
      </c>
      <c r="CX3889" s="41" t="e">
        <v>#N/A</v>
      </c>
      <c r="CY3889" s="41" t="e">
        <v>#N/A</v>
      </c>
      <c r="CZ3889" s="47" t="e">
        <v>#N/A</v>
      </c>
      <c r="DA3889">
        <v>0.11332468572476186</v>
      </c>
      <c r="DB3889" t="str">
        <v/>
      </c>
    </row>
    <row r="3890" spans="83:106" x14ac:dyDescent="0.2">
      <c r="CE3890"/>
      <c r="CF3890"/>
      <c r="CG3890"/>
      <c r="CH3890"/>
      <c r="CI3890"/>
      <c r="CU3890" s="21">
        <v>3885</v>
      </c>
      <c r="CV3890" s="41">
        <v>4</v>
      </c>
      <c r="CW3890" s="41">
        <v>0.11332468572476186</v>
      </c>
      <c r="CX3890" s="41" t="e">
        <v>#N/A</v>
      </c>
      <c r="CY3890" s="41" t="e">
        <v>#N/A</v>
      </c>
      <c r="CZ3890" s="47" t="e">
        <v>#N/A</v>
      </c>
      <c r="DA3890">
        <v>0.11332468572476186</v>
      </c>
      <c r="DB3890" t="str">
        <v/>
      </c>
    </row>
    <row r="3891" spans="83:106" x14ac:dyDescent="0.2">
      <c r="CE3891"/>
      <c r="CF3891"/>
      <c r="CG3891"/>
      <c r="CH3891"/>
      <c r="CI3891"/>
      <c r="CU3891" s="21">
        <v>3886</v>
      </c>
      <c r="CV3891" s="41">
        <v>4</v>
      </c>
      <c r="CW3891" s="41">
        <v>0.11332468572476186</v>
      </c>
      <c r="CX3891" s="41" t="e">
        <v>#N/A</v>
      </c>
      <c r="CY3891" s="41" t="e">
        <v>#N/A</v>
      </c>
      <c r="CZ3891" s="47" t="e">
        <v>#N/A</v>
      </c>
      <c r="DA3891">
        <v>0.11332468572476186</v>
      </c>
      <c r="DB3891" t="str">
        <v/>
      </c>
    </row>
    <row r="3892" spans="83:106" x14ac:dyDescent="0.2">
      <c r="CE3892"/>
      <c r="CF3892"/>
      <c r="CG3892"/>
      <c r="CH3892"/>
      <c r="CI3892"/>
      <c r="CU3892" s="21">
        <v>3887</v>
      </c>
      <c r="CV3892" s="41">
        <v>4</v>
      </c>
      <c r="CW3892" s="41">
        <v>0.11332468572476186</v>
      </c>
      <c r="CX3892" s="41" t="e">
        <v>#N/A</v>
      </c>
      <c r="CY3892" s="41" t="e">
        <v>#N/A</v>
      </c>
      <c r="CZ3892" s="47" t="e">
        <v>#N/A</v>
      </c>
      <c r="DA3892">
        <v>0.11332468572476186</v>
      </c>
      <c r="DB3892" t="str">
        <v/>
      </c>
    </row>
    <row r="3893" spans="83:106" x14ac:dyDescent="0.2">
      <c r="CE3893"/>
      <c r="CF3893"/>
      <c r="CG3893"/>
      <c r="CH3893"/>
      <c r="CI3893"/>
      <c r="CU3893" s="21">
        <v>3888</v>
      </c>
      <c r="CV3893" s="41">
        <v>4</v>
      </c>
      <c r="CW3893" s="41">
        <v>0.11332468572476186</v>
      </c>
      <c r="CX3893" s="41" t="e">
        <v>#N/A</v>
      </c>
      <c r="CY3893" s="41" t="e">
        <v>#N/A</v>
      </c>
      <c r="CZ3893" s="47" t="e">
        <v>#N/A</v>
      </c>
      <c r="DA3893">
        <v>0.11332468572476186</v>
      </c>
      <c r="DB3893" t="str">
        <v/>
      </c>
    </row>
    <row r="3894" spans="83:106" x14ac:dyDescent="0.2">
      <c r="CE3894"/>
      <c r="CF3894"/>
      <c r="CG3894"/>
      <c r="CH3894"/>
      <c r="CI3894"/>
      <c r="CU3894" s="21">
        <v>3889</v>
      </c>
      <c r="CV3894" s="41">
        <v>4</v>
      </c>
      <c r="CW3894" s="41">
        <v>0.11332468572476186</v>
      </c>
      <c r="CX3894" s="41" t="e">
        <v>#N/A</v>
      </c>
      <c r="CY3894" s="41" t="e">
        <v>#N/A</v>
      </c>
      <c r="CZ3894" s="47" t="e">
        <v>#N/A</v>
      </c>
      <c r="DA3894">
        <v>0.11332468572476186</v>
      </c>
      <c r="DB3894" t="str">
        <v/>
      </c>
    </row>
    <row r="3895" spans="83:106" x14ac:dyDescent="0.2">
      <c r="CE3895"/>
      <c r="CF3895"/>
      <c r="CG3895"/>
      <c r="CH3895"/>
      <c r="CI3895"/>
      <c r="CU3895" s="21">
        <v>3890</v>
      </c>
      <c r="CV3895" s="41">
        <v>4</v>
      </c>
      <c r="CW3895" s="41">
        <v>0.11332468572476186</v>
      </c>
      <c r="CX3895" s="41" t="e">
        <v>#N/A</v>
      </c>
      <c r="CY3895" s="41" t="e">
        <v>#N/A</v>
      </c>
      <c r="CZ3895" s="47" t="e">
        <v>#N/A</v>
      </c>
      <c r="DA3895">
        <v>0.11332468572476186</v>
      </c>
      <c r="DB3895" t="str">
        <v/>
      </c>
    </row>
    <row r="3896" spans="83:106" x14ac:dyDescent="0.2">
      <c r="CE3896"/>
      <c r="CF3896"/>
      <c r="CG3896"/>
      <c r="CH3896"/>
      <c r="CI3896"/>
      <c r="CU3896" s="21">
        <v>3891</v>
      </c>
      <c r="CV3896" s="41">
        <v>4</v>
      </c>
      <c r="CW3896" s="41">
        <v>0.11332468572476186</v>
      </c>
      <c r="CX3896" s="41" t="e">
        <v>#N/A</v>
      </c>
      <c r="CY3896" s="41" t="e">
        <v>#N/A</v>
      </c>
      <c r="CZ3896" s="47" t="e">
        <v>#N/A</v>
      </c>
      <c r="DA3896">
        <v>0.11332468572476186</v>
      </c>
      <c r="DB3896" t="str">
        <v/>
      </c>
    </row>
    <row r="3897" spans="83:106" x14ac:dyDescent="0.2">
      <c r="CE3897"/>
      <c r="CF3897"/>
      <c r="CG3897"/>
      <c r="CH3897"/>
      <c r="CI3897"/>
      <c r="CU3897" s="21">
        <v>3892</v>
      </c>
      <c r="CV3897" s="41">
        <v>4</v>
      </c>
      <c r="CW3897" s="41">
        <v>0.11332468572476186</v>
      </c>
      <c r="CX3897" s="41" t="e">
        <v>#N/A</v>
      </c>
      <c r="CY3897" s="41" t="e">
        <v>#N/A</v>
      </c>
      <c r="CZ3897" s="47" t="e">
        <v>#N/A</v>
      </c>
      <c r="DA3897">
        <v>0.11332468572476186</v>
      </c>
      <c r="DB3897" t="str">
        <v/>
      </c>
    </row>
    <row r="3898" spans="83:106" x14ac:dyDescent="0.2">
      <c r="CE3898"/>
      <c r="CF3898"/>
      <c r="CG3898"/>
      <c r="CH3898"/>
      <c r="CI3898"/>
      <c r="CU3898" s="21">
        <v>3893</v>
      </c>
      <c r="CV3898" s="41">
        <v>4</v>
      </c>
      <c r="CW3898" s="41">
        <v>0.11332468572476186</v>
      </c>
      <c r="CX3898" s="41" t="e">
        <v>#N/A</v>
      </c>
      <c r="CY3898" s="41" t="e">
        <v>#N/A</v>
      </c>
      <c r="CZ3898" s="47" t="e">
        <v>#N/A</v>
      </c>
      <c r="DA3898">
        <v>0.11332468572476186</v>
      </c>
      <c r="DB3898" t="str">
        <v/>
      </c>
    </row>
    <row r="3899" spans="83:106" x14ac:dyDescent="0.2">
      <c r="CE3899"/>
      <c r="CF3899"/>
      <c r="CG3899"/>
      <c r="CH3899"/>
      <c r="CI3899"/>
      <c r="CU3899" s="21">
        <v>3894</v>
      </c>
      <c r="CV3899" s="41">
        <v>4</v>
      </c>
      <c r="CW3899" s="41">
        <v>0.11332468572476186</v>
      </c>
      <c r="CX3899" s="41" t="e">
        <v>#N/A</v>
      </c>
      <c r="CY3899" s="41" t="e">
        <v>#N/A</v>
      </c>
      <c r="CZ3899" s="47" t="e">
        <v>#N/A</v>
      </c>
      <c r="DA3899">
        <v>0.11332468572476186</v>
      </c>
      <c r="DB3899" t="str">
        <v/>
      </c>
    </row>
    <row r="3900" spans="83:106" x14ac:dyDescent="0.2">
      <c r="CE3900"/>
      <c r="CF3900"/>
      <c r="CG3900"/>
      <c r="CH3900"/>
      <c r="CI3900"/>
      <c r="CU3900" s="21">
        <v>3895</v>
      </c>
      <c r="CV3900" s="41">
        <v>4</v>
      </c>
      <c r="CW3900" s="41">
        <v>0.11332468572476186</v>
      </c>
      <c r="CX3900" s="41" t="e">
        <v>#N/A</v>
      </c>
      <c r="CY3900" s="41" t="e">
        <v>#N/A</v>
      </c>
      <c r="CZ3900" s="47" t="e">
        <v>#N/A</v>
      </c>
      <c r="DA3900">
        <v>0.11332468572476186</v>
      </c>
      <c r="DB3900" t="str">
        <v/>
      </c>
    </row>
    <row r="3901" spans="83:106" x14ac:dyDescent="0.2">
      <c r="CE3901"/>
      <c r="CF3901"/>
      <c r="CG3901"/>
      <c r="CH3901"/>
      <c r="CI3901"/>
      <c r="CU3901" s="21">
        <v>3896</v>
      </c>
      <c r="CV3901" s="41">
        <v>4</v>
      </c>
      <c r="CW3901" s="41">
        <v>0.11332468572476186</v>
      </c>
      <c r="CX3901" s="41" t="e">
        <v>#N/A</v>
      </c>
      <c r="CY3901" s="41" t="e">
        <v>#N/A</v>
      </c>
      <c r="CZ3901" s="47" t="e">
        <v>#N/A</v>
      </c>
      <c r="DA3901">
        <v>0.11332468572476186</v>
      </c>
      <c r="DB3901" t="str">
        <v/>
      </c>
    </row>
    <row r="3902" spans="83:106" x14ac:dyDescent="0.2">
      <c r="CE3902"/>
      <c r="CF3902"/>
      <c r="CG3902"/>
      <c r="CH3902"/>
      <c r="CI3902"/>
      <c r="CU3902" s="21">
        <v>3897</v>
      </c>
      <c r="CV3902" s="41">
        <v>4</v>
      </c>
      <c r="CW3902" s="41">
        <v>0.11332468572476186</v>
      </c>
      <c r="CX3902" s="41" t="e">
        <v>#N/A</v>
      </c>
      <c r="CY3902" s="41" t="e">
        <v>#N/A</v>
      </c>
      <c r="CZ3902" s="47" t="e">
        <v>#N/A</v>
      </c>
      <c r="DA3902">
        <v>0.11332468572476186</v>
      </c>
      <c r="DB3902" t="str">
        <v/>
      </c>
    </row>
    <row r="3903" spans="83:106" x14ac:dyDescent="0.2">
      <c r="CE3903"/>
      <c r="CF3903"/>
      <c r="CG3903"/>
      <c r="CH3903"/>
      <c r="CI3903"/>
      <c r="CU3903" s="21">
        <v>3898</v>
      </c>
      <c r="CV3903" s="41">
        <v>4</v>
      </c>
      <c r="CW3903" s="41">
        <v>0.11332468572476186</v>
      </c>
      <c r="CX3903" s="41" t="e">
        <v>#N/A</v>
      </c>
      <c r="CY3903" s="41" t="e">
        <v>#N/A</v>
      </c>
      <c r="CZ3903" s="47" t="e">
        <v>#N/A</v>
      </c>
      <c r="DA3903">
        <v>0.11332468572476186</v>
      </c>
      <c r="DB3903" t="str">
        <v/>
      </c>
    </row>
    <row r="3904" spans="83:106" x14ac:dyDescent="0.2">
      <c r="CE3904"/>
      <c r="CF3904"/>
      <c r="CG3904"/>
      <c r="CH3904"/>
      <c r="CI3904"/>
      <c r="CU3904" s="21">
        <v>3899</v>
      </c>
      <c r="CV3904" s="41">
        <v>4</v>
      </c>
      <c r="CW3904" s="41">
        <v>0.11332468572476186</v>
      </c>
      <c r="CX3904" s="41" t="e">
        <v>#N/A</v>
      </c>
      <c r="CY3904" s="41" t="e">
        <v>#N/A</v>
      </c>
      <c r="CZ3904" s="47" t="e">
        <v>#N/A</v>
      </c>
      <c r="DA3904">
        <v>0.11332468572476186</v>
      </c>
      <c r="DB3904" t="str">
        <v/>
      </c>
    </row>
    <row r="3905" spans="83:106" x14ac:dyDescent="0.2">
      <c r="CE3905"/>
      <c r="CF3905"/>
      <c r="CG3905"/>
      <c r="CH3905"/>
      <c r="CI3905"/>
      <c r="CU3905" s="21">
        <v>3900</v>
      </c>
      <c r="CV3905" s="41">
        <v>4</v>
      </c>
      <c r="CW3905" s="41">
        <v>0.11332468572476186</v>
      </c>
      <c r="CX3905" s="41" t="e">
        <v>#N/A</v>
      </c>
      <c r="CY3905" s="41" t="e">
        <v>#N/A</v>
      </c>
      <c r="CZ3905" s="47" t="e">
        <v>#N/A</v>
      </c>
      <c r="DA3905">
        <v>0.11332468572476186</v>
      </c>
      <c r="DB3905" t="str">
        <v/>
      </c>
    </row>
    <row r="3906" spans="83:106" x14ac:dyDescent="0.2">
      <c r="CE3906"/>
      <c r="CF3906"/>
      <c r="CG3906"/>
      <c r="CH3906"/>
      <c r="CI3906"/>
      <c r="CU3906" s="21">
        <v>3901</v>
      </c>
      <c r="CV3906" s="41">
        <v>4</v>
      </c>
      <c r="CW3906" s="41">
        <v>0.11332468572476186</v>
      </c>
      <c r="CX3906" s="41" t="e">
        <v>#N/A</v>
      </c>
      <c r="CY3906" s="41" t="e">
        <v>#N/A</v>
      </c>
      <c r="CZ3906" s="47" t="e">
        <v>#N/A</v>
      </c>
      <c r="DA3906">
        <v>0.11332468572476186</v>
      </c>
      <c r="DB3906" t="str">
        <v/>
      </c>
    </row>
    <row r="3907" spans="83:106" x14ac:dyDescent="0.2">
      <c r="CE3907"/>
      <c r="CF3907"/>
      <c r="CG3907"/>
      <c r="CH3907"/>
      <c r="CI3907"/>
      <c r="CU3907" s="21">
        <v>3902</v>
      </c>
      <c r="CV3907" s="41">
        <v>4</v>
      </c>
      <c r="CW3907" s="41">
        <v>0.11332468572476186</v>
      </c>
      <c r="CX3907" s="41" t="e">
        <v>#N/A</v>
      </c>
      <c r="CY3907" s="41" t="e">
        <v>#N/A</v>
      </c>
      <c r="CZ3907" s="47" t="e">
        <v>#N/A</v>
      </c>
      <c r="DA3907">
        <v>0.11332468572476186</v>
      </c>
      <c r="DB3907" t="str">
        <v/>
      </c>
    </row>
    <row r="3908" spans="83:106" x14ac:dyDescent="0.2">
      <c r="CE3908"/>
      <c r="CF3908"/>
      <c r="CG3908"/>
      <c r="CH3908"/>
      <c r="CI3908"/>
      <c r="CU3908" s="21">
        <v>3903</v>
      </c>
      <c r="CV3908" s="41">
        <v>4</v>
      </c>
      <c r="CW3908" s="41">
        <v>0.11332468572476186</v>
      </c>
      <c r="CX3908" s="41" t="e">
        <v>#N/A</v>
      </c>
      <c r="CY3908" s="41" t="e">
        <v>#N/A</v>
      </c>
      <c r="CZ3908" s="47" t="e">
        <v>#N/A</v>
      </c>
      <c r="DA3908">
        <v>0.11332468572476186</v>
      </c>
      <c r="DB3908" t="str">
        <v/>
      </c>
    </row>
    <row r="3909" spans="83:106" x14ac:dyDescent="0.2">
      <c r="CE3909"/>
      <c r="CF3909"/>
      <c r="CG3909"/>
      <c r="CH3909"/>
      <c r="CI3909"/>
      <c r="CU3909" s="21">
        <v>3904</v>
      </c>
      <c r="CV3909" s="41">
        <v>4</v>
      </c>
      <c r="CW3909" s="41">
        <v>0.11332468572476186</v>
      </c>
      <c r="CX3909" s="41" t="e">
        <v>#N/A</v>
      </c>
      <c r="CY3909" s="41" t="e">
        <v>#N/A</v>
      </c>
      <c r="CZ3909" s="47" t="e">
        <v>#N/A</v>
      </c>
      <c r="DA3909">
        <v>0.11332468572476186</v>
      </c>
      <c r="DB3909" t="str">
        <v/>
      </c>
    </row>
    <row r="3910" spans="83:106" x14ac:dyDescent="0.2">
      <c r="CE3910"/>
      <c r="CF3910"/>
      <c r="CG3910"/>
      <c r="CH3910"/>
      <c r="CI3910"/>
      <c r="CU3910" s="21">
        <v>3905</v>
      </c>
      <c r="CV3910" s="41">
        <v>4</v>
      </c>
      <c r="CW3910" s="41">
        <v>0.11332468572476186</v>
      </c>
      <c r="CX3910" s="41" t="e">
        <v>#N/A</v>
      </c>
      <c r="CY3910" s="41" t="e">
        <v>#N/A</v>
      </c>
      <c r="CZ3910" s="47" t="e">
        <v>#N/A</v>
      </c>
      <c r="DA3910">
        <v>0.11332468572476186</v>
      </c>
      <c r="DB3910" t="str">
        <v/>
      </c>
    </row>
    <row r="3911" spans="83:106" x14ac:dyDescent="0.2">
      <c r="CE3911"/>
      <c r="CF3911"/>
      <c r="CG3911"/>
      <c r="CH3911"/>
      <c r="CI3911"/>
      <c r="CU3911" s="21">
        <v>3906</v>
      </c>
      <c r="CV3911" s="41">
        <v>4</v>
      </c>
      <c r="CW3911" s="41">
        <v>0.11332468572476186</v>
      </c>
      <c r="CX3911" s="41" t="e">
        <v>#N/A</v>
      </c>
      <c r="CY3911" s="41" t="e">
        <v>#N/A</v>
      </c>
      <c r="CZ3911" s="47" t="e">
        <v>#N/A</v>
      </c>
      <c r="DA3911">
        <v>0.11332468572476186</v>
      </c>
      <c r="DB3911" t="str">
        <v/>
      </c>
    </row>
    <row r="3912" spans="83:106" x14ac:dyDescent="0.2">
      <c r="CE3912"/>
      <c r="CF3912"/>
      <c r="CG3912"/>
      <c r="CH3912"/>
      <c r="CI3912"/>
      <c r="CU3912" s="21">
        <v>3907</v>
      </c>
      <c r="CV3912" s="41">
        <v>4</v>
      </c>
      <c r="CW3912" s="41">
        <v>0.11332468572476186</v>
      </c>
      <c r="CX3912" s="41" t="e">
        <v>#N/A</v>
      </c>
      <c r="CY3912" s="41" t="e">
        <v>#N/A</v>
      </c>
      <c r="CZ3912" s="47" t="e">
        <v>#N/A</v>
      </c>
      <c r="DA3912">
        <v>0.11332468572476186</v>
      </c>
      <c r="DB3912" t="str">
        <v/>
      </c>
    </row>
    <row r="3913" spans="83:106" x14ac:dyDescent="0.2">
      <c r="CE3913"/>
      <c r="CF3913"/>
      <c r="CG3913"/>
      <c r="CH3913"/>
      <c r="CI3913"/>
      <c r="CU3913" s="21">
        <v>3908</v>
      </c>
      <c r="CV3913" s="41">
        <v>4</v>
      </c>
      <c r="CW3913" s="41">
        <v>0.11332468572476186</v>
      </c>
      <c r="CX3913" s="41" t="e">
        <v>#N/A</v>
      </c>
      <c r="CY3913" s="41" t="e">
        <v>#N/A</v>
      </c>
      <c r="CZ3913" s="47" t="e">
        <v>#N/A</v>
      </c>
      <c r="DA3913">
        <v>0.11332468572476186</v>
      </c>
      <c r="DB3913" t="str">
        <v/>
      </c>
    </row>
    <row r="3914" spans="83:106" x14ac:dyDescent="0.2">
      <c r="CE3914"/>
      <c r="CF3914"/>
      <c r="CG3914"/>
      <c r="CH3914"/>
      <c r="CI3914"/>
      <c r="CU3914" s="21">
        <v>3909</v>
      </c>
      <c r="CV3914" s="41">
        <v>4</v>
      </c>
      <c r="CW3914" s="41">
        <v>0.11332468572476186</v>
      </c>
      <c r="CX3914" s="41" t="e">
        <v>#N/A</v>
      </c>
      <c r="CY3914" s="41" t="e">
        <v>#N/A</v>
      </c>
      <c r="CZ3914" s="47" t="e">
        <v>#N/A</v>
      </c>
      <c r="DA3914">
        <v>0.11332468572476186</v>
      </c>
      <c r="DB3914" t="str">
        <v/>
      </c>
    </row>
    <row r="3915" spans="83:106" x14ac:dyDescent="0.2">
      <c r="CE3915"/>
      <c r="CF3915"/>
      <c r="CG3915"/>
      <c r="CH3915"/>
      <c r="CI3915"/>
      <c r="CU3915" s="21">
        <v>3910</v>
      </c>
      <c r="CV3915" s="41">
        <v>4</v>
      </c>
      <c r="CW3915" s="41">
        <v>0.11332468572476186</v>
      </c>
      <c r="CX3915" s="41" t="e">
        <v>#N/A</v>
      </c>
      <c r="CY3915" s="41" t="e">
        <v>#N/A</v>
      </c>
      <c r="CZ3915" s="47" t="e">
        <v>#N/A</v>
      </c>
      <c r="DA3915">
        <v>0.11332468572476186</v>
      </c>
      <c r="DB3915" t="str">
        <v/>
      </c>
    </row>
    <row r="3916" spans="83:106" x14ac:dyDescent="0.2">
      <c r="CE3916"/>
      <c r="CF3916"/>
      <c r="CG3916"/>
      <c r="CH3916"/>
      <c r="CI3916"/>
      <c r="CU3916" s="21">
        <v>3911</v>
      </c>
      <c r="CV3916" s="41">
        <v>4</v>
      </c>
      <c r="CW3916" s="41">
        <v>0.11332468572476186</v>
      </c>
      <c r="CX3916" s="41" t="e">
        <v>#N/A</v>
      </c>
      <c r="CY3916" s="41" t="e">
        <v>#N/A</v>
      </c>
      <c r="CZ3916" s="47" t="e">
        <v>#N/A</v>
      </c>
      <c r="DA3916">
        <v>0.11332468572476186</v>
      </c>
      <c r="DB3916" t="str">
        <v/>
      </c>
    </row>
    <row r="3917" spans="83:106" x14ac:dyDescent="0.2">
      <c r="CE3917"/>
      <c r="CF3917"/>
      <c r="CG3917"/>
      <c r="CH3917"/>
      <c r="CI3917"/>
      <c r="CU3917" s="21">
        <v>3912</v>
      </c>
      <c r="CV3917" s="41">
        <v>4</v>
      </c>
      <c r="CW3917" s="41">
        <v>0.11332468572476186</v>
      </c>
      <c r="CX3917" s="41" t="e">
        <v>#N/A</v>
      </c>
      <c r="CY3917" s="41" t="e">
        <v>#N/A</v>
      </c>
      <c r="CZ3917" s="47" t="e">
        <v>#N/A</v>
      </c>
      <c r="DA3917">
        <v>0.11332468572476186</v>
      </c>
      <c r="DB3917" t="str">
        <v/>
      </c>
    </row>
    <row r="3918" spans="83:106" x14ac:dyDescent="0.2">
      <c r="CE3918"/>
      <c r="CF3918"/>
      <c r="CG3918"/>
      <c r="CH3918"/>
      <c r="CI3918"/>
      <c r="CU3918" s="21">
        <v>3913</v>
      </c>
      <c r="CV3918" s="41">
        <v>4</v>
      </c>
      <c r="CW3918" s="41">
        <v>0.11332468572476186</v>
      </c>
      <c r="CX3918" s="41" t="e">
        <v>#N/A</v>
      </c>
      <c r="CY3918" s="41" t="e">
        <v>#N/A</v>
      </c>
      <c r="CZ3918" s="47" t="e">
        <v>#N/A</v>
      </c>
      <c r="DA3918">
        <v>0.11332468572476186</v>
      </c>
      <c r="DB3918" t="str">
        <v/>
      </c>
    </row>
    <row r="3919" spans="83:106" x14ac:dyDescent="0.2">
      <c r="CE3919"/>
      <c r="CF3919"/>
      <c r="CG3919"/>
      <c r="CH3919"/>
      <c r="CI3919"/>
      <c r="CU3919" s="21">
        <v>3914</v>
      </c>
      <c r="CV3919" s="41">
        <v>4</v>
      </c>
      <c r="CW3919" s="41">
        <v>0.11332468572476186</v>
      </c>
      <c r="CX3919" s="41" t="e">
        <v>#N/A</v>
      </c>
      <c r="CY3919" s="41" t="e">
        <v>#N/A</v>
      </c>
      <c r="CZ3919" s="47" t="e">
        <v>#N/A</v>
      </c>
      <c r="DA3919">
        <v>0.11332468572476186</v>
      </c>
      <c r="DB3919" t="str">
        <v/>
      </c>
    </row>
    <row r="3920" spans="83:106" x14ac:dyDescent="0.2">
      <c r="CE3920"/>
      <c r="CF3920"/>
      <c r="CG3920"/>
      <c r="CH3920"/>
      <c r="CI3920"/>
      <c r="CU3920" s="21">
        <v>3915</v>
      </c>
      <c r="CV3920" s="41">
        <v>4</v>
      </c>
      <c r="CW3920" s="41">
        <v>0.11332468572476186</v>
      </c>
      <c r="CX3920" s="41" t="e">
        <v>#N/A</v>
      </c>
      <c r="CY3920" s="41" t="e">
        <v>#N/A</v>
      </c>
      <c r="CZ3920" s="47" t="e">
        <v>#N/A</v>
      </c>
      <c r="DA3920">
        <v>0.11332468572476186</v>
      </c>
      <c r="DB3920" t="str">
        <v/>
      </c>
    </row>
    <row r="3921" spans="83:106" x14ac:dyDescent="0.2">
      <c r="CE3921"/>
      <c r="CF3921"/>
      <c r="CG3921"/>
      <c r="CH3921"/>
      <c r="CI3921"/>
      <c r="CU3921" s="21">
        <v>3916</v>
      </c>
      <c r="CV3921" s="41">
        <v>4</v>
      </c>
      <c r="CW3921" s="41">
        <v>0.11332468572476186</v>
      </c>
      <c r="CX3921" s="41" t="e">
        <v>#N/A</v>
      </c>
      <c r="CY3921" s="41" t="e">
        <v>#N/A</v>
      </c>
      <c r="CZ3921" s="47" t="e">
        <v>#N/A</v>
      </c>
      <c r="DA3921">
        <v>0.11332468572476186</v>
      </c>
      <c r="DB3921" t="str">
        <v/>
      </c>
    </row>
    <row r="3922" spans="83:106" x14ac:dyDescent="0.2">
      <c r="CE3922"/>
      <c r="CF3922"/>
      <c r="CG3922"/>
      <c r="CH3922"/>
      <c r="CI3922"/>
      <c r="CU3922" s="21">
        <v>3917</v>
      </c>
      <c r="CV3922" s="41">
        <v>4</v>
      </c>
      <c r="CW3922" s="41">
        <v>0.11332468572476186</v>
      </c>
      <c r="CX3922" s="41" t="e">
        <v>#N/A</v>
      </c>
      <c r="CY3922" s="41" t="e">
        <v>#N/A</v>
      </c>
      <c r="CZ3922" s="47" t="e">
        <v>#N/A</v>
      </c>
      <c r="DA3922">
        <v>0.11332468572476186</v>
      </c>
      <c r="DB3922" t="str">
        <v/>
      </c>
    </row>
    <row r="3923" spans="83:106" x14ac:dyDescent="0.2">
      <c r="CE3923"/>
      <c r="CF3923"/>
      <c r="CG3923"/>
      <c r="CH3923"/>
      <c r="CI3923"/>
      <c r="CU3923" s="21">
        <v>3918</v>
      </c>
      <c r="CV3923" s="41">
        <v>4</v>
      </c>
      <c r="CW3923" s="41">
        <v>0.11332468572476186</v>
      </c>
      <c r="CX3923" s="41" t="e">
        <v>#N/A</v>
      </c>
      <c r="CY3923" s="41" t="e">
        <v>#N/A</v>
      </c>
      <c r="CZ3923" s="47" t="e">
        <v>#N/A</v>
      </c>
      <c r="DA3923">
        <v>0.11332468572476186</v>
      </c>
      <c r="DB3923" t="str">
        <v/>
      </c>
    </row>
    <row r="3924" spans="83:106" x14ac:dyDescent="0.2">
      <c r="CE3924"/>
      <c r="CF3924"/>
      <c r="CG3924"/>
      <c r="CH3924"/>
      <c r="CI3924"/>
      <c r="CU3924" s="21">
        <v>3919</v>
      </c>
      <c r="CV3924" s="41">
        <v>4</v>
      </c>
      <c r="CW3924" s="41">
        <v>0.11332468572476186</v>
      </c>
      <c r="CX3924" s="41" t="e">
        <v>#N/A</v>
      </c>
      <c r="CY3924" s="41" t="e">
        <v>#N/A</v>
      </c>
      <c r="CZ3924" s="47" t="e">
        <v>#N/A</v>
      </c>
      <c r="DA3924">
        <v>0.11332468572476186</v>
      </c>
      <c r="DB3924" t="str">
        <v/>
      </c>
    </row>
    <row r="3925" spans="83:106" x14ac:dyDescent="0.2">
      <c r="CE3925"/>
      <c r="CF3925"/>
      <c r="CG3925"/>
      <c r="CH3925"/>
      <c r="CI3925"/>
      <c r="CU3925" s="21">
        <v>3920</v>
      </c>
      <c r="CV3925" s="41">
        <v>4</v>
      </c>
      <c r="CW3925" s="41">
        <v>0.11332468572476186</v>
      </c>
      <c r="CX3925" s="41" t="e">
        <v>#N/A</v>
      </c>
      <c r="CY3925" s="41" t="e">
        <v>#N/A</v>
      </c>
      <c r="CZ3925" s="47" t="e">
        <v>#N/A</v>
      </c>
      <c r="DA3925">
        <v>0.11332468572476186</v>
      </c>
      <c r="DB3925" t="str">
        <v/>
      </c>
    </row>
    <row r="3926" spans="83:106" x14ac:dyDescent="0.2">
      <c r="CE3926"/>
      <c r="CF3926"/>
      <c r="CG3926"/>
      <c r="CH3926"/>
      <c r="CI3926"/>
      <c r="CU3926" s="21">
        <v>3921</v>
      </c>
      <c r="CV3926" s="41">
        <v>4</v>
      </c>
      <c r="CW3926" s="41">
        <v>0.11332468572476186</v>
      </c>
      <c r="CX3926" s="41" t="e">
        <v>#N/A</v>
      </c>
      <c r="CY3926" s="41" t="e">
        <v>#N/A</v>
      </c>
      <c r="CZ3926" s="47" t="e">
        <v>#N/A</v>
      </c>
      <c r="DA3926">
        <v>0.11332468572476186</v>
      </c>
      <c r="DB3926" t="str">
        <v/>
      </c>
    </row>
    <row r="3927" spans="83:106" x14ac:dyDescent="0.2">
      <c r="CE3927"/>
      <c r="CF3927"/>
      <c r="CG3927"/>
      <c r="CH3927"/>
      <c r="CI3927"/>
      <c r="CU3927" s="21">
        <v>3922</v>
      </c>
      <c r="CV3927" s="41">
        <v>4</v>
      </c>
      <c r="CW3927" s="41">
        <v>0.11332468572476186</v>
      </c>
      <c r="CX3927" s="41" t="e">
        <v>#N/A</v>
      </c>
      <c r="CY3927" s="41" t="e">
        <v>#N/A</v>
      </c>
      <c r="CZ3927" s="47" t="e">
        <v>#N/A</v>
      </c>
      <c r="DA3927">
        <v>0.11332468572476186</v>
      </c>
      <c r="DB3927" t="str">
        <v/>
      </c>
    </row>
    <row r="3928" spans="83:106" x14ac:dyDescent="0.2">
      <c r="CE3928"/>
      <c r="CF3928"/>
      <c r="CG3928"/>
      <c r="CH3928"/>
      <c r="CI3928"/>
      <c r="CU3928" s="21">
        <v>3923</v>
      </c>
      <c r="CV3928" s="41">
        <v>4</v>
      </c>
      <c r="CW3928" s="41">
        <v>0.11332468572476186</v>
      </c>
      <c r="CX3928" s="41" t="e">
        <v>#N/A</v>
      </c>
      <c r="CY3928" s="41" t="e">
        <v>#N/A</v>
      </c>
      <c r="CZ3928" s="47" t="e">
        <v>#N/A</v>
      </c>
      <c r="DA3928">
        <v>0.11332468572476186</v>
      </c>
      <c r="DB3928" t="str">
        <v/>
      </c>
    </row>
    <row r="3929" spans="83:106" x14ac:dyDescent="0.2">
      <c r="CE3929"/>
      <c r="CF3929"/>
      <c r="CG3929"/>
      <c r="CH3929"/>
      <c r="CI3929"/>
      <c r="CU3929" s="21">
        <v>3924</v>
      </c>
      <c r="CV3929" s="41">
        <v>4</v>
      </c>
      <c r="CW3929" s="41">
        <v>0.11332468572476186</v>
      </c>
      <c r="CX3929" s="41" t="e">
        <v>#N/A</v>
      </c>
      <c r="CY3929" s="41" t="e">
        <v>#N/A</v>
      </c>
      <c r="CZ3929" s="47" t="e">
        <v>#N/A</v>
      </c>
      <c r="DA3929">
        <v>0.11332468572476186</v>
      </c>
      <c r="DB3929" t="str">
        <v/>
      </c>
    </row>
    <row r="3930" spans="83:106" x14ac:dyDescent="0.2">
      <c r="CE3930"/>
      <c r="CF3930"/>
      <c r="CG3930"/>
      <c r="CH3930"/>
      <c r="CI3930"/>
      <c r="CU3930" s="21">
        <v>3925</v>
      </c>
      <c r="CV3930" s="41">
        <v>4</v>
      </c>
      <c r="CW3930" s="41">
        <v>0.11332468572476186</v>
      </c>
      <c r="CX3930" s="41" t="e">
        <v>#N/A</v>
      </c>
      <c r="CY3930" s="41" t="e">
        <v>#N/A</v>
      </c>
      <c r="CZ3930" s="47" t="e">
        <v>#N/A</v>
      </c>
      <c r="DA3930">
        <v>0.11332468572476186</v>
      </c>
      <c r="DB3930" t="str">
        <v/>
      </c>
    </row>
    <row r="3931" spans="83:106" x14ac:dyDescent="0.2">
      <c r="CE3931"/>
      <c r="CF3931"/>
      <c r="CG3931"/>
      <c r="CH3931"/>
      <c r="CI3931"/>
      <c r="CU3931" s="21">
        <v>3926</v>
      </c>
      <c r="CV3931" s="41">
        <v>4</v>
      </c>
      <c r="CW3931" s="41">
        <v>0.11332468572476186</v>
      </c>
      <c r="CX3931" s="41" t="e">
        <v>#N/A</v>
      </c>
      <c r="CY3931" s="41" t="e">
        <v>#N/A</v>
      </c>
      <c r="CZ3931" s="47" t="e">
        <v>#N/A</v>
      </c>
      <c r="DA3931">
        <v>0.11332468572476186</v>
      </c>
      <c r="DB3931" t="str">
        <v/>
      </c>
    </row>
    <row r="3932" spans="83:106" x14ac:dyDescent="0.2">
      <c r="CE3932"/>
      <c r="CF3932"/>
      <c r="CG3932"/>
      <c r="CH3932"/>
      <c r="CI3932"/>
      <c r="CU3932" s="21">
        <v>3927</v>
      </c>
      <c r="CV3932" s="41">
        <v>4</v>
      </c>
      <c r="CW3932" s="41">
        <v>0.11332468572476186</v>
      </c>
      <c r="CX3932" s="41" t="e">
        <v>#N/A</v>
      </c>
      <c r="CY3932" s="41" t="e">
        <v>#N/A</v>
      </c>
      <c r="CZ3932" s="47" t="e">
        <v>#N/A</v>
      </c>
      <c r="DA3932">
        <v>0.11332468572476186</v>
      </c>
      <c r="DB3932" t="str">
        <v/>
      </c>
    </row>
    <row r="3933" spans="83:106" x14ac:dyDescent="0.2">
      <c r="CE3933"/>
      <c r="CF3933"/>
      <c r="CG3933"/>
      <c r="CH3933"/>
      <c r="CI3933"/>
      <c r="CU3933" s="21">
        <v>3928</v>
      </c>
      <c r="CV3933" s="41">
        <v>4</v>
      </c>
      <c r="CW3933" s="41">
        <v>0.11332468572476186</v>
      </c>
      <c r="CX3933" s="41" t="e">
        <v>#N/A</v>
      </c>
      <c r="CY3933" s="41" t="e">
        <v>#N/A</v>
      </c>
      <c r="CZ3933" s="47" t="e">
        <v>#N/A</v>
      </c>
      <c r="DA3933">
        <v>0.11332468572476186</v>
      </c>
      <c r="DB3933" t="str">
        <v/>
      </c>
    </row>
    <row r="3934" spans="83:106" x14ac:dyDescent="0.2">
      <c r="CE3934"/>
      <c r="CF3934"/>
      <c r="CG3934"/>
      <c r="CH3934"/>
      <c r="CI3934"/>
      <c r="CU3934" s="21">
        <v>3929</v>
      </c>
      <c r="CV3934" s="41">
        <v>4</v>
      </c>
      <c r="CW3934" s="41">
        <v>0.11332468572476186</v>
      </c>
      <c r="CX3934" s="41" t="e">
        <v>#N/A</v>
      </c>
      <c r="CY3934" s="41" t="e">
        <v>#N/A</v>
      </c>
      <c r="CZ3934" s="47" t="e">
        <v>#N/A</v>
      </c>
      <c r="DA3934">
        <v>0.11332468572476186</v>
      </c>
      <c r="DB3934" t="str">
        <v/>
      </c>
    </row>
    <row r="3935" spans="83:106" x14ac:dyDescent="0.2">
      <c r="CE3935"/>
      <c r="CF3935"/>
      <c r="CG3935"/>
      <c r="CH3935"/>
      <c r="CI3935"/>
      <c r="CU3935" s="21">
        <v>3930</v>
      </c>
      <c r="CV3935" s="41">
        <v>4</v>
      </c>
      <c r="CW3935" s="41">
        <v>0.11332468572476186</v>
      </c>
      <c r="CX3935" s="41" t="e">
        <v>#N/A</v>
      </c>
      <c r="CY3935" s="41" t="e">
        <v>#N/A</v>
      </c>
      <c r="CZ3935" s="47" t="e">
        <v>#N/A</v>
      </c>
      <c r="DA3935">
        <v>0.11332468572476186</v>
      </c>
      <c r="DB3935" t="str">
        <v/>
      </c>
    </row>
    <row r="3936" spans="83:106" x14ac:dyDescent="0.2">
      <c r="CE3936"/>
      <c r="CF3936"/>
      <c r="CG3936"/>
      <c r="CH3936"/>
      <c r="CI3936"/>
      <c r="CU3936" s="21">
        <v>3931</v>
      </c>
      <c r="CV3936" s="41">
        <v>4</v>
      </c>
      <c r="CW3936" s="41">
        <v>0.11332468572476186</v>
      </c>
      <c r="CX3936" s="41" t="e">
        <v>#N/A</v>
      </c>
      <c r="CY3936" s="41" t="e">
        <v>#N/A</v>
      </c>
      <c r="CZ3936" s="47" t="e">
        <v>#N/A</v>
      </c>
      <c r="DA3936">
        <v>0.11332468572476186</v>
      </c>
      <c r="DB3936" t="str">
        <v/>
      </c>
    </row>
    <row r="3937" spans="83:106" x14ac:dyDescent="0.2">
      <c r="CE3937"/>
      <c r="CF3937"/>
      <c r="CG3937"/>
      <c r="CH3937"/>
      <c r="CI3937"/>
      <c r="CU3937" s="21">
        <v>3932</v>
      </c>
      <c r="CV3937" s="41">
        <v>4</v>
      </c>
      <c r="CW3937" s="41">
        <v>0.11332468572476186</v>
      </c>
      <c r="CX3937" s="41" t="e">
        <v>#N/A</v>
      </c>
      <c r="CY3937" s="41" t="e">
        <v>#N/A</v>
      </c>
      <c r="CZ3937" s="47" t="e">
        <v>#N/A</v>
      </c>
      <c r="DA3937">
        <v>0.11332468572476186</v>
      </c>
      <c r="DB3937" t="str">
        <v/>
      </c>
    </row>
    <row r="3938" spans="83:106" x14ac:dyDescent="0.2">
      <c r="CE3938"/>
      <c r="CF3938"/>
      <c r="CG3938"/>
      <c r="CH3938"/>
      <c r="CI3938"/>
      <c r="CU3938" s="21">
        <v>3933</v>
      </c>
      <c r="CV3938" s="41">
        <v>4</v>
      </c>
      <c r="CW3938" s="41">
        <v>0.11332468572476186</v>
      </c>
      <c r="CX3938" s="41" t="e">
        <v>#N/A</v>
      </c>
      <c r="CY3938" s="41" t="e">
        <v>#N/A</v>
      </c>
      <c r="CZ3938" s="47" t="e">
        <v>#N/A</v>
      </c>
      <c r="DA3938">
        <v>0.11332468572476186</v>
      </c>
      <c r="DB3938" t="str">
        <v/>
      </c>
    </row>
    <row r="3939" spans="83:106" x14ac:dyDescent="0.2">
      <c r="CE3939"/>
      <c r="CF3939"/>
      <c r="CG3939"/>
      <c r="CH3939"/>
      <c r="CI3939"/>
      <c r="CU3939" s="21">
        <v>3934</v>
      </c>
      <c r="CV3939" s="41">
        <v>4</v>
      </c>
      <c r="CW3939" s="41">
        <v>0.11332468572476186</v>
      </c>
      <c r="CX3939" s="41" t="e">
        <v>#N/A</v>
      </c>
      <c r="CY3939" s="41" t="e">
        <v>#N/A</v>
      </c>
      <c r="CZ3939" s="47" t="e">
        <v>#N/A</v>
      </c>
      <c r="DA3939">
        <v>0.11332468572476186</v>
      </c>
      <c r="DB3939" t="str">
        <v/>
      </c>
    </row>
    <row r="3940" spans="83:106" x14ac:dyDescent="0.2">
      <c r="CE3940"/>
      <c r="CF3940"/>
      <c r="CG3940"/>
      <c r="CH3940"/>
      <c r="CI3940"/>
      <c r="CU3940" s="21">
        <v>3935</v>
      </c>
      <c r="CV3940" s="41">
        <v>4</v>
      </c>
      <c r="CW3940" s="41">
        <v>0.11332468572476186</v>
      </c>
      <c r="CX3940" s="41" t="e">
        <v>#N/A</v>
      </c>
      <c r="CY3940" s="41" t="e">
        <v>#N/A</v>
      </c>
      <c r="CZ3940" s="47" t="e">
        <v>#N/A</v>
      </c>
      <c r="DA3940">
        <v>0.11332468572476186</v>
      </c>
      <c r="DB3940" t="str">
        <v/>
      </c>
    </row>
    <row r="3941" spans="83:106" x14ac:dyDescent="0.2">
      <c r="CE3941"/>
      <c r="CF3941"/>
      <c r="CG3941"/>
      <c r="CH3941"/>
      <c r="CI3941"/>
      <c r="CU3941" s="21">
        <v>3936</v>
      </c>
      <c r="CV3941" s="41">
        <v>4</v>
      </c>
      <c r="CW3941" s="41">
        <v>0.11332468572476186</v>
      </c>
      <c r="CX3941" s="41" t="e">
        <v>#N/A</v>
      </c>
      <c r="CY3941" s="41" t="e">
        <v>#N/A</v>
      </c>
      <c r="CZ3941" s="47" t="e">
        <v>#N/A</v>
      </c>
      <c r="DA3941">
        <v>0.11332468572476186</v>
      </c>
      <c r="DB3941" t="str">
        <v/>
      </c>
    </row>
    <row r="3942" spans="83:106" x14ac:dyDescent="0.2">
      <c r="CE3942"/>
      <c r="CF3942"/>
      <c r="CG3942"/>
      <c r="CH3942"/>
      <c r="CI3942"/>
      <c r="CU3942" s="21">
        <v>3937</v>
      </c>
      <c r="CV3942" s="41">
        <v>4</v>
      </c>
      <c r="CW3942" s="41">
        <v>0.11332468572476186</v>
      </c>
      <c r="CX3942" s="41" t="e">
        <v>#N/A</v>
      </c>
      <c r="CY3942" s="41" t="e">
        <v>#N/A</v>
      </c>
      <c r="CZ3942" s="47" t="e">
        <v>#N/A</v>
      </c>
      <c r="DA3942">
        <v>0.11332468572476186</v>
      </c>
      <c r="DB3942" t="str">
        <v/>
      </c>
    </row>
    <row r="3943" spans="83:106" x14ac:dyDescent="0.2">
      <c r="CE3943"/>
      <c r="CF3943"/>
      <c r="CG3943"/>
      <c r="CH3943"/>
      <c r="CI3943"/>
      <c r="CU3943" s="21">
        <v>3938</v>
      </c>
      <c r="CV3943" s="41">
        <v>4</v>
      </c>
      <c r="CW3943" s="41">
        <v>0.11332468572476186</v>
      </c>
      <c r="CX3943" s="41" t="e">
        <v>#N/A</v>
      </c>
      <c r="CY3943" s="41" t="e">
        <v>#N/A</v>
      </c>
      <c r="CZ3943" s="47" t="e">
        <v>#N/A</v>
      </c>
      <c r="DA3943">
        <v>0.11332468572476186</v>
      </c>
      <c r="DB3943" t="str">
        <v/>
      </c>
    </row>
    <row r="3944" spans="83:106" x14ac:dyDescent="0.2">
      <c r="CE3944"/>
      <c r="CF3944"/>
      <c r="CG3944"/>
      <c r="CH3944"/>
      <c r="CI3944"/>
      <c r="CU3944" s="21">
        <v>3939</v>
      </c>
      <c r="CV3944" s="41">
        <v>4</v>
      </c>
      <c r="CW3944" s="41">
        <v>0.11332468572476186</v>
      </c>
      <c r="CX3944" s="41" t="e">
        <v>#N/A</v>
      </c>
      <c r="CY3944" s="41" t="e">
        <v>#N/A</v>
      </c>
      <c r="CZ3944" s="47" t="e">
        <v>#N/A</v>
      </c>
      <c r="DA3944">
        <v>0.11332468572476186</v>
      </c>
      <c r="DB3944" t="str">
        <v/>
      </c>
    </row>
    <row r="3945" spans="83:106" x14ac:dyDescent="0.2">
      <c r="CE3945"/>
      <c r="CF3945"/>
      <c r="CG3945"/>
      <c r="CH3945"/>
      <c r="CI3945"/>
      <c r="CU3945" s="21">
        <v>3940</v>
      </c>
      <c r="CV3945" s="41">
        <v>4</v>
      </c>
      <c r="CW3945" s="41">
        <v>0.11332468572476186</v>
      </c>
      <c r="CX3945" s="41" t="e">
        <v>#N/A</v>
      </c>
      <c r="CY3945" s="41" t="e">
        <v>#N/A</v>
      </c>
      <c r="CZ3945" s="47" t="e">
        <v>#N/A</v>
      </c>
      <c r="DA3945">
        <v>0.11332468572476186</v>
      </c>
      <c r="DB3945" t="str">
        <v/>
      </c>
    </row>
    <row r="3946" spans="83:106" x14ac:dyDescent="0.2">
      <c r="CE3946"/>
      <c r="CF3946"/>
      <c r="CG3946"/>
      <c r="CH3946"/>
      <c r="CI3946"/>
      <c r="CU3946" s="21">
        <v>3941</v>
      </c>
      <c r="CV3946" s="41">
        <v>4</v>
      </c>
      <c r="CW3946" s="41">
        <v>0.11332468572476186</v>
      </c>
      <c r="CX3946" s="41" t="e">
        <v>#N/A</v>
      </c>
      <c r="CY3946" s="41" t="e">
        <v>#N/A</v>
      </c>
      <c r="CZ3946" s="47" t="e">
        <v>#N/A</v>
      </c>
      <c r="DA3946">
        <v>0.11332468572476186</v>
      </c>
      <c r="DB3946" t="str">
        <v/>
      </c>
    </row>
    <row r="3947" spans="83:106" x14ac:dyDescent="0.2">
      <c r="CE3947"/>
      <c r="CF3947"/>
      <c r="CG3947"/>
      <c r="CH3947"/>
      <c r="CI3947"/>
      <c r="CU3947" s="21">
        <v>3942</v>
      </c>
      <c r="CV3947" s="41">
        <v>4</v>
      </c>
      <c r="CW3947" s="41">
        <v>0.11332468572476186</v>
      </c>
      <c r="CX3947" s="41" t="e">
        <v>#N/A</v>
      </c>
      <c r="CY3947" s="41" t="e">
        <v>#N/A</v>
      </c>
      <c r="CZ3947" s="47" t="e">
        <v>#N/A</v>
      </c>
      <c r="DA3947">
        <v>0.11332468572476186</v>
      </c>
      <c r="DB3947" t="str">
        <v/>
      </c>
    </row>
    <row r="3948" spans="83:106" x14ac:dyDescent="0.2">
      <c r="CE3948"/>
      <c r="CF3948"/>
      <c r="CG3948"/>
      <c r="CH3948"/>
      <c r="CI3948"/>
      <c r="CU3948" s="21">
        <v>3943</v>
      </c>
      <c r="CV3948" s="41">
        <v>4</v>
      </c>
      <c r="CW3948" s="41">
        <v>0.11332468572476186</v>
      </c>
      <c r="CX3948" s="41" t="e">
        <v>#N/A</v>
      </c>
      <c r="CY3948" s="41" t="e">
        <v>#N/A</v>
      </c>
      <c r="CZ3948" s="47" t="e">
        <v>#N/A</v>
      </c>
      <c r="DA3948">
        <v>0.11332468572476186</v>
      </c>
      <c r="DB3948" t="str">
        <v/>
      </c>
    </row>
    <row r="3949" spans="83:106" x14ac:dyDescent="0.2">
      <c r="CE3949"/>
      <c r="CF3949"/>
      <c r="CG3949"/>
      <c r="CH3949"/>
      <c r="CI3949"/>
      <c r="CU3949" s="21">
        <v>3944</v>
      </c>
      <c r="CV3949" s="41">
        <v>4</v>
      </c>
      <c r="CW3949" s="41">
        <v>0.11332468572476186</v>
      </c>
      <c r="CX3949" s="41" t="e">
        <v>#N/A</v>
      </c>
      <c r="CY3949" s="41" t="e">
        <v>#N/A</v>
      </c>
      <c r="CZ3949" s="47" t="e">
        <v>#N/A</v>
      </c>
      <c r="DA3949">
        <v>0.11332468572476186</v>
      </c>
      <c r="DB3949" t="str">
        <v/>
      </c>
    </row>
    <row r="3950" spans="83:106" x14ac:dyDescent="0.2">
      <c r="CE3950"/>
      <c r="CF3950"/>
      <c r="CG3950"/>
      <c r="CH3950"/>
      <c r="CI3950"/>
      <c r="CU3950" s="21">
        <v>3945</v>
      </c>
      <c r="CV3950" s="41">
        <v>4</v>
      </c>
      <c r="CW3950" s="41">
        <v>0.11332468572476186</v>
      </c>
      <c r="CX3950" s="41" t="e">
        <v>#N/A</v>
      </c>
      <c r="CY3950" s="41" t="e">
        <v>#N/A</v>
      </c>
      <c r="CZ3950" s="47" t="e">
        <v>#N/A</v>
      </c>
      <c r="DA3950">
        <v>0.11332468572476186</v>
      </c>
      <c r="DB3950" t="str">
        <v/>
      </c>
    </row>
    <row r="3951" spans="83:106" x14ac:dyDescent="0.2">
      <c r="CE3951"/>
      <c r="CF3951"/>
      <c r="CG3951"/>
      <c r="CH3951"/>
      <c r="CI3951"/>
      <c r="CU3951" s="21">
        <v>3946</v>
      </c>
      <c r="CV3951" s="41">
        <v>4</v>
      </c>
      <c r="CW3951" s="41">
        <v>0.11332468572476186</v>
      </c>
      <c r="CX3951" s="41" t="e">
        <v>#N/A</v>
      </c>
      <c r="CY3951" s="41" t="e">
        <v>#N/A</v>
      </c>
      <c r="CZ3951" s="47" t="e">
        <v>#N/A</v>
      </c>
      <c r="DA3951">
        <v>0.11332468572476186</v>
      </c>
      <c r="DB3951" t="str">
        <v/>
      </c>
    </row>
    <row r="3952" spans="83:106" x14ac:dyDescent="0.2">
      <c r="CE3952"/>
      <c r="CF3952"/>
      <c r="CG3952"/>
      <c r="CH3952"/>
      <c r="CI3952"/>
      <c r="CU3952" s="21">
        <v>3947</v>
      </c>
      <c r="CV3952" s="41">
        <v>4</v>
      </c>
      <c r="CW3952" s="41">
        <v>0.11332468572476186</v>
      </c>
      <c r="CX3952" s="41" t="e">
        <v>#N/A</v>
      </c>
      <c r="CY3952" s="41" t="e">
        <v>#N/A</v>
      </c>
      <c r="CZ3952" s="47" t="e">
        <v>#N/A</v>
      </c>
      <c r="DA3952">
        <v>0.11332468572476186</v>
      </c>
      <c r="DB3952" t="str">
        <v/>
      </c>
    </row>
    <row r="3953" spans="83:106" x14ac:dyDescent="0.2">
      <c r="CE3953"/>
      <c r="CF3953"/>
      <c r="CG3953"/>
      <c r="CH3953"/>
      <c r="CI3953"/>
      <c r="CU3953" s="21">
        <v>3948</v>
      </c>
      <c r="CV3953" s="41">
        <v>4</v>
      </c>
      <c r="CW3953" s="41">
        <v>0.11332468572476186</v>
      </c>
      <c r="CX3953" s="41" t="e">
        <v>#N/A</v>
      </c>
      <c r="CY3953" s="41" t="e">
        <v>#N/A</v>
      </c>
      <c r="CZ3953" s="47" t="e">
        <v>#N/A</v>
      </c>
      <c r="DA3953">
        <v>0.11332468572476186</v>
      </c>
      <c r="DB3953" t="str">
        <v/>
      </c>
    </row>
    <row r="3954" spans="83:106" x14ac:dyDescent="0.2">
      <c r="CE3954"/>
      <c r="CF3954"/>
      <c r="CG3954"/>
      <c r="CH3954"/>
      <c r="CI3954"/>
      <c r="CU3954" s="21">
        <v>3949</v>
      </c>
      <c r="CV3954" s="41">
        <v>4</v>
      </c>
      <c r="CW3954" s="41">
        <v>0.11332468572476186</v>
      </c>
      <c r="CX3954" s="41" t="e">
        <v>#N/A</v>
      </c>
      <c r="CY3954" s="41" t="e">
        <v>#N/A</v>
      </c>
      <c r="CZ3954" s="47" t="e">
        <v>#N/A</v>
      </c>
      <c r="DA3954">
        <v>0.11332468572476186</v>
      </c>
      <c r="DB3954" t="str">
        <v/>
      </c>
    </row>
    <row r="3955" spans="83:106" x14ac:dyDescent="0.2">
      <c r="CE3955"/>
      <c r="CF3955"/>
      <c r="CG3955"/>
      <c r="CH3955"/>
      <c r="CI3955"/>
      <c r="CU3955" s="21">
        <v>3950</v>
      </c>
      <c r="CV3955" s="41">
        <v>4</v>
      </c>
      <c r="CW3955" s="41">
        <v>0.11332468572476186</v>
      </c>
      <c r="CX3955" s="41" t="e">
        <v>#N/A</v>
      </c>
      <c r="CY3955" s="41" t="e">
        <v>#N/A</v>
      </c>
      <c r="CZ3955" s="47" t="e">
        <v>#N/A</v>
      </c>
      <c r="DA3955">
        <v>0.11332468572476186</v>
      </c>
      <c r="DB3955" t="str">
        <v/>
      </c>
    </row>
    <row r="3956" spans="83:106" x14ac:dyDescent="0.2">
      <c r="CE3956"/>
      <c r="CF3956"/>
      <c r="CG3956"/>
      <c r="CH3956"/>
      <c r="CI3956"/>
      <c r="CU3956" s="21">
        <v>3951</v>
      </c>
      <c r="CV3956" s="41">
        <v>4</v>
      </c>
      <c r="CW3956" s="41">
        <v>0.11332468572476186</v>
      </c>
      <c r="CX3956" s="41" t="e">
        <v>#N/A</v>
      </c>
      <c r="CY3956" s="41" t="e">
        <v>#N/A</v>
      </c>
      <c r="CZ3956" s="47" t="e">
        <v>#N/A</v>
      </c>
      <c r="DA3956">
        <v>0.11332468572476186</v>
      </c>
      <c r="DB3956" t="str">
        <v/>
      </c>
    </row>
    <row r="3957" spans="83:106" x14ac:dyDescent="0.2">
      <c r="CE3957"/>
      <c r="CF3957"/>
      <c r="CG3957"/>
      <c r="CH3957"/>
      <c r="CI3957"/>
      <c r="CU3957" s="21">
        <v>3952</v>
      </c>
      <c r="CV3957" s="41">
        <v>4</v>
      </c>
      <c r="CW3957" s="41">
        <v>0.11332468572476186</v>
      </c>
      <c r="CX3957" s="41" t="e">
        <v>#N/A</v>
      </c>
      <c r="CY3957" s="41" t="e">
        <v>#N/A</v>
      </c>
      <c r="CZ3957" s="47" t="e">
        <v>#N/A</v>
      </c>
      <c r="DA3957">
        <v>0.11332468572476186</v>
      </c>
      <c r="DB3957" t="str">
        <v/>
      </c>
    </row>
    <row r="3958" spans="83:106" x14ac:dyDescent="0.2">
      <c r="CE3958"/>
      <c r="CF3958"/>
      <c r="CG3958"/>
      <c r="CH3958"/>
      <c r="CI3958"/>
      <c r="CU3958" s="21">
        <v>3953</v>
      </c>
      <c r="CV3958" s="41">
        <v>4</v>
      </c>
      <c r="CW3958" s="41">
        <v>0.11332468572476186</v>
      </c>
      <c r="CX3958" s="41" t="e">
        <v>#N/A</v>
      </c>
      <c r="CY3958" s="41" t="e">
        <v>#N/A</v>
      </c>
      <c r="CZ3958" s="47" t="e">
        <v>#N/A</v>
      </c>
      <c r="DA3958">
        <v>0.11332468572476186</v>
      </c>
      <c r="DB3958" t="str">
        <v/>
      </c>
    </row>
    <row r="3959" spans="83:106" x14ac:dyDescent="0.2">
      <c r="CE3959"/>
      <c r="CF3959"/>
      <c r="CG3959"/>
      <c r="CH3959"/>
      <c r="CI3959"/>
      <c r="CU3959" s="21">
        <v>3954</v>
      </c>
      <c r="CV3959" s="41">
        <v>4</v>
      </c>
      <c r="CW3959" s="41">
        <v>0.11332468572476186</v>
      </c>
      <c r="CX3959" s="41" t="e">
        <v>#N/A</v>
      </c>
      <c r="CY3959" s="41" t="e">
        <v>#N/A</v>
      </c>
      <c r="CZ3959" s="47" t="e">
        <v>#N/A</v>
      </c>
      <c r="DA3959">
        <v>0.11332468572476186</v>
      </c>
      <c r="DB3959" t="str">
        <v/>
      </c>
    </row>
    <row r="3960" spans="83:106" x14ac:dyDescent="0.2">
      <c r="CE3960"/>
      <c r="CF3960"/>
      <c r="CG3960"/>
      <c r="CH3960"/>
      <c r="CI3960"/>
      <c r="CU3960" s="21">
        <v>3955</v>
      </c>
      <c r="CV3960" s="41">
        <v>4</v>
      </c>
      <c r="CW3960" s="41">
        <v>0.11332468572476186</v>
      </c>
      <c r="CX3960" s="41" t="e">
        <v>#N/A</v>
      </c>
      <c r="CY3960" s="41" t="e">
        <v>#N/A</v>
      </c>
      <c r="CZ3960" s="47" t="e">
        <v>#N/A</v>
      </c>
      <c r="DA3960">
        <v>0.11332468572476186</v>
      </c>
      <c r="DB3960" t="str">
        <v/>
      </c>
    </row>
    <row r="3961" spans="83:106" x14ac:dyDescent="0.2">
      <c r="CE3961"/>
      <c r="CF3961"/>
      <c r="CG3961"/>
      <c r="CH3961"/>
      <c r="CI3961"/>
      <c r="CU3961" s="21">
        <v>3956</v>
      </c>
      <c r="CV3961" s="41">
        <v>4</v>
      </c>
      <c r="CW3961" s="41">
        <v>0.11332468572476186</v>
      </c>
      <c r="CX3961" s="41" t="e">
        <v>#N/A</v>
      </c>
      <c r="CY3961" s="41" t="e">
        <v>#N/A</v>
      </c>
      <c r="CZ3961" s="47" t="e">
        <v>#N/A</v>
      </c>
      <c r="DA3961">
        <v>0.11332468572476186</v>
      </c>
      <c r="DB3961" t="str">
        <v/>
      </c>
    </row>
    <row r="3962" spans="83:106" x14ac:dyDescent="0.2">
      <c r="CE3962"/>
      <c r="CF3962"/>
      <c r="CG3962"/>
      <c r="CH3962"/>
      <c r="CI3962"/>
      <c r="CU3962" s="21">
        <v>3957</v>
      </c>
      <c r="CV3962" s="41">
        <v>4</v>
      </c>
      <c r="CW3962" s="41">
        <v>0.11332468572476186</v>
      </c>
      <c r="CX3962" s="41" t="e">
        <v>#N/A</v>
      </c>
      <c r="CY3962" s="41" t="e">
        <v>#N/A</v>
      </c>
      <c r="CZ3962" s="47" t="e">
        <v>#N/A</v>
      </c>
      <c r="DA3962">
        <v>0.11332468572476186</v>
      </c>
      <c r="DB3962" t="str">
        <v/>
      </c>
    </row>
    <row r="3963" spans="83:106" x14ac:dyDescent="0.2">
      <c r="CE3963"/>
      <c r="CF3963"/>
      <c r="CG3963"/>
      <c r="CH3963"/>
      <c r="CI3963"/>
      <c r="CU3963" s="21">
        <v>3958</v>
      </c>
      <c r="CV3963" s="41">
        <v>4</v>
      </c>
      <c r="CW3963" s="41">
        <v>0.11332468572476186</v>
      </c>
      <c r="CX3963" s="41" t="e">
        <v>#N/A</v>
      </c>
      <c r="CY3963" s="41" t="e">
        <v>#N/A</v>
      </c>
      <c r="CZ3963" s="47" t="e">
        <v>#N/A</v>
      </c>
      <c r="DA3963">
        <v>0.11332468572476186</v>
      </c>
      <c r="DB3963" t="str">
        <v/>
      </c>
    </row>
    <row r="3964" spans="83:106" x14ac:dyDescent="0.2">
      <c r="CE3964"/>
      <c r="CF3964"/>
      <c r="CG3964"/>
      <c r="CH3964"/>
      <c r="CI3964"/>
      <c r="CU3964" s="21">
        <v>3959</v>
      </c>
      <c r="CV3964" s="41">
        <v>4</v>
      </c>
      <c r="CW3964" s="41">
        <v>0.11332468572476186</v>
      </c>
      <c r="CX3964" s="41" t="e">
        <v>#N/A</v>
      </c>
      <c r="CY3964" s="41" t="e">
        <v>#N/A</v>
      </c>
      <c r="CZ3964" s="47" t="e">
        <v>#N/A</v>
      </c>
      <c r="DA3964">
        <v>0.11332468572476186</v>
      </c>
      <c r="DB3964" t="str">
        <v/>
      </c>
    </row>
    <row r="3965" spans="83:106" x14ac:dyDescent="0.2">
      <c r="CE3965"/>
      <c r="CF3965"/>
      <c r="CG3965"/>
      <c r="CH3965"/>
      <c r="CI3965"/>
      <c r="CU3965" s="21">
        <v>3960</v>
      </c>
      <c r="CV3965" s="41">
        <v>4</v>
      </c>
      <c r="CW3965" s="41">
        <v>0.11332468572476186</v>
      </c>
      <c r="CX3965" s="41" t="e">
        <v>#N/A</v>
      </c>
      <c r="CY3965" s="41" t="e">
        <v>#N/A</v>
      </c>
      <c r="CZ3965" s="47" t="e">
        <v>#N/A</v>
      </c>
      <c r="DA3965">
        <v>0.11332468572476186</v>
      </c>
      <c r="DB3965" t="str">
        <v/>
      </c>
    </row>
    <row r="3966" spans="83:106" x14ac:dyDescent="0.2">
      <c r="CE3966"/>
      <c r="CF3966"/>
      <c r="CG3966"/>
      <c r="CH3966"/>
      <c r="CI3966"/>
      <c r="CU3966" s="21">
        <v>3961</v>
      </c>
      <c r="CV3966" s="41">
        <v>4</v>
      </c>
      <c r="CW3966" s="41">
        <v>0.11332468572476186</v>
      </c>
      <c r="CX3966" s="41" t="e">
        <v>#N/A</v>
      </c>
      <c r="CY3966" s="41" t="e">
        <v>#N/A</v>
      </c>
      <c r="CZ3966" s="47" t="e">
        <v>#N/A</v>
      </c>
      <c r="DA3966">
        <v>0.11332468572476186</v>
      </c>
      <c r="DB3966" t="str">
        <v/>
      </c>
    </row>
    <row r="3967" spans="83:106" x14ac:dyDescent="0.2">
      <c r="CE3967"/>
      <c r="CF3967"/>
      <c r="CG3967"/>
      <c r="CH3967"/>
      <c r="CI3967"/>
      <c r="CU3967" s="21">
        <v>3962</v>
      </c>
      <c r="CV3967" s="41">
        <v>4</v>
      </c>
      <c r="CW3967" s="41">
        <v>0.11332468572476186</v>
      </c>
      <c r="CX3967" s="41" t="e">
        <v>#N/A</v>
      </c>
      <c r="CY3967" s="41" t="e">
        <v>#N/A</v>
      </c>
      <c r="CZ3967" s="47" t="e">
        <v>#N/A</v>
      </c>
      <c r="DA3967">
        <v>0.11332468572476186</v>
      </c>
      <c r="DB3967" t="str">
        <v/>
      </c>
    </row>
    <row r="3968" spans="83:106" x14ac:dyDescent="0.2">
      <c r="CE3968"/>
      <c r="CF3968"/>
      <c r="CG3968"/>
      <c r="CH3968"/>
      <c r="CI3968"/>
      <c r="CU3968" s="21">
        <v>3963</v>
      </c>
      <c r="CV3968" s="41">
        <v>4</v>
      </c>
      <c r="CW3968" s="41">
        <v>0.11332468572476186</v>
      </c>
      <c r="CX3968" s="41" t="e">
        <v>#N/A</v>
      </c>
      <c r="CY3968" s="41" t="e">
        <v>#N/A</v>
      </c>
      <c r="CZ3968" s="47" t="e">
        <v>#N/A</v>
      </c>
      <c r="DA3968">
        <v>0.11332468572476186</v>
      </c>
      <c r="DB3968" t="str">
        <v/>
      </c>
    </row>
    <row r="3969" spans="83:106" x14ac:dyDescent="0.2">
      <c r="CE3969"/>
      <c r="CF3969"/>
      <c r="CG3969"/>
      <c r="CH3969"/>
      <c r="CI3969"/>
      <c r="CU3969" s="21">
        <v>3964</v>
      </c>
      <c r="CV3969" s="41">
        <v>4</v>
      </c>
      <c r="CW3969" s="41">
        <v>0.11332468572476186</v>
      </c>
      <c r="CX3969" s="41" t="e">
        <v>#N/A</v>
      </c>
      <c r="CY3969" s="41" t="e">
        <v>#N/A</v>
      </c>
      <c r="CZ3969" s="47" t="e">
        <v>#N/A</v>
      </c>
      <c r="DA3969">
        <v>0.11332468572476186</v>
      </c>
      <c r="DB3969" t="str">
        <v/>
      </c>
    </row>
    <row r="3970" spans="83:106" x14ac:dyDescent="0.2">
      <c r="CE3970"/>
      <c r="CF3970"/>
      <c r="CG3970"/>
      <c r="CH3970"/>
      <c r="CI3970"/>
      <c r="CU3970" s="21">
        <v>3965</v>
      </c>
      <c r="CV3970" s="41">
        <v>4</v>
      </c>
      <c r="CW3970" s="41">
        <v>0.11332468572476186</v>
      </c>
      <c r="CX3970" s="41" t="e">
        <v>#N/A</v>
      </c>
      <c r="CY3970" s="41" t="e">
        <v>#N/A</v>
      </c>
      <c r="CZ3970" s="47" t="e">
        <v>#N/A</v>
      </c>
      <c r="DA3970">
        <v>0.11332468572476186</v>
      </c>
      <c r="DB3970" t="str">
        <v/>
      </c>
    </row>
    <row r="3971" spans="83:106" x14ac:dyDescent="0.2">
      <c r="CE3971"/>
      <c r="CF3971"/>
      <c r="CG3971"/>
      <c r="CH3971"/>
      <c r="CI3971"/>
      <c r="CU3971" s="21">
        <v>3966</v>
      </c>
      <c r="CV3971" s="41">
        <v>4</v>
      </c>
      <c r="CW3971" s="41">
        <v>0.11332468572476186</v>
      </c>
      <c r="CX3971" s="41" t="e">
        <v>#N/A</v>
      </c>
      <c r="CY3971" s="41" t="e">
        <v>#N/A</v>
      </c>
      <c r="CZ3971" s="47" t="e">
        <v>#N/A</v>
      </c>
      <c r="DA3971">
        <v>0.11332468572476186</v>
      </c>
      <c r="DB3971" t="str">
        <v/>
      </c>
    </row>
    <row r="3972" spans="83:106" x14ac:dyDescent="0.2">
      <c r="CE3972"/>
      <c r="CF3972"/>
      <c r="CG3972"/>
      <c r="CH3972"/>
      <c r="CI3972"/>
      <c r="CU3972" s="21">
        <v>3967</v>
      </c>
      <c r="CV3972" s="41">
        <v>4</v>
      </c>
      <c r="CW3972" s="41">
        <v>0.11332468572476186</v>
      </c>
      <c r="CX3972" s="41" t="e">
        <v>#N/A</v>
      </c>
      <c r="CY3972" s="41" t="e">
        <v>#N/A</v>
      </c>
      <c r="CZ3972" s="47" t="e">
        <v>#N/A</v>
      </c>
      <c r="DA3972">
        <v>0.11332468572476186</v>
      </c>
      <c r="DB3972" t="str">
        <v/>
      </c>
    </row>
    <row r="3973" spans="83:106" x14ac:dyDescent="0.2">
      <c r="CE3973"/>
      <c r="CF3973"/>
      <c r="CG3973"/>
      <c r="CH3973"/>
      <c r="CI3973"/>
      <c r="CU3973" s="21">
        <v>3968</v>
      </c>
      <c r="CV3973" s="41">
        <v>4</v>
      </c>
      <c r="CW3973" s="41">
        <v>0.11332468572476186</v>
      </c>
      <c r="CX3973" s="41" t="e">
        <v>#N/A</v>
      </c>
      <c r="CY3973" s="41" t="e">
        <v>#N/A</v>
      </c>
      <c r="CZ3973" s="47" t="e">
        <v>#N/A</v>
      </c>
      <c r="DA3973">
        <v>0.11332468572476186</v>
      </c>
      <c r="DB3973" t="str">
        <v/>
      </c>
    </row>
    <row r="3974" spans="83:106" x14ac:dyDescent="0.2">
      <c r="CE3974"/>
      <c r="CF3974"/>
      <c r="CG3974"/>
      <c r="CH3974"/>
      <c r="CI3974"/>
      <c r="CU3974" s="21">
        <v>3969</v>
      </c>
      <c r="CV3974" s="41">
        <v>4</v>
      </c>
      <c r="CW3974" s="41">
        <v>0.11332468572476186</v>
      </c>
      <c r="CX3974" s="41" t="e">
        <v>#N/A</v>
      </c>
      <c r="CY3974" s="41" t="e">
        <v>#N/A</v>
      </c>
      <c r="CZ3974" s="47" t="e">
        <v>#N/A</v>
      </c>
      <c r="DA3974">
        <v>0.11332468572476186</v>
      </c>
      <c r="DB3974" t="str">
        <v/>
      </c>
    </row>
    <row r="3975" spans="83:106" x14ac:dyDescent="0.2">
      <c r="CE3975"/>
      <c r="CF3975"/>
      <c r="CG3975"/>
      <c r="CH3975"/>
      <c r="CI3975"/>
      <c r="CU3975" s="21">
        <v>3970</v>
      </c>
      <c r="CV3975" s="41">
        <v>4</v>
      </c>
      <c r="CW3975" s="41">
        <v>0.11332468572476186</v>
      </c>
      <c r="CX3975" s="41" t="e">
        <v>#N/A</v>
      </c>
      <c r="CY3975" s="41" t="e">
        <v>#N/A</v>
      </c>
      <c r="CZ3975" s="47" t="e">
        <v>#N/A</v>
      </c>
      <c r="DA3975">
        <v>0.11332468572476186</v>
      </c>
      <c r="DB3975" t="str">
        <v/>
      </c>
    </row>
    <row r="3976" spans="83:106" x14ac:dyDescent="0.2">
      <c r="CE3976"/>
      <c r="CF3976"/>
      <c r="CG3976"/>
      <c r="CH3976"/>
      <c r="CI3976"/>
      <c r="CU3976" s="21">
        <v>3971</v>
      </c>
      <c r="CV3976" s="41">
        <v>4</v>
      </c>
      <c r="CW3976" s="41">
        <v>0.11332468572476186</v>
      </c>
      <c r="CX3976" s="41" t="e">
        <v>#N/A</v>
      </c>
      <c r="CY3976" s="41" t="e">
        <v>#N/A</v>
      </c>
      <c r="CZ3976" s="47" t="e">
        <v>#N/A</v>
      </c>
      <c r="DA3976">
        <v>0.11332468572476186</v>
      </c>
      <c r="DB3976" t="str">
        <v/>
      </c>
    </row>
    <row r="3977" spans="83:106" x14ac:dyDescent="0.2">
      <c r="CE3977"/>
      <c r="CF3977"/>
      <c r="CG3977"/>
      <c r="CH3977"/>
      <c r="CI3977"/>
      <c r="CU3977" s="21">
        <v>3972</v>
      </c>
      <c r="CV3977" s="41">
        <v>4</v>
      </c>
      <c r="CW3977" s="41">
        <v>0.11332468572476186</v>
      </c>
      <c r="CX3977" s="41" t="e">
        <v>#N/A</v>
      </c>
      <c r="CY3977" s="41" t="e">
        <v>#N/A</v>
      </c>
      <c r="CZ3977" s="47" t="e">
        <v>#N/A</v>
      </c>
      <c r="DA3977">
        <v>0.11332468572476186</v>
      </c>
      <c r="DB3977" t="str">
        <v/>
      </c>
    </row>
    <row r="3978" spans="83:106" x14ac:dyDescent="0.2">
      <c r="CE3978"/>
      <c r="CF3978"/>
      <c r="CG3978"/>
      <c r="CH3978"/>
      <c r="CI3978"/>
      <c r="CU3978" s="21">
        <v>3973</v>
      </c>
      <c r="CV3978" s="41">
        <v>4</v>
      </c>
      <c r="CW3978" s="41">
        <v>0.11332468572476186</v>
      </c>
      <c r="CX3978" s="41" t="e">
        <v>#N/A</v>
      </c>
      <c r="CY3978" s="41" t="e">
        <v>#N/A</v>
      </c>
      <c r="CZ3978" s="47" t="e">
        <v>#N/A</v>
      </c>
      <c r="DA3978">
        <v>0.11332468572476186</v>
      </c>
      <c r="DB3978" t="str">
        <v/>
      </c>
    </row>
    <row r="3979" spans="83:106" x14ac:dyDescent="0.2">
      <c r="CE3979"/>
      <c r="CF3979"/>
      <c r="CG3979"/>
      <c r="CH3979"/>
      <c r="CI3979"/>
      <c r="CU3979" s="21">
        <v>3974</v>
      </c>
      <c r="CV3979" s="41">
        <v>4</v>
      </c>
      <c r="CW3979" s="41">
        <v>0.11332468572476186</v>
      </c>
      <c r="CX3979" s="41" t="e">
        <v>#N/A</v>
      </c>
      <c r="CY3979" s="41" t="e">
        <v>#N/A</v>
      </c>
      <c r="CZ3979" s="47" t="e">
        <v>#N/A</v>
      </c>
      <c r="DA3979">
        <v>0.11332468572476186</v>
      </c>
      <c r="DB3979" t="str">
        <v/>
      </c>
    </row>
    <row r="3980" spans="83:106" x14ac:dyDescent="0.2">
      <c r="CE3980"/>
      <c r="CF3980"/>
      <c r="CG3980"/>
      <c r="CH3980"/>
      <c r="CI3980"/>
      <c r="CU3980" s="21">
        <v>3975</v>
      </c>
      <c r="CV3980" s="41">
        <v>4</v>
      </c>
      <c r="CW3980" s="41">
        <v>0.11332468572476186</v>
      </c>
      <c r="CX3980" s="41" t="e">
        <v>#N/A</v>
      </c>
      <c r="CY3980" s="41" t="e">
        <v>#N/A</v>
      </c>
      <c r="CZ3980" s="47" t="e">
        <v>#N/A</v>
      </c>
      <c r="DA3980">
        <v>0.11332468572476186</v>
      </c>
      <c r="DB3980" t="str">
        <v/>
      </c>
    </row>
    <row r="3981" spans="83:106" x14ac:dyDescent="0.2">
      <c r="CE3981"/>
      <c r="CF3981"/>
      <c r="CG3981"/>
      <c r="CH3981"/>
      <c r="CI3981"/>
      <c r="CU3981" s="21">
        <v>3976</v>
      </c>
      <c r="CV3981" s="41">
        <v>4</v>
      </c>
      <c r="CW3981" s="41">
        <v>0.11332468572476186</v>
      </c>
      <c r="CX3981" s="41" t="e">
        <v>#N/A</v>
      </c>
      <c r="CY3981" s="41" t="e">
        <v>#N/A</v>
      </c>
      <c r="CZ3981" s="47" t="e">
        <v>#N/A</v>
      </c>
      <c r="DA3981">
        <v>0.11332468572476186</v>
      </c>
      <c r="DB3981" t="str">
        <v/>
      </c>
    </row>
    <row r="3982" spans="83:106" x14ac:dyDescent="0.2">
      <c r="CE3982"/>
      <c r="CF3982"/>
      <c r="CG3982"/>
      <c r="CH3982"/>
      <c r="CI3982"/>
      <c r="CU3982" s="21">
        <v>3977</v>
      </c>
      <c r="CV3982" s="41">
        <v>4</v>
      </c>
      <c r="CW3982" s="41">
        <v>0.11332468572476186</v>
      </c>
      <c r="CX3982" s="41" t="e">
        <v>#N/A</v>
      </c>
      <c r="CY3982" s="41" t="e">
        <v>#N/A</v>
      </c>
      <c r="CZ3982" s="47" t="e">
        <v>#N/A</v>
      </c>
      <c r="DA3982">
        <v>0.11332468572476186</v>
      </c>
      <c r="DB3982" t="str">
        <v/>
      </c>
    </row>
    <row r="3983" spans="83:106" x14ac:dyDescent="0.2">
      <c r="CE3983"/>
      <c r="CF3983"/>
      <c r="CG3983"/>
      <c r="CH3983"/>
      <c r="CI3983"/>
      <c r="CU3983" s="21">
        <v>3978</v>
      </c>
      <c r="CV3983" s="41">
        <v>4</v>
      </c>
      <c r="CW3983" s="41">
        <v>0.11332468572476186</v>
      </c>
      <c r="CX3983" s="41" t="e">
        <v>#N/A</v>
      </c>
      <c r="CY3983" s="41" t="e">
        <v>#N/A</v>
      </c>
      <c r="CZ3983" s="47" t="e">
        <v>#N/A</v>
      </c>
      <c r="DA3983">
        <v>0.11332468572476186</v>
      </c>
      <c r="DB3983" t="str">
        <v/>
      </c>
    </row>
    <row r="3984" spans="83:106" x14ac:dyDescent="0.2">
      <c r="CE3984"/>
      <c r="CF3984"/>
      <c r="CG3984"/>
      <c r="CH3984"/>
      <c r="CI3984"/>
      <c r="CU3984" s="21">
        <v>3979</v>
      </c>
      <c r="CV3984" s="41">
        <v>4</v>
      </c>
      <c r="CW3984" s="41">
        <v>0.11332468572476186</v>
      </c>
      <c r="CX3984" s="41" t="e">
        <v>#N/A</v>
      </c>
      <c r="CY3984" s="41" t="e">
        <v>#N/A</v>
      </c>
      <c r="CZ3984" s="47" t="e">
        <v>#N/A</v>
      </c>
      <c r="DA3984">
        <v>0.11332468572476186</v>
      </c>
      <c r="DB3984" t="str">
        <v/>
      </c>
    </row>
    <row r="3985" spans="83:106" x14ac:dyDescent="0.2">
      <c r="CE3985"/>
      <c r="CF3985"/>
      <c r="CG3985"/>
      <c r="CH3985"/>
      <c r="CI3985"/>
      <c r="CU3985" s="21">
        <v>3980</v>
      </c>
      <c r="CV3985" s="41">
        <v>4</v>
      </c>
      <c r="CW3985" s="41">
        <v>0.11332468572476186</v>
      </c>
      <c r="CX3985" s="41" t="e">
        <v>#N/A</v>
      </c>
      <c r="CY3985" s="41" t="e">
        <v>#N/A</v>
      </c>
      <c r="CZ3985" s="47" t="e">
        <v>#N/A</v>
      </c>
      <c r="DA3985">
        <v>0.11332468572476186</v>
      </c>
      <c r="DB3985" t="str">
        <v/>
      </c>
    </row>
    <row r="3986" spans="83:106" x14ac:dyDescent="0.2">
      <c r="CE3986"/>
      <c r="CF3986"/>
      <c r="CG3986"/>
      <c r="CH3986"/>
      <c r="CI3986"/>
      <c r="CU3986" s="21">
        <v>3981</v>
      </c>
      <c r="CV3986" s="41">
        <v>4</v>
      </c>
      <c r="CW3986" s="41">
        <v>0.11332468572476186</v>
      </c>
      <c r="CX3986" s="41" t="e">
        <v>#N/A</v>
      </c>
      <c r="CY3986" s="41" t="e">
        <v>#N/A</v>
      </c>
      <c r="CZ3986" s="47" t="e">
        <v>#N/A</v>
      </c>
      <c r="DA3986">
        <v>0.11332468572476186</v>
      </c>
      <c r="DB3986" t="str">
        <v/>
      </c>
    </row>
    <row r="3987" spans="83:106" x14ac:dyDescent="0.2">
      <c r="CE3987"/>
      <c r="CF3987"/>
      <c r="CG3987"/>
      <c r="CH3987"/>
      <c r="CI3987"/>
      <c r="CU3987" s="21">
        <v>3982</v>
      </c>
      <c r="CV3987" s="41">
        <v>4</v>
      </c>
      <c r="CW3987" s="41">
        <v>0.11332468572476186</v>
      </c>
      <c r="CX3987" s="41" t="e">
        <v>#N/A</v>
      </c>
      <c r="CY3987" s="41" t="e">
        <v>#N/A</v>
      </c>
      <c r="CZ3987" s="47" t="e">
        <v>#N/A</v>
      </c>
      <c r="DA3987">
        <v>0.11332468572476186</v>
      </c>
      <c r="DB3987" t="str">
        <v/>
      </c>
    </row>
    <row r="3988" spans="83:106" x14ac:dyDescent="0.2">
      <c r="CE3988"/>
      <c r="CF3988"/>
      <c r="CG3988"/>
      <c r="CH3988"/>
      <c r="CI3988"/>
      <c r="CU3988" s="21">
        <v>3983</v>
      </c>
      <c r="CV3988" s="41">
        <v>4</v>
      </c>
      <c r="CW3988" s="41">
        <v>0.11332468572476186</v>
      </c>
      <c r="CX3988" s="41" t="e">
        <v>#N/A</v>
      </c>
      <c r="CY3988" s="41" t="e">
        <v>#N/A</v>
      </c>
      <c r="CZ3988" s="47" t="e">
        <v>#N/A</v>
      </c>
      <c r="DA3988">
        <v>0.11332468572476186</v>
      </c>
      <c r="DB3988" t="str">
        <v/>
      </c>
    </row>
    <row r="3989" spans="83:106" x14ac:dyDescent="0.2">
      <c r="CE3989"/>
      <c r="CF3989"/>
      <c r="CG3989"/>
      <c r="CH3989"/>
      <c r="CI3989"/>
      <c r="CU3989" s="21">
        <v>3984</v>
      </c>
      <c r="CV3989" s="41">
        <v>4</v>
      </c>
      <c r="CW3989" s="41">
        <v>0.11332468572476186</v>
      </c>
      <c r="CX3989" s="41" t="e">
        <v>#N/A</v>
      </c>
      <c r="CY3989" s="41" t="e">
        <v>#N/A</v>
      </c>
      <c r="CZ3989" s="47" t="e">
        <v>#N/A</v>
      </c>
      <c r="DA3989">
        <v>0.11332468572476186</v>
      </c>
      <c r="DB3989" t="str">
        <v/>
      </c>
    </row>
    <row r="3990" spans="83:106" x14ac:dyDescent="0.2">
      <c r="CE3990"/>
      <c r="CF3990"/>
      <c r="CG3990"/>
      <c r="CH3990"/>
      <c r="CI3990"/>
      <c r="CU3990" s="21">
        <v>3985</v>
      </c>
      <c r="CV3990" s="41">
        <v>4</v>
      </c>
      <c r="CW3990" s="41">
        <v>0.11332468572476186</v>
      </c>
      <c r="CX3990" s="41" t="e">
        <v>#N/A</v>
      </c>
      <c r="CY3990" s="41" t="e">
        <v>#N/A</v>
      </c>
      <c r="CZ3990" s="47" t="e">
        <v>#N/A</v>
      </c>
      <c r="DA3990">
        <v>0.11332468572476186</v>
      </c>
      <c r="DB3990" t="str">
        <v/>
      </c>
    </row>
    <row r="3991" spans="83:106" x14ac:dyDescent="0.2">
      <c r="CE3991"/>
      <c r="CF3991"/>
      <c r="CG3991"/>
      <c r="CH3991"/>
      <c r="CI3991"/>
      <c r="CU3991" s="21">
        <v>3986</v>
      </c>
      <c r="CV3991" s="41">
        <v>4</v>
      </c>
      <c r="CW3991" s="41">
        <v>0.11332468572476186</v>
      </c>
      <c r="CX3991" s="41" t="e">
        <v>#N/A</v>
      </c>
      <c r="CY3991" s="41" t="e">
        <v>#N/A</v>
      </c>
      <c r="CZ3991" s="47" t="e">
        <v>#N/A</v>
      </c>
      <c r="DA3991">
        <v>0.11332468572476186</v>
      </c>
      <c r="DB3991" t="str">
        <v/>
      </c>
    </row>
    <row r="3992" spans="83:106" x14ac:dyDescent="0.2">
      <c r="CE3992"/>
      <c r="CF3992"/>
      <c r="CG3992"/>
      <c r="CH3992"/>
      <c r="CI3992"/>
      <c r="CU3992" s="21">
        <v>3987</v>
      </c>
      <c r="CV3992" s="41">
        <v>4</v>
      </c>
      <c r="CW3992" s="41">
        <v>0.11332468572476186</v>
      </c>
      <c r="CX3992" s="41" t="e">
        <v>#N/A</v>
      </c>
      <c r="CY3992" s="41" t="e">
        <v>#N/A</v>
      </c>
      <c r="CZ3992" s="47" t="e">
        <v>#N/A</v>
      </c>
      <c r="DA3992">
        <v>0.11332468572476186</v>
      </c>
      <c r="DB3992" t="str">
        <v/>
      </c>
    </row>
    <row r="3993" spans="83:106" x14ac:dyDescent="0.2">
      <c r="CE3993"/>
      <c r="CF3993"/>
      <c r="CG3993"/>
      <c r="CH3993"/>
      <c r="CI3993"/>
      <c r="CU3993" s="21">
        <v>3988</v>
      </c>
      <c r="CV3993" s="41">
        <v>4</v>
      </c>
      <c r="CW3993" s="41">
        <v>0.11332468572476186</v>
      </c>
      <c r="CX3993" s="41" t="e">
        <v>#N/A</v>
      </c>
      <c r="CY3993" s="41" t="e">
        <v>#N/A</v>
      </c>
      <c r="CZ3993" s="47" t="e">
        <v>#N/A</v>
      </c>
      <c r="DA3993">
        <v>0.11332468572476186</v>
      </c>
      <c r="DB3993" t="str">
        <v/>
      </c>
    </row>
    <row r="3994" spans="83:106" x14ac:dyDescent="0.2">
      <c r="CE3994"/>
      <c r="CF3994"/>
      <c r="CG3994"/>
      <c r="CH3994"/>
      <c r="CI3994"/>
      <c r="CU3994" s="21">
        <v>3989</v>
      </c>
      <c r="CV3994" s="41">
        <v>4</v>
      </c>
      <c r="CW3994" s="41">
        <v>0.11332468572476186</v>
      </c>
      <c r="CX3994" s="41" t="e">
        <v>#N/A</v>
      </c>
      <c r="CY3994" s="41" t="e">
        <v>#N/A</v>
      </c>
      <c r="CZ3994" s="47" t="e">
        <v>#N/A</v>
      </c>
      <c r="DA3994">
        <v>0.11332468572476186</v>
      </c>
      <c r="DB3994" t="str">
        <v/>
      </c>
    </row>
    <row r="3995" spans="83:106" x14ac:dyDescent="0.2">
      <c r="CE3995"/>
      <c r="CF3995"/>
      <c r="CG3995"/>
      <c r="CH3995"/>
      <c r="CI3995"/>
      <c r="CU3995" s="21">
        <v>3990</v>
      </c>
      <c r="CV3995" s="41">
        <v>4</v>
      </c>
      <c r="CW3995" s="41">
        <v>0.11332468572476186</v>
      </c>
      <c r="CX3995" s="41" t="e">
        <v>#N/A</v>
      </c>
      <c r="CY3995" s="41" t="e">
        <v>#N/A</v>
      </c>
      <c r="CZ3995" s="47" t="e">
        <v>#N/A</v>
      </c>
      <c r="DA3995">
        <v>0.11332468572476186</v>
      </c>
      <c r="DB3995" t="str">
        <v/>
      </c>
    </row>
    <row r="3996" spans="83:106" x14ac:dyDescent="0.2">
      <c r="CE3996"/>
      <c r="CF3996"/>
      <c r="CG3996"/>
      <c r="CH3996"/>
      <c r="CI3996"/>
      <c r="CU3996" s="21">
        <v>3991</v>
      </c>
      <c r="CV3996" s="41">
        <v>4</v>
      </c>
      <c r="CW3996" s="41">
        <v>0.11332468572476186</v>
      </c>
      <c r="CX3996" s="41" t="e">
        <v>#N/A</v>
      </c>
      <c r="CY3996" s="41" t="e">
        <v>#N/A</v>
      </c>
      <c r="CZ3996" s="47" t="e">
        <v>#N/A</v>
      </c>
      <c r="DA3996">
        <v>0.11332468572476186</v>
      </c>
      <c r="DB3996" t="str">
        <v/>
      </c>
    </row>
    <row r="3997" spans="83:106" x14ac:dyDescent="0.2">
      <c r="CE3997"/>
      <c r="CF3997"/>
      <c r="CG3997"/>
      <c r="CH3997"/>
      <c r="CI3997"/>
      <c r="CU3997" s="21">
        <v>3992</v>
      </c>
      <c r="CV3997" s="41">
        <v>4</v>
      </c>
      <c r="CW3997" s="41">
        <v>0.11332468572476186</v>
      </c>
      <c r="CX3997" s="41" t="e">
        <v>#N/A</v>
      </c>
      <c r="CY3997" s="41" t="e">
        <v>#N/A</v>
      </c>
      <c r="CZ3997" s="47" t="e">
        <v>#N/A</v>
      </c>
      <c r="DA3997">
        <v>0.11332468572476186</v>
      </c>
      <c r="DB3997" t="str">
        <v/>
      </c>
    </row>
    <row r="3998" spans="83:106" x14ac:dyDescent="0.2">
      <c r="CE3998"/>
      <c r="CF3998"/>
      <c r="CG3998"/>
      <c r="CH3998"/>
      <c r="CI3998"/>
      <c r="CU3998" s="21">
        <v>3993</v>
      </c>
      <c r="CV3998" s="41">
        <v>4</v>
      </c>
      <c r="CW3998" s="41">
        <v>0.11332468572476186</v>
      </c>
      <c r="CX3998" s="41" t="e">
        <v>#N/A</v>
      </c>
      <c r="CY3998" s="41" t="e">
        <v>#N/A</v>
      </c>
      <c r="CZ3998" s="47" t="e">
        <v>#N/A</v>
      </c>
      <c r="DA3998">
        <v>0.11332468572476186</v>
      </c>
      <c r="DB3998" t="str">
        <v/>
      </c>
    </row>
    <row r="3999" spans="83:106" x14ac:dyDescent="0.2">
      <c r="CE3999"/>
      <c r="CF3999"/>
      <c r="CG3999"/>
      <c r="CH3999"/>
      <c r="CI3999"/>
      <c r="CU3999" s="21">
        <v>3994</v>
      </c>
      <c r="CV3999" s="41">
        <v>4</v>
      </c>
      <c r="CW3999" s="41">
        <v>0.11332468572476186</v>
      </c>
      <c r="CX3999" s="41" t="e">
        <v>#N/A</v>
      </c>
      <c r="CY3999" s="41" t="e">
        <v>#N/A</v>
      </c>
      <c r="CZ3999" s="47" t="e">
        <v>#N/A</v>
      </c>
      <c r="DA3999">
        <v>0.11332468572476186</v>
      </c>
      <c r="DB3999" t="str">
        <v/>
      </c>
    </row>
    <row r="4000" spans="83:106" x14ac:dyDescent="0.2">
      <c r="CE4000"/>
      <c r="CF4000"/>
      <c r="CG4000"/>
      <c r="CH4000"/>
      <c r="CI4000"/>
      <c r="CU4000" s="21">
        <v>3995</v>
      </c>
      <c r="CV4000" s="41">
        <v>4</v>
      </c>
      <c r="CW4000" s="41">
        <v>0.11332468572476186</v>
      </c>
      <c r="CX4000" s="41" t="e">
        <v>#N/A</v>
      </c>
      <c r="CY4000" s="41" t="e">
        <v>#N/A</v>
      </c>
      <c r="CZ4000" s="47" t="e">
        <v>#N/A</v>
      </c>
      <c r="DA4000">
        <v>0.11332468572476186</v>
      </c>
      <c r="DB4000" t="str">
        <v/>
      </c>
    </row>
    <row r="4001" spans="83:106" x14ac:dyDescent="0.2">
      <c r="CE4001"/>
      <c r="CF4001"/>
      <c r="CG4001"/>
      <c r="CH4001"/>
      <c r="CI4001"/>
      <c r="CU4001" s="21">
        <v>3996</v>
      </c>
      <c r="CV4001" s="41">
        <v>4</v>
      </c>
      <c r="CW4001" s="41">
        <v>0.11332468572476186</v>
      </c>
      <c r="CX4001" s="41" t="e">
        <v>#N/A</v>
      </c>
      <c r="CY4001" s="41" t="e">
        <v>#N/A</v>
      </c>
      <c r="CZ4001" s="47" t="e">
        <v>#N/A</v>
      </c>
      <c r="DA4001">
        <v>0.11332468572476186</v>
      </c>
      <c r="DB4001" t="str">
        <v/>
      </c>
    </row>
    <row r="4002" spans="83:106" x14ac:dyDescent="0.2">
      <c r="CE4002"/>
      <c r="CF4002"/>
      <c r="CG4002"/>
      <c r="CH4002"/>
      <c r="CI4002"/>
      <c r="CU4002" s="21">
        <v>3997</v>
      </c>
      <c r="CV4002" s="41">
        <v>4</v>
      </c>
      <c r="CW4002" s="41">
        <v>0.11332468572476186</v>
      </c>
      <c r="CX4002" s="41" t="e">
        <v>#N/A</v>
      </c>
      <c r="CY4002" s="41" t="e">
        <v>#N/A</v>
      </c>
      <c r="CZ4002" s="47" t="e">
        <v>#N/A</v>
      </c>
      <c r="DA4002">
        <v>0.11332468572476186</v>
      </c>
      <c r="DB4002" t="str">
        <v/>
      </c>
    </row>
    <row r="4003" spans="83:106" x14ac:dyDescent="0.2">
      <c r="CE4003"/>
      <c r="CF4003"/>
      <c r="CG4003"/>
      <c r="CH4003"/>
      <c r="CI4003"/>
      <c r="CU4003" s="21">
        <v>3998</v>
      </c>
      <c r="CV4003" s="41">
        <v>4</v>
      </c>
      <c r="CW4003" s="41">
        <v>0.11332468572476186</v>
      </c>
      <c r="CX4003" s="41" t="e">
        <v>#N/A</v>
      </c>
      <c r="CY4003" s="41" t="e">
        <v>#N/A</v>
      </c>
      <c r="CZ4003" s="47" t="e">
        <v>#N/A</v>
      </c>
      <c r="DA4003">
        <v>0.11332468572476186</v>
      </c>
      <c r="DB4003" t="str">
        <v/>
      </c>
    </row>
    <row r="4004" spans="83:106" x14ac:dyDescent="0.2">
      <c r="CE4004"/>
      <c r="CF4004"/>
      <c r="CG4004"/>
      <c r="CH4004"/>
      <c r="CI4004"/>
      <c r="CU4004" s="21">
        <v>3999</v>
      </c>
      <c r="CV4004" s="41">
        <v>4</v>
      </c>
      <c r="CW4004" s="41">
        <v>0.11332468572476186</v>
      </c>
      <c r="CX4004" s="41" t="e">
        <v>#N/A</v>
      </c>
      <c r="CY4004" s="41" t="e">
        <v>#N/A</v>
      </c>
      <c r="CZ4004" s="47" t="e">
        <v>#N/A</v>
      </c>
      <c r="DA4004">
        <v>0.11332468572476186</v>
      </c>
      <c r="DB4004" t="str">
        <v/>
      </c>
    </row>
    <row r="4005" spans="83:106" x14ac:dyDescent="0.2">
      <c r="CE4005"/>
      <c r="CF4005"/>
      <c r="CG4005"/>
      <c r="CH4005"/>
      <c r="CI4005"/>
      <c r="CU4005" s="21">
        <v>4000</v>
      </c>
      <c r="CV4005" s="41">
        <v>4</v>
      </c>
      <c r="CW4005" s="41">
        <v>0.11332468572476186</v>
      </c>
      <c r="CX4005" s="41" t="e">
        <v>#N/A</v>
      </c>
      <c r="CY4005" s="41" t="e">
        <v>#N/A</v>
      </c>
      <c r="CZ4005" s="47" t="e">
        <v>#N/A</v>
      </c>
      <c r="DA4005">
        <v>0.11332468572476186</v>
      </c>
      <c r="DB4005" t="str">
        <v/>
      </c>
    </row>
    <row r="4006" spans="83:106" x14ac:dyDescent="0.2">
      <c r="CE4006"/>
      <c r="CF4006"/>
      <c r="CG4006"/>
      <c r="CH4006"/>
      <c r="CI4006"/>
      <c r="CU4006" s="21">
        <v>4001</v>
      </c>
      <c r="CV4006" s="41">
        <v>4</v>
      </c>
      <c r="CW4006" s="41">
        <v>0.11332468572476186</v>
      </c>
      <c r="CX4006" s="41" t="e">
        <v>#N/A</v>
      </c>
      <c r="CY4006" s="41" t="e">
        <v>#N/A</v>
      </c>
      <c r="CZ4006" s="47" t="e">
        <v>#N/A</v>
      </c>
      <c r="DA4006">
        <v>0.11332468572476186</v>
      </c>
      <c r="DB4006" t="str">
        <v/>
      </c>
    </row>
    <row r="4007" spans="83:106" x14ac:dyDescent="0.2">
      <c r="CE4007"/>
      <c r="CF4007"/>
      <c r="CG4007"/>
      <c r="CH4007"/>
      <c r="CI4007"/>
      <c r="CU4007" s="21">
        <v>4002</v>
      </c>
      <c r="CV4007" s="41">
        <v>4</v>
      </c>
      <c r="CW4007" s="41">
        <v>0.11332468572476186</v>
      </c>
      <c r="CX4007" s="41" t="e">
        <v>#N/A</v>
      </c>
      <c r="CY4007" s="41" t="e">
        <v>#N/A</v>
      </c>
      <c r="CZ4007" s="47" t="e">
        <v>#N/A</v>
      </c>
      <c r="DA4007">
        <v>0.11332468572476186</v>
      </c>
      <c r="DB4007" t="str">
        <v/>
      </c>
    </row>
    <row r="4008" spans="83:106" x14ac:dyDescent="0.2">
      <c r="CE4008"/>
      <c r="CF4008"/>
      <c r="CG4008"/>
      <c r="CH4008"/>
      <c r="CI4008"/>
      <c r="CU4008" s="21">
        <v>4003</v>
      </c>
      <c r="CV4008" s="41">
        <v>4</v>
      </c>
      <c r="CW4008" s="41">
        <v>0.11332468572476186</v>
      </c>
      <c r="CX4008" s="41" t="e">
        <v>#N/A</v>
      </c>
      <c r="CY4008" s="41" t="e">
        <v>#N/A</v>
      </c>
      <c r="CZ4008" s="47" t="e">
        <v>#N/A</v>
      </c>
      <c r="DA4008">
        <v>0.11332468572476186</v>
      </c>
      <c r="DB4008" t="str">
        <v/>
      </c>
    </row>
    <row r="4009" spans="83:106" x14ac:dyDescent="0.2">
      <c r="CE4009"/>
      <c r="CF4009"/>
      <c r="CG4009"/>
      <c r="CH4009"/>
      <c r="CI4009"/>
      <c r="CU4009" s="21">
        <v>4004</v>
      </c>
      <c r="CV4009" s="41">
        <v>4</v>
      </c>
      <c r="CW4009" s="41">
        <v>0.11332468572476186</v>
      </c>
      <c r="CX4009" s="41" t="e">
        <v>#N/A</v>
      </c>
      <c r="CY4009" s="41" t="e">
        <v>#N/A</v>
      </c>
      <c r="CZ4009" s="47" t="e">
        <v>#N/A</v>
      </c>
      <c r="DA4009">
        <v>0.11332468572476186</v>
      </c>
      <c r="DB4009" t="str">
        <v/>
      </c>
    </row>
    <row r="4010" spans="83:106" x14ac:dyDescent="0.2">
      <c r="CE4010"/>
      <c r="CF4010"/>
      <c r="CG4010"/>
      <c r="CH4010"/>
      <c r="CI4010"/>
      <c r="CU4010" s="21">
        <v>4005</v>
      </c>
      <c r="CV4010" s="41">
        <v>4</v>
      </c>
      <c r="CW4010" s="41">
        <v>0.11332468572476186</v>
      </c>
      <c r="CX4010" s="41" t="e">
        <v>#N/A</v>
      </c>
      <c r="CY4010" s="41" t="e">
        <v>#N/A</v>
      </c>
      <c r="CZ4010" s="47" t="e">
        <v>#N/A</v>
      </c>
      <c r="DA4010">
        <v>0.11332468572476186</v>
      </c>
      <c r="DB4010" t="str">
        <v/>
      </c>
    </row>
    <row r="4011" spans="83:106" x14ac:dyDescent="0.2">
      <c r="CE4011"/>
      <c r="CF4011"/>
      <c r="CG4011"/>
      <c r="CH4011"/>
      <c r="CI4011"/>
      <c r="CU4011" s="21">
        <v>4006</v>
      </c>
      <c r="CV4011" s="41">
        <v>4</v>
      </c>
      <c r="CW4011" s="41">
        <v>0.11332468572476186</v>
      </c>
      <c r="CX4011" s="41" t="e">
        <v>#N/A</v>
      </c>
      <c r="CY4011" s="41" t="e">
        <v>#N/A</v>
      </c>
      <c r="CZ4011" s="47" t="e">
        <v>#N/A</v>
      </c>
      <c r="DA4011">
        <v>0.11332468572476186</v>
      </c>
      <c r="DB4011" t="str">
        <v/>
      </c>
    </row>
    <row r="4012" spans="83:106" x14ac:dyDescent="0.2">
      <c r="CE4012"/>
      <c r="CF4012"/>
      <c r="CG4012"/>
      <c r="CH4012"/>
      <c r="CI4012"/>
      <c r="CU4012" s="21">
        <v>4007</v>
      </c>
      <c r="CV4012" s="41">
        <v>4</v>
      </c>
      <c r="CW4012" s="41">
        <v>0.11332468572476186</v>
      </c>
      <c r="CX4012" s="41" t="e">
        <v>#N/A</v>
      </c>
      <c r="CY4012" s="41" t="e">
        <v>#N/A</v>
      </c>
      <c r="CZ4012" s="47" t="e">
        <v>#N/A</v>
      </c>
      <c r="DA4012">
        <v>0.11332468572476186</v>
      </c>
      <c r="DB4012" t="str">
        <v/>
      </c>
    </row>
    <row r="4013" spans="83:106" x14ac:dyDescent="0.2">
      <c r="CE4013"/>
      <c r="CF4013"/>
      <c r="CG4013"/>
      <c r="CH4013"/>
      <c r="CI4013"/>
      <c r="CU4013" s="21">
        <v>4008</v>
      </c>
      <c r="CV4013" s="41">
        <v>4</v>
      </c>
      <c r="CW4013" s="41">
        <v>0.11332468572476186</v>
      </c>
      <c r="CX4013" s="41" t="e">
        <v>#N/A</v>
      </c>
      <c r="CY4013" s="41" t="e">
        <v>#N/A</v>
      </c>
      <c r="CZ4013" s="47" t="e">
        <v>#N/A</v>
      </c>
      <c r="DA4013">
        <v>0.11332468572476186</v>
      </c>
      <c r="DB4013" t="str">
        <v/>
      </c>
    </row>
    <row r="4014" spans="83:106" x14ac:dyDescent="0.2">
      <c r="CE4014"/>
      <c r="CF4014"/>
      <c r="CG4014"/>
      <c r="CH4014"/>
      <c r="CI4014"/>
      <c r="CU4014" s="21">
        <v>4009</v>
      </c>
      <c r="CV4014" s="41">
        <v>4</v>
      </c>
      <c r="CW4014" s="41">
        <v>0.11332468572476186</v>
      </c>
      <c r="CX4014" s="41" t="e">
        <v>#N/A</v>
      </c>
      <c r="CY4014" s="41" t="e">
        <v>#N/A</v>
      </c>
      <c r="CZ4014" s="47" t="e">
        <v>#N/A</v>
      </c>
      <c r="DA4014">
        <v>0.11332468572476186</v>
      </c>
      <c r="DB4014" t="str">
        <v/>
      </c>
    </row>
    <row r="4015" spans="83:106" x14ac:dyDescent="0.2">
      <c r="CE4015"/>
      <c r="CF4015"/>
      <c r="CG4015"/>
      <c r="CH4015"/>
      <c r="CI4015"/>
      <c r="CU4015" s="21">
        <v>4010</v>
      </c>
      <c r="CV4015" s="41">
        <v>4</v>
      </c>
      <c r="CW4015" s="41">
        <v>0.11332468572476186</v>
      </c>
      <c r="CX4015" s="41" t="e">
        <v>#N/A</v>
      </c>
      <c r="CY4015" s="41" t="e">
        <v>#N/A</v>
      </c>
      <c r="CZ4015" s="47" t="e">
        <v>#N/A</v>
      </c>
      <c r="DA4015">
        <v>0.11332468572476186</v>
      </c>
      <c r="DB4015" t="str">
        <v/>
      </c>
    </row>
    <row r="4016" spans="83:106" x14ac:dyDescent="0.2">
      <c r="CE4016"/>
      <c r="CF4016"/>
      <c r="CG4016"/>
      <c r="CH4016"/>
      <c r="CI4016"/>
      <c r="CU4016" s="21">
        <v>4011</v>
      </c>
      <c r="CV4016" s="41">
        <v>4</v>
      </c>
      <c r="CW4016" s="41">
        <v>0.11332468572476186</v>
      </c>
      <c r="CX4016" s="41" t="e">
        <v>#N/A</v>
      </c>
      <c r="CY4016" s="41" t="e">
        <v>#N/A</v>
      </c>
      <c r="CZ4016" s="47" t="e">
        <v>#N/A</v>
      </c>
      <c r="DA4016">
        <v>0.11332468572476186</v>
      </c>
      <c r="DB4016" t="str">
        <v/>
      </c>
    </row>
    <row r="4017" spans="83:106" x14ac:dyDescent="0.2">
      <c r="CE4017"/>
      <c r="CF4017"/>
      <c r="CG4017"/>
      <c r="CH4017"/>
      <c r="CI4017"/>
      <c r="CU4017" s="21">
        <v>4012</v>
      </c>
      <c r="CV4017" s="41">
        <v>4</v>
      </c>
      <c r="CW4017" s="41">
        <v>0.11332468572476186</v>
      </c>
      <c r="CX4017" s="41" t="e">
        <v>#N/A</v>
      </c>
      <c r="CY4017" s="41" t="e">
        <v>#N/A</v>
      </c>
      <c r="CZ4017" s="47" t="e">
        <v>#N/A</v>
      </c>
      <c r="DA4017">
        <v>0.11332468572476186</v>
      </c>
      <c r="DB4017" t="str">
        <v/>
      </c>
    </row>
    <row r="4018" spans="83:106" x14ac:dyDescent="0.2">
      <c r="CE4018"/>
      <c r="CF4018"/>
      <c r="CG4018"/>
      <c r="CH4018"/>
      <c r="CI4018"/>
      <c r="CU4018" s="21">
        <v>4013</v>
      </c>
      <c r="CV4018" s="41">
        <v>4</v>
      </c>
      <c r="CW4018" s="41">
        <v>0.11332468572476186</v>
      </c>
      <c r="CX4018" s="41" t="e">
        <v>#N/A</v>
      </c>
      <c r="CY4018" s="41" t="e">
        <v>#N/A</v>
      </c>
      <c r="CZ4018" s="47" t="e">
        <v>#N/A</v>
      </c>
      <c r="DA4018">
        <v>0.11332468572476186</v>
      </c>
      <c r="DB4018" t="str">
        <v/>
      </c>
    </row>
    <row r="4019" spans="83:106" x14ac:dyDescent="0.2">
      <c r="CE4019"/>
      <c r="CF4019"/>
      <c r="CG4019"/>
      <c r="CH4019"/>
      <c r="CI4019"/>
      <c r="CU4019" s="21">
        <v>4014</v>
      </c>
      <c r="CV4019" s="41">
        <v>4</v>
      </c>
      <c r="CW4019" s="41">
        <v>0.11332468572476186</v>
      </c>
      <c r="CX4019" s="41" t="e">
        <v>#N/A</v>
      </c>
      <c r="CY4019" s="41" t="e">
        <v>#N/A</v>
      </c>
      <c r="CZ4019" s="47" t="e">
        <v>#N/A</v>
      </c>
      <c r="DA4019">
        <v>0.11332468572476186</v>
      </c>
      <c r="DB4019" t="str">
        <v/>
      </c>
    </row>
    <row r="4020" spans="83:106" x14ac:dyDescent="0.2">
      <c r="CE4020"/>
      <c r="CF4020"/>
      <c r="CG4020"/>
      <c r="CH4020"/>
      <c r="CI4020"/>
      <c r="CU4020" s="21">
        <v>4015</v>
      </c>
      <c r="CV4020" s="41">
        <v>4</v>
      </c>
      <c r="CW4020" s="41">
        <v>0.11332468572476186</v>
      </c>
      <c r="CX4020" s="41" t="e">
        <v>#N/A</v>
      </c>
      <c r="CY4020" s="41" t="e">
        <v>#N/A</v>
      </c>
      <c r="CZ4020" s="47" t="e">
        <v>#N/A</v>
      </c>
      <c r="DA4020">
        <v>0.11332468572476186</v>
      </c>
      <c r="DB4020" t="str">
        <v/>
      </c>
    </row>
    <row r="4021" spans="83:106" x14ac:dyDescent="0.2">
      <c r="CE4021"/>
      <c r="CF4021"/>
      <c r="CG4021"/>
      <c r="CH4021"/>
      <c r="CI4021"/>
      <c r="CU4021" s="21">
        <v>4016</v>
      </c>
      <c r="CV4021" s="41">
        <v>4</v>
      </c>
      <c r="CW4021" s="41">
        <v>0.11332468572476186</v>
      </c>
      <c r="CX4021" s="41" t="e">
        <v>#N/A</v>
      </c>
      <c r="CY4021" s="41" t="e">
        <v>#N/A</v>
      </c>
      <c r="CZ4021" s="47" t="e">
        <v>#N/A</v>
      </c>
      <c r="DA4021">
        <v>0.11332468572476186</v>
      </c>
      <c r="DB4021" t="str">
        <v/>
      </c>
    </row>
    <row r="4022" spans="83:106" x14ac:dyDescent="0.2">
      <c r="CE4022"/>
      <c r="CF4022"/>
      <c r="CG4022"/>
      <c r="CH4022"/>
      <c r="CI4022"/>
      <c r="CU4022" s="21">
        <v>4017</v>
      </c>
      <c r="CV4022" s="41">
        <v>4</v>
      </c>
      <c r="CW4022" s="41">
        <v>0.11332468572476186</v>
      </c>
      <c r="CX4022" s="41" t="e">
        <v>#N/A</v>
      </c>
      <c r="CY4022" s="41" t="e">
        <v>#N/A</v>
      </c>
      <c r="CZ4022" s="47" t="e">
        <v>#N/A</v>
      </c>
      <c r="DA4022">
        <v>0.11332468572476186</v>
      </c>
      <c r="DB4022" t="str">
        <v/>
      </c>
    </row>
    <row r="4023" spans="83:106" x14ac:dyDescent="0.2">
      <c r="CE4023"/>
      <c r="CF4023"/>
      <c r="CG4023"/>
      <c r="CH4023"/>
      <c r="CI4023"/>
      <c r="CU4023" s="21">
        <v>4018</v>
      </c>
      <c r="CV4023" s="41">
        <v>4</v>
      </c>
      <c r="CW4023" s="41">
        <v>0.11332468572476186</v>
      </c>
      <c r="CX4023" s="41" t="e">
        <v>#N/A</v>
      </c>
      <c r="CY4023" s="41" t="e">
        <v>#N/A</v>
      </c>
      <c r="CZ4023" s="47" t="e">
        <v>#N/A</v>
      </c>
      <c r="DA4023">
        <v>0.11332468572476186</v>
      </c>
      <c r="DB4023" t="str">
        <v/>
      </c>
    </row>
    <row r="4024" spans="83:106" x14ac:dyDescent="0.2">
      <c r="CE4024"/>
      <c r="CF4024"/>
      <c r="CG4024"/>
      <c r="CH4024"/>
      <c r="CI4024"/>
      <c r="CU4024" s="21">
        <v>4019</v>
      </c>
      <c r="CV4024" s="41">
        <v>4</v>
      </c>
      <c r="CW4024" s="41">
        <v>0.11332468572476186</v>
      </c>
      <c r="CX4024" s="41" t="e">
        <v>#N/A</v>
      </c>
      <c r="CY4024" s="41" t="e">
        <v>#N/A</v>
      </c>
      <c r="CZ4024" s="47" t="e">
        <v>#N/A</v>
      </c>
      <c r="DA4024">
        <v>0.11332468572476186</v>
      </c>
      <c r="DB4024" t="str">
        <v/>
      </c>
    </row>
    <row r="4025" spans="83:106" x14ac:dyDescent="0.2">
      <c r="CE4025"/>
      <c r="CF4025"/>
      <c r="CG4025"/>
      <c r="CH4025"/>
      <c r="CI4025"/>
      <c r="CU4025" s="21">
        <v>4020</v>
      </c>
      <c r="CV4025" s="41">
        <v>4</v>
      </c>
      <c r="CW4025" s="41">
        <v>0.11332468572476186</v>
      </c>
      <c r="CX4025" s="41" t="e">
        <v>#N/A</v>
      </c>
      <c r="CY4025" s="41" t="e">
        <v>#N/A</v>
      </c>
      <c r="CZ4025" s="47" t="e">
        <v>#N/A</v>
      </c>
      <c r="DA4025">
        <v>0.11332468572476186</v>
      </c>
      <c r="DB4025" t="str">
        <v/>
      </c>
    </row>
    <row r="4026" spans="83:106" x14ac:dyDescent="0.2">
      <c r="CE4026"/>
      <c r="CF4026"/>
      <c r="CG4026"/>
      <c r="CH4026"/>
      <c r="CI4026"/>
      <c r="CU4026" s="21">
        <v>4021</v>
      </c>
      <c r="CV4026" s="41">
        <v>4</v>
      </c>
      <c r="CW4026" s="41">
        <v>0.11332468572476186</v>
      </c>
      <c r="CX4026" s="41" t="e">
        <v>#N/A</v>
      </c>
      <c r="CY4026" s="41" t="e">
        <v>#N/A</v>
      </c>
      <c r="CZ4026" s="47" t="e">
        <v>#N/A</v>
      </c>
      <c r="DA4026">
        <v>0.11332468572476186</v>
      </c>
      <c r="DB4026" t="str">
        <v/>
      </c>
    </row>
    <row r="4027" spans="83:106" x14ac:dyDescent="0.2">
      <c r="CE4027"/>
      <c r="CF4027"/>
      <c r="CG4027"/>
      <c r="CH4027"/>
      <c r="CI4027"/>
      <c r="CU4027" s="21">
        <v>4022</v>
      </c>
      <c r="CV4027" s="41">
        <v>4</v>
      </c>
      <c r="CW4027" s="41">
        <v>0.11332468572476186</v>
      </c>
      <c r="CX4027" s="41" t="e">
        <v>#N/A</v>
      </c>
      <c r="CY4027" s="41" t="e">
        <v>#N/A</v>
      </c>
      <c r="CZ4027" s="47" t="e">
        <v>#N/A</v>
      </c>
      <c r="DA4027">
        <v>0.11332468572476186</v>
      </c>
      <c r="DB4027" t="str">
        <v/>
      </c>
    </row>
    <row r="4028" spans="83:106" x14ac:dyDescent="0.2">
      <c r="CE4028"/>
      <c r="CF4028"/>
      <c r="CG4028"/>
      <c r="CH4028"/>
      <c r="CI4028"/>
      <c r="CU4028" s="21">
        <v>4023</v>
      </c>
      <c r="CV4028" s="41">
        <v>4</v>
      </c>
      <c r="CW4028" s="41">
        <v>0.11332468572476186</v>
      </c>
      <c r="CX4028" s="41" t="e">
        <v>#N/A</v>
      </c>
      <c r="CY4028" s="41" t="e">
        <v>#N/A</v>
      </c>
      <c r="CZ4028" s="47" t="e">
        <v>#N/A</v>
      </c>
      <c r="DA4028">
        <v>0.11332468572476186</v>
      </c>
      <c r="DB4028" t="str">
        <v/>
      </c>
    </row>
    <row r="4029" spans="83:106" x14ac:dyDescent="0.2">
      <c r="CE4029"/>
      <c r="CF4029"/>
      <c r="CG4029"/>
      <c r="CH4029"/>
      <c r="CI4029"/>
      <c r="CU4029" s="21">
        <v>4024</v>
      </c>
      <c r="CV4029" s="41">
        <v>4</v>
      </c>
      <c r="CW4029" s="41">
        <v>0.11332468572476186</v>
      </c>
      <c r="CX4029" s="41" t="e">
        <v>#N/A</v>
      </c>
      <c r="CY4029" s="41" t="e">
        <v>#N/A</v>
      </c>
      <c r="CZ4029" s="47" t="e">
        <v>#N/A</v>
      </c>
      <c r="DA4029">
        <v>0.11332468572476186</v>
      </c>
      <c r="DB4029" t="str">
        <v/>
      </c>
    </row>
    <row r="4030" spans="83:106" x14ac:dyDescent="0.2">
      <c r="CE4030"/>
      <c r="CF4030"/>
      <c r="CG4030"/>
      <c r="CH4030"/>
      <c r="CI4030"/>
      <c r="CU4030" s="21">
        <v>4025</v>
      </c>
      <c r="CV4030" s="41">
        <v>4</v>
      </c>
      <c r="CW4030" s="41">
        <v>0.11332468572476186</v>
      </c>
      <c r="CX4030" s="41" t="e">
        <v>#N/A</v>
      </c>
      <c r="CY4030" s="41" t="e">
        <v>#N/A</v>
      </c>
      <c r="CZ4030" s="47" t="e">
        <v>#N/A</v>
      </c>
      <c r="DA4030">
        <v>0.11332468572476186</v>
      </c>
      <c r="DB4030" t="str">
        <v/>
      </c>
    </row>
    <row r="4031" spans="83:106" x14ac:dyDescent="0.2">
      <c r="CE4031"/>
      <c r="CF4031"/>
      <c r="CG4031"/>
      <c r="CH4031"/>
      <c r="CI4031"/>
      <c r="CU4031" s="21">
        <v>4026</v>
      </c>
      <c r="CV4031" s="41">
        <v>4</v>
      </c>
      <c r="CW4031" s="41">
        <v>0.11332468572476186</v>
      </c>
      <c r="CX4031" s="41" t="e">
        <v>#N/A</v>
      </c>
      <c r="CY4031" s="41" t="e">
        <v>#N/A</v>
      </c>
      <c r="CZ4031" s="47" t="e">
        <v>#N/A</v>
      </c>
      <c r="DA4031">
        <v>0.11332468572476186</v>
      </c>
      <c r="DB4031" t="str">
        <v/>
      </c>
    </row>
    <row r="4032" spans="83:106" x14ac:dyDescent="0.2">
      <c r="CE4032"/>
      <c r="CF4032"/>
      <c r="CG4032"/>
      <c r="CH4032"/>
      <c r="CI4032"/>
      <c r="CU4032" s="21">
        <v>4027</v>
      </c>
      <c r="CV4032" s="41">
        <v>4</v>
      </c>
      <c r="CW4032" s="41">
        <v>0.11332468572476186</v>
      </c>
      <c r="CX4032" s="41" t="e">
        <v>#N/A</v>
      </c>
      <c r="CY4032" s="41" t="e">
        <v>#N/A</v>
      </c>
      <c r="CZ4032" s="47" t="e">
        <v>#N/A</v>
      </c>
      <c r="DA4032">
        <v>0.11332468572476186</v>
      </c>
      <c r="DB4032" t="str">
        <v/>
      </c>
    </row>
    <row r="4033" spans="83:106" x14ac:dyDescent="0.2">
      <c r="CE4033"/>
      <c r="CF4033"/>
      <c r="CG4033"/>
      <c r="CH4033"/>
      <c r="CI4033"/>
      <c r="CU4033" s="21">
        <v>4028</v>
      </c>
      <c r="CV4033" s="41">
        <v>4</v>
      </c>
      <c r="CW4033" s="41">
        <v>0.11332468572476186</v>
      </c>
      <c r="CX4033" s="41" t="e">
        <v>#N/A</v>
      </c>
      <c r="CY4033" s="41" t="e">
        <v>#N/A</v>
      </c>
      <c r="CZ4033" s="47" t="e">
        <v>#N/A</v>
      </c>
      <c r="DA4033">
        <v>0.11332468572476186</v>
      </c>
      <c r="DB4033" t="str">
        <v/>
      </c>
    </row>
    <row r="4034" spans="83:106" x14ac:dyDescent="0.2">
      <c r="CE4034"/>
      <c r="CF4034"/>
      <c r="CG4034"/>
      <c r="CH4034"/>
      <c r="CI4034"/>
      <c r="CU4034" s="21">
        <v>4029</v>
      </c>
      <c r="CV4034" s="41">
        <v>4</v>
      </c>
      <c r="CW4034" s="41">
        <v>0.11332468572476186</v>
      </c>
      <c r="CX4034" s="41" t="e">
        <v>#N/A</v>
      </c>
      <c r="CY4034" s="41" t="e">
        <v>#N/A</v>
      </c>
      <c r="CZ4034" s="47" t="e">
        <v>#N/A</v>
      </c>
      <c r="DA4034">
        <v>0.11332468572476186</v>
      </c>
      <c r="DB4034" t="str">
        <v/>
      </c>
    </row>
    <row r="4035" spans="83:106" x14ac:dyDescent="0.2">
      <c r="CE4035"/>
      <c r="CF4035"/>
      <c r="CG4035"/>
      <c r="CH4035"/>
      <c r="CI4035"/>
      <c r="CU4035" s="21">
        <v>4030</v>
      </c>
      <c r="CV4035" s="41">
        <v>4</v>
      </c>
      <c r="CW4035" s="41">
        <v>0.11332468572476186</v>
      </c>
      <c r="CX4035" s="41" t="e">
        <v>#N/A</v>
      </c>
      <c r="CY4035" s="41" t="e">
        <v>#N/A</v>
      </c>
      <c r="CZ4035" s="47" t="e">
        <v>#N/A</v>
      </c>
      <c r="DA4035">
        <v>0.11332468572476186</v>
      </c>
      <c r="DB4035" t="str">
        <v/>
      </c>
    </row>
    <row r="4036" spans="83:106" x14ac:dyDescent="0.2">
      <c r="CE4036"/>
      <c r="CF4036"/>
      <c r="CG4036"/>
      <c r="CH4036"/>
      <c r="CI4036"/>
      <c r="CU4036" s="21">
        <v>4031</v>
      </c>
      <c r="CV4036" s="41">
        <v>4</v>
      </c>
      <c r="CW4036" s="41">
        <v>0.11332468572476186</v>
      </c>
      <c r="CX4036" s="41" t="e">
        <v>#N/A</v>
      </c>
      <c r="CY4036" s="41" t="e">
        <v>#N/A</v>
      </c>
      <c r="CZ4036" s="47" t="e">
        <v>#N/A</v>
      </c>
      <c r="DA4036">
        <v>0.11332468572476186</v>
      </c>
      <c r="DB4036" t="str">
        <v/>
      </c>
    </row>
    <row r="4037" spans="83:106" x14ac:dyDescent="0.2">
      <c r="CE4037"/>
      <c r="CF4037"/>
      <c r="CG4037"/>
      <c r="CH4037"/>
      <c r="CI4037"/>
      <c r="CU4037" s="21">
        <v>4032</v>
      </c>
      <c r="CV4037" s="41">
        <v>4</v>
      </c>
      <c r="CW4037" s="41">
        <v>0.11332468572476186</v>
      </c>
      <c r="CX4037" s="41" t="e">
        <v>#N/A</v>
      </c>
      <c r="CY4037" s="41" t="e">
        <v>#N/A</v>
      </c>
      <c r="CZ4037" s="47" t="e">
        <v>#N/A</v>
      </c>
      <c r="DA4037">
        <v>0.11332468572476186</v>
      </c>
      <c r="DB4037" t="str">
        <v/>
      </c>
    </row>
    <row r="4038" spans="83:106" x14ac:dyDescent="0.2">
      <c r="CE4038"/>
      <c r="CF4038"/>
      <c r="CG4038"/>
      <c r="CH4038"/>
      <c r="CI4038"/>
      <c r="CU4038" s="21">
        <v>4033</v>
      </c>
      <c r="CV4038" s="41">
        <v>4</v>
      </c>
      <c r="CW4038" s="41">
        <v>0.11332468572476186</v>
      </c>
      <c r="CX4038" s="41" t="e">
        <v>#N/A</v>
      </c>
      <c r="CY4038" s="41" t="e">
        <v>#N/A</v>
      </c>
      <c r="CZ4038" s="47" t="e">
        <v>#N/A</v>
      </c>
      <c r="DA4038">
        <v>0.11332468572476186</v>
      </c>
      <c r="DB4038" t="str">
        <v/>
      </c>
    </row>
    <row r="4039" spans="83:106" x14ac:dyDescent="0.2">
      <c r="CE4039"/>
      <c r="CF4039"/>
      <c r="CG4039"/>
      <c r="CH4039"/>
      <c r="CI4039"/>
      <c r="CU4039" s="21">
        <v>4034</v>
      </c>
      <c r="CV4039" s="41">
        <v>4</v>
      </c>
      <c r="CW4039" s="41">
        <v>0.11332468572476186</v>
      </c>
      <c r="CX4039" s="41" t="e">
        <v>#N/A</v>
      </c>
      <c r="CY4039" s="41" t="e">
        <v>#N/A</v>
      </c>
      <c r="CZ4039" s="47" t="e">
        <v>#N/A</v>
      </c>
      <c r="DA4039">
        <v>0.11332468572476186</v>
      </c>
      <c r="DB4039" t="str">
        <v/>
      </c>
    </row>
    <row r="4040" spans="83:106" x14ac:dyDescent="0.2">
      <c r="CE4040"/>
      <c r="CF4040"/>
      <c r="CG4040"/>
      <c r="CH4040"/>
      <c r="CI4040"/>
      <c r="CU4040" s="21">
        <v>4035</v>
      </c>
      <c r="CV4040" s="41">
        <v>4</v>
      </c>
      <c r="CW4040" s="41">
        <v>0.11332468572476186</v>
      </c>
      <c r="CX4040" s="41" t="e">
        <v>#N/A</v>
      </c>
      <c r="CY4040" s="41" t="e">
        <v>#N/A</v>
      </c>
      <c r="CZ4040" s="47" t="e">
        <v>#N/A</v>
      </c>
      <c r="DA4040">
        <v>0.11332468572476186</v>
      </c>
      <c r="DB4040" t="str">
        <v/>
      </c>
    </row>
    <row r="4041" spans="83:106" x14ac:dyDescent="0.2">
      <c r="CE4041"/>
      <c r="CF4041"/>
      <c r="CG4041"/>
      <c r="CH4041"/>
      <c r="CI4041"/>
      <c r="CU4041" s="21">
        <v>4036</v>
      </c>
      <c r="CV4041" s="41">
        <v>4</v>
      </c>
      <c r="CW4041" s="41">
        <v>0.11332468572476186</v>
      </c>
      <c r="CX4041" s="41" t="e">
        <v>#N/A</v>
      </c>
      <c r="CY4041" s="41" t="e">
        <v>#N/A</v>
      </c>
      <c r="CZ4041" s="47" t="e">
        <v>#N/A</v>
      </c>
      <c r="DA4041">
        <v>0.11332468572476186</v>
      </c>
      <c r="DB4041" t="str">
        <v/>
      </c>
    </row>
    <row r="4042" spans="83:106" x14ac:dyDescent="0.2">
      <c r="CE4042"/>
      <c r="CF4042"/>
      <c r="CG4042"/>
      <c r="CH4042"/>
      <c r="CI4042"/>
      <c r="CU4042" s="21">
        <v>4037</v>
      </c>
      <c r="CV4042" s="41">
        <v>4</v>
      </c>
      <c r="CW4042" s="41">
        <v>0.11332468572476186</v>
      </c>
      <c r="CX4042" s="41" t="e">
        <v>#N/A</v>
      </c>
      <c r="CY4042" s="41" t="e">
        <v>#N/A</v>
      </c>
      <c r="CZ4042" s="47" t="e">
        <v>#N/A</v>
      </c>
      <c r="DA4042">
        <v>0.11332468572476186</v>
      </c>
      <c r="DB4042" t="str">
        <v/>
      </c>
    </row>
    <row r="4043" spans="83:106" x14ac:dyDescent="0.2">
      <c r="CE4043"/>
      <c r="CF4043"/>
      <c r="CG4043"/>
      <c r="CH4043"/>
      <c r="CI4043"/>
      <c r="CU4043" s="21">
        <v>4038</v>
      </c>
      <c r="CV4043" s="41">
        <v>4</v>
      </c>
      <c r="CW4043" s="41">
        <v>0.11332468572476186</v>
      </c>
      <c r="CX4043" s="41" t="e">
        <v>#N/A</v>
      </c>
      <c r="CY4043" s="41" t="e">
        <v>#N/A</v>
      </c>
      <c r="CZ4043" s="47" t="e">
        <v>#N/A</v>
      </c>
      <c r="DA4043">
        <v>0.11332468572476186</v>
      </c>
      <c r="DB4043" t="str">
        <v/>
      </c>
    </row>
    <row r="4044" spans="83:106" x14ac:dyDescent="0.2">
      <c r="CE4044"/>
      <c r="CF4044"/>
      <c r="CG4044"/>
      <c r="CH4044"/>
      <c r="CI4044"/>
      <c r="CU4044" s="21">
        <v>4039</v>
      </c>
      <c r="CV4044" s="41">
        <v>4</v>
      </c>
      <c r="CW4044" s="41">
        <v>0.11332468572476186</v>
      </c>
      <c r="CX4044" s="41" t="e">
        <v>#N/A</v>
      </c>
      <c r="CY4044" s="41" t="e">
        <v>#N/A</v>
      </c>
      <c r="CZ4044" s="47" t="e">
        <v>#N/A</v>
      </c>
      <c r="DA4044">
        <v>0.11332468572476186</v>
      </c>
      <c r="DB4044" t="str">
        <v/>
      </c>
    </row>
    <row r="4045" spans="83:106" x14ac:dyDescent="0.2">
      <c r="CE4045"/>
      <c r="CF4045"/>
      <c r="CG4045"/>
      <c r="CH4045"/>
      <c r="CI4045"/>
      <c r="CU4045" s="21">
        <v>4040</v>
      </c>
      <c r="CV4045" s="41">
        <v>4</v>
      </c>
      <c r="CW4045" s="41">
        <v>0.11332468572476186</v>
      </c>
      <c r="CX4045" s="41" t="e">
        <v>#N/A</v>
      </c>
      <c r="CY4045" s="41" t="e">
        <v>#N/A</v>
      </c>
      <c r="CZ4045" s="47" t="e">
        <v>#N/A</v>
      </c>
      <c r="DA4045">
        <v>0.11332468572476186</v>
      </c>
      <c r="DB4045" t="str">
        <v/>
      </c>
    </row>
    <row r="4046" spans="83:106" x14ac:dyDescent="0.2">
      <c r="CE4046"/>
      <c r="CF4046"/>
      <c r="CG4046"/>
      <c r="CH4046"/>
      <c r="CI4046"/>
      <c r="CU4046" s="21">
        <v>4041</v>
      </c>
      <c r="CV4046" s="41">
        <v>4</v>
      </c>
      <c r="CW4046" s="41">
        <v>0.11332468572476186</v>
      </c>
      <c r="CX4046" s="41" t="e">
        <v>#N/A</v>
      </c>
      <c r="CY4046" s="41" t="e">
        <v>#N/A</v>
      </c>
      <c r="CZ4046" s="47" t="e">
        <v>#N/A</v>
      </c>
      <c r="DA4046">
        <v>0.11332468572476186</v>
      </c>
      <c r="DB4046" t="str">
        <v/>
      </c>
    </row>
    <row r="4047" spans="83:106" x14ac:dyDescent="0.2">
      <c r="CE4047"/>
      <c r="CF4047"/>
      <c r="CG4047"/>
      <c r="CH4047"/>
      <c r="CI4047"/>
      <c r="CU4047" s="21">
        <v>4042</v>
      </c>
      <c r="CV4047" s="41">
        <v>4</v>
      </c>
      <c r="CW4047" s="41">
        <v>0.11332468572476186</v>
      </c>
      <c r="CX4047" s="41" t="e">
        <v>#N/A</v>
      </c>
      <c r="CY4047" s="41" t="e">
        <v>#N/A</v>
      </c>
      <c r="CZ4047" s="47" t="e">
        <v>#N/A</v>
      </c>
      <c r="DA4047">
        <v>0.11332468572476186</v>
      </c>
      <c r="DB4047" t="str">
        <v/>
      </c>
    </row>
    <row r="4048" spans="83:106" x14ac:dyDescent="0.2">
      <c r="CE4048"/>
      <c r="CF4048"/>
      <c r="CG4048"/>
      <c r="CH4048"/>
      <c r="CI4048"/>
      <c r="CU4048" s="21">
        <v>4043</v>
      </c>
      <c r="CV4048" s="41">
        <v>4</v>
      </c>
      <c r="CW4048" s="41">
        <v>0.11332468572476186</v>
      </c>
      <c r="CX4048" s="41" t="e">
        <v>#N/A</v>
      </c>
      <c r="CY4048" s="41" t="e">
        <v>#N/A</v>
      </c>
      <c r="CZ4048" s="47" t="e">
        <v>#N/A</v>
      </c>
      <c r="DA4048">
        <v>0.11332468572476186</v>
      </c>
      <c r="DB4048" t="str">
        <v/>
      </c>
    </row>
    <row r="4049" spans="83:106" x14ac:dyDescent="0.2">
      <c r="CE4049"/>
      <c r="CF4049"/>
      <c r="CG4049"/>
      <c r="CH4049"/>
      <c r="CI4049"/>
      <c r="CU4049" s="21">
        <v>4044</v>
      </c>
      <c r="CV4049" s="41">
        <v>4</v>
      </c>
      <c r="CW4049" s="41">
        <v>0.11332468572476186</v>
      </c>
      <c r="CX4049" s="41" t="e">
        <v>#N/A</v>
      </c>
      <c r="CY4049" s="41" t="e">
        <v>#N/A</v>
      </c>
      <c r="CZ4049" s="47" t="e">
        <v>#N/A</v>
      </c>
      <c r="DA4049">
        <v>0.11332468572476186</v>
      </c>
      <c r="DB4049" t="str">
        <v/>
      </c>
    </row>
    <row r="4050" spans="83:106" x14ac:dyDescent="0.2">
      <c r="CE4050"/>
      <c r="CF4050"/>
      <c r="CG4050"/>
      <c r="CH4050"/>
      <c r="CI4050"/>
      <c r="CU4050" s="21">
        <v>4045</v>
      </c>
      <c r="CV4050" s="41">
        <v>4</v>
      </c>
      <c r="CW4050" s="41">
        <v>0.11332468572476186</v>
      </c>
      <c r="CX4050" s="41" t="e">
        <v>#N/A</v>
      </c>
      <c r="CY4050" s="41" t="e">
        <v>#N/A</v>
      </c>
      <c r="CZ4050" s="47" t="e">
        <v>#N/A</v>
      </c>
      <c r="DA4050">
        <v>0.11332468572476186</v>
      </c>
      <c r="DB4050" t="str">
        <v/>
      </c>
    </row>
    <row r="4051" spans="83:106" x14ac:dyDescent="0.2">
      <c r="CE4051"/>
      <c r="CF4051"/>
      <c r="CG4051"/>
      <c r="CH4051"/>
      <c r="CI4051"/>
      <c r="CU4051" s="21">
        <v>4046</v>
      </c>
      <c r="CV4051" s="41">
        <v>4</v>
      </c>
      <c r="CW4051" s="41">
        <v>0.11332468572476186</v>
      </c>
      <c r="CX4051" s="41" t="e">
        <v>#N/A</v>
      </c>
      <c r="CY4051" s="41" t="e">
        <v>#N/A</v>
      </c>
      <c r="CZ4051" s="47" t="e">
        <v>#N/A</v>
      </c>
      <c r="DA4051">
        <v>0.11332468572476186</v>
      </c>
      <c r="DB4051" t="str">
        <v/>
      </c>
    </row>
    <row r="4052" spans="83:106" x14ac:dyDescent="0.2">
      <c r="CE4052"/>
      <c r="CF4052"/>
      <c r="CG4052"/>
      <c r="CH4052"/>
      <c r="CI4052"/>
      <c r="CU4052" s="21">
        <v>4047</v>
      </c>
      <c r="CV4052" s="41">
        <v>4</v>
      </c>
      <c r="CW4052" s="41">
        <v>0.11332468572476186</v>
      </c>
      <c r="CX4052" s="41" t="e">
        <v>#N/A</v>
      </c>
      <c r="CY4052" s="41" t="e">
        <v>#N/A</v>
      </c>
      <c r="CZ4052" s="47" t="e">
        <v>#N/A</v>
      </c>
      <c r="DA4052">
        <v>0.11332468572476186</v>
      </c>
      <c r="DB4052" t="str">
        <v/>
      </c>
    </row>
    <row r="4053" spans="83:106" x14ac:dyDescent="0.2">
      <c r="CE4053"/>
      <c r="CF4053"/>
      <c r="CG4053"/>
      <c r="CH4053"/>
      <c r="CI4053"/>
      <c r="CU4053" s="21">
        <v>4048</v>
      </c>
      <c r="CV4053" s="41">
        <v>4</v>
      </c>
      <c r="CW4053" s="41">
        <v>0.11332468572476186</v>
      </c>
      <c r="CX4053" s="41" t="e">
        <v>#N/A</v>
      </c>
      <c r="CY4053" s="41" t="e">
        <v>#N/A</v>
      </c>
      <c r="CZ4053" s="47" t="e">
        <v>#N/A</v>
      </c>
      <c r="DA4053">
        <v>0.11332468572476186</v>
      </c>
      <c r="DB4053" t="str">
        <v/>
      </c>
    </row>
    <row r="4054" spans="83:106" x14ac:dyDescent="0.2">
      <c r="CE4054"/>
      <c r="CF4054"/>
      <c r="CG4054"/>
      <c r="CH4054"/>
      <c r="CI4054"/>
      <c r="CU4054" s="21">
        <v>4049</v>
      </c>
      <c r="CV4054" s="41">
        <v>4</v>
      </c>
      <c r="CW4054" s="41">
        <v>0.11332468572476186</v>
      </c>
      <c r="CX4054" s="41" t="e">
        <v>#N/A</v>
      </c>
      <c r="CY4054" s="41" t="e">
        <v>#N/A</v>
      </c>
      <c r="CZ4054" s="47" t="e">
        <v>#N/A</v>
      </c>
      <c r="DA4054">
        <v>0.11332468572476186</v>
      </c>
      <c r="DB4054" t="str">
        <v/>
      </c>
    </row>
    <row r="4055" spans="83:106" x14ac:dyDescent="0.2">
      <c r="CE4055"/>
      <c r="CF4055"/>
      <c r="CG4055"/>
      <c r="CH4055"/>
      <c r="CI4055"/>
      <c r="CU4055" s="21">
        <v>4050</v>
      </c>
      <c r="CV4055" s="41">
        <v>4</v>
      </c>
      <c r="CW4055" s="41">
        <v>0.11332468572476186</v>
      </c>
      <c r="CX4055" s="41" t="e">
        <v>#N/A</v>
      </c>
      <c r="CY4055" s="41" t="e">
        <v>#N/A</v>
      </c>
      <c r="CZ4055" s="47" t="e">
        <v>#N/A</v>
      </c>
      <c r="DA4055">
        <v>0.11332468572476186</v>
      </c>
      <c r="DB4055" t="str">
        <v/>
      </c>
    </row>
    <row r="4056" spans="83:106" x14ac:dyDescent="0.2">
      <c r="CE4056"/>
      <c r="CF4056"/>
      <c r="CG4056"/>
      <c r="CH4056"/>
      <c r="CI4056"/>
      <c r="CU4056" s="21">
        <v>4051</v>
      </c>
      <c r="CV4056" s="41">
        <v>4</v>
      </c>
      <c r="CW4056" s="41">
        <v>0.11332468572476186</v>
      </c>
      <c r="CX4056" s="41" t="e">
        <v>#N/A</v>
      </c>
      <c r="CY4056" s="41" t="e">
        <v>#N/A</v>
      </c>
      <c r="CZ4056" s="47" t="e">
        <v>#N/A</v>
      </c>
      <c r="DA4056">
        <v>0.11332468572476186</v>
      </c>
      <c r="DB4056" t="str">
        <v/>
      </c>
    </row>
    <row r="4057" spans="83:106" x14ac:dyDescent="0.2">
      <c r="CE4057"/>
      <c r="CF4057"/>
      <c r="CG4057"/>
      <c r="CH4057"/>
      <c r="CI4057"/>
      <c r="CU4057" s="21">
        <v>4052</v>
      </c>
      <c r="CV4057" s="41">
        <v>4</v>
      </c>
      <c r="CW4057" s="41">
        <v>0.11332468572476186</v>
      </c>
      <c r="CX4057" s="41" t="e">
        <v>#N/A</v>
      </c>
      <c r="CY4057" s="41" t="e">
        <v>#N/A</v>
      </c>
      <c r="CZ4057" s="47" t="e">
        <v>#N/A</v>
      </c>
      <c r="DA4057">
        <v>0.11332468572476186</v>
      </c>
      <c r="DB4057" t="str">
        <v/>
      </c>
    </row>
    <row r="4058" spans="83:106" x14ac:dyDescent="0.2">
      <c r="CE4058"/>
      <c r="CF4058"/>
      <c r="CG4058"/>
      <c r="CH4058"/>
      <c r="CI4058"/>
      <c r="CU4058" s="21">
        <v>4053</v>
      </c>
      <c r="CV4058" s="41">
        <v>4</v>
      </c>
      <c r="CW4058" s="41">
        <v>0.11332468572476186</v>
      </c>
      <c r="CX4058" s="41" t="e">
        <v>#N/A</v>
      </c>
      <c r="CY4058" s="41" t="e">
        <v>#N/A</v>
      </c>
      <c r="CZ4058" s="47" t="e">
        <v>#N/A</v>
      </c>
      <c r="DA4058">
        <v>0.11332468572476186</v>
      </c>
      <c r="DB4058" t="str">
        <v/>
      </c>
    </row>
    <row r="4059" spans="83:106" x14ac:dyDescent="0.2">
      <c r="CE4059"/>
      <c r="CF4059"/>
      <c r="CG4059"/>
      <c r="CH4059"/>
      <c r="CI4059"/>
      <c r="CU4059" s="21">
        <v>4054</v>
      </c>
      <c r="CV4059" s="41">
        <v>4</v>
      </c>
      <c r="CW4059" s="41">
        <v>0.11332468572476186</v>
      </c>
      <c r="CX4059" s="41" t="e">
        <v>#N/A</v>
      </c>
      <c r="CY4059" s="41" t="e">
        <v>#N/A</v>
      </c>
      <c r="CZ4059" s="47" t="e">
        <v>#N/A</v>
      </c>
      <c r="DA4059">
        <v>0.11332468572476186</v>
      </c>
      <c r="DB4059" t="str">
        <v/>
      </c>
    </row>
    <row r="4060" spans="83:106" x14ac:dyDescent="0.2">
      <c r="CE4060"/>
      <c r="CF4060"/>
      <c r="CG4060"/>
      <c r="CH4060"/>
      <c r="CI4060"/>
      <c r="CU4060" s="21">
        <v>4055</v>
      </c>
      <c r="CV4060" s="41">
        <v>4</v>
      </c>
      <c r="CW4060" s="41">
        <v>0.11332468572476186</v>
      </c>
      <c r="CX4060" s="41" t="e">
        <v>#N/A</v>
      </c>
      <c r="CY4060" s="41" t="e">
        <v>#N/A</v>
      </c>
      <c r="CZ4060" s="47" t="e">
        <v>#N/A</v>
      </c>
      <c r="DA4060">
        <v>0.11332468572476186</v>
      </c>
      <c r="DB4060" t="str">
        <v/>
      </c>
    </row>
    <row r="4061" spans="83:106" x14ac:dyDescent="0.2">
      <c r="CE4061"/>
      <c r="CF4061"/>
      <c r="CG4061"/>
      <c r="CH4061"/>
      <c r="CI4061"/>
      <c r="CU4061" s="21">
        <v>4056</v>
      </c>
      <c r="CV4061" s="41">
        <v>4</v>
      </c>
      <c r="CW4061" s="41">
        <v>0.11332468572476186</v>
      </c>
      <c r="CX4061" s="41" t="e">
        <v>#N/A</v>
      </c>
      <c r="CY4061" s="41" t="e">
        <v>#N/A</v>
      </c>
      <c r="CZ4061" s="47" t="e">
        <v>#N/A</v>
      </c>
      <c r="DA4061">
        <v>0.11332468572476186</v>
      </c>
      <c r="DB4061" t="str">
        <v/>
      </c>
    </row>
    <row r="4062" spans="83:106" x14ac:dyDescent="0.2">
      <c r="CE4062"/>
      <c r="CF4062"/>
      <c r="CG4062"/>
      <c r="CH4062"/>
      <c r="CI4062"/>
      <c r="CU4062" s="21">
        <v>4057</v>
      </c>
      <c r="CV4062" s="41">
        <v>4</v>
      </c>
      <c r="CW4062" s="41">
        <v>0.11332468572476186</v>
      </c>
      <c r="CX4062" s="41" t="e">
        <v>#N/A</v>
      </c>
      <c r="CY4062" s="41" t="e">
        <v>#N/A</v>
      </c>
      <c r="CZ4062" s="47" t="e">
        <v>#N/A</v>
      </c>
      <c r="DA4062">
        <v>0.11332468572476186</v>
      </c>
      <c r="DB4062" t="str">
        <v/>
      </c>
    </row>
    <row r="4063" spans="83:106" x14ac:dyDescent="0.2">
      <c r="CE4063"/>
      <c r="CF4063"/>
      <c r="CG4063"/>
      <c r="CH4063"/>
      <c r="CI4063"/>
      <c r="CU4063" s="21">
        <v>4058</v>
      </c>
      <c r="CV4063" s="41">
        <v>4</v>
      </c>
      <c r="CW4063" s="41">
        <v>0.11332468572476186</v>
      </c>
      <c r="CX4063" s="41" t="e">
        <v>#N/A</v>
      </c>
      <c r="CY4063" s="41" t="e">
        <v>#N/A</v>
      </c>
      <c r="CZ4063" s="47" t="e">
        <v>#N/A</v>
      </c>
      <c r="DA4063">
        <v>0.11332468572476186</v>
      </c>
      <c r="DB4063" t="str">
        <v/>
      </c>
    </row>
    <row r="4064" spans="83:106" x14ac:dyDescent="0.2">
      <c r="CE4064"/>
      <c r="CF4064"/>
      <c r="CG4064"/>
      <c r="CH4064"/>
      <c r="CI4064"/>
      <c r="CU4064" s="21">
        <v>4059</v>
      </c>
      <c r="CV4064" s="41">
        <v>4</v>
      </c>
      <c r="CW4064" s="41">
        <v>0.11332468572476186</v>
      </c>
      <c r="CX4064" s="41" t="e">
        <v>#N/A</v>
      </c>
      <c r="CY4064" s="41" t="e">
        <v>#N/A</v>
      </c>
      <c r="CZ4064" s="47" t="e">
        <v>#N/A</v>
      </c>
      <c r="DA4064">
        <v>0.11332468572476186</v>
      </c>
      <c r="DB4064" t="str">
        <v/>
      </c>
    </row>
    <row r="4065" spans="83:106" x14ac:dyDescent="0.2">
      <c r="CE4065"/>
      <c r="CF4065"/>
      <c r="CG4065"/>
      <c r="CH4065"/>
      <c r="CI4065"/>
      <c r="CU4065" s="21">
        <v>4060</v>
      </c>
      <c r="CV4065" s="41">
        <v>4</v>
      </c>
      <c r="CW4065" s="41">
        <v>0.11332468572476186</v>
      </c>
      <c r="CX4065" s="41" t="e">
        <v>#N/A</v>
      </c>
      <c r="CY4065" s="41" t="e">
        <v>#N/A</v>
      </c>
      <c r="CZ4065" s="47" t="e">
        <v>#N/A</v>
      </c>
      <c r="DA4065">
        <v>0.11332468572476186</v>
      </c>
      <c r="DB4065" t="str">
        <v/>
      </c>
    </row>
    <row r="4066" spans="83:106" x14ac:dyDescent="0.2">
      <c r="CE4066"/>
      <c r="CF4066"/>
      <c r="CG4066"/>
      <c r="CH4066"/>
      <c r="CI4066"/>
      <c r="CU4066" s="21">
        <v>4061</v>
      </c>
      <c r="CV4066" s="41">
        <v>4</v>
      </c>
      <c r="CW4066" s="41">
        <v>0.11332468572476186</v>
      </c>
      <c r="CX4066" s="41" t="e">
        <v>#N/A</v>
      </c>
      <c r="CY4066" s="41" t="e">
        <v>#N/A</v>
      </c>
      <c r="CZ4066" s="47" t="e">
        <v>#N/A</v>
      </c>
      <c r="DA4066">
        <v>0.11332468572476186</v>
      </c>
      <c r="DB4066" t="str">
        <v/>
      </c>
    </row>
    <row r="4067" spans="83:106" x14ac:dyDescent="0.2">
      <c r="CE4067"/>
      <c r="CF4067"/>
      <c r="CG4067"/>
      <c r="CH4067"/>
      <c r="CI4067"/>
      <c r="CU4067" s="21">
        <v>4062</v>
      </c>
      <c r="CV4067" s="41">
        <v>4</v>
      </c>
      <c r="CW4067" s="41">
        <v>0.11332468572476186</v>
      </c>
      <c r="CX4067" s="41" t="e">
        <v>#N/A</v>
      </c>
      <c r="CY4067" s="41" t="e">
        <v>#N/A</v>
      </c>
      <c r="CZ4067" s="47" t="e">
        <v>#N/A</v>
      </c>
      <c r="DA4067">
        <v>0.11332468572476186</v>
      </c>
      <c r="DB4067" t="str">
        <v/>
      </c>
    </row>
    <row r="4068" spans="83:106" x14ac:dyDescent="0.2">
      <c r="CE4068"/>
      <c r="CF4068"/>
      <c r="CG4068"/>
      <c r="CH4068"/>
      <c r="CI4068"/>
      <c r="CU4068" s="21">
        <v>4063</v>
      </c>
      <c r="CV4068" s="41">
        <v>4</v>
      </c>
      <c r="CW4068" s="41">
        <v>0.11332468572476186</v>
      </c>
      <c r="CX4068" s="41" t="e">
        <v>#N/A</v>
      </c>
      <c r="CY4068" s="41" t="e">
        <v>#N/A</v>
      </c>
      <c r="CZ4068" s="47" t="e">
        <v>#N/A</v>
      </c>
      <c r="DA4068">
        <v>0.11332468572476186</v>
      </c>
      <c r="DB4068" t="str">
        <v/>
      </c>
    </row>
    <row r="4069" spans="83:106" x14ac:dyDescent="0.2">
      <c r="CE4069"/>
      <c r="CF4069"/>
      <c r="CG4069"/>
      <c r="CH4069"/>
      <c r="CI4069"/>
      <c r="CU4069" s="21">
        <v>4064</v>
      </c>
      <c r="CV4069" s="41">
        <v>4</v>
      </c>
      <c r="CW4069" s="41">
        <v>0.11332468572476186</v>
      </c>
      <c r="CX4069" s="41" t="e">
        <v>#N/A</v>
      </c>
      <c r="CY4069" s="41" t="e">
        <v>#N/A</v>
      </c>
      <c r="CZ4069" s="47" t="e">
        <v>#N/A</v>
      </c>
      <c r="DA4069">
        <v>0.11332468572476186</v>
      </c>
      <c r="DB4069" t="str">
        <v/>
      </c>
    </row>
    <row r="4070" spans="83:106" x14ac:dyDescent="0.2">
      <c r="CE4070"/>
      <c r="CF4070"/>
      <c r="CG4070"/>
      <c r="CH4070"/>
      <c r="CI4070"/>
      <c r="CU4070" s="21">
        <v>4065</v>
      </c>
      <c r="CV4070" s="41">
        <v>4</v>
      </c>
      <c r="CW4070" s="41">
        <v>0.11332468572476186</v>
      </c>
      <c r="CX4070" s="41" t="e">
        <v>#N/A</v>
      </c>
      <c r="CY4070" s="41" t="e">
        <v>#N/A</v>
      </c>
      <c r="CZ4070" s="47" t="e">
        <v>#N/A</v>
      </c>
      <c r="DA4070">
        <v>0.11332468572476186</v>
      </c>
      <c r="DB4070" t="str">
        <v/>
      </c>
    </row>
    <row r="4071" spans="83:106" x14ac:dyDescent="0.2">
      <c r="CE4071"/>
      <c r="CF4071"/>
      <c r="CG4071"/>
      <c r="CH4071"/>
      <c r="CI4071"/>
      <c r="CU4071" s="21">
        <v>4066</v>
      </c>
      <c r="CV4071" s="41">
        <v>4</v>
      </c>
      <c r="CW4071" s="41">
        <v>0.11332468572476186</v>
      </c>
      <c r="CX4071" s="41" t="e">
        <v>#N/A</v>
      </c>
      <c r="CY4071" s="41" t="e">
        <v>#N/A</v>
      </c>
      <c r="CZ4071" s="47" t="e">
        <v>#N/A</v>
      </c>
      <c r="DA4071">
        <v>0.11332468572476186</v>
      </c>
      <c r="DB4071" t="str">
        <v/>
      </c>
    </row>
    <row r="4072" spans="83:106" x14ac:dyDescent="0.2">
      <c r="CE4072"/>
      <c r="CF4072"/>
      <c r="CG4072"/>
      <c r="CH4072"/>
      <c r="CI4072"/>
      <c r="CU4072" s="21">
        <v>4067</v>
      </c>
      <c r="CV4072" s="41">
        <v>4</v>
      </c>
      <c r="CW4072" s="41">
        <v>0.11332468572476186</v>
      </c>
      <c r="CX4072" s="41" t="e">
        <v>#N/A</v>
      </c>
      <c r="CY4072" s="41" t="e">
        <v>#N/A</v>
      </c>
      <c r="CZ4072" s="47" t="e">
        <v>#N/A</v>
      </c>
      <c r="DA4072">
        <v>0.11332468572476186</v>
      </c>
      <c r="DB4072" t="str">
        <v/>
      </c>
    </row>
    <row r="4073" spans="83:106" x14ac:dyDescent="0.2">
      <c r="CE4073"/>
      <c r="CF4073"/>
      <c r="CG4073"/>
      <c r="CH4073"/>
      <c r="CI4073"/>
      <c r="CU4073" s="21">
        <v>4068</v>
      </c>
      <c r="CV4073" s="41">
        <v>4</v>
      </c>
      <c r="CW4073" s="41">
        <v>0.11332468572476186</v>
      </c>
      <c r="CX4073" s="41" t="e">
        <v>#N/A</v>
      </c>
      <c r="CY4073" s="41" t="e">
        <v>#N/A</v>
      </c>
      <c r="CZ4073" s="47" t="e">
        <v>#N/A</v>
      </c>
      <c r="DA4073">
        <v>0.11332468572476186</v>
      </c>
      <c r="DB4073" t="str">
        <v/>
      </c>
    </row>
    <row r="4074" spans="83:106" x14ac:dyDescent="0.2">
      <c r="CE4074"/>
      <c r="CF4074"/>
      <c r="CG4074"/>
      <c r="CH4074"/>
      <c r="CI4074"/>
      <c r="CU4074" s="21">
        <v>4069</v>
      </c>
      <c r="CV4074" s="41">
        <v>4</v>
      </c>
      <c r="CW4074" s="41">
        <v>0.11332468572476186</v>
      </c>
      <c r="CX4074" s="41" t="e">
        <v>#N/A</v>
      </c>
      <c r="CY4074" s="41" t="e">
        <v>#N/A</v>
      </c>
      <c r="CZ4074" s="47" t="e">
        <v>#N/A</v>
      </c>
      <c r="DA4074">
        <v>0.11332468572476186</v>
      </c>
      <c r="DB4074" t="str">
        <v/>
      </c>
    </row>
    <row r="4075" spans="83:106" x14ac:dyDescent="0.2">
      <c r="CE4075"/>
      <c r="CF4075"/>
      <c r="CG4075"/>
      <c r="CH4075"/>
      <c r="CI4075"/>
      <c r="CU4075" s="21">
        <v>4070</v>
      </c>
      <c r="CV4075" s="41">
        <v>4</v>
      </c>
      <c r="CW4075" s="41">
        <v>0.11332468572476186</v>
      </c>
      <c r="CX4075" s="41" t="e">
        <v>#N/A</v>
      </c>
      <c r="CY4075" s="41" t="e">
        <v>#N/A</v>
      </c>
      <c r="CZ4075" s="47" t="e">
        <v>#N/A</v>
      </c>
      <c r="DA4075">
        <v>0.11332468572476186</v>
      </c>
      <c r="DB4075" t="str">
        <v/>
      </c>
    </row>
    <row r="4076" spans="83:106" x14ac:dyDescent="0.2">
      <c r="CE4076"/>
      <c r="CF4076"/>
      <c r="CG4076"/>
      <c r="CH4076"/>
      <c r="CI4076"/>
      <c r="CU4076" s="21">
        <v>4071</v>
      </c>
      <c r="CV4076" s="41">
        <v>4</v>
      </c>
      <c r="CW4076" s="41">
        <v>0.11332468572476186</v>
      </c>
      <c r="CX4076" s="41" t="e">
        <v>#N/A</v>
      </c>
      <c r="CY4076" s="41" t="e">
        <v>#N/A</v>
      </c>
      <c r="CZ4076" s="47" t="e">
        <v>#N/A</v>
      </c>
      <c r="DA4076">
        <v>0.11332468572476186</v>
      </c>
      <c r="DB4076" t="str">
        <v/>
      </c>
    </row>
    <row r="4077" spans="83:106" x14ac:dyDescent="0.2">
      <c r="CE4077"/>
      <c r="CF4077"/>
      <c r="CG4077"/>
      <c r="CH4077"/>
      <c r="CI4077"/>
      <c r="CU4077" s="21">
        <v>4072</v>
      </c>
      <c r="CV4077" s="41">
        <v>4</v>
      </c>
      <c r="CW4077" s="41">
        <v>0.11332468572476186</v>
      </c>
      <c r="CX4077" s="41" t="e">
        <v>#N/A</v>
      </c>
      <c r="CY4077" s="41" t="e">
        <v>#N/A</v>
      </c>
      <c r="CZ4077" s="47" t="e">
        <v>#N/A</v>
      </c>
      <c r="DA4077">
        <v>0.11332468572476186</v>
      </c>
      <c r="DB4077" t="str">
        <v/>
      </c>
    </row>
    <row r="4078" spans="83:106" x14ac:dyDescent="0.2">
      <c r="CE4078"/>
      <c r="CF4078"/>
      <c r="CG4078"/>
      <c r="CH4078"/>
      <c r="CI4078"/>
      <c r="CU4078" s="21">
        <v>4073</v>
      </c>
      <c r="CV4078" s="41">
        <v>4</v>
      </c>
      <c r="CW4078" s="41">
        <v>0.11332468572476186</v>
      </c>
      <c r="CX4078" s="41" t="e">
        <v>#N/A</v>
      </c>
      <c r="CY4078" s="41" t="e">
        <v>#N/A</v>
      </c>
      <c r="CZ4078" s="47" t="e">
        <v>#N/A</v>
      </c>
      <c r="DA4078">
        <v>0.11332468572476186</v>
      </c>
      <c r="DB4078" t="str">
        <v/>
      </c>
    </row>
    <row r="4079" spans="83:106" x14ac:dyDescent="0.2">
      <c r="CE4079"/>
      <c r="CF4079"/>
      <c r="CG4079"/>
      <c r="CH4079"/>
      <c r="CI4079"/>
      <c r="CU4079" s="21">
        <v>4074</v>
      </c>
      <c r="CV4079" s="41">
        <v>4</v>
      </c>
      <c r="CW4079" s="41">
        <v>0.11332468572476186</v>
      </c>
      <c r="CX4079" s="41" t="e">
        <v>#N/A</v>
      </c>
      <c r="CY4079" s="41" t="e">
        <v>#N/A</v>
      </c>
      <c r="CZ4079" s="47" t="e">
        <v>#N/A</v>
      </c>
      <c r="DA4079">
        <v>0.11332468572476186</v>
      </c>
      <c r="DB4079" t="str">
        <v/>
      </c>
    </row>
    <row r="4080" spans="83:106" x14ac:dyDescent="0.2">
      <c r="CE4080"/>
      <c r="CF4080"/>
      <c r="CG4080"/>
      <c r="CH4080"/>
      <c r="CI4080"/>
      <c r="CU4080" s="21">
        <v>4075</v>
      </c>
      <c r="CV4080" s="41">
        <v>4</v>
      </c>
      <c r="CW4080" s="41">
        <v>0.11332468572476186</v>
      </c>
      <c r="CX4080" s="41" t="e">
        <v>#N/A</v>
      </c>
      <c r="CY4080" s="41" t="e">
        <v>#N/A</v>
      </c>
      <c r="CZ4080" s="47" t="e">
        <v>#N/A</v>
      </c>
      <c r="DA4080">
        <v>0.11332468572476186</v>
      </c>
      <c r="DB4080" t="str">
        <v/>
      </c>
    </row>
    <row r="4081" spans="83:106" x14ac:dyDescent="0.2">
      <c r="CE4081"/>
      <c r="CF4081"/>
      <c r="CG4081"/>
      <c r="CH4081"/>
      <c r="CI4081"/>
      <c r="CU4081" s="21">
        <v>4076</v>
      </c>
      <c r="CV4081" s="41">
        <v>4</v>
      </c>
      <c r="CW4081" s="41">
        <v>0.11332468572476186</v>
      </c>
      <c r="CX4081" s="41" t="e">
        <v>#N/A</v>
      </c>
      <c r="CY4081" s="41" t="e">
        <v>#N/A</v>
      </c>
      <c r="CZ4081" s="47" t="e">
        <v>#N/A</v>
      </c>
      <c r="DA4081">
        <v>0.11332468572476186</v>
      </c>
      <c r="DB4081" t="str">
        <v/>
      </c>
    </row>
    <row r="4082" spans="83:106" x14ac:dyDescent="0.2">
      <c r="CE4082"/>
      <c r="CF4082"/>
      <c r="CG4082"/>
      <c r="CH4082"/>
      <c r="CI4082"/>
      <c r="CU4082" s="21">
        <v>4077</v>
      </c>
      <c r="CV4082" s="41">
        <v>4</v>
      </c>
      <c r="CW4082" s="41">
        <v>0.11332468572476186</v>
      </c>
      <c r="CX4082" s="41" t="e">
        <v>#N/A</v>
      </c>
      <c r="CY4082" s="41" t="e">
        <v>#N/A</v>
      </c>
      <c r="CZ4082" s="47" t="e">
        <v>#N/A</v>
      </c>
      <c r="DA4082">
        <v>0.11332468572476186</v>
      </c>
      <c r="DB4082" t="str">
        <v/>
      </c>
    </row>
    <row r="4083" spans="83:106" x14ac:dyDescent="0.2">
      <c r="CE4083"/>
      <c r="CF4083"/>
      <c r="CG4083"/>
      <c r="CH4083"/>
      <c r="CI4083"/>
      <c r="CU4083" s="21">
        <v>4078</v>
      </c>
      <c r="CV4083" s="41">
        <v>4</v>
      </c>
      <c r="CW4083" s="41">
        <v>0.11332468572476186</v>
      </c>
      <c r="CX4083" s="41" t="e">
        <v>#N/A</v>
      </c>
      <c r="CY4083" s="41" t="e">
        <v>#N/A</v>
      </c>
      <c r="CZ4083" s="47" t="e">
        <v>#N/A</v>
      </c>
      <c r="DA4083">
        <v>0.11332468572476186</v>
      </c>
      <c r="DB4083" t="str">
        <v/>
      </c>
    </row>
    <row r="4084" spans="83:106" x14ac:dyDescent="0.2">
      <c r="CE4084"/>
      <c r="CF4084"/>
      <c r="CG4084"/>
      <c r="CH4084"/>
      <c r="CI4084"/>
      <c r="CU4084" s="21">
        <v>4079</v>
      </c>
      <c r="CV4084" s="41">
        <v>4</v>
      </c>
      <c r="CW4084" s="41">
        <v>0.11332468572476186</v>
      </c>
      <c r="CX4084" s="41" t="e">
        <v>#N/A</v>
      </c>
      <c r="CY4084" s="41" t="e">
        <v>#N/A</v>
      </c>
      <c r="CZ4084" s="47" t="e">
        <v>#N/A</v>
      </c>
      <c r="DA4084">
        <v>0.11332468572476186</v>
      </c>
      <c r="DB4084" t="str">
        <v/>
      </c>
    </row>
    <row r="4085" spans="83:106" x14ac:dyDescent="0.2">
      <c r="CE4085"/>
      <c r="CF4085"/>
      <c r="CG4085"/>
      <c r="CH4085"/>
      <c r="CI4085"/>
      <c r="CU4085" s="21">
        <v>4080</v>
      </c>
      <c r="CV4085" s="41">
        <v>4</v>
      </c>
      <c r="CW4085" s="41">
        <v>0.11332468572476186</v>
      </c>
      <c r="CX4085" s="41" t="e">
        <v>#N/A</v>
      </c>
      <c r="CY4085" s="41" t="e">
        <v>#N/A</v>
      </c>
      <c r="CZ4085" s="47" t="e">
        <v>#N/A</v>
      </c>
      <c r="DA4085">
        <v>0.11332468572476186</v>
      </c>
      <c r="DB4085" t="str">
        <v/>
      </c>
    </row>
    <row r="4086" spans="83:106" x14ac:dyDescent="0.2">
      <c r="CE4086"/>
      <c r="CF4086"/>
      <c r="CG4086"/>
      <c r="CH4086"/>
      <c r="CI4086"/>
      <c r="CU4086" s="21">
        <v>4081</v>
      </c>
      <c r="CV4086" s="41">
        <v>4</v>
      </c>
      <c r="CW4086" s="41">
        <v>0.11332468572476186</v>
      </c>
      <c r="CX4086" s="41" t="e">
        <v>#N/A</v>
      </c>
      <c r="CY4086" s="41" t="e">
        <v>#N/A</v>
      </c>
      <c r="CZ4086" s="47" t="e">
        <v>#N/A</v>
      </c>
      <c r="DA4086">
        <v>0.11332468572476186</v>
      </c>
      <c r="DB4086" t="str">
        <v/>
      </c>
    </row>
    <row r="4087" spans="83:106" x14ac:dyDescent="0.2">
      <c r="CE4087"/>
      <c r="CF4087"/>
      <c r="CG4087"/>
      <c r="CH4087"/>
      <c r="CI4087"/>
      <c r="CU4087" s="21">
        <v>4082</v>
      </c>
      <c r="CV4087" s="41">
        <v>4</v>
      </c>
      <c r="CW4087" s="41">
        <v>0.11332468572476186</v>
      </c>
      <c r="CX4087" s="41" t="e">
        <v>#N/A</v>
      </c>
      <c r="CY4087" s="41" t="e">
        <v>#N/A</v>
      </c>
      <c r="CZ4087" s="47" t="e">
        <v>#N/A</v>
      </c>
      <c r="DA4087">
        <v>0.11332468572476186</v>
      </c>
      <c r="DB4087" t="str">
        <v/>
      </c>
    </row>
    <row r="4088" spans="83:106" x14ac:dyDescent="0.2">
      <c r="CE4088"/>
      <c r="CF4088"/>
      <c r="CG4088"/>
      <c r="CH4088"/>
      <c r="CI4088"/>
      <c r="CU4088" s="21">
        <v>4083</v>
      </c>
      <c r="CV4088" s="41">
        <v>4</v>
      </c>
      <c r="CW4088" s="41">
        <v>0.11332468572476186</v>
      </c>
      <c r="CX4088" s="41" t="e">
        <v>#N/A</v>
      </c>
      <c r="CY4088" s="41" t="e">
        <v>#N/A</v>
      </c>
      <c r="CZ4088" s="47" t="e">
        <v>#N/A</v>
      </c>
      <c r="DA4088">
        <v>0.11332468572476186</v>
      </c>
      <c r="DB4088" t="str">
        <v/>
      </c>
    </row>
    <row r="4089" spans="83:106" x14ac:dyDescent="0.2">
      <c r="CE4089"/>
      <c r="CF4089"/>
      <c r="CG4089"/>
      <c r="CH4089"/>
      <c r="CI4089"/>
      <c r="CU4089" s="21">
        <v>4084</v>
      </c>
      <c r="CV4089" s="41">
        <v>4</v>
      </c>
      <c r="CW4089" s="41">
        <v>0.11332468572476186</v>
      </c>
      <c r="CX4089" s="41" t="e">
        <v>#N/A</v>
      </c>
      <c r="CY4089" s="41" t="e">
        <v>#N/A</v>
      </c>
      <c r="CZ4089" s="47" t="e">
        <v>#N/A</v>
      </c>
      <c r="DA4089">
        <v>0.11332468572476186</v>
      </c>
      <c r="DB4089" t="str">
        <v/>
      </c>
    </row>
    <row r="4090" spans="83:106" x14ac:dyDescent="0.2">
      <c r="CE4090"/>
      <c r="CF4090"/>
      <c r="CG4090"/>
      <c r="CH4090"/>
      <c r="CI4090"/>
      <c r="CU4090" s="21">
        <v>4085</v>
      </c>
      <c r="CV4090" s="41">
        <v>4</v>
      </c>
      <c r="CW4090" s="41">
        <v>0.11332468572476186</v>
      </c>
      <c r="CX4090" s="41" t="e">
        <v>#N/A</v>
      </c>
      <c r="CY4090" s="41" t="e">
        <v>#N/A</v>
      </c>
      <c r="CZ4090" s="47" t="e">
        <v>#N/A</v>
      </c>
      <c r="DA4090">
        <v>0.11332468572476186</v>
      </c>
      <c r="DB4090" t="str">
        <v/>
      </c>
    </row>
    <row r="4091" spans="83:106" x14ac:dyDescent="0.2">
      <c r="CE4091"/>
      <c r="CF4091"/>
      <c r="CG4091"/>
      <c r="CH4091"/>
      <c r="CI4091"/>
      <c r="CU4091" s="21">
        <v>4086</v>
      </c>
      <c r="CV4091" s="41">
        <v>4</v>
      </c>
      <c r="CW4091" s="41">
        <v>0.11332468572476186</v>
      </c>
      <c r="CX4091" s="41" t="e">
        <v>#N/A</v>
      </c>
      <c r="CY4091" s="41" t="e">
        <v>#N/A</v>
      </c>
      <c r="CZ4091" s="47" t="e">
        <v>#N/A</v>
      </c>
      <c r="DA4091">
        <v>0.11332468572476186</v>
      </c>
      <c r="DB4091" t="str">
        <v/>
      </c>
    </row>
    <row r="4092" spans="83:106" x14ac:dyDescent="0.2">
      <c r="CE4092"/>
      <c r="CF4092"/>
      <c r="CG4092"/>
      <c r="CH4092"/>
      <c r="CI4092"/>
      <c r="CU4092" s="21">
        <v>4087</v>
      </c>
      <c r="CV4092" s="41">
        <v>4</v>
      </c>
      <c r="CW4092" s="41">
        <v>0.11332468572476186</v>
      </c>
      <c r="CX4092" s="41" t="e">
        <v>#N/A</v>
      </c>
      <c r="CY4092" s="41" t="e">
        <v>#N/A</v>
      </c>
      <c r="CZ4092" s="47" t="e">
        <v>#N/A</v>
      </c>
      <c r="DA4092">
        <v>0.11332468572476186</v>
      </c>
      <c r="DB4092" t="str">
        <v/>
      </c>
    </row>
    <row r="4093" spans="83:106" x14ac:dyDescent="0.2">
      <c r="CE4093"/>
      <c r="CF4093"/>
      <c r="CG4093"/>
      <c r="CH4093"/>
      <c r="CI4093"/>
      <c r="CU4093" s="21">
        <v>4088</v>
      </c>
      <c r="CV4093" s="41">
        <v>4</v>
      </c>
      <c r="CW4093" s="41">
        <v>0.11332468572476186</v>
      </c>
      <c r="CX4093" s="41" t="e">
        <v>#N/A</v>
      </c>
      <c r="CY4093" s="41" t="e">
        <v>#N/A</v>
      </c>
      <c r="CZ4093" s="47" t="e">
        <v>#N/A</v>
      </c>
      <c r="DA4093">
        <v>0.11332468572476186</v>
      </c>
      <c r="DB4093" t="str">
        <v/>
      </c>
    </row>
    <row r="4094" spans="83:106" x14ac:dyDescent="0.2">
      <c r="CE4094"/>
      <c r="CF4094"/>
      <c r="CG4094"/>
      <c r="CH4094"/>
      <c r="CI4094"/>
      <c r="CU4094" s="21">
        <v>4089</v>
      </c>
      <c r="CV4094" s="41">
        <v>4</v>
      </c>
      <c r="CW4094" s="41">
        <v>0.11332468572476186</v>
      </c>
      <c r="CX4094" s="41" t="e">
        <v>#N/A</v>
      </c>
      <c r="CY4094" s="41" t="e">
        <v>#N/A</v>
      </c>
      <c r="CZ4094" s="47" t="e">
        <v>#N/A</v>
      </c>
      <c r="DA4094">
        <v>0.11332468572476186</v>
      </c>
      <c r="DB4094" t="str">
        <v/>
      </c>
    </row>
    <row r="4095" spans="83:106" x14ac:dyDescent="0.2">
      <c r="CE4095"/>
      <c r="CF4095"/>
      <c r="CG4095"/>
      <c r="CH4095"/>
      <c r="CI4095"/>
      <c r="CU4095" s="21">
        <v>4090</v>
      </c>
      <c r="CV4095" s="41">
        <v>4</v>
      </c>
      <c r="CW4095" s="41">
        <v>0.11332468572476186</v>
      </c>
      <c r="CX4095" s="41" t="e">
        <v>#N/A</v>
      </c>
      <c r="CY4095" s="41" t="e">
        <v>#N/A</v>
      </c>
      <c r="CZ4095" s="47" t="e">
        <v>#N/A</v>
      </c>
      <c r="DA4095">
        <v>0.11332468572476186</v>
      </c>
      <c r="DB4095" t="str">
        <v/>
      </c>
    </row>
    <row r="4096" spans="83:106" x14ac:dyDescent="0.2">
      <c r="CE4096"/>
      <c r="CF4096"/>
      <c r="CG4096"/>
      <c r="CH4096"/>
      <c r="CI4096"/>
      <c r="CU4096" s="21">
        <v>4091</v>
      </c>
      <c r="CV4096" s="41">
        <v>4</v>
      </c>
      <c r="CW4096" s="41">
        <v>0.11332468572476186</v>
      </c>
      <c r="CX4096" s="41" t="e">
        <v>#N/A</v>
      </c>
      <c r="CY4096" s="41" t="e">
        <v>#N/A</v>
      </c>
      <c r="CZ4096" s="47" t="e">
        <v>#N/A</v>
      </c>
      <c r="DA4096">
        <v>0.11332468572476186</v>
      </c>
      <c r="DB4096" t="str">
        <v/>
      </c>
    </row>
    <row r="4097" spans="83:106" x14ac:dyDescent="0.2">
      <c r="CE4097"/>
      <c r="CF4097"/>
      <c r="CG4097"/>
      <c r="CH4097"/>
      <c r="CI4097"/>
      <c r="CU4097" s="21">
        <v>4092</v>
      </c>
      <c r="CV4097" s="41">
        <v>4</v>
      </c>
      <c r="CW4097" s="41">
        <v>0.11332468572476186</v>
      </c>
      <c r="CX4097" s="41" t="e">
        <v>#N/A</v>
      </c>
      <c r="CY4097" s="41" t="e">
        <v>#N/A</v>
      </c>
      <c r="CZ4097" s="47" t="e">
        <v>#N/A</v>
      </c>
      <c r="DA4097">
        <v>0.11332468572476186</v>
      </c>
      <c r="DB4097" t="str">
        <v/>
      </c>
    </row>
    <row r="4098" spans="83:106" x14ac:dyDescent="0.2">
      <c r="CE4098"/>
      <c r="CF4098"/>
      <c r="CG4098"/>
      <c r="CH4098"/>
      <c r="CI4098"/>
      <c r="CU4098" s="21">
        <v>4093</v>
      </c>
      <c r="CV4098" s="41">
        <v>4</v>
      </c>
      <c r="CW4098" s="41">
        <v>0.11332468572476186</v>
      </c>
      <c r="CX4098" s="41" t="e">
        <v>#N/A</v>
      </c>
      <c r="CY4098" s="41" t="e">
        <v>#N/A</v>
      </c>
      <c r="CZ4098" s="47" t="e">
        <v>#N/A</v>
      </c>
      <c r="DA4098">
        <v>0.11332468572476186</v>
      </c>
      <c r="DB4098" t="str">
        <v/>
      </c>
    </row>
    <row r="4099" spans="83:106" x14ac:dyDescent="0.2">
      <c r="CE4099"/>
      <c r="CF4099"/>
      <c r="CG4099"/>
      <c r="CH4099"/>
      <c r="CI4099"/>
      <c r="CU4099" s="21">
        <v>4094</v>
      </c>
      <c r="CV4099" s="41">
        <v>4</v>
      </c>
      <c r="CW4099" s="41">
        <v>0.11332468572476186</v>
      </c>
      <c r="CX4099" s="41" t="e">
        <v>#N/A</v>
      </c>
      <c r="CY4099" s="41" t="e">
        <v>#N/A</v>
      </c>
      <c r="CZ4099" s="47" t="e">
        <v>#N/A</v>
      </c>
      <c r="DA4099">
        <v>0.11332468572476186</v>
      </c>
      <c r="DB4099" t="str">
        <v/>
      </c>
    </row>
    <row r="4100" spans="83:106" x14ac:dyDescent="0.2">
      <c r="CE4100"/>
      <c r="CF4100"/>
      <c r="CG4100"/>
      <c r="CH4100"/>
      <c r="CI4100"/>
      <c r="CU4100" s="21">
        <v>4095</v>
      </c>
      <c r="CV4100" s="41">
        <v>4</v>
      </c>
      <c r="CW4100" s="41">
        <v>0.11332468572476186</v>
      </c>
      <c r="CX4100" s="41" t="e">
        <v>#N/A</v>
      </c>
      <c r="CY4100" s="41" t="e">
        <v>#N/A</v>
      </c>
      <c r="CZ4100" s="47" t="e">
        <v>#N/A</v>
      </c>
      <c r="DA4100">
        <v>0.11332468572476186</v>
      </c>
      <c r="DB4100" t="str">
        <v/>
      </c>
    </row>
    <row r="4101" spans="83:106" x14ac:dyDescent="0.2">
      <c r="CE4101"/>
      <c r="CF4101"/>
      <c r="CG4101"/>
      <c r="CH4101"/>
      <c r="CI4101"/>
      <c r="CU4101" s="21">
        <v>4096</v>
      </c>
      <c r="CV4101" s="41">
        <v>4</v>
      </c>
      <c r="CW4101" s="41">
        <v>0.11332468572476186</v>
      </c>
      <c r="CX4101" s="41" t="e">
        <v>#N/A</v>
      </c>
      <c r="CY4101" s="41" t="e">
        <v>#N/A</v>
      </c>
      <c r="CZ4101" s="47" t="e">
        <v>#N/A</v>
      </c>
      <c r="DA4101">
        <v>0.11332468572476186</v>
      </c>
      <c r="DB4101" t="str">
        <v/>
      </c>
    </row>
    <row r="4102" spans="83:106" x14ac:dyDescent="0.2">
      <c r="CE4102"/>
      <c r="CF4102"/>
      <c r="CG4102"/>
      <c r="CH4102"/>
      <c r="CI4102"/>
      <c r="CU4102" s="21">
        <v>4097</v>
      </c>
      <c r="CV4102" s="41">
        <v>4</v>
      </c>
      <c r="CW4102" s="41">
        <v>0.11332468572476186</v>
      </c>
      <c r="CX4102" s="41" t="e">
        <v>#N/A</v>
      </c>
      <c r="CY4102" s="41" t="e">
        <v>#N/A</v>
      </c>
      <c r="CZ4102" s="47" t="e">
        <v>#N/A</v>
      </c>
      <c r="DA4102">
        <v>0.11332468572476186</v>
      </c>
      <c r="DB4102" t="str">
        <v/>
      </c>
    </row>
    <row r="4103" spans="83:106" x14ac:dyDescent="0.2">
      <c r="CE4103"/>
      <c r="CF4103"/>
      <c r="CG4103"/>
      <c r="CH4103"/>
      <c r="CI4103"/>
      <c r="CU4103" s="21">
        <v>4098</v>
      </c>
      <c r="CV4103" s="41">
        <v>4</v>
      </c>
      <c r="CW4103" s="41">
        <v>0.11332468572476186</v>
      </c>
      <c r="CX4103" s="41" t="e">
        <v>#N/A</v>
      </c>
      <c r="CY4103" s="41" t="e">
        <v>#N/A</v>
      </c>
      <c r="CZ4103" s="47" t="e">
        <v>#N/A</v>
      </c>
      <c r="DA4103">
        <v>0.11332468572476186</v>
      </c>
      <c r="DB4103" t="str">
        <v/>
      </c>
    </row>
    <row r="4104" spans="83:106" x14ac:dyDescent="0.2">
      <c r="CE4104"/>
      <c r="CF4104"/>
      <c r="CG4104"/>
      <c r="CH4104"/>
      <c r="CI4104"/>
      <c r="CU4104" s="21">
        <v>4099</v>
      </c>
      <c r="CV4104" s="41">
        <v>4</v>
      </c>
      <c r="CW4104" s="41">
        <v>0.11332468572476186</v>
      </c>
      <c r="CX4104" s="41" t="e">
        <v>#N/A</v>
      </c>
      <c r="CY4104" s="41" t="e">
        <v>#N/A</v>
      </c>
      <c r="CZ4104" s="47" t="e">
        <v>#N/A</v>
      </c>
      <c r="DA4104">
        <v>0.11332468572476186</v>
      </c>
      <c r="DB4104" t="str">
        <v/>
      </c>
    </row>
    <row r="4105" spans="83:106" x14ac:dyDescent="0.2">
      <c r="CE4105"/>
      <c r="CF4105"/>
      <c r="CG4105"/>
      <c r="CH4105"/>
      <c r="CI4105"/>
      <c r="CU4105" s="21">
        <v>4100</v>
      </c>
      <c r="CV4105" s="41">
        <v>4</v>
      </c>
      <c r="CW4105" s="41">
        <v>0.11332468572476186</v>
      </c>
      <c r="CX4105" s="41" t="e">
        <v>#N/A</v>
      </c>
      <c r="CY4105" s="41" t="e">
        <v>#N/A</v>
      </c>
      <c r="CZ4105" s="47" t="e">
        <v>#N/A</v>
      </c>
      <c r="DA4105">
        <v>0.11332468572476186</v>
      </c>
      <c r="DB4105" t="str">
        <v/>
      </c>
    </row>
    <row r="4106" spans="83:106" x14ac:dyDescent="0.2">
      <c r="CE4106"/>
      <c r="CF4106"/>
      <c r="CG4106"/>
      <c r="CH4106"/>
      <c r="CI4106"/>
      <c r="CU4106" s="21">
        <v>4101</v>
      </c>
      <c r="CV4106" s="41">
        <v>4</v>
      </c>
      <c r="CW4106" s="41">
        <v>0.11332468572476186</v>
      </c>
      <c r="CX4106" s="41" t="e">
        <v>#N/A</v>
      </c>
      <c r="CY4106" s="41" t="e">
        <v>#N/A</v>
      </c>
      <c r="CZ4106" s="47" t="e">
        <v>#N/A</v>
      </c>
      <c r="DA4106">
        <v>0.11332468572476186</v>
      </c>
      <c r="DB4106" t="str">
        <v/>
      </c>
    </row>
    <row r="4107" spans="83:106" x14ac:dyDescent="0.2">
      <c r="CE4107"/>
      <c r="CF4107"/>
      <c r="CG4107"/>
      <c r="CH4107"/>
      <c r="CI4107"/>
      <c r="CU4107" s="21">
        <v>4102</v>
      </c>
      <c r="CV4107" s="41">
        <v>4</v>
      </c>
      <c r="CW4107" s="41">
        <v>0.11332468572476186</v>
      </c>
      <c r="CX4107" s="41" t="e">
        <v>#N/A</v>
      </c>
      <c r="CY4107" s="41" t="e">
        <v>#N/A</v>
      </c>
      <c r="CZ4107" s="47" t="e">
        <v>#N/A</v>
      </c>
      <c r="DA4107">
        <v>0.11332468572476186</v>
      </c>
      <c r="DB4107" t="str">
        <v/>
      </c>
    </row>
    <row r="4108" spans="83:106" x14ac:dyDescent="0.2">
      <c r="CE4108"/>
      <c r="CF4108"/>
      <c r="CG4108"/>
      <c r="CH4108"/>
      <c r="CI4108"/>
      <c r="CU4108" s="21">
        <v>4103</v>
      </c>
      <c r="CV4108" s="41">
        <v>4</v>
      </c>
      <c r="CW4108" s="41">
        <v>0.11332468572476186</v>
      </c>
      <c r="CX4108" s="41" t="e">
        <v>#N/A</v>
      </c>
      <c r="CY4108" s="41" t="e">
        <v>#N/A</v>
      </c>
      <c r="CZ4108" s="47" t="e">
        <v>#N/A</v>
      </c>
      <c r="DA4108">
        <v>0.11332468572476186</v>
      </c>
      <c r="DB4108" t="str">
        <v/>
      </c>
    </row>
    <row r="4109" spans="83:106" x14ac:dyDescent="0.2">
      <c r="CE4109"/>
      <c r="CF4109"/>
      <c r="CG4109"/>
      <c r="CH4109"/>
      <c r="CI4109"/>
      <c r="CU4109" s="21">
        <v>4104</v>
      </c>
      <c r="CV4109" s="41">
        <v>4</v>
      </c>
      <c r="CW4109" s="41">
        <v>0.11332468572476186</v>
      </c>
      <c r="CX4109" s="41" t="e">
        <v>#N/A</v>
      </c>
      <c r="CY4109" s="41" t="e">
        <v>#N/A</v>
      </c>
      <c r="CZ4109" s="47" t="e">
        <v>#N/A</v>
      </c>
      <c r="DA4109">
        <v>0.11332468572476186</v>
      </c>
      <c r="DB4109" t="str">
        <v/>
      </c>
    </row>
    <row r="4110" spans="83:106" x14ac:dyDescent="0.2">
      <c r="CE4110"/>
      <c r="CF4110"/>
      <c r="CG4110"/>
      <c r="CH4110"/>
      <c r="CI4110"/>
      <c r="CU4110" s="21">
        <v>4105</v>
      </c>
      <c r="CV4110" s="41">
        <v>4</v>
      </c>
      <c r="CW4110" s="41">
        <v>0.11332468572476186</v>
      </c>
      <c r="CX4110" s="41" t="e">
        <v>#N/A</v>
      </c>
      <c r="CY4110" s="41" t="e">
        <v>#N/A</v>
      </c>
      <c r="CZ4110" s="47" t="e">
        <v>#N/A</v>
      </c>
      <c r="DA4110">
        <v>0.11332468572476186</v>
      </c>
      <c r="DB4110" t="str">
        <v/>
      </c>
    </row>
    <row r="4111" spans="83:106" x14ac:dyDescent="0.2">
      <c r="CE4111"/>
      <c r="CF4111"/>
      <c r="CG4111"/>
      <c r="CH4111"/>
      <c r="CI4111"/>
      <c r="CU4111" s="21">
        <v>4106</v>
      </c>
      <c r="CV4111" s="41">
        <v>4</v>
      </c>
      <c r="CW4111" s="41">
        <v>0.11332468572476186</v>
      </c>
      <c r="CX4111" s="41" t="e">
        <v>#N/A</v>
      </c>
      <c r="CY4111" s="41" t="e">
        <v>#N/A</v>
      </c>
      <c r="CZ4111" s="47" t="e">
        <v>#N/A</v>
      </c>
      <c r="DA4111">
        <v>0.11332468572476186</v>
      </c>
      <c r="DB4111" t="str">
        <v/>
      </c>
    </row>
    <row r="4112" spans="83:106" x14ac:dyDescent="0.2">
      <c r="CE4112"/>
      <c r="CF4112"/>
      <c r="CG4112"/>
      <c r="CH4112"/>
      <c r="CI4112"/>
      <c r="CU4112" s="21">
        <v>4107</v>
      </c>
      <c r="CV4112" s="41">
        <v>4</v>
      </c>
      <c r="CW4112" s="41">
        <v>0.11332468572476186</v>
      </c>
      <c r="CX4112" s="41" t="e">
        <v>#N/A</v>
      </c>
      <c r="CY4112" s="41" t="e">
        <v>#N/A</v>
      </c>
      <c r="CZ4112" s="47" t="e">
        <v>#N/A</v>
      </c>
      <c r="DA4112">
        <v>0.11332468572476186</v>
      </c>
      <c r="DB4112" t="str">
        <v/>
      </c>
    </row>
    <row r="4113" spans="83:106" x14ac:dyDescent="0.2">
      <c r="CE4113"/>
      <c r="CF4113"/>
      <c r="CG4113"/>
      <c r="CH4113"/>
      <c r="CI4113"/>
      <c r="CU4113" s="21">
        <v>4108</v>
      </c>
      <c r="CV4113" s="41">
        <v>4</v>
      </c>
      <c r="CW4113" s="41">
        <v>0.11332468572476186</v>
      </c>
      <c r="CX4113" s="41" t="e">
        <v>#N/A</v>
      </c>
      <c r="CY4113" s="41" t="e">
        <v>#N/A</v>
      </c>
      <c r="CZ4113" s="47" t="e">
        <v>#N/A</v>
      </c>
      <c r="DA4113">
        <v>0.11332468572476186</v>
      </c>
      <c r="DB4113" t="str">
        <v/>
      </c>
    </row>
    <row r="4114" spans="83:106" x14ac:dyDescent="0.2">
      <c r="CE4114"/>
      <c r="CF4114"/>
      <c r="CG4114"/>
      <c r="CH4114"/>
      <c r="CI4114"/>
      <c r="CU4114" s="21">
        <v>4109</v>
      </c>
      <c r="CV4114" s="41">
        <v>4</v>
      </c>
      <c r="CW4114" s="41">
        <v>0.11332468572476186</v>
      </c>
      <c r="CX4114" s="41" t="e">
        <v>#N/A</v>
      </c>
      <c r="CY4114" s="41" t="e">
        <v>#N/A</v>
      </c>
      <c r="CZ4114" s="47" t="e">
        <v>#N/A</v>
      </c>
      <c r="DA4114">
        <v>0.11332468572476186</v>
      </c>
      <c r="DB4114" t="str">
        <v/>
      </c>
    </row>
    <row r="4115" spans="83:106" x14ac:dyDescent="0.2">
      <c r="CE4115"/>
      <c r="CF4115"/>
      <c r="CG4115"/>
      <c r="CH4115"/>
      <c r="CI4115"/>
      <c r="CU4115" s="21">
        <v>4110</v>
      </c>
      <c r="CV4115" s="41">
        <v>4</v>
      </c>
      <c r="CW4115" s="41">
        <v>0.11332468572476186</v>
      </c>
      <c r="CX4115" s="41" t="e">
        <v>#N/A</v>
      </c>
      <c r="CY4115" s="41" t="e">
        <v>#N/A</v>
      </c>
      <c r="CZ4115" s="47" t="e">
        <v>#N/A</v>
      </c>
      <c r="DA4115">
        <v>0.11332468572476186</v>
      </c>
      <c r="DB4115" t="str">
        <v/>
      </c>
    </row>
    <row r="4116" spans="83:106" x14ac:dyDescent="0.2">
      <c r="CE4116"/>
      <c r="CF4116"/>
      <c r="CG4116"/>
      <c r="CH4116"/>
      <c r="CI4116"/>
      <c r="CU4116" s="21">
        <v>4111</v>
      </c>
      <c r="CV4116" s="41">
        <v>4</v>
      </c>
      <c r="CW4116" s="41">
        <v>0.11332468572476186</v>
      </c>
      <c r="CX4116" s="41" t="e">
        <v>#N/A</v>
      </c>
      <c r="CY4116" s="41" t="e">
        <v>#N/A</v>
      </c>
      <c r="CZ4116" s="47" t="e">
        <v>#N/A</v>
      </c>
      <c r="DA4116">
        <v>0.11332468572476186</v>
      </c>
      <c r="DB4116" t="str">
        <v/>
      </c>
    </row>
    <row r="4117" spans="83:106" x14ac:dyDescent="0.2">
      <c r="CE4117"/>
      <c r="CF4117"/>
      <c r="CG4117"/>
      <c r="CH4117"/>
      <c r="CI4117"/>
      <c r="CU4117" s="21">
        <v>4112</v>
      </c>
      <c r="CV4117" s="41">
        <v>4</v>
      </c>
      <c r="CW4117" s="41">
        <v>0.11332468572476186</v>
      </c>
      <c r="CX4117" s="41" t="e">
        <v>#N/A</v>
      </c>
      <c r="CY4117" s="41" t="e">
        <v>#N/A</v>
      </c>
      <c r="CZ4117" s="47" t="e">
        <v>#N/A</v>
      </c>
      <c r="DA4117">
        <v>0.11332468572476186</v>
      </c>
      <c r="DB4117" t="str">
        <v/>
      </c>
    </row>
    <row r="4118" spans="83:106" x14ac:dyDescent="0.2">
      <c r="CE4118"/>
      <c r="CF4118"/>
      <c r="CG4118"/>
      <c r="CH4118"/>
      <c r="CI4118"/>
      <c r="CU4118" s="21">
        <v>4113</v>
      </c>
      <c r="CV4118" s="41">
        <v>4</v>
      </c>
      <c r="CW4118" s="41">
        <v>0.11332468572476186</v>
      </c>
      <c r="CX4118" s="41" t="e">
        <v>#N/A</v>
      </c>
      <c r="CY4118" s="41" t="e">
        <v>#N/A</v>
      </c>
      <c r="CZ4118" s="47" t="e">
        <v>#N/A</v>
      </c>
      <c r="DA4118">
        <v>0.11332468572476186</v>
      </c>
      <c r="DB4118" t="str">
        <v/>
      </c>
    </row>
    <row r="4119" spans="83:106" x14ac:dyDescent="0.2">
      <c r="CE4119"/>
      <c r="CF4119"/>
      <c r="CG4119"/>
      <c r="CH4119"/>
      <c r="CI4119"/>
      <c r="CU4119" s="21">
        <v>4114</v>
      </c>
      <c r="CV4119" s="41">
        <v>4</v>
      </c>
      <c r="CW4119" s="41">
        <v>0.11332468572476186</v>
      </c>
      <c r="CX4119" s="41" t="e">
        <v>#N/A</v>
      </c>
      <c r="CY4119" s="41" t="e">
        <v>#N/A</v>
      </c>
      <c r="CZ4119" s="47" t="e">
        <v>#N/A</v>
      </c>
      <c r="DA4119">
        <v>0.11332468572476186</v>
      </c>
      <c r="DB4119" t="str">
        <v/>
      </c>
    </row>
    <row r="4120" spans="83:106" x14ac:dyDescent="0.2">
      <c r="CE4120"/>
      <c r="CF4120"/>
      <c r="CG4120"/>
      <c r="CH4120"/>
      <c r="CI4120"/>
      <c r="CU4120" s="21">
        <v>4115</v>
      </c>
      <c r="CV4120" s="41">
        <v>4</v>
      </c>
      <c r="CW4120" s="41">
        <v>0.11332468572476186</v>
      </c>
      <c r="CX4120" s="41" t="e">
        <v>#N/A</v>
      </c>
      <c r="CY4120" s="41" t="e">
        <v>#N/A</v>
      </c>
      <c r="CZ4120" s="47" t="e">
        <v>#N/A</v>
      </c>
      <c r="DA4120">
        <v>0.11332468572476186</v>
      </c>
      <c r="DB4120" t="str">
        <v/>
      </c>
    </row>
    <row r="4121" spans="83:106" x14ac:dyDescent="0.2">
      <c r="CE4121"/>
      <c r="CF4121"/>
      <c r="CG4121"/>
      <c r="CH4121"/>
      <c r="CI4121"/>
      <c r="CU4121" s="21">
        <v>4116</v>
      </c>
      <c r="CV4121" s="41">
        <v>4</v>
      </c>
      <c r="CW4121" s="41">
        <v>0.11332468572476186</v>
      </c>
      <c r="CX4121" s="41" t="e">
        <v>#N/A</v>
      </c>
      <c r="CY4121" s="41" t="e">
        <v>#N/A</v>
      </c>
      <c r="CZ4121" s="47" t="e">
        <v>#N/A</v>
      </c>
      <c r="DA4121">
        <v>0.11332468572476186</v>
      </c>
      <c r="DB4121" t="str">
        <v/>
      </c>
    </row>
    <row r="4122" spans="83:106" x14ac:dyDescent="0.2">
      <c r="CE4122"/>
      <c r="CF4122"/>
      <c r="CG4122"/>
      <c r="CH4122"/>
      <c r="CI4122"/>
      <c r="CU4122" s="21">
        <v>4117</v>
      </c>
      <c r="CV4122" s="41">
        <v>4</v>
      </c>
      <c r="CW4122" s="41">
        <v>0.11332468572476186</v>
      </c>
      <c r="CX4122" s="41" t="e">
        <v>#N/A</v>
      </c>
      <c r="CY4122" s="41" t="e">
        <v>#N/A</v>
      </c>
      <c r="CZ4122" s="47" t="e">
        <v>#N/A</v>
      </c>
      <c r="DA4122">
        <v>0.11332468572476186</v>
      </c>
      <c r="DB4122" t="str">
        <v/>
      </c>
    </row>
    <row r="4123" spans="83:106" x14ac:dyDescent="0.2">
      <c r="CE4123"/>
      <c r="CF4123"/>
      <c r="CG4123"/>
      <c r="CH4123"/>
      <c r="CI4123"/>
      <c r="CU4123" s="21">
        <v>4118</v>
      </c>
      <c r="CV4123" s="41">
        <v>4</v>
      </c>
      <c r="CW4123" s="41">
        <v>0.11332468572476186</v>
      </c>
      <c r="CX4123" s="41" t="e">
        <v>#N/A</v>
      </c>
      <c r="CY4123" s="41" t="e">
        <v>#N/A</v>
      </c>
      <c r="CZ4123" s="47" t="e">
        <v>#N/A</v>
      </c>
      <c r="DA4123">
        <v>0.11332468572476186</v>
      </c>
      <c r="DB4123" t="str">
        <v/>
      </c>
    </row>
    <row r="4124" spans="83:106" x14ac:dyDescent="0.2">
      <c r="CE4124"/>
      <c r="CF4124"/>
      <c r="CG4124"/>
      <c r="CH4124"/>
      <c r="CI4124"/>
      <c r="CU4124" s="21">
        <v>4119</v>
      </c>
      <c r="CV4124" s="41">
        <v>4</v>
      </c>
      <c r="CW4124" s="41">
        <v>0.11332468572476186</v>
      </c>
      <c r="CX4124" s="41" t="e">
        <v>#N/A</v>
      </c>
      <c r="CY4124" s="41" t="e">
        <v>#N/A</v>
      </c>
      <c r="CZ4124" s="47" t="e">
        <v>#N/A</v>
      </c>
      <c r="DA4124">
        <v>0.11332468572476186</v>
      </c>
      <c r="DB4124" t="str">
        <v/>
      </c>
    </row>
    <row r="4125" spans="83:106" x14ac:dyDescent="0.2">
      <c r="CE4125"/>
      <c r="CF4125"/>
      <c r="CG4125"/>
      <c r="CH4125"/>
      <c r="CI4125"/>
      <c r="CU4125" s="21">
        <v>4120</v>
      </c>
      <c r="CV4125" s="41">
        <v>4</v>
      </c>
      <c r="CW4125" s="41">
        <v>0.11332468572476186</v>
      </c>
      <c r="CX4125" s="41" t="e">
        <v>#N/A</v>
      </c>
      <c r="CY4125" s="41" t="e">
        <v>#N/A</v>
      </c>
      <c r="CZ4125" s="47" t="e">
        <v>#N/A</v>
      </c>
      <c r="DA4125">
        <v>0.11332468572476186</v>
      </c>
      <c r="DB4125" t="str">
        <v/>
      </c>
    </row>
    <row r="4126" spans="83:106" x14ac:dyDescent="0.2">
      <c r="CE4126"/>
      <c r="CF4126"/>
      <c r="CG4126"/>
      <c r="CH4126"/>
      <c r="CI4126"/>
      <c r="CU4126" s="21">
        <v>4121</v>
      </c>
      <c r="CV4126" s="41">
        <v>4</v>
      </c>
      <c r="CW4126" s="41">
        <v>0.11332468572476186</v>
      </c>
      <c r="CX4126" s="41" t="e">
        <v>#N/A</v>
      </c>
      <c r="CY4126" s="41" t="e">
        <v>#N/A</v>
      </c>
      <c r="CZ4126" s="47" t="e">
        <v>#N/A</v>
      </c>
      <c r="DA4126">
        <v>0.11332468572476186</v>
      </c>
      <c r="DB4126" t="str">
        <v/>
      </c>
    </row>
    <row r="4127" spans="83:106" x14ac:dyDescent="0.2">
      <c r="CE4127"/>
      <c r="CF4127"/>
      <c r="CG4127"/>
      <c r="CH4127"/>
      <c r="CI4127"/>
      <c r="CU4127" s="21">
        <v>4122</v>
      </c>
      <c r="CV4127" s="41">
        <v>4</v>
      </c>
      <c r="CW4127" s="41">
        <v>0.11332468572476186</v>
      </c>
      <c r="CX4127" s="41" t="e">
        <v>#N/A</v>
      </c>
      <c r="CY4127" s="41" t="e">
        <v>#N/A</v>
      </c>
      <c r="CZ4127" s="47" t="e">
        <v>#N/A</v>
      </c>
      <c r="DA4127">
        <v>0.11332468572476186</v>
      </c>
      <c r="DB4127" t="str">
        <v/>
      </c>
    </row>
    <row r="4128" spans="83:106" x14ac:dyDescent="0.2">
      <c r="CE4128"/>
      <c r="CF4128"/>
      <c r="CG4128"/>
      <c r="CH4128"/>
      <c r="CI4128"/>
      <c r="CU4128" s="21">
        <v>4123</v>
      </c>
      <c r="CV4128" s="41">
        <v>4</v>
      </c>
      <c r="CW4128" s="41">
        <v>0.11332468572476186</v>
      </c>
      <c r="CX4128" s="41" t="e">
        <v>#N/A</v>
      </c>
      <c r="CY4128" s="41" t="e">
        <v>#N/A</v>
      </c>
      <c r="CZ4128" s="47" t="e">
        <v>#N/A</v>
      </c>
      <c r="DA4128">
        <v>0.11332468572476186</v>
      </c>
      <c r="DB4128" t="str">
        <v/>
      </c>
    </row>
    <row r="4129" spans="83:106" x14ac:dyDescent="0.2">
      <c r="CE4129"/>
      <c r="CF4129"/>
      <c r="CG4129"/>
      <c r="CH4129"/>
      <c r="CI4129"/>
      <c r="CU4129" s="21">
        <v>4124</v>
      </c>
      <c r="CV4129" s="41">
        <v>4</v>
      </c>
      <c r="CW4129" s="41">
        <v>0.11332468572476186</v>
      </c>
      <c r="CX4129" s="41" t="e">
        <v>#N/A</v>
      </c>
      <c r="CY4129" s="41" t="e">
        <v>#N/A</v>
      </c>
      <c r="CZ4129" s="47" t="e">
        <v>#N/A</v>
      </c>
      <c r="DA4129">
        <v>0.11332468572476186</v>
      </c>
      <c r="DB4129" t="str">
        <v/>
      </c>
    </row>
    <row r="4130" spans="83:106" x14ac:dyDescent="0.2">
      <c r="CE4130"/>
      <c r="CF4130"/>
      <c r="CG4130"/>
      <c r="CH4130"/>
      <c r="CI4130"/>
      <c r="CU4130" s="21">
        <v>4125</v>
      </c>
      <c r="CV4130" s="41">
        <v>4</v>
      </c>
      <c r="CW4130" s="41">
        <v>0.11332468572476186</v>
      </c>
      <c r="CX4130" s="41" t="e">
        <v>#N/A</v>
      </c>
      <c r="CY4130" s="41" t="e">
        <v>#N/A</v>
      </c>
      <c r="CZ4130" s="47" t="e">
        <v>#N/A</v>
      </c>
      <c r="DA4130">
        <v>0.11332468572476186</v>
      </c>
      <c r="DB4130" t="str">
        <v/>
      </c>
    </row>
    <row r="4131" spans="83:106" x14ac:dyDescent="0.2">
      <c r="CE4131"/>
      <c r="CF4131"/>
      <c r="CG4131"/>
      <c r="CH4131"/>
      <c r="CI4131"/>
      <c r="CU4131" s="21">
        <v>4126</v>
      </c>
      <c r="CV4131" s="41">
        <v>4</v>
      </c>
      <c r="CW4131" s="41">
        <v>0.11332468572476186</v>
      </c>
      <c r="CX4131" s="41" t="e">
        <v>#N/A</v>
      </c>
      <c r="CY4131" s="41" t="e">
        <v>#N/A</v>
      </c>
      <c r="CZ4131" s="47" t="e">
        <v>#N/A</v>
      </c>
      <c r="DA4131">
        <v>0.11332468572476186</v>
      </c>
      <c r="DB4131" t="str">
        <v/>
      </c>
    </row>
    <row r="4132" spans="83:106" x14ac:dyDescent="0.2">
      <c r="CE4132"/>
      <c r="CF4132"/>
      <c r="CG4132"/>
      <c r="CH4132"/>
      <c r="CI4132"/>
      <c r="CU4132" s="21">
        <v>4127</v>
      </c>
      <c r="CV4132" s="41">
        <v>4</v>
      </c>
      <c r="CW4132" s="41">
        <v>0.11332468572476186</v>
      </c>
      <c r="CX4132" s="41" t="e">
        <v>#N/A</v>
      </c>
      <c r="CY4132" s="41" t="e">
        <v>#N/A</v>
      </c>
      <c r="CZ4132" s="47" t="e">
        <v>#N/A</v>
      </c>
      <c r="DA4132">
        <v>0.11332468572476186</v>
      </c>
      <c r="DB4132" t="str">
        <v/>
      </c>
    </row>
    <row r="4133" spans="83:106" x14ac:dyDescent="0.2">
      <c r="CE4133"/>
      <c r="CF4133"/>
      <c r="CG4133"/>
      <c r="CH4133"/>
      <c r="CI4133"/>
      <c r="CU4133" s="21">
        <v>4128</v>
      </c>
      <c r="CV4133" s="41">
        <v>4</v>
      </c>
      <c r="CW4133" s="41">
        <v>0.11332468572476186</v>
      </c>
      <c r="CX4133" s="41" t="e">
        <v>#N/A</v>
      </c>
      <c r="CY4133" s="41" t="e">
        <v>#N/A</v>
      </c>
      <c r="CZ4133" s="47" t="e">
        <v>#N/A</v>
      </c>
      <c r="DA4133">
        <v>0.11332468572476186</v>
      </c>
      <c r="DB4133" t="str">
        <v/>
      </c>
    </row>
    <row r="4134" spans="83:106" x14ac:dyDescent="0.2">
      <c r="CE4134"/>
      <c r="CF4134"/>
      <c r="CG4134"/>
      <c r="CH4134"/>
      <c r="CI4134"/>
      <c r="CU4134" s="21">
        <v>4129</v>
      </c>
      <c r="CV4134" s="41">
        <v>4</v>
      </c>
      <c r="CW4134" s="41">
        <v>0.11332468572476186</v>
      </c>
      <c r="CX4134" s="41" t="e">
        <v>#N/A</v>
      </c>
      <c r="CY4134" s="41" t="e">
        <v>#N/A</v>
      </c>
      <c r="CZ4134" s="47" t="e">
        <v>#N/A</v>
      </c>
      <c r="DA4134">
        <v>0.11332468572476186</v>
      </c>
      <c r="DB4134" t="str">
        <v/>
      </c>
    </row>
    <row r="4135" spans="83:106" x14ac:dyDescent="0.2">
      <c r="CE4135"/>
      <c r="CF4135"/>
      <c r="CG4135"/>
      <c r="CH4135"/>
      <c r="CI4135"/>
      <c r="CU4135" s="21">
        <v>4130</v>
      </c>
      <c r="CV4135" s="41">
        <v>4</v>
      </c>
      <c r="CW4135" s="41">
        <v>0.11332468572476186</v>
      </c>
      <c r="CX4135" s="41" t="e">
        <v>#N/A</v>
      </c>
      <c r="CY4135" s="41" t="e">
        <v>#N/A</v>
      </c>
      <c r="CZ4135" s="47" t="e">
        <v>#N/A</v>
      </c>
      <c r="DA4135">
        <v>0.11332468572476186</v>
      </c>
      <c r="DB4135" t="str">
        <v/>
      </c>
    </row>
    <row r="4136" spans="83:106" x14ac:dyDescent="0.2">
      <c r="CE4136"/>
      <c r="CF4136"/>
      <c r="CG4136"/>
      <c r="CH4136"/>
      <c r="CI4136"/>
      <c r="CU4136" s="21">
        <v>4131</v>
      </c>
      <c r="CV4136" s="41">
        <v>4</v>
      </c>
      <c r="CW4136" s="41">
        <v>0.11332468572476186</v>
      </c>
      <c r="CX4136" s="41" t="e">
        <v>#N/A</v>
      </c>
      <c r="CY4136" s="41" t="e">
        <v>#N/A</v>
      </c>
      <c r="CZ4136" s="47" t="e">
        <v>#N/A</v>
      </c>
      <c r="DA4136">
        <v>0.11332468572476186</v>
      </c>
      <c r="DB4136" t="str">
        <v/>
      </c>
    </row>
    <row r="4137" spans="83:106" x14ac:dyDescent="0.2">
      <c r="CE4137"/>
      <c r="CF4137"/>
      <c r="CG4137"/>
      <c r="CH4137"/>
      <c r="CI4137"/>
      <c r="CU4137" s="21">
        <v>4132</v>
      </c>
      <c r="CV4137" s="41">
        <v>4</v>
      </c>
      <c r="CW4137" s="41">
        <v>0.11332468572476186</v>
      </c>
      <c r="CX4137" s="41" t="e">
        <v>#N/A</v>
      </c>
      <c r="CY4137" s="41" t="e">
        <v>#N/A</v>
      </c>
      <c r="CZ4137" s="47" t="e">
        <v>#N/A</v>
      </c>
      <c r="DA4137">
        <v>0.11332468572476186</v>
      </c>
      <c r="DB4137" t="str">
        <v/>
      </c>
    </row>
    <row r="4138" spans="83:106" x14ac:dyDescent="0.2">
      <c r="CE4138"/>
      <c r="CF4138"/>
      <c r="CG4138"/>
      <c r="CH4138"/>
      <c r="CI4138"/>
      <c r="CU4138" s="21">
        <v>4133</v>
      </c>
      <c r="CV4138" s="41">
        <v>4</v>
      </c>
      <c r="CW4138" s="41">
        <v>0.11332468572476186</v>
      </c>
      <c r="CX4138" s="41" t="e">
        <v>#N/A</v>
      </c>
      <c r="CY4138" s="41" t="e">
        <v>#N/A</v>
      </c>
      <c r="CZ4138" s="47" t="e">
        <v>#N/A</v>
      </c>
      <c r="DA4138">
        <v>0.11332468572476186</v>
      </c>
      <c r="DB4138" t="str">
        <v/>
      </c>
    </row>
    <row r="4139" spans="83:106" x14ac:dyDescent="0.2">
      <c r="CE4139"/>
      <c r="CF4139"/>
      <c r="CG4139"/>
      <c r="CH4139"/>
      <c r="CI4139"/>
      <c r="CU4139" s="21">
        <v>4134</v>
      </c>
      <c r="CV4139" s="41">
        <v>4</v>
      </c>
      <c r="CW4139" s="41">
        <v>0.11332468572476186</v>
      </c>
      <c r="CX4139" s="41" t="e">
        <v>#N/A</v>
      </c>
      <c r="CY4139" s="41" t="e">
        <v>#N/A</v>
      </c>
      <c r="CZ4139" s="47" t="e">
        <v>#N/A</v>
      </c>
      <c r="DA4139">
        <v>0.11332468572476186</v>
      </c>
      <c r="DB4139" t="str">
        <v/>
      </c>
    </row>
    <row r="4140" spans="83:106" x14ac:dyDescent="0.2">
      <c r="CE4140"/>
      <c r="CF4140"/>
      <c r="CG4140"/>
      <c r="CH4140"/>
      <c r="CI4140"/>
      <c r="CU4140" s="21">
        <v>4135</v>
      </c>
      <c r="CV4140" s="41">
        <v>4</v>
      </c>
      <c r="CW4140" s="41">
        <v>0.11332468572476186</v>
      </c>
      <c r="CX4140" s="41" t="e">
        <v>#N/A</v>
      </c>
      <c r="CY4140" s="41" t="e">
        <v>#N/A</v>
      </c>
      <c r="CZ4140" s="47" t="e">
        <v>#N/A</v>
      </c>
      <c r="DA4140">
        <v>0.11332468572476186</v>
      </c>
      <c r="DB4140" t="str">
        <v/>
      </c>
    </row>
    <row r="4141" spans="83:106" x14ac:dyDescent="0.2">
      <c r="CE4141"/>
      <c r="CF4141"/>
      <c r="CG4141"/>
      <c r="CH4141"/>
      <c r="CI4141"/>
      <c r="CU4141" s="21">
        <v>4136</v>
      </c>
      <c r="CV4141" s="41">
        <v>4</v>
      </c>
      <c r="CW4141" s="41">
        <v>0.11332468572476186</v>
      </c>
      <c r="CX4141" s="41" t="e">
        <v>#N/A</v>
      </c>
      <c r="CY4141" s="41" t="e">
        <v>#N/A</v>
      </c>
      <c r="CZ4141" s="47" t="e">
        <v>#N/A</v>
      </c>
      <c r="DA4141">
        <v>0.11332468572476186</v>
      </c>
      <c r="DB4141" t="str">
        <v/>
      </c>
    </row>
    <row r="4142" spans="83:106" x14ac:dyDescent="0.2">
      <c r="CE4142"/>
      <c r="CF4142"/>
      <c r="CG4142"/>
      <c r="CH4142"/>
      <c r="CI4142"/>
      <c r="CU4142" s="21">
        <v>4137</v>
      </c>
      <c r="CV4142" s="41">
        <v>4</v>
      </c>
      <c r="CW4142" s="41">
        <v>0.11332468572476186</v>
      </c>
      <c r="CX4142" s="41" t="e">
        <v>#N/A</v>
      </c>
      <c r="CY4142" s="41" t="e">
        <v>#N/A</v>
      </c>
      <c r="CZ4142" s="47" t="e">
        <v>#N/A</v>
      </c>
      <c r="DA4142">
        <v>0.11332468572476186</v>
      </c>
      <c r="DB4142" t="str">
        <v/>
      </c>
    </row>
    <row r="4143" spans="83:106" x14ac:dyDescent="0.2">
      <c r="CE4143"/>
      <c r="CF4143"/>
      <c r="CG4143"/>
      <c r="CH4143"/>
      <c r="CI4143"/>
      <c r="CU4143" s="21">
        <v>4138</v>
      </c>
      <c r="CV4143" s="41">
        <v>4</v>
      </c>
      <c r="CW4143" s="41">
        <v>0.11332468572476186</v>
      </c>
      <c r="CX4143" s="41" t="e">
        <v>#N/A</v>
      </c>
      <c r="CY4143" s="41" t="e">
        <v>#N/A</v>
      </c>
      <c r="CZ4143" s="47" t="e">
        <v>#N/A</v>
      </c>
      <c r="DA4143">
        <v>0.11332468572476186</v>
      </c>
      <c r="DB4143" t="str">
        <v/>
      </c>
    </row>
    <row r="4144" spans="83:106" x14ac:dyDescent="0.2">
      <c r="CE4144"/>
      <c r="CF4144"/>
      <c r="CG4144"/>
      <c r="CH4144"/>
      <c r="CI4144"/>
      <c r="CU4144" s="21">
        <v>4139</v>
      </c>
      <c r="CV4144" s="41">
        <v>4</v>
      </c>
      <c r="CW4144" s="41">
        <v>0.11332468572476186</v>
      </c>
      <c r="CX4144" s="41" t="e">
        <v>#N/A</v>
      </c>
      <c r="CY4144" s="41" t="e">
        <v>#N/A</v>
      </c>
      <c r="CZ4144" s="47" t="e">
        <v>#N/A</v>
      </c>
      <c r="DA4144">
        <v>0.11332468572476186</v>
      </c>
      <c r="DB4144" t="str">
        <v/>
      </c>
    </row>
    <row r="4145" spans="83:106" x14ac:dyDescent="0.2">
      <c r="CE4145"/>
      <c r="CF4145"/>
      <c r="CG4145"/>
      <c r="CH4145"/>
      <c r="CI4145"/>
      <c r="CU4145" s="21">
        <v>4140</v>
      </c>
      <c r="CV4145" s="41">
        <v>4</v>
      </c>
      <c r="CW4145" s="41">
        <v>0.11332468572476186</v>
      </c>
      <c r="CX4145" s="41" t="e">
        <v>#N/A</v>
      </c>
      <c r="CY4145" s="41" t="e">
        <v>#N/A</v>
      </c>
      <c r="CZ4145" s="47" t="e">
        <v>#N/A</v>
      </c>
      <c r="DA4145">
        <v>0.11332468572476186</v>
      </c>
      <c r="DB4145" t="str">
        <v/>
      </c>
    </row>
    <row r="4146" spans="83:106" x14ac:dyDescent="0.2">
      <c r="CE4146"/>
      <c r="CF4146"/>
      <c r="CG4146"/>
      <c r="CH4146"/>
      <c r="CI4146"/>
      <c r="CU4146" s="21">
        <v>4141</v>
      </c>
      <c r="CV4146" s="41">
        <v>4</v>
      </c>
      <c r="CW4146" s="41">
        <v>0.11332468572476186</v>
      </c>
      <c r="CX4146" s="41" t="e">
        <v>#N/A</v>
      </c>
      <c r="CY4146" s="41" t="e">
        <v>#N/A</v>
      </c>
      <c r="CZ4146" s="47" t="e">
        <v>#N/A</v>
      </c>
      <c r="DA4146">
        <v>0.11332468572476186</v>
      </c>
      <c r="DB4146" t="str">
        <v/>
      </c>
    </row>
    <row r="4147" spans="83:106" x14ac:dyDescent="0.2">
      <c r="CE4147"/>
      <c r="CF4147"/>
      <c r="CG4147"/>
      <c r="CH4147"/>
      <c r="CI4147"/>
      <c r="CU4147" s="21">
        <v>4142</v>
      </c>
      <c r="CV4147" s="41">
        <v>4</v>
      </c>
      <c r="CW4147" s="41">
        <v>0.11332468572476186</v>
      </c>
      <c r="CX4147" s="41" t="e">
        <v>#N/A</v>
      </c>
      <c r="CY4147" s="41" t="e">
        <v>#N/A</v>
      </c>
      <c r="CZ4147" s="47" t="e">
        <v>#N/A</v>
      </c>
      <c r="DA4147">
        <v>0.11332468572476186</v>
      </c>
      <c r="DB4147" t="str">
        <v/>
      </c>
    </row>
    <row r="4148" spans="83:106" x14ac:dyDescent="0.2">
      <c r="CE4148"/>
      <c r="CF4148"/>
      <c r="CG4148"/>
      <c r="CH4148"/>
      <c r="CI4148"/>
      <c r="CU4148" s="21">
        <v>4143</v>
      </c>
      <c r="CV4148" s="41">
        <v>4</v>
      </c>
      <c r="CW4148" s="41">
        <v>0.11332468572476186</v>
      </c>
      <c r="CX4148" s="41" t="e">
        <v>#N/A</v>
      </c>
      <c r="CY4148" s="41" t="e">
        <v>#N/A</v>
      </c>
      <c r="CZ4148" s="47" t="e">
        <v>#N/A</v>
      </c>
      <c r="DA4148">
        <v>0.11332468572476186</v>
      </c>
      <c r="DB4148" t="str">
        <v/>
      </c>
    </row>
    <row r="4149" spans="83:106" x14ac:dyDescent="0.2">
      <c r="CE4149"/>
      <c r="CF4149"/>
      <c r="CG4149"/>
      <c r="CH4149"/>
      <c r="CI4149"/>
      <c r="CU4149" s="21">
        <v>4144</v>
      </c>
      <c r="CV4149" s="41">
        <v>4</v>
      </c>
      <c r="CW4149" s="41">
        <v>0.11332468572476186</v>
      </c>
      <c r="CX4149" s="41" t="e">
        <v>#N/A</v>
      </c>
      <c r="CY4149" s="41" t="e">
        <v>#N/A</v>
      </c>
      <c r="CZ4149" s="47" t="e">
        <v>#N/A</v>
      </c>
      <c r="DA4149">
        <v>0.11332468572476186</v>
      </c>
      <c r="DB4149" t="str">
        <v/>
      </c>
    </row>
    <row r="4150" spans="83:106" x14ac:dyDescent="0.2">
      <c r="CE4150"/>
      <c r="CF4150"/>
      <c r="CG4150"/>
      <c r="CH4150"/>
      <c r="CI4150"/>
      <c r="CU4150" s="21">
        <v>4145</v>
      </c>
      <c r="CV4150" s="41">
        <v>4</v>
      </c>
      <c r="CW4150" s="41">
        <v>0.11332468572476186</v>
      </c>
      <c r="CX4150" s="41" t="e">
        <v>#N/A</v>
      </c>
      <c r="CY4150" s="41" t="e">
        <v>#N/A</v>
      </c>
      <c r="CZ4150" s="47" t="e">
        <v>#N/A</v>
      </c>
      <c r="DA4150">
        <v>0.11332468572476186</v>
      </c>
      <c r="DB4150" t="str">
        <v/>
      </c>
    </row>
    <row r="4151" spans="83:106" x14ac:dyDescent="0.2">
      <c r="CE4151"/>
      <c r="CF4151"/>
      <c r="CG4151"/>
      <c r="CH4151"/>
      <c r="CI4151"/>
      <c r="CU4151" s="21">
        <v>4146</v>
      </c>
      <c r="CV4151" s="41">
        <v>4</v>
      </c>
      <c r="CW4151" s="41">
        <v>0.11332468572476186</v>
      </c>
      <c r="CX4151" s="41" t="e">
        <v>#N/A</v>
      </c>
      <c r="CY4151" s="41" t="e">
        <v>#N/A</v>
      </c>
      <c r="CZ4151" s="47" t="e">
        <v>#N/A</v>
      </c>
      <c r="DA4151">
        <v>0.11332468572476186</v>
      </c>
      <c r="DB4151" t="str">
        <v/>
      </c>
    </row>
    <row r="4152" spans="83:106" x14ac:dyDescent="0.2">
      <c r="CE4152"/>
      <c r="CF4152"/>
      <c r="CG4152"/>
      <c r="CH4152"/>
      <c r="CI4152"/>
      <c r="CU4152" s="21">
        <v>4147</v>
      </c>
      <c r="CV4152" s="41">
        <v>4</v>
      </c>
      <c r="CW4152" s="41">
        <v>0.11332468572476186</v>
      </c>
      <c r="CX4152" s="41" t="e">
        <v>#N/A</v>
      </c>
      <c r="CY4152" s="41" t="e">
        <v>#N/A</v>
      </c>
      <c r="CZ4152" s="47" t="e">
        <v>#N/A</v>
      </c>
      <c r="DA4152">
        <v>0.11332468572476186</v>
      </c>
      <c r="DB4152" t="str">
        <v/>
      </c>
    </row>
    <row r="4153" spans="83:106" x14ac:dyDescent="0.2">
      <c r="CE4153"/>
      <c r="CF4153"/>
      <c r="CG4153"/>
      <c r="CH4153"/>
      <c r="CI4153"/>
      <c r="CU4153" s="21">
        <v>4148</v>
      </c>
      <c r="CV4153" s="41">
        <v>4</v>
      </c>
      <c r="CW4153" s="41">
        <v>0.11332468572476186</v>
      </c>
      <c r="CX4153" s="41" t="e">
        <v>#N/A</v>
      </c>
      <c r="CY4153" s="41" t="e">
        <v>#N/A</v>
      </c>
      <c r="CZ4153" s="47" t="e">
        <v>#N/A</v>
      </c>
      <c r="DA4153">
        <v>0.11332468572476186</v>
      </c>
      <c r="DB4153" t="str">
        <v/>
      </c>
    </row>
    <row r="4154" spans="83:106" x14ac:dyDescent="0.2">
      <c r="CE4154"/>
      <c r="CF4154"/>
      <c r="CG4154"/>
      <c r="CH4154"/>
      <c r="CI4154"/>
      <c r="CU4154" s="21">
        <v>4149</v>
      </c>
      <c r="CV4154" s="41">
        <v>4</v>
      </c>
      <c r="CW4154" s="41">
        <v>0.11332468572476186</v>
      </c>
      <c r="CX4154" s="41" t="e">
        <v>#N/A</v>
      </c>
      <c r="CY4154" s="41" t="e">
        <v>#N/A</v>
      </c>
      <c r="CZ4154" s="47" t="e">
        <v>#N/A</v>
      </c>
      <c r="DA4154">
        <v>0.11332468572476186</v>
      </c>
      <c r="DB4154" t="str">
        <v/>
      </c>
    </row>
    <row r="4155" spans="83:106" x14ac:dyDescent="0.2">
      <c r="CE4155"/>
      <c r="CF4155"/>
      <c r="CG4155"/>
      <c r="CH4155"/>
      <c r="CI4155"/>
      <c r="CU4155" s="21">
        <v>4150</v>
      </c>
      <c r="CV4155" s="41">
        <v>4</v>
      </c>
      <c r="CW4155" s="41">
        <v>0.11332468572476186</v>
      </c>
      <c r="CX4155" s="41" t="e">
        <v>#N/A</v>
      </c>
      <c r="CY4155" s="41" t="e">
        <v>#N/A</v>
      </c>
      <c r="CZ4155" s="47" t="e">
        <v>#N/A</v>
      </c>
      <c r="DA4155">
        <v>0.11332468572476186</v>
      </c>
      <c r="DB4155" t="str">
        <v/>
      </c>
    </row>
    <row r="4156" spans="83:106" x14ac:dyDescent="0.2">
      <c r="CE4156"/>
      <c r="CF4156"/>
      <c r="CG4156"/>
      <c r="CH4156"/>
      <c r="CI4156"/>
      <c r="CU4156" s="21">
        <v>4151</v>
      </c>
      <c r="CV4156" s="41">
        <v>4</v>
      </c>
      <c r="CW4156" s="41">
        <v>0.11332468572476186</v>
      </c>
      <c r="CX4156" s="41" t="e">
        <v>#N/A</v>
      </c>
      <c r="CY4156" s="41" t="e">
        <v>#N/A</v>
      </c>
      <c r="CZ4156" s="47" t="e">
        <v>#N/A</v>
      </c>
      <c r="DA4156">
        <v>0.11332468572476186</v>
      </c>
      <c r="DB4156" t="str">
        <v/>
      </c>
    </row>
    <row r="4157" spans="83:106" x14ac:dyDescent="0.2">
      <c r="CE4157"/>
      <c r="CF4157"/>
      <c r="CG4157"/>
      <c r="CH4157"/>
      <c r="CI4157"/>
      <c r="CU4157" s="21">
        <v>4152</v>
      </c>
      <c r="CV4157" s="41">
        <v>4</v>
      </c>
      <c r="CW4157" s="41">
        <v>0.11332468572476186</v>
      </c>
      <c r="CX4157" s="41" t="e">
        <v>#N/A</v>
      </c>
      <c r="CY4157" s="41" t="e">
        <v>#N/A</v>
      </c>
      <c r="CZ4157" s="47" t="e">
        <v>#N/A</v>
      </c>
      <c r="DA4157">
        <v>0.11332468572476186</v>
      </c>
      <c r="DB4157" t="str">
        <v/>
      </c>
    </row>
    <row r="4158" spans="83:106" x14ac:dyDescent="0.2">
      <c r="CE4158"/>
      <c r="CF4158"/>
      <c r="CG4158"/>
      <c r="CH4158"/>
      <c r="CI4158"/>
      <c r="CU4158" s="21">
        <v>4153</v>
      </c>
      <c r="CV4158" s="41">
        <v>4</v>
      </c>
      <c r="CW4158" s="41">
        <v>0.11332468572476186</v>
      </c>
      <c r="CX4158" s="41" t="e">
        <v>#N/A</v>
      </c>
      <c r="CY4158" s="41" t="e">
        <v>#N/A</v>
      </c>
      <c r="CZ4158" s="47" t="e">
        <v>#N/A</v>
      </c>
      <c r="DA4158">
        <v>0.11332468572476186</v>
      </c>
      <c r="DB4158" t="str">
        <v/>
      </c>
    </row>
    <row r="4159" spans="83:106" x14ac:dyDescent="0.2">
      <c r="CE4159"/>
      <c r="CF4159"/>
      <c r="CG4159"/>
      <c r="CH4159"/>
      <c r="CI4159"/>
      <c r="CU4159" s="21">
        <v>4154</v>
      </c>
      <c r="CV4159" s="41">
        <v>4</v>
      </c>
      <c r="CW4159" s="41">
        <v>0.11332468572476186</v>
      </c>
      <c r="CX4159" s="41" t="e">
        <v>#N/A</v>
      </c>
      <c r="CY4159" s="41" t="e">
        <v>#N/A</v>
      </c>
      <c r="CZ4159" s="47" t="e">
        <v>#N/A</v>
      </c>
      <c r="DA4159">
        <v>0.11332468572476186</v>
      </c>
      <c r="DB4159" t="str">
        <v/>
      </c>
    </row>
    <row r="4160" spans="83:106" x14ac:dyDescent="0.2">
      <c r="CE4160"/>
      <c r="CF4160"/>
      <c r="CG4160"/>
      <c r="CH4160"/>
      <c r="CI4160"/>
      <c r="CU4160" s="21">
        <v>4155</v>
      </c>
      <c r="CV4160" s="41">
        <v>4</v>
      </c>
      <c r="CW4160" s="41">
        <v>0.11332468572476186</v>
      </c>
      <c r="CX4160" s="41" t="e">
        <v>#N/A</v>
      </c>
      <c r="CY4160" s="41" t="e">
        <v>#N/A</v>
      </c>
      <c r="CZ4160" s="47" t="e">
        <v>#N/A</v>
      </c>
      <c r="DA4160">
        <v>0.11332468572476186</v>
      </c>
      <c r="DB4160" t="str">
        <v/>
      </c>
    </row>
    <row r="4161" spans="83:106" x14ac:dyDescent="0.2">
      <c r="CE4161"/>
      <c r="CF4161"/>
      <c r="CG4161"/>
      <c r="CH4161"/>
      <c r="CI4161"/>
      <c r="CU4161" s="21">
        <v>4156</v>
      </c>
      <c r="CV4161" s="41">
        <v>4</v>
      </c>
      <c r="CW4161" s="41">
        <v>0.11332468572476186</v>
      </c>
      <c r="CX4161" s="41" t="e">
        <v>#N/A</v>
      </c>
      <c r="CY4161" s="41" t="e">
        <v>#N/A</v>
      </c>
      <c r="CZ4161" s="47" t="e">
        <v>#N/A</v>
      </c>
      <c r="DA4161">
        <v>0.11332468572476186</v>
      </c>
      <c r="DB4161" t="str">
        <v/>
      </c>
    </row>
    <row r="4162" spans="83:106" x14ac:dyDescent="0.2">
      <c r="CE4162"/>
      <c r="CF4162"/>
      <c r="CG4162"/>
      <c r="CH4162"/>
      <c r="CI4162"/>
      <c r="CU4162" s="21">
        <v>4157</v>
      </c>
      <c r="CV4162" s="41">
        <v>4</v>
      </c>
      <c r="CW4162" s="41">
        <v>0.11332468572476186</v>
      </c>
      <c r="CX4162" s="41" t="e">
        <v>#N/A</v>
      </c>
      <c r="CY4162" s="41" t="e">
        <v>#N/A</v>
      </c>
      <c r="CZ4162" s="47" t="e">
        <v>#N/A</v>
      </c>
      <c r="DA4162">
        <v>0.11332468572476186</v>
      </c>
      <c r="DB4162" t="str">
        <v/>
      </c>
    </row>
    <row r="4163" spans="83:106" x14ac:dyDescent="0.2">
      <c r="CE4163"/>
      <c r="CF4163"/>
      <c r="CG4163"/>
      <c r="CH4163"/>
      <c r="CI4163"/>
      <c r="CU4163" s="21">
        <v>4158</v>
      </c>
      <c r="CV4163" s="41">
        <v>4</v>
      </c>
      <c r="CW4163" s="41">
        <v>0.11332468572476186</v>
      </c>
      <c r="CX4163" s="41" t="e">
        <v>#N/A</v>
      </c>
      <c r="CY4163" s="41" t="e">
        <v>#N/A</v>
      </c>
      <c r="CZ4163" s="47" t="e">
        <v>#N/A</v>
      </c>
      <c r="DA4163">
        <v>0.11332468572476186</v>
      </c>
      <c r="DB4163" t="str">
        <v/>
      </c>
    </row>
    <row r="4164" spans="83:106" x14ac:dyDescent="0.2">
      <c r="CE4164"/>
      <c r="CF4164"/>
      <c r="CG4164"/>
      <c r="CH4164"/>
      <c r="CI4164"/>
      <c r="CU4164" s="21">
        <v>4159</v>
      </c>
      <c r="CV4164" s="41">
        <v>4</v>
      </c>
      <c r="CW4164" s="41">
        <v>0.11332468572476186</v>
      </c>
      <c r="CX4164" s="41" t="e">
        <v>#N/A</v>
      </c>
      <c r="CY4164" s="41" t="e">
        <v>#N/A</v>
      </c>
      <c r="CZ4164" s="47" t="e">
        <v>#N/A</v>
      </c>
      <c r="DA4164">
        <v>0.11332468572476186</v>
      </c>
      <c r="DB4164" t="str">
        <v/>
      </c>
    </row>
    <row r="4165" spans="83:106" x14ac:dyDescent="0.2">
      <c r="CE4165"/>
      <c r="CF4165"/>
      <c r="CG4165"/>
      <c r="CH4165"/>
      <c r="CI4165"/>
      <c r="CU4165" s="21">
        <v>4160</v>
      </c>
      <c r="CV4165" s="41">
        <v>4</v>
      </c>
      <c r="CW4165" s="41">
        <v>0.11332468572476186</v>
      </c>
      <c r="CX4165" s="41" t="e">
        <v>#N/A</v>
      </c>
      <c r="CY4165" s="41" t="e">
        <v>#N/A</v>
      </c>
      <c r="CZ4165" s="47" t="e">
        <v>#N/A</v>
      </c>
      <c r="DA4165">
        <v>0.11332468572476186</v>
      </c>
      <c r="DB4165" t="str">
        <v/>
      </c>
    </row>
    <row r="4166" spans="83:106" x14ac:dyDescent="0.2">
      <c r="CE4166"/>
      <c r="CF4166"/>
      <c r="CG4166"/>
      <c r="CH4166"/>
      <c r="CI4166"/>
      <c r="CU4166" s="21">
        <v>4161</v>
      </c>
      <c r="CV4166" s="41">
        <v>4</v>
      </c>
      <c r="CW4166" s="41">
        <v>0.11332468572476186</v>
      </c>
      <c r="CX4166" s="41" t="e">
        <v>#N/A</v>
      </c>
      <c r="CY4166" s="41" t="e">
        <v>#N/A</v>
      </c>
      <c r="CZ4166" s="47" t="e">
        <v>#N/A</v>
      </c>
      <c r="DA4166">
        <v>0.11332468572476186</v>
      </c>
      <c r="DB4166" t="str">
        <v/>
      </c>
    </row>
    <row r="4167" spans="83:106" x14ac:dyDescent="0.2">
      <c r="CE4167"/>
      <c r="CF4167"/>
      <c r="CG4167"/>
      <c r="CH4167"/>
      <c r="CI4167"/>
      <c r="CU4167" s="21">
        <v>4162</v>
      </c>
      <c r="CV4167" s="41">
        <v>4</v>
      </c>
      <c r="CW4167" s="41">
        <v>0.11332468572476186</v>
      </c>
      <c r="CX4167" s="41" t="e">
        <v>#N/A</v>
      </c>
      <c r="CY4167" s="41" t="e">
        <v>#N/A</v>
      </c>
      <c r="CZ4167" s="47" t="e">
        <v>#N/A</v>
      </c>
      <c r="DA4167">
        <v>0.11332468572476186</v>
      </c>
      <c r="DB4167" t="str">
        <v/>
      </c>
    </row>
    <row r="4168" spans="83:106" x14ac:dyDescent="0.2">
      <c r="CE4168"/>
      <c r="CF4168"/>
      <c r="CG4168"/>
      <c r="CH4168"/>
      <c r="CI4168"/>
      <c r="CU4168" s="21">
        <v>4163</v>
      </c>
      <c r="CV4168" s="41">
        <v>4</v>
      </c>
      <c r="CW4168" s="41">
        <v>0.11332468572476186</v>
      </c>
      <c r="CX4168" s="41" t="e">
        <v>#N/A</v>
      </c>
      <c r="CY4168" s="41" t="e">
        <v>#N/A</v>
      </c>
      <c r="CZ4168" s="47" t="e">
        <v>#N/A</v>
      </c>
      <c r="DA4168">
        <v>0.11332468572476186</v>
      </c>
      <c r="DB4168" t="str">
        <v/>
      </c>
    </row>
    <row r="4169" spans="83:106" x14ac:dyDescent="0.2">
      <c r="CE4169"/>
      <c r="CF4169"/>
      <c r="CG4169"/>
      <c r="CH4169"/>
      <c r="CI4169"/>
      <c r="CU4169" s="21">
        <v>4164</v>
      </c>
      <c r="CV4169" s="41">
        <v>4</v>
      </c>
      <c r="CW4169" s="41">
        <v>0.11332468572476186</v>
      </c>
      <c r="CX4169" s="41" t="e">
        <v>#N/A</v>
      </c>
      <c r="CY4169" s="41" t="e">
        <v>#N/A</v>
      </c>
      <c r="CZ4169" s="47" t="e">
        <v>#N/A</v>
      </c>
      <c r="DA4169">
        <v>0.11332468572476186</v>
      </c>
      <c r="DB4169" t="str">
        <v/>
      </c>
    </row>
    <row r="4170" spans="83:106" x14ac:dyDescent="0.2">
      <c r="CE4170"/>
      <c r="CF4170"/>
      <c r="CG4170"/>
      <c r="CH4170"/>
      <c r="CI4170"/>
      <c r="CU4170" s="21">
        <v>4165</v>
      </c>
      <c r="CV4170" s="41">
        <v>4</v>
      </c>
      <c r="CW4170" s="41">
        <v>0.11332468572476186</v>
      </c>
      <c r="CX4170" s="41" t="e">
        <v>#N/A</v>
      </c>
      <c r="CY4170" s="41" t="e">
        <v>#N/A</v>
      </c>
      <c r="CZ4170" s="47" t="e">
        <v>#N/A</v>
      </c>
      <c r="DA4170">
        <v>0.11332468572476186</v>
      </c>
      <c r="DB4170" t="str">
        <v/>
      </c>
    </row>
    <row r="4171" spans="83:106" x14ac:dyDescent="0.2">
      <c r="CE4171"/>
      <c r="CF4171"/>
      <c r="CG4171"/>
      <c r="CH4171"/>
      <c r="CI4171"/>
      <c r="CU4171" s="21">
        <v>4166</v>
      </c>
      <c r="CV4171" s="41">
        <v>4</v>
      </c>
      <c r="CW4171" s="41">
        <v>0.11332468572476186</v>
      </c>
      <c r="CX4171" s="41" t="e">
        <v>#N/A</v>
      </c>
      <c r="CY4171" s="41" t="e">
        <v>#N/A</v>
      </c>
      <c r="CZ4171" s="47" t="e">
        <v>#N/A</v>
      </c>
      <c r="DA4171">
        <v>0.11332468572476186</v>
      </c>
      <c r="DB4171" t="str">
        <v/>
      </c>
    </row>
    <row r="4172" spans="83:106" x14ac:dyDescent="0.2">
      <c r="CE4172"/>
      <c r="CF4172"/>
      <c r="CG4172"/>
      <c r="CH4172"/>
      <c r="CI4172"/>
      <c r="CU4172" s="21">
        <v>4167</v>
      </c>
      <c r="CV4172" s="41">
        <v>4</v>
      </c>
      <c r="CW4172" s="41">
        <v>0.11332468572476186</v>
      </c>
      <c r="CX4172" s="41" t="e">
        <v>#N/A</v>
      </c>
      <c r="CY4172" s="41" t="e">
        <v>#N/A</v>
      </c>
      <c r="CZ4172" s="47" t="e">
        <v>#N/A</v>
      </c>
      <c r="DA4172">
        <v>0.11332468572476186</v>
      </c>
      <c r="DB4172" t="str">
        <v/>
      </c>
    </row>
    <row r="4173" spans="83:106" x14ac:dyDescent="0.2">
      <c r="CE4173"/>
      <c r="CF4173"/>
      <c r="CG4173"/>
      <c r="CH4173"/>
      <c r="CI4173"/>
      <c r="CU4173" s="21">
        <v>4168</v>
      </c>
      <c r="CV4173" s="41">
        <v>4</v>
      </c>
      <c r="CW4173" s="41">
        <v>0.11332468572476186</v>
      </c>
      <c r="CX4173" s="41" t="e">
        <v>#N/A</v>
      </c>
      <c r="CY4173" s="41" t="e">
        <v>#N/A</v>
      </c>
      <c r="CZ4173" s="47" t="e">
        <v>#N/A</v>
      </c>
      <c r="DA4173">
        <v>0.11332468572476186</v>
      </c>
      <c r="DB4173" t="str">
        <v/>
      </c>
    </row>
    <row r="4174" spans="83:106" x14ac:dyDescent="0.2">
      <c r="CE4174"/>
      <c r="CF4174"/>
      <c r="CG4174"/>
      <c r="CH4174"/>
      <c r="CI4174"/>
      <c r="CU4174" s="21">
        <v>4169</v>
      </c>
      <c r="CV4174" s="41">
        <v>4</v>
      </c>
      <c r="CW4174" s="41">
        <v>0.11332468572476186</v>
      </c>
      <c r="CX4174" s="41" t="e">
        <v>#N/A</v>
      </c>
      <c r="CY4174" s="41" t="e">
        <v>#N/A</v>
      </c>
      <c r="CZ4174" s="47" t="e">
        <v>#N/A</v>
      </c>
      <c r="DA4174">
        <v>0.11332468572476186</v>
      </c>
      <c r="DB4174" t="str">
        <v/>
      </c>
    </row>
    <row r="4175" spans="83:106" x14ac:dyDescent="0.2">
      <c r="CE4175"/>
      <c r="CF4175"/>
      <c r="CG4175"/>
      <c r="CH4175"/>
      <c r="CI4175"/>
      <c r="CU4175" s="21">
        <v>4170</v>
      </c>
      <c r="CV4175" s="41">
        <v>4</v>
      </c>
      <c r="CW4175" s="41">
        <v>0.11332468572476186</v>
      </c>
      <c r="CX4175" s="41" t="e">
        <v>#N/A</v>
      </c>
      <c r="CY4175" s="41" t="e">
        <v>#N/A</v>
      </c>
      <c r="CZ4175" s="47" t="e">
        <v>#N/A</v>
      </c>
      <c r="DA4175">
        <v>0.11332468572476186</v>
      </c>
      <c r="DB4175" t="str">
        <v/>
      </c>
    </row>
    <row r="4176" spans="83:106" x14ac:dyDescent="0.2">
      <c r="CE4176"/>
      <c r="CF4176"/>
      <c r="CG4176"/>
      <c r="CH4176"/>
      <c r="CI4176"/>
      <c r="CU4176" s="21">
        <v>4171</v>
      </c>
      <c r="CV4176" s="41">
        <v>4</v>
      </c>
      <c r="CW4176" s="41">
        <v>0.11332468572476186</v>
      </c>
      <c r="CX4176" s="41" t="e">
        <v>#N/A</v>
      </c>
      <c r="CY4176" s="41" t="e">
        <v>#N/A</v>
      </c>
      <c r="CZ4176" s="47" t="e">
        <v>#N/A</v>
      </c>
      <c r="DA4176">
        <v>0.11332468572476186</v>
      </c>
      <c r="DB4176" t="str">
        <v/>
      </c>
    </row>
    <row r="4177" spans="83:106" x14ac:dyDescent="0.2">
      <c r="CE4177"/>
      <c r="CF4177"/>
      <c r="CG4177"/>
      <c r="CH4177"/>
      <c r="CI4177"/>
      <c r="CU4177" s="21">
        <v>4172</v>
      </c>
      <c r="CV4177" s="41">
        <v>4</v>
      </c>
      <c r="CW4177" s="41">
        <v>0.11332468572476186</v>
      </c>
      <c r="CX4177" s="41" t="e">
        <v>#N/A</v>
      </c>
      <c r="CY4177" s="41" t="e">
        <v>#N/A</v>
      </c>
      <c r="CZ4177" s="47" t="e">
        <v>#N/A</v>
      </c>
      <c r="DA4177">
        <v>0.11332468572476186</v>
      </c>
      <c r="DB4177" t="str">
        <v/>
      </c>
    </row>
    <row r="4178" spans="83:106" x14ac:dyDescent="0.2">
      <c r="CE4178"/>
      <c r="CF4178"/>
      <c r="CG4178"/>
      <c r="CH4178"/>
      <c r="CI4178"/>
      <c r="CU4178" s="21">
        <v>4173</v>
      </c>
      <c r="CV4178" s="41">
        <v>4</v>
      </c>
      <c r="CW4178" s="41">
        <v>0.11332468572476186</v>
      </c>
      <c r="CX4178" s="41" t="e">
        <v>#N/A</v>
      </c>
      <c r="CY4178" s="41" t="e">
        <v>#N/A</v>
      </c>
      <c r="CZ4178" s="47" t="e">
        <v>#N/A</v>
      </c>
      <c r="DA4178">
        <v>0.11332468572476186</v>
      </c>
      <c r="DB4178" t="str">
        <v/>
      </c>
    </row>
    <row r="4179" spans="83:106" x14ac:dyDescent="0.2">
      <c r="CE4179"/>
      <c r="CF4179"/>
      <c r="CG4179"/>
      <c r="CH4179"/>
      <c r="CI4179"/>
      <c r="CU4179" s="21">
        <v>4174</v>
      </c>
      <c r="CV4179" s="41">
        <v>4</v>
      </c>
      <c r="CW4179" s="41">
        <v>0.11332468572476186</v>
      </c>
      <c r="CX4179" s="41" t="e">
        <v>#N/A</v>
      </c>
      <c r="CY4179" s="41" t="e">
        <v>#N/A</v>
      </c>
      <c r="CZ4179" s="47" t="e">
        <v>#N/A</v>
      </c>
      <c r="DA4179">
        <v>0.11332468572476186</v>
      </c>
      <c r="DB4179" t="str">
        <v/>
      </c>
    </row>
    <row r="4180" spans="83:106" x14ac:dyDescent="0.2">
      <c r="CE4180"/>
      <c r="CF4180"/>
      <c r="CG4180"/>
      <c r="CH4180"/>
      <c r="CI4180"/>
      <c r="CU4180" s="21">
        <v>4175</v>
      </c>
      <c r="CV4180" s="41">
        <v>4</v>
      </c>
      <c r="CW4180" s="41">
        <v>0.11332468572476186</v>
      </c>
      <c r="CX4180" s="41" t="e">
        <v>#N/A</v>
      </c>
      <c r="CY4180" s="41" t="e">
        <v>#N/A</v>
      </c>
      <c r="CZ4180" s="47" t="e">
        <v>#N/A</v>
      </c>
      <c r="DA4180">
        <v>0.11332468572476186</v>
      </c>
      <c r="DB4180" t="str">
        <v/>
      </c>
    </row>
    <row r="4181" spans="83:106" x14ac:dyDescent="0.2">
      <c r="CE4181"/>
      <c r="CF4181"/>
      <c r="CG4181"/>
      <c r="CH4181"/>
      <c r="CI4181"/>
      <c r="CU4181" s="21">
        <v>4176</v>
      </c>
      <c r="CV4181" s="41">
        <v>4</v>
      </c>
      <c r="CW4181" s="41">
        <v>0.11332468572476186</v>
      </c>
      <c r="CX4181" s="41" t="e">
        <v>#N/A</v>
      </c>
      <c r="CY4181" s="41" t="e">
        <v>#N/A</v>
      </c>
      <c r="CZ4181" s="47" t="e">
        <v>#N/A</v>
      </c>
      <c r="DA4181">
        <v>0.11332468572476186</v>
      </c>
      <c r="DB4181" t="str">
        <v/>
      </c>
    </row>
    <row r="4182" spans="83:106" x14ac:dyDescent="0.2">
      <c r="CE4182"/>
      <c r="CF4182"/>
      <c r="CG4182"/>
      <c r="CH4182"/>
      <c r="CI4182"/>
      <c r="CU4182" s="21">
        <v>4177</v>
      </c>
      <c r="CV4182" s="41">
        <v>4</v>
      </c>
      <c r="CW4182" s="41">
        <v>0.11332468572476186</v>
      </c>
      <c r="CX4182" s="41" t="e">
        <v>#N/A</v>
      </c>
      <c r="CY4182" s="41" t="e">
        <v>#N/A</v>
      </c>
      <c r="CZ4182" s="47" t="e">
        <v>#N/A</v>
      </c>
      <c r="DA4182">
        <v>0.11332468572476186</v>
      </c>
      <c r="DB4182" t="str">
        <v/>
      </c>
    </row>
    <row r="4183" spans="83:106" x14ac:dyDescent="0.2">
      <c r="CE4183"/>
      <c r="CF4183"/>
      <c r="CG4183"/>
      <c r="CH4183"/>
      <c r="CI4183"/>
      <c r="CU4183" s="21">
        <v>4178</v>
      </c>
      <c r="CV4183" s="41">
        <v>4</v>
      </c>
      <c r="CW4183" s="41">
        <v>0.11332468572476186</v>
      </c>
      <c r="CX4183" s="41" t="e">
        <v>#N/A</v>
      </c>
      <c r="CY4183" s="41" t="e">
        <v>#N/A</v>
      </c>
      <c r="CZ4183" s="47" t="e">
        <v>#N/A</v>
      </c>
      <c r="DA4183">
        <v>0.11332468572476186</v>
      </c>
      <c r="DB4183" t="str">
        <v/>
      </c>
    </row>
    <row r="4184" spans="83:106" x14ac:dyDescent="0.2">
      <c r="CE4184"/>
      <c r="CF4184"/>
      <c r="CG4184"/>
      <c r="CH4184"/>
      <c r="CI4184"/>
      <c r="CU4184" s="21">
        <v>4179</v>
      </c>
      <c r="CV4184" s="41">
        <v>4</v>
      </c>
      <c r="CW4184" s="41">
        <v>0.11332468572476186</v>
      </c>
      <c r="CX4184" s="41" t="e">
        <v>#N/A</v>
      </c>
      <c r="CY4184" s="41" t="e">
        <v>#N/A</v>
      </c>
      <c r="CZ4184" s="47" t="e">
        <v>#N/A</v>
      </c>
      <c r="DA4184">
        <v>0.11332468572476186</v>
      </c>
      <c r="DB4184" t="str">
        <v/>
      </c>
    </row>
    <row r="4185" spans="83:106" x14ac:dyDescent="0.2">
      <c r="CE4185"/>
      <c r="CF4185"/>
      <c r="CG4185"/>
      <c r="CH4185"/>
      <c r="CI4185"/>
      <c r="CU4185" s="21">
        <v>4180</v>
      </c>
      <c r="CV4185" s="41">
        <v>4</v>
      </c>
      <c r="CW4185" s="41">
        <v>0.11332468572476186</v>
      </c>
      <c r="CX4185" s="41" t="e">
        <v>#N/A</v>
      </c>
      <c r="CY4185" s="41" t="e">
        <v>#N/A</v>
      </c>
      <c r="CZ4185" s="47" t="e">
        <v>#N/A</v>
      </c>
      <c r="DA4185">
        <v>0.11332468572476186</v>
      </c>
      <c r="DB4185" t="str">
        <v/>
      </c>
    </row>
    <row r="4186" spans="83:106" x14ac:dyDescent="0.2">
      <c r="CE4186"/>
      <c r="CF4186"/>
      <c r="CG4186"/>
      <c r="CH4186"/>
      <c r="CI4186"/>
      <c r="CU4186" s="21">
        <v>4181</v>
      </c>
      <c r="CV4186" s="41">
        <v>4</v>
      </c>
      <c r="CW4186" s="41">
        <v>0.11332468572476186</v>
      </c>
      <c r="CX4186" s="41" t="e">
        <v>#N/A</v>
      </c>
      <c r="CY4186" s="41" t="e">
        <v>#N/A</v>
      </c>
      <c r="CZ4186" s="47" t="e">
        <v>#N/A</v>
      </c>
      <c r="DA4186">
        <v>0.11332468572476186</v>
      </c>
      <c r="DB4186" t="str">
        <v/>
      </c>
    </row>
    <row r="4187" spans="83:106" x14ac:dyDescent="0.2">
      <c r="CE4187"/>
      <c r="CF4187"/>
      <c r="CG4187"/>
      <c r="CH4187"/>
      <c r="CI4187"/>
      <c r="CU4187" s="21">
        <v>4182</v>
      </c>
      <c r="CV4187" s="41">
        <v>4</v>
      </c>
      <c r="CW4187" s="41">
        <v>0.11332468572476186</v>
      </c>
      <c r="CX4187" s="41" t="e">
        <v>#N/A</v>
      </c>
      <c r="CY4187" s="41" t="e">
        <v>#N/A</v>
      </c>
      <c r="CZ4187" s="47" t="e">
        <v>#N/A</v>
      </c>
      <c r="DA4187">
        <v>0.11332468572476186</v>
      </c>
      <c r="DB4187" t="str">
        <v/>
      </c>
    </row>
    <row r="4188" spans="83:106" x14ac:dyDescent="0.2">
      <c r="CE4188"/>
      <c r="CF4188"/>
      <c r="CG4188"/>
      <c r="CH4188"/>
      <c r="CI4188"/>
      <c r="CU4188" s="21">
        <v>4183</v>
      </c>
      <c r="CV4188" s="41">
        <v>4</v>
      </c>
      <c r="CW4188" s="41">
        <v>0.11332468572476186</v>
      </c>
      <c r="CX4188" s="41" t="e">
        <v>#N/A</v>
      </c>
      <c r="CY4188" s="41" t="e">
        <v>#N/A</v>
      </c>
      <c r="CZ4188" s="47" t="e">
        <v>#N/A</v>
      </c>
      <c r="DA4188">
        <v>0.11332468572476186</v>
      </c>
      <c r="DB4188" t="str">
        <v/>
      </c>
    </row>
    <row r="4189" spans="83:106" x14ac:dyDescent="0.2">
      <c r="CE4189"/>
      <c r="CF4189"/>
      <c r="CG4189"/>
      <c r="CH4189"/>
      <c r="CI4189"/>
      <c r="CU4189" s="21">
        <v>4184</v>
      </c>
      <c r="CV4189" s="41">
        <v>4</v>
      </c>
      <c r="CW4189" s="41">
        <v>0.11332468572476186</v>
      </c>
      <c r="CX4189" s="41" t="e">
        <v>#N/A</v>
      </c>
      <c r="CY4189" s="41" t="e">
        <v>#N/A</v>
      </c>
      <c r="CZ4189" s="47" t="e">
        <v>#N/A</v>
      </c>
      <c r="DA4189">
        <v>0.11332468572476186</v>
      </c>
      <c r="DB4189" t="str">
        <v/>
      </c>
    </row>
    <row r="4190" spans="83:106" x14ac:dyDescent="0.2">
      <c r="CE4190"/>
      <c r="CF4190"/>
      <c r="CG4190"/>
      <c r="CH4190"/>
      <c r="CI4190"/>
      <c r="CU4190" s="21">
        <v>4185</v>
      </c>
      <c r="CV4190" s="41">
        <v>4</v>
      </c>
      <c r="CW4190" s="41">
        <v>0.11332468572476186</v>
      </c>
      <c r="CX4190" s="41" t="e">
        <v>#N/A</v>
      </c>
      <c r="CY4190" s="41" t="e">
        <v>#N/A</v>
      </c>
      <c r="CZ4190" s="47" t="e">
        <v>#N/A</v>
      </c>
      <c r="DA4190">
        <v>0.11332468572476186</v>
      </c>
      <c r="DB4190" t="str">
        <v/>
      </c>
    </row>
    <row r="4191" spans="83:106" x14ac:dyDescent="0.2">
      <c r="CE4191"/>
      <c r="CF4191"/>
      <c r="CG4191"/>
      <c r="CH4191"/>
      <c r="CI4191"/>
      <c r="CU4191" s="21">
        <v>4186</v>
      </c>
      <c r="CV4191" s="41">
        <v>4</v>
      </c>
      <c r="CW4191" s="41">
        <v>0.11332468572476186</v>
      </c>
      <c r="CX4191" s="41" t="e">
        <v>#N/A</v>
      </c>
      <c r="CY4191" s="41" t="e">
        <v>#N/A</v>
      </c>
      <c r="CZ4191" s="47" t="e">
        <v>#N/A</v>
      </c>
      <c r="DA4191">
        <v>0.11332468572476186</v>
      </c>
      <c r="DB4191" t="str">
        <v/>
      </c>
    </row>
    <row r="4192" spans="83:106" x14ac:dyDescent="0.2">
      <c r="CE4192"/>
      <c r="CF4192"/>
      <c r="CG4192"/>
      <c r="CH4192"/>
      <c r="CI4192"/>
      <c r="CU4192" s="21">
        <v>4187</v>
      </c>
      <c r="CV4192" s="41">
        <v>4</v>
      </c>
      <c r="CW4192" s="41">
        <v>0.11332468572476186</v>
      </c>
      <c r="CX4192" s="41" t="e">
        <v>#N/A</v>
      </c>
      <c r="CY4192" s="41" t="e">
        <v>#N/A</v>
      </c>
      <c r="CZ4192" s="47" t="e">
        <v>#N/A</v>
      </c>
      <c r="DA4192">
        <v>0.11332468572476186</v>
      </c>
      <c r="DB4192" t="str">
        <v/>
      </c>
    </row>
    <row r="4193" spans="83:106" x14ac:dyDescent="0.2">
      <c r="CE4193"/>
      <c r="CF4193"/>
      <c r="CG4193"/>
      <c r="CH4193"/>
      <c r="CI4193"/>
      <c r="CU4193" s="21">
        <v>4188</v>
      </c>
      <c r="CV4193" s="41">
        <v>4</v>
      </c>
      <c r="CW4193" s="41">
        <v>0.11332468572476186</v>
      </c>
      <c r="CX4193" s="41" t="e">
        <v>#N/A</v>
      </c>
      <c r="CY4193" s="41" t="e">
        <v>#N/A</v>
      </c>
      <c r="CZ4193" s="47" t="e">
        <v>#N/A</v>
      </c>
      <c r="DA4193">
        <v>0.11332468572476186</v>
      </c>
      <c r="DB4193" t="str">
        <v/>
      </c>
    </row>
    <row r="4194" spans="83:106" x14ac:dyDescent="0.2">
      <c r="CE4194"/>
      <c r="CF4194"/>
      <c r="CG4194"/>
      <c r="CH4194"/>
      <c r="CI4194"/>
      <c r="CU4194" s="21">
        <v>4189</v>
      </c>
      <c r="CV4194" s="41">
        <v>4</v>
      </c>
      <c r="CW4194" s="41">
        <v>0.11332468572476186</v>
      </c>
      <c r="CX4194" s="41" t="e">
        <v>#N/A</v>
      </c>
      <c r="CY4194" s="41" t="e">
        <v>#N/A</v>
      </c>
      <c r="CZ4194" s="47" t="e">
        <v>#N/A</v>
      </c>
      <c r="DA4194">
        <v>0.11332468572476186</v>
      </c>
      <c r="DB4194" t="str">
        <v/>
      </c>
    </row>
    <row r="4195" spans="83:106" x14ac:dyDescent="0.2">
      <c r="CE4195"/>
      <c r="CF4195"/>
      <c r="CG4195"/>
      <c r="CH4195"/>
      <c r="CI4195"/>
      <c r="CU4195" s="21">
        <v>4190</v>
      </c>
      <c r="CV4195" s="41">
        <v>4</v>
      </c>
      <c r="CW4195" s="41">
        <v>0.11332468572476186</v>
      </c>
      <c r="CX4195" s="41" t="e">
        <v>#N/A</v>
      </c>
      <c r="CY4195" s="41" t="e">
        <v>#N/A</v>
      </c>
      <c r="CZ4195" s="47" t="e">
        <v>#N/A</v>
      </c>
      <c r="DA4195">
        <v>0.11332468572476186</v>
      </c>
      <c r="DB4195" t="str">
        <v/>
      </c>
    </row>
    <row r="4196" spans="83:106" x14ac:dyDescent="0.2">
      <c r="CE4196"/>
      <c r="CF4196"/>
      <c r="CG4196"/>
      <c r="CH4196"/>
      <c r="CI4196"/>
      <c r="CU4196" s="21">
        <v>4191</v>
      </c>
      <c r="CV4196" s="41">
        <v>4</v>
      </c>
      <c r="CW4196" s="41">
        <v>0.11332468572476186</v>
      </c>
      <c r="CX4196" s="41" t="e">
        <v>#N/A</v>
      </c>
      <c r="CY4196" s="41" t="e">
        <v>#N/A</v>
      </c>
      <c r="CZ4196" s="47" t="e">
        <v>#N/A</v>
      </c>
      <c r="DA4196">
        <v>0.11332468572476186</v>
      </c>
      <c r="DB4196" t="str">
        <v/>
      </c>
    </row>
    <row r="4197" spans="83:106" x14ac:dyDescent="0.2">
      <c r="CE4197"/>
      <c r="CF4197"/>
      <c r="CG4197"/>
      <c r="CH4197"/>
      <c r="CI4197"/>
      <c r="CU4197" s="21">
        <v>4192</v>
      </c>
      <c r="CV4197" s="41">
        <v>4</v>
      </c>
      <c r="CW4197" s="41">
        <v>0.11332468572476186</v>
      </c>
      <c r="CX4197" s="41" t="e">
        <v>#N/A</v>
      </c>
      <c r="CY4197" s="41" t="e">
        <v>#N/A</v>
      </c>
      <c r="CZ4197" s="47" t="e">
        <v>#N/A</v>
      </c>
      <c r="DA4197">
        <v>0.11332468572476186</v>
      </c>
      <c r="DB4197" t="str">
        <v/>
      </c>
    </row>
    <row r="4198" spans="83:106" x14ac:dyDescent="0.2">
      <c r="CE4198"/>
      <c r="CF4198"/>
      <c r="CG4198"/>
      <c r="CH4198"/>
      <c r="CI4198"/>
      <c r="CU4198" s="21">
        <v>4193</v>
      </c>
      <c r="CV4198" s="41">
        <v>4</v>
      </c>
      <c r="CW4198" s="41">
        <v>0.11332468572476186</v>
      </c>
      <c r="CX4198" s="41" t="e">
        <v>#N/A</v>
      </c>
      <c r="CY4198" s="41" t="e">
        <v>#N/A</v>
      </c>
      <c r="CZ4198" s="47" t="e">
        <v>#N/A</v>
      </c>
      <c r="DA4198">
        <v>0.11332468572476186</v>
      </c>
      <c r="DB4198" t="str">
        <v/>
      </c>
    </row>
    <row r="4199" spans="83:106" x14ac:dyDescent="0.2">
      <c r="CE4199"/>
      <c r="CF4199"/>
      <c r="CG4199"/>
      <c r="CH4199"/>
      <c r="CI4199"/>
      <c r="CU4199" s="21">
        <v>4194</v>
      </c>
      <c r="CV4199" s="41">
        <v>4</v>
      </c>
      <c r="CW4199" s="41">
        <v>0.11332468572476186</v>
      </c>
      <c r="CX4199" s="41" t="e">
        <v>#N/A</v>
      </c>
      <c r="CY4199" s="41" t="e">
        <v>#N/A</v>
      </c>
      <c r="CZ4199" s="47" t="e">
        <v>#N/A</v>
      </c>
      <c r="DA4199">
        <v>0.11332468572476186</v>
      </c>
      <c r="DB4199" t="str">
        <v/>
      </c>
    </row>
    <row r="4200" spans="83:106" x14ac:dyDescent="0.2">
      <c r="CE4200"/>
      <c r="CF4200"/>
      <c r="CG4200"/>
      <c r="CH4200"/>
      <c r="CI4200"/>
      <c r="CU4200" s="21">
        <v>4195</v>
      </c>
      <c r="CV4200" s="41">
        <v>4</v>
      </c>
      <c r="CW4200" s="41">
        <v>0.11332468572476186</v>
      </c>
      <c r="CX4200" s="41" t="e">
        <v>#N/A</v>
      </c>
      <c r="CY4200" s="41" t="e">
        <v>#N/A</v>
      </c>
      <c r="CZ4200" s="47" t="e">
        <v>#N/A</v>
      </c>
      <c r="DA4200">
        <v>0.11332468572476186</v>
      </c>
      <c r="DB4200" t="str">
        <v/>
      </c>
    </row>
    <row r="4201" spans="83:106" x14ac:dyDescent="0.2">
      <c r="CE4201"/>
      <c r="CF4201"/>
      <c r="CG4201"/>
      <c r="CH4201"/>
      <c r="CI4201"/>
      <c r="CU4201" s="21">
        <v>4196</v>
      </c>
      <c r="CV4201" s="41">
        <v>4</v>
      </c>
      <c r="CW4201" s="41">
        <v>0.11332468572476186</v>
      </c>
      <c r="CX4201" s="41" t="e">
        <v>#N/A</v>
      </c>
      <c r="CY4201" s="41" t="e">
        <v>#N/A</v>
      </c>
      <c r="CZ4201" s="47" t="e">
        <v>#N/A</v>
      </c>
      <c r="DA4201">
        <v>0.11332468572476186</v>
      </c>
      <c r="DB4201" t="str">
        <v/>
      </c>
    </row>
    <row r="4202" spans="83:106" x14ac:dyDescent="0.2">
      <c r="CE4202"/>
      <c r="CF4202"/>
      <c r="CG4202"/>
      <c r="CH4202"/>
      <c r="CI4202"/>
      <c r="CU4202" s="21">
        <v>4197</v>
      </c>
      <c r="CV4202" s="41">
        <v>4</v>
      </c>
      <c r="CW4202" s="41">
        <v>0.11332468572476186</v>
      </c>
      <c r="CX4202" s="41" t="e">
        <v>#N/A</v>
      </c>
      <c r="CY4202" s="41" t="e">
        <v>#N/A</v>
      </c>
      <c r="CZ4202" s="47" t="e">
        <v>#N/A</v>
      </c>
      <c r="DA4202">
        <v>0.11332468572476186</v>
      </c>
      <c r="DB4202" t="str">
        <v/>
      </c>
    </row>
    <row r="4203" spans="83:106" x14ac:dyDescent="0.2">
      <c r="CE4203"/>
      <c r="CF4203"/>
      <c r="CG4203"/>
      <c r="CH4203"/>
      <c r="CI4203"/>
      <c r="CU4203" s="21">
        <v>4198</v>
      </c>
      <c r="CV4203" s="41">
        <v>4</v>
      </c>
      <c r="CW4203" s="41">
        <v>0.11332468572476186</v>
      </c>
      <c r="CX4203" s="41" t="e">
        <v>#N/A</v>
      </c>
      <c r="CY4203" s="41" t="e">
        <v>#N/A</v>
      </c>
      <c r="CZ4203" s="47" t="e">
        <v>#N/A</v>
      </c>
      <c r="DA4203">
        <v>0.11332468572476186</v>
      </c>
      <c r="DB4203" t="str">
        <v/>
      </c>
    </row>
    <row r="4204" spans="83:106" x14ac:dyDescent="0.2">
      <c r="CE4204"/>
      <c r="CF4204"/>
      <c r="CG4204"/>
      <c r="CH4204"/>
      <c r="CI4204"/>
      <c r="CU4204" s="21">
        <v>4199</v>
      </c>
      <c r="CV4204" s="41">
        <v>4</v>
      </c>
      <c r="CW4204" s="41">
        <v>0.11332468572476186</v>
      </c>
      <c r="CX4204" s="41" t="e">
        <v>#N/A</v>
      </c>
      <c r="CY4204" s="41" t="e">
        <v>#N/A</v>
      </c>
      <c r="CZ4204" s="47" t="e">
        <v>#N/A</v>
      </c>
      <c r="DA4204">
        <v>0.11332468572476186</v>
      </c>
      <c r="DB4204" t="str">
        <v/>
      </c>
    </row>
    <row r="4205" spans="83:106" x14ac:dyDescent="0.2">
      <c r="CE4205"/>
      <c r="CF4205"/>
      <c r="CG4205"/>
      <c r="CH4205"/>
      <c r="CI4205"/>
      <c r="CU4205" s="21">
        <v>4200</v>
      </c>
      <c r="CV4205" s="41">
        <v>4</v>
      </c>
      <c r="CW4205" s="41">
        <v>0.11332468572476186</v>
      </c>
      <c r="CX4205" s="41" t="e">
        <v>#N/A</v>
      </c>
      <c r="CY4205" s="41" t="e">
        <v>#N/A</v>
      </c>
      <c r="CZ4205" s="47" t="e">
        <v>#N/A</v>
      </c>
      <c r="DA4205">
        <v>0.11332468572476186</v>
      </c>
      <c r="DB4205" t="str">
        <v/>
      </c>
    </row>
    <row r="4206" spans="83:106" x14ac:dyDescent="0.2">
      <c r="CE4206"/>
      <c r="CF4206"/>
      <c r="CG4206"/>
      <c r="CH4206"/>
      <c r="CI4206"/>
      <c r="CU4206" s="21">
        <v>4201</v>
      </c>
      <c r="CV4206" s="41">
        <v>4</v>
      </c>
      <c r="CW4206" s="41">
        <v>0.11332468572476186</v>
      </c>
      <c r="CX4206" s="41" t="e">
        <v>#N/A</v>
      </c>
      <c r="CY4206" s="41" t="e">
        <v>#N/A</v>
      </c>
      <c r="CZ4206" s="47" t="e">
        <v>#N/A</v>
      </c>
      <c r="DA4206">
        <v>0.11332468572476186</v>
      </c>
      <c r="DB4206" t="str">
        <v/>
      </c>
    </row>
    <row r="4207" spans="83:106" x14ac:dyDescent="0.2">
      <c r="CE4207"/>
      <c r="CF4207"/>
      <c r="CG4207"/>
      <c r="CH4207"/>
      <c r="CI4207"/>
      <c r="CU4207" s="21">
        <v>4202</v>
      </c>
      <c r="CV4207" s="41">
        <v>4</v>
      </c>
      <c r="CW4207" s="41">
        <v>0.11332468572476186</v>
      </c>
      <c r="CX4207" s="41" t="e">
        <v>#N/A</v>
      </c>
      <c r="CY4207" s="41" t="e">
        <v>#N/A</v>
      </c>
      <c r="CZ4207" s="47" t="e">
        <v>#N/A</v>
      </c>
      <c r="DA4207">
        <v>0.11332468572476186</v>
      </c>
      <c r="DB4207" t="str">
        <v/>
      </c>
    </row>
    <row r="4208" spans="83:106" x14ac:dyDescent="0.2">
      <c r="CE4208"/>
      <c r="CF4208"/>
      <c r="CG4208"/>
      <c r="CH4208"/>
      <c r="CI4208"/>
      <c r="CU4208" s="21">
        <v>4203</v>
      </c>
      <c r="CV4208" s="41">
        <v>4</v>
      </c>
      <c r="CW4208" s="41">
        <v>0.11332468572476186</v>
      </c>
      <c r="CX4208" s="41" t="e">
        <v>#N/A</v>
      </c>
      <c r="CY4208" s="41" t="e">
        <v>#N/A</v>
      </c>
      <c r="CZ4208" s="47" t="e">
        <v>#N/A</v>
      </c>
      <c r="DA4208">
        <v>0.11332468572476186</v>
      </c>
      <c r="DB4208" t="str">
        <v/>
      </c>
    </row>
    <row r="4209" spans="83:106" x14ac:dyDescent="0.2">
      <c r="CE4209"/>
      <c r="CF4209"/>
      <c r="CG4209"/>
      <c r="CH4209"/>
      <c r="CI4209"/>
      <c r="CU4209" s="21">
        <v>4204</v>
      </c>
      <c r="CV4209" s="41">
        <v>4</v>
      </c>
      <c r="CW4209" s="41">
        <v>0.11332468572476186</v>
      </c>
      <c r="CX4209" s="41" t="e">
        <v>#N/A</v>
      </c>
      <c r="CY4209" s="41" t="e">
        <v>#N/A</v>
      </c>
      <c r="CZ4209" s="47" t="e">
        <v>#N/A</v>
      </c>
      <c r="DA4209">
        <v>0.11332468572476186</v>
      </c>
      <c r="DB4209" t="str">
        <v/>
      </c>
    </row>
    <row r="4210" spans="83:106" x14ac:dyDescent="0.2">
      <c r="CE4210"/>
      <c r="CF4210"/>
      <c r="CG4210"/>
      <c r="CH4210"/>
      <c r="CI4210"/>
      <c r="CU4210" s="21">
        <v>4205</v>
      </c>
      <c r="CV4210" s="41">
        <v>4</v>
      </c>
      <c r="CW4210" s="41">
        <v>0.11332468572476186</v>
      </c>
      <c r="CX4210" s="41" t="e">
        <v>#N/A</v>
      </c>
      <c r="CY4210" s="41" t="e">
        <v>#N/A</v>
      </c>
      <c r="CZ4210" s="47" t="e">
        <v>#N/A</v>
      </c>
      <c r="DA4210">
        <v>0.11332468572476186</v>
      </c>
      <c r="DB4210" t="str">
        <v/>
      </c>
    </row>
    <row r="4211" spans="83:106" x14ac:dyDescent="0.2">
      <c r="CE4211"/>
      <c r="CF4211"/>
      <c r="CG4211"/>
      <c r="CH4211"/>
      <c r="CI4211"/>
      <c r="CU4211" s="21">
        <v>4206</v>
      </c>
      <c r="CV4211" s="41">
        <v>4</v>
      </c>
      <c r="CW4211" s="41">
        <v>0.11332468572476186</v>
      </c>
      <c r="CX4211" s="41" t="e">
        <v>#N/A</v>
      </c>
      <c r="CY4211" s="41" t="e">
        <v>#N/A</v>
      </c>
      <c r="CZ4211" s="47" t="e">
        <v>#N/A</v>
      </c>
      <c r="DA4211">
        <v>0.11332468572476186</v>
      </c>
      <c r="DB4211" t="str">
        <v/>
      </c>
    </row>
    <row r="4212" spans="83:106" x14ac:dyDescent="0.2">
      <c r="CE4212"/>
      <c r="CF4212"/>
      <c r="CG4212"/>
      <c r="CH4212"/>
      <c r="CI4212"/>
      <c r="CU4212" s="21">
        <v>4207</v>
      </c>
      <c r="CV4212" s="41">
        <v>4</v>
      </c>
      <c r="CW4212" s="41">
        <v>0.11332468572476186</v>
      </c>
      <c r="CX4212" s="41" t="e">
        <v>#N/A</v>
      </c>
      <c r="CY4212" s="41" t="e">
        <v>#N/A</v>
      </c>
      <c r="CZ4212" s="47" t="e">
        <v>#N/A</v>
      </c>
      <c r="DA4212">
        <v>0.11332468572476186</v>
      </c>
      <c r="DB4212" t="str">
        <v/>
      </c>
    </row>
    <row r="4213" spans="83:106" x14ac:dyDescent="0.2">
      <c r="CE4213"/>
      <c r="CF4213"/>
      <c r="CG4213"/>
      <c r="CH4213"/>
      <c r="CI4213"/>
      <c r="CU4213" s="21">
        <v>4208</v>
      </c>
      <c r="CV4213" s="41">
        <v>4</v>
      </c>
      <c r="CW4213" s="41">
        <v>0.11332468572476186</v>
      </c>
      <c r="CX4213" s="41" t="e">
        <v>#N/A</v>
      </c>
      <c r="CY4213" s="41" t="e">
        <v>#N/A</v>
      </c>
      <c r="CZ4213" s="47" t="e">
        <v>#N/A</v>
      </c>
      <c r="DA4213">
        <v>0.11332468572476186</v>
      </c>
      <c r="DB4213" t="str">
        <v/>
      </c>
    </row>
    <row r="4214" spans="83:106" x14ac:dyDescent="0.2">
      <c r="CE4214"/>
      <c r="CF4214"/>
      <c r="CG4214"/>
      <c r="CH4214"/>
      <c r="CI4214"/>
      <c r="CU4214" s="21">
        <v>4209</v>
      </c>
      <c r="CV4214" s="41">
        <v>4</v>
      </c>
      <c r="CW4214" s="41">
        <v>0.11332468572476186</v>
      </c>
      <c r="CX4214" s="41" t="e">
        <v>#N/A</v>
      </c>
      <c r="CY4214" s="41" t="e">
        <v>#N/A</v>
      </c>
      <c r="CZ4214" s="47" t="e">
        <v>#N/A</v>
      </c>
      <c r="DA4214">
        <v>0.11332468572476186</v>
      </c>
      <c r="DB4214" t="str">
        <v/>
      </c>
    </row>
    <row r="4215" spans="83:106" x14ac:dyDescent="0.2">
      <c r="CE4215"/>
      <c r="CF4215"/>
      <c r="CG4215"/>
      <c r="CH4215"/>
      <c r="CI4215"/>
      <c r="CU4215" s="21">
        <v>4210</v>
      </c>
      <c r="CV4215" s="41">
        <v>4</v>
      </c>
      <c r="CW4215" s="41">
        <v>0.11332468572476186</v>
      </c>
      <c r="CX4215" s="41" t="e">
        <v>#N/A</v>
      </c>
      <c r="CY4215" s="41" t="e">
        <v>#N/A</v>
      </c>
      <c r="CZ4215" s="47" t="e">
        <v>#N/A</v>
      </c>
      <c r="DA4215">
        <v>0.11332468572476186</v>
      </c>
      <c r="DB4215" t="str">
        <v/>
      </c>
    </row>
    <row r="4216" spans="83:106" x14ac:dyDescent="0.2">
      <c r="CE4216"/>
      <c r="CF4216"/>
      <c r="CG4216"/>
      <c r="CH4216"/>
      <c r="CI4216"/>
      <c r="CU4216" s="21">
        <v>4211</v>
      </c>
      <c r="CV4216" s="41">
        <v>4</v>
      </c>
      <c r="CW4216" s="41">
        <v>0.11332468572476186</v>
      </c>
      <c r="CX4216" s="41" t="e">
        <v>#N/A</v>
      </c>
      <c r="CY4216" s="41" t="e">
        <v>#N/A</v>
      </c>
      <c r="CZ4216" s="47" t="e">
        <v>#N/A</v>
      </c>
      <c r="DA4216">
        <v>0.11332468572476186</v>
      </c>
      <c r="DB4216" t="str">
        <v/>
      </c>
    </row>
    <row r="4217" spans="83:106" x14ac:dyDescent="0.2">
      <c r="CE4217"/>
      <c r="CF4217"/>
      <c r="CG4217"/>
      <c r="CH4217"/>
      <c r="CI4217"/>
      <c r="CU4217" s="21">
        <v>4212</v>
      </c>
      <c r="CV4217" s="41">
        <v>4</v>
      </c>
      <c r="CW4217" s="41">
        <v>0.11332468572476186</v>
      </c>
      <c r="CX4217" s="41" t="e">
        <v>#N/A</v>
      </c>
      <c r="CY4217" s="41" t="e">
        <v>#N/A</v>
      </c>
      <c r="CZ4217" s="47" t="e">
        <v>#N/A</v>
      </c>
      <c r="DA4217">
        <v>0.11332468572476186</v>
      </c>
      <c r="DB4217" t="str">
        <v/>
      </c>
    </row>
    <row r="4218" spans="83:106" x14ac:dyDescent="0.2">
      <c r="CE4218"/>
      <c r="CF4218"/>
      <c r="CG4218"/>
      <c r="CH4218"/>
      <c r="CI4218"/>
      <c r="CU4218" s="21">
        <v>4213</v>
      </c>
      <c r="CV4218" s="41">
        <v>4</v>
      </c>
      <c r="CW4218" s="41">
        <v>0.11332468572476186</v>
      </c>
      <c r="CX4218" s="41" t="e">
        <v>#N/A</v>
      </c>
      <c r="CY4218" s="41" t="e">
        <v>#N/A</v>
      </c>
      <c r="CZ4218" s="47" t="e">
        <v>#N/A</v>
      </c>
      <c r="DA4218">
        <v>0.11332468572476186</v>
      </c>
      <c r="DB4218" t="str">
        <v/>
      </c>
    </row>
    <row r="4219" spans="83:106" x14ac:dyDescent="0.2">
      <c r="CE4219"/>
      <c r="CF4219"/>
      <c r="CG4219"/>
      <c r="CH4219"/>
      <c r="CI4219"/>
      <c r="CU4219" s="21">
        <v>4214</v>
      </c>
      <c r="CV4219" s="41">
        <v>4</v>
      </c>
      <c r="CW4219" s="41">
        <v>0.11332468572476186</v>
      </c>
      <c r="CX4219" s="41" t="e">
        <v>#N/A</v>
      </c>
      <c r="CY4219" s="41" t="e">
        <v>#N/A</v>
      </c>
      <c r="CZ4219" s="47" t="e">
        <v>#N/A</v>
      </c>
      <c r="DA4219">
        <v>0.11332468572476186</v>
      </c>
      <c r="DB4219" t="str">
        <v/>
      </c>
    </row>
    <row r="4220" spans="83:106" x14ac:dyDescent="0.2">
      <c r="CE4220"/>
      <c r="CF4220"/>
      <c r="CG4220"/>
      <c r="CH4220"/>
      <c r="CI4220"/>
      <c r="CU4220" s="21">
        <v>4215</v>
      </c>
      <c r="CV4220" s="41">
        <v>4</v>
      </c>
      <c r="CW4220" s="41">
        <v>0.11332468572476186</v>
      </c>
      <c r="CX4220" s="41" t="e">
        <v>#N/A</v>
      </c>
      <c r="CY4220" s="41" t="e">
        <v>#N/A</v>
      </c>
      <c r="CZ4220" s="47" t="e">
        <v>#N/A</v>
      </c>
      <c r="DA4220">
        <v>0.11332468572476186</v>
      </c>
      <c r="DB4220" t="str">
        <v/>
      </c>
    </row>
    <row r="4221" spans="83:106" x14ac:dyDescent="0.2">
      <c r="CE4221"/>
      <c r="CF4221"/>
      <c r="CG4221"/>
      <c r="CH4221"/>
      <c r="CI4221"/>
      <c r="CU4221" s="21">
        <v>4216</v>
      </c>
      <c r="CV4221" s="41">
        <v>4</v>
      </c>
      <c r="CW4221" s="41">
        <v>0.11332468572476186</v>
      </c>
      <c r="CX4221" s="41" t="e">
        <v>#N/A</v>
      </c>
      <c r="CY4221" s="41" t="e">
        <v>#N/A</v>
      </c>
      <c r="CZ4221" s="47" t="e">
        <v>#N/A</v>
      </c>
      <c r="DA4221">
        <v>0.11332468572476186</v>
      </c>
      <c r="DB4221" t="str">
        <v/>
      </c>
    </row>
    <row r="4222" spans="83:106" x14ac:dyDescent="0.2">
      <c r="CE4222"/>
      <c r="CF4222"/>
      <c r="CG4222"/>
      <c r="CH4222"/>
      <c r="CI4222"/>
      <c r="CU4222" s="21">
        <v>4217</v>
      </c>
      <c r="CV4222" s="41">
        <v>4</v>
      </c>
      <c r="CW4222" s="41">
        <v>0.11332468572476186</v>
      </c>
      <c r="CX4222" s="41" t="e">
        <v>#N/A</v>
      </c>
      <c r="CY4222" s="41" t="e">
        <v>#N/A</v>
      </c>
      <c r="CZ4222" s="47" t="e">
        <v>#N/A</v>
      </c>
      <c r="DA4222">
        <v>0.11332468572476186</v>
      </c>
      <c r="DB4222" t="str">
        <v/>
      </c>
    </row>
    <row r="4223" spans="83:106" x14ac:dyDescent="0.2">
      <c r="CE4223"/>
      <c r="CF4223"/>
      <c r="CG4223"/>
      <c r="CH4223"/>
      <c r="CI4223"/>
      <c r="CU4223" s="21">
        <v>4218</v>
      </c>
      <c r="CV4223" s="41">
        <v>4</v>
      </c>
      <c r="CW4223" s="41">
        <v>0.11332468572476186</v>
      </c>
      <c r="CX4223" s="41" t="e">
        <v>#N/A</v>
      </c>
      <c r="CY4223" s="41" t="e">
        <v>#N/A</v>
      </c>
      <c r="CZ4223" s="47" t="e">
        <v>#N/A</v>
      </c>
      <c r="DA4223">
        <v>0.11332468572476186</v>
      </c>
      <c r="DB4223" t="str">
        <v/>
      </c>
    </row>
    <row r="4224" spans="83:106" x14ac:dyDescent="0.2">
      <c r="CE4224"/>
      <c r="CF4224"/>
      <c r="CG4224"/>
      <c r="CH4224"/>
      <c r="CI4224"/>
      <c r="CU4224" s="21">
        <v>4219</v>
      </c>
      <c r="CV4224" s="41">
        <v>4</v>
      </c>
      <c r="CW4224" s="41">
        <v>0.11332468572476186</v>
      </c>
      <c r="CX4224" s="41" t="e">
        <v>#N/A</v>
      </c>
      <c r="CY4224" s="41" t="e">
        <v>#N/A</v>
      </c>
      <c r="CZ4224" s="47" t="e">
        <v>#N/A</v>
      </c>
      <c r="DA4224">
        <v>0.11332468572476186</v>
      </c>
      <c r="DB4224" t="str">
        <v/>
      </c>
    </row>
    <row r="4225" spans="83:106" x14ac:dyDescent="0.2">
      <c r="CE4225"/>
      <c r="CF4225"/>
      <c r="CG4225"/>
      <c r="CH4225"/>
      <c r="CI4225"/>
      <c r="CU4225" s="21">
        <v>4220</v>
      </c>
      <c r="CV4225" s="41">
        <v>4</v>
      </c>
      <c r="CW4225" s="41">
        <v>0.11332468572476186</v>
      </c>
      <c r="CX4225" s="41" t="e">
        <v>#N/A</v>
      </c>
      <c r="CY4225" s="41" t="e">
        <v>#N/A</v>
      </c>
      <c r="CZ4225" s="47" t="e">
        <v>#N/A</v>
      </c>
      <c r="DA4225">
        <v>0.11332468572476186</v>
      </c>
      <c r="DB4225" t="str">
        <v/>
      </c>
    </row>
    <row r="4226" spans="83:106" x14ac:dyDescent="0.2">
      <c r="CE4226"/>
      <c r="CF4226"/>
      <c r="CG4226"/>
      <c r="CH4226"/>
      <c r="CI4226"/>
      <c r="CU4226" s="21">
        <v>4221</v>
      </c>
      <c r="CV4226" s="41">
        <v>4</v>
      </c>
      <c r="CW4226" s="41">
        <v>0.11332468572476186</v>
      </c>
      <c r="CX4226" s="41" t="e">
        <v>#N/A</v>
      </c>
      <c r="CY4226" s="41" t="e">
        <v>#N/A</v>
      </c>
      <c r="CZ4226" s="47" t="e">
        <v>#N/A</v>
      </c>
      <c r="DA4226">
        <v>0.11332468572476186</v>
      </c>
      <c r="DB4226" t="str">
        <v/>
      </c>
    </row>
    <row r="4227" spans="83:106" x14ac:dyDescent="0.2">
      <c r="CE4227"/>
      <c r="CF4227"/>
      <c r="CG4227"/>
      <c r="CH4227"/>
      <c r="CI4227"/>
      <c r="CU4227" s="21">
        <v>4222</v>
      </c>
      <c r="CV4227" s="41">
        <v>4</v>
      </c>
      <c r="CW4227" s="41">
        <v>0.11332468572476186</v>
      </c>
      <c r="CX4227" s="41" t="e">
        <v>#N/A</v>
      </c>
      <c r="CY4227" s="41" t="e">
        <v>#N/A</v>
      </c>
      <c r="CZ4227" s="47" t="e">
        <v>#N/A</v>
      </c>
      <c r="DA4227">
        <v>0.11332468572476186</v>
      </c>
      <c r="DB4227" t="str">
        <v/>
      </c>
    </row>
    <row r="4228" spans="83:106" x14ac:dyDescent="0.2">
      <c r="CE4228"/>
      <c r="CF4228"/>
      <c r="CG4228"/>
      <c r="CH4228"/>
      <c r="CI4228"/>
      <c r="CU4228" s="21">
        <v>4223</v>
      </c>
      <c r="CV4228" s="41">
        <v>4</v>
      </c>
      <c r="CW4228" s="41">
        <v>0.11332468572476186</v>
      </c>
      <c r="CX4228" s="41" t="e">
        <v>#N/A</v>
      </c>
      <c r="CY4228" s="41" t="e">
        <v>#N/A</v>
      </c>
      <c r="CZ4228" s="47" t="e">
        <v>#N/A</v>
      </c>
      <c r="DA4228">
        <v>0.11332468572476186</v>
      </c>
      <c r="DB4228" t="str">
        <v/>
      </c>
    </row>
    <row r="4229" spans="83:106" x14ac:dyDescent="0.2">
      <c r="CE4229"/>
      <c r="CF4229"/>
      <c r="CG4229"/>
      <c r="CH4229"/>
      <c r="CI4229"/>
      <c r="CU4229" s="21">
        <v>4224</v>
      </c>
      <c r="CV4229" s="41">
        <v>4</v>
      </c>
      <c r="CW4229" s="41">
        <v>0.11332468572476186</v>
      </c>
      <c r="CX4229" s="41" t="e">
        <v>#N/A</v>
      </c>
      <c r="CY4229" s="41" t="e">
        <v>#N/A</v>
      </c>
      <c r="CZ4229" s="47" t="e">
        <v>#N/A</v>
      </c>
      <c r="DA4229">
        <v>0.11332468572476186</v>
      </c>
      <c r="DB4229" t="str">
        <v/>
      </c>
    </row>
    <row r="4230" spans="83:106" x14ac:dyDescent="0.2">
      <c r="CE4230"/>
      <c r="CF4230"/>
      <c r="CG4230"/>
      <c r="CH4230"/>
      <c r="CI4230"/>
      <c r="CU4230" s="21">
        <v>4225</v>
      </c>
      <c r="CV4230" s="41">
        <v>4</v>
      </c>
      <c r="CW4230" s="41">
        <v>0.11332468572476186</v>
      </c>
      <c r="CX4230" s="41" t="e">
        <v>#N/A</v>
      </c>
      <c r="CY4230" s="41" t="e">
        <v>#N/A</v>
      </c>
      <c r="CZ4230" s="47" t="e">
        <v>#N/A</v>
      </c>
      <c r="DA4230">
        <v>0.11332468572476186</v>
      </c>
      <c r="DB4230" t="str">
        <v/>
      </c>
    </row>
    <row r="4231" spans="83:106" x14ac:dyDescent="0.2">
      <c r="CE4231"/>
      <c r="CF4231"/>
      <c r="CG4231"/>
      <c r="CH4231"/>
      <c r="CI4231"/>
      <c r="CU4231" s="21">
        <v>4226</v>
      </c>
      <c r="CV4231" s="41">
        <v>4</v>
      </c>
      <c r="CW4231" s="41">
        <v>0.11332468572476186</v>
      </c>
      <c r="CX4231" s="41" t="e">
        <v>#N/A</v>
      </c>
      <c r="CY4231" s="41" t="e">
        <v>#N/A</v>
      </c>
      <c r="CZ4231" s="47" t="e">
        <v>#N/A</v>
      </c>
      <c r="DA4231">
        <v>0.11332468572476186</v>
      </c>
      <c r="DB4231" t="str">
        <v/>
      </c>
    </row>
    <row r="4232" spans="83:106" x14ac:dyDescent="0.2">
      <c r="CE4232"/>
      <c r="CF4232"/>
      <c r="CG4232"/>
      <c r="CH4232"/>
      <c r="CI4232"/>
      <c r="CU4232" s="21">
        <v>4227</v>
      </c>
      <c r="CV4232" s="41">
        <v>4</v>
      </c>
      <c r="CW4232" s="41">
        <v>0.11332468572476186</v>
      </c>
      <c r="CX4232" s="41" t="e">
        <v>#N/A</v>
      </c>
      <c r="CY4232" s="41" t="e">
        <v>#N/A</v>
      </c>
      <c r="CZ4232" s="47" t="e">
        <v>#N/A</v>
      </c>
      <c r="DA4232">
        <v>0.11332468572476186</v>
      </c>
      <c r="DB4232" t="str">
        <v/>
      </c>
    </row>
    <row r="4233" spans="83:106" x14ac:dyDescent="0.2">
      <c r="CE4233"/>
      <c r="CF4233"/>
      <c r="CG4233"/>
      <c r="CH4233"/>
      <c r="CI4233"/>
      <c r="CU4233" s="21">
        <v>4228</v>
      </c>
      <c r="CV4233" s="41">
        <v>4</v>
      </c>
      <c r="CW4233" s="41">
        <v>0.11332468572476186</v>
      </c>
      <c r="CX4233" s="41" t="e">
        <v>#N/A</v>
      </c>
      <c r="CY4233" s="41" t="e">
        <v>#N/A</v>
      </c>
      <c r="CZ4233" s="47" t="e">
        <v>#N/A</v>
      </c>
      <c r="DA4233">
        <v>0.11332468572476186</v>
      </c>
      <c r="DB4233" t="str">
        <v/>
      </c>
    </row>
    <row r="4234" spans="83:106" x14ac:dyDescent="0.2">
      <c r="CE4234"/>
      <c r="CF4234"/>
      <c r="CG4234"/>
      <c r="CH4234"/>
      <c r="CI4234"/>
      <c r="CU4234" s="21">
        <v>4229</v>
      </c>
      <c r="CV4234" s="41">
        <v>4</v>
      </c>
      <c r="CW4234" s="41">
        <v>0.11332468572476186</v>
      </c>
      <c r="CX4234" s="41" t="e">
        <v>#N/A</v>
      </c>
      <c r="CY4234" s="41" t="e">
        <v>#N/A</v>
      </c>
      <c r="CZ4234" s="47" t="e">
        <v>#N/A</v>
      </c>
      <c r="DA4234">
        <v>0.11332468572476186</v>
      </c>
      <c r="DB4234" t="str">
        <v/>
      </c>
    </row>
    <row r="4235" spans="83:106" x14ac:dyDescent="0.2">
      <c r="CE4235"/>
      <c r="CF4235"/>
      <c r="CG4235"/>
      <c r="CH4235"/>
      <c r="CI4235"/>
      <c r="CU4235" s="21">
        <v>4230</v>
      </c>
      <c r="CV4235" s="41">
        <v>4</v>
      </c>
      <c r="CW4235" s="41">
        <v>0.11332468572476186</v>
      </c>
      <c r="CX4235" s="41" t="e">
        <v>#N/A</v>
      </c>
      <c r="CY4235" s="41" t="e">
        <v>#N/A</v>
      </c>
      <c r="CZ4235" s="47" t="e">
        <v>#N/A</v>
      </c>
      <c r="DA4235">
        <v>0.11332468572476186</v>
      </c>
      <c r="DB4235" t="str">
        <v/>
      </c>
    </row>
    <row r="4236" spans="83:106" x14ac:dyDescent="0.2">
      <c r="CE4236"/>
      <c r="CF4236"/>
      <c r="CG4236"/>
      <c r="CH4236"/>
      <c r="CI4236"/>
      <c r="CU4236" s="21">
        <v>4231</v>
      </c>
      <c r="CV4236" s="41">
        <v>4</v>
      </c>
      <c r="CW4236" s="41">
        <v>0.11332468572476186</v>
      </c>
      <c r="CX4236" s="41" t="e">
        <v>#N/A</v>
      </c>
      <c r="CY4236" s="41" t="e">
        <v>#N/A</v>
      </c>
      <c r="CZ4236" s="47" t="e">
        <v>#N/A</v>
      </c>
      <c r="DA4236">
        <v>0.11332468572476186</v>
      </c>
      <c r="DB4236" t="str">
        <v/>
      </c>
    </row>
    <row r="4237" spans="83:106" x14ac:dyDescent="0.2">
      <c r="CE4237"/>
      <c r="CF4237"/>
      <c r="CG4237"/>
      <c r="CH4237"/>
      <c r="CI4237"/>
      <c r="CU4237" s="21">
        <v>4232</v>
      </c>
      <c r="CV4237" s="41">
        <v>4</v>
      </c>
      <c r="CW4237" s="41">
        <v>0.11332468572476186</v>
      </c>
      <c r="CX4237" s="41" t="e">
        <v>#N/A</v>
      </c>
      <c r="CY4237" s="41" t="e">
        <v>#N/A</v>
      </c>
      <c r="CZ4237" s="47" t="e">
        <v>#N/A</v>
      </c>
      <c r="DA4237">
        <v>0.11332468572476186</v>
      </c>
      <c r="DB4237" t="str">
        <v/>
      </c>
    </row>
    <row r="4238" spans="83:106" x14ac:dyDescent="0.2">
      <c r="CE4238"/>
      <c r="CF4238"/>
      <c r="CG4238"/>
      <c r="CH4238"/>
      <c r="CI4238"/>
      <c r="CU4238" s="21">
        <v>4233</v>
      </c>
      <c r="CV4238" s="41">
        <v>4</v>
      </c>
      <c r="CW4238" s="41">
        <v>0.11332468572476186</v>
      </c>
      <c r="CX4238" s="41" t="e">
        <v>#N/A</v>
      </c>
      <c r="CY4238" s="41" t="e">
        <v>#N/A</v>
      </c>
      <c r="CZ4238" s="47" t="e">
        <v>#N/A</v>
      </c>
      <c r="DA4238">
        <v>0.11332468572476186</v>
      </c>
      <c r="DB4238" t="str">
        <v/>
      </c>
    </row>
    <row r="4239" spans="83:106" x14ac:dyDescent="0.2">
      <c r="CE4239"/>
      <c r="CF4239"/>
      <c r="CG4239"/>
      <c r="CH4239"/>
      <c r="CI4239"/>
      <c r="CU4239" s="21">
        <v>4234</v>
      </c>
      <c r="CV4239" s="41">
        <v>4</v>
      </c>
      <c r="CW4239" s="41">
        <v>0.11332468572476186</v>
      </c>
      <c r="CX4239" s="41" t="e">
        <v>#N/A</v>
      </c>
      <c r="CY4239" s="41" t="e">
        <v>#N/A</v>
      </c>
      <c r="CZ4239" s="47" t="e">
        <v>#N/A</v>
      </c>
      <c r="DA4239">
        <v>0.11332468572476186</v>
      </c>
      <c r="DB4239" t="str">
        <v/>
      </c>
    </row>
    <row r="4240" spans="83:106" x14ac:dyDescent="0.2">
      <c r="CE4240"/>
      <c r="CF4240"/>
      <c r="CG4240"/>
      <c r="CH4240"/>
      <c r="CI4240"/>
      <c r="CU4240" s="21">
        <v>4235</v>
      </c>
      <c r="CV4240" s="41">
        <v>4</v>
      </c>
      <c r="CW4240" s="41">
        <v>0.11332468572476186</v>
      </c>
      <c r="CX4240" s="41" t="e">
        <v>#N/A</v>
      </c>
      <c r="CY4240" s="41" t="e">
        <v>#N/A</v>
      </c>
      <c r="CZ4240" s="47" t="e">
        <v>#N/A</v>
      </c>
      <c r="DA4240">
        <v>0.11332468572476186</v>
      </c>
      <c r="DB4240" t="str">
        <v/>
      </c>
    </row>
    <row r="4241" spans="83:106" x14ac:dyDescent="0.2">
      <c r="CE4241"/>
      <c r="CF4241"/>
      <c r="CG4241"/>
      <c r="CH4241"/>
      <c r="CI4241"/>
      <c r="CU4241" s="21">
        <v>4236</v>
      </c>
      <c r="CV4241" s="41">
        <v>4</v>
      </c>
      <c r="CW4241" s="41">
        <v>0.11332468572476186</v>
      </c>
      <c r="CX4241" s="41" t="e">
        <v>#N/A</v>
      </c>
      <c r="CY4241" s="41" t="e">
        <v>#N/A</v>
      </c>
      <c r="CZ4241" s="47" t="e">
        <v>#N/A</v>
      </c>
      <c r="DA4241">
        <v>0.11332468572476186</v>
      </c>
      <c r="DB4241" t="str">
        <v/>
      </c>
    </row>
    <row r="4242" spans="83:106" x14ac:dyDescent="0.2">
      <c r="CE4242"/>
      <c r="CF4242"/>
      <c r="CG4242"/>
      <c r="CH4242"/>
      <c r="CI4242"/>
      <c r="CU4242" s="21">
        <v>4237</v>
      </c>
      <c r="CV4242" s="41">
        <v>4</v>
      </c>
      <c r="CW4242" s="41">
        <v>0.11332468572476186</v>
      </c>
      <c r="CX4242" s="41" t="e">
        <v>#N/A</v>
      </c>
      <c r="CY4242" s="41" t="e">
        <v>#N/A</v>
      </c>
      <c r="CZ4242" s="47" t="e">
        <v>#N/A</v>
      </c>
      <c r="DA4242">
        <v>0.11332468572476186</v>
      </c>
      <c r="DB4242" t="str">
        <v/>
      </c>
    </row>
    <row r="4243" spans="83:106" x14ac:dyDescent="0.2">
      <c r="CE4243"/>
      <c r="CF4243"/>
      <c r="CG4243"/>
      <c r="CH4243"/>
      <c r="CI4243"/>
      <c r="CU4243" s="21">
        <v>4238</v>
      </c>
      <c r="CV4243" s="41">
        <v>4</v>
      </c>
      <c r="CW4243" s="41">
        <v>0.11332468572476186</v>
      </c>
      <c r="CX4243" s="41" t="e">
        <v>#N/A</v>
      </c>
      <c r="CY4243" s="41" t="e">
        <v>#N/A</v>
      </c>
      <c r="CZ4243" s="47" t="e">
        <v>#N/A</v>
      </c>
      <c r="DA4243">
        <v>0.11332468572476186</v>
      </c>
      <c r="DB4243" t="str">
        <v/>
      </c>
    </row>
    <row r="4244" spans="83:106" x14ac:dyDescent="0.2">
      <c r="CE4244"/>
      <c r="CF4244"/>
      <c r="CG4244"/>
      <c r="CH4244"/>
      <c r="CI4244"/>
      <c r="CU4244" s="21">
        <v>4239</v>
      </c>
      <c r="CV4244" s="41">
        <v>4</v>
      </c>
      <c r="CW4244" s="41">
        <v>0.11332468572476186</v>
      </c>
      <c r="CX4244" s="41" t="e">
        <v>#N/A</v>
      </c>
      <c r="CY4244" s="41" t="e">
        <v>#N/A</v>
      </c>
      <c r="CZ4244" s="47" t="e">
        <v>#N/A</v>
      </c>
      <c r="DA4244">
        <v>0.11332468572476186</v>
      </c>
      <c r="DB4244" t="str">
        <v/>
      </c>
    </row>
    <row r="4245" spans="83:106" x14ac:dyDescent="0.2">
      <c r="CE4245"/>
      <c r="CF4245"/>
      <c r="CG4245"/>
      <c r="CH4245"/>
      <c r="CI4245"/>
      <c r="CU4245" s="21">
        <v>4240</v>
      </c>
      <c r="CV4245" s="41">
        <v>4</v>
      </c>
      <c r="CW4245" s="41">
        <v>0.11332468572476186</v>
      </c>
      <c r="CX4245" s="41" t="e">
        <v>#N/A</v>
      </c>
      <c r="CY4245" s="41" t="e">
        <v>#N/A</v>
      </c>
      <c r="CZ4245" s="47" t="e">
        <v>#N/A</v>
      </c>
      <c r="DA4245">
        <v>0.11332468572476186</v>
      </c>
      <c r="DB4245" t="str">
        <v/>
      </c>
    </row>
    <row r="4246" spans="83:106" x14ac:dyDescent="0.2">
      <c r="CE4246"/>
      <c r="CF4246"/>
      <c r="CG4246"/>
      <c r="CH4246"/>
      <c r="CI4246"/>
      <c r="CU4246" s="21">
        <v>4241</v>
      </c>
      <c r="CV4246" s="41">
        <v>4</v>
      </c>
      <c r="CW4246" s="41">
        <v>0.11332468572476186</v>
      </c>
      <c r="CX4246" s="41" t="e">
        <v>#N/A</v>
      </c>
      <c r="CY4246" s="41" t="e">
        <v>#N/A</v>
      </c>
      <c r="CZ4246" s="47" t="e">
        <v>#N/A</v>
      </c>
      <c r="DA4246">
        <v>0.11332468572476186</v>
      </c>
      <c r="DB4246" t="str">
        <v/>
      </c>
    </row>
    <row r="4247" spans="83:106" x14ac:dyDescent="0.2">
      <c r="CE4247"/>
      <c r="CF4247"/>
      <c r="CG4247"/>
      <c r="CH4247"/>
      <c r="CI4247"/>
      <c r="CU4247" s="21">
        <v>4242</v>
      </c>
      <c r="CV4247" s="41">
        <v>4</v>
      </c>
      <c r="CW4247" s="41">
        <v>0.11332468572476186</v>
      </c>
      <c r="CX4247" s="41" t="e">
        <v>#N/A</v>
      </c>
      <c r="CY4247" s="41" t="e">
        <v>#N/A</v>
      </c>
      <c r="CZ4247" s="47" t="e">
        <v>#N/A</v>
      </c>
      <c r="DA4247">
        <v>0.11332468572476186</v>
      </c>
      <c r="DB4247" t="str">
        <v/>
      </c>
    </row>
    <row r="4248" spans="83:106" x14ac:dyDescent="0.2">
      <c r="CE4248"/>
      <c r="CF4248"/>
      <c r="CG4248"/>
      <c r="CH4248"/>
      <c r="CI4248"/>
      <c r="CU4248" s="21">
        <v>4243</v>
      </c>
      <c r="CV4248" s="41">
        <v>4</v>
      </c>
      <c r="CW4248" s="41">
        <v>0.11332468572476186</v>
      </c>
      <c r="CX4248" s="41" t="e">
        <v>#N/A</v>
      </c>
      <c r="CY4248" s="41" t="e">
        <v>#N/A</v>
      </c>
      <c r="CZ4248" s="47" t="e">
        <v>#N/A</v>
      </c>
      <c r="DA4248">
        <v>0.11332468572476186</v>
      </c>
      <c r="DB4248" t="str">
        <v/>
      </c>
    </row>
    <row r="4249" spans="83:106" x14ac:dyDescent="0.2">
      <c r="CE4249"/>
      <c r="CF4249"/>
      <c r="CG4249"/>
      <c r="CH4249"/>
      <c r="CI4249"/>
      <c r="CU4249" s="21">
        <v>4244</v>
      </c>
      <c r="CV4249" s="41">
        <v>4</v>
      </c>
      <c r="CW4249" s="41">
        <v>0.11332468572476186</v>
      </c>
      <c r="CX4249" s="41" t="e">
        <v>#N/A</v>
      </c>
      <c r="CY4249" s="41" t="e">
        <v>#N/A</v>
      </c>
      <c r="CZ4249" s="47" t="e">
        <v>#N/A</v>
      </c>
      <c r="DA4249">
        <v>0.11332468572476186</v>
      </c>
      <c r="DB4249" t="str">
        <v/>
      </c>
    </row>
    <row r="4250" spans="83:106" x14ac:dyDescent="0.2">
      <c r="CE4250"/>
      <c r="CF4250"/>
      <c r="CG4250"/>
      <c r="CH4250"/>
      <c r="CI4250"/>
      <c r="CU4250" s="21">
        <v>4245</v>
      </c>
      <c r="CV4250" s="41">
        <v>4</v>
      </c>
      <c r="CW4250" s="41">
        <v>0.11332468572476186</v>
      </c>
      <c r="CX4250" s="41" t="e">
        <v>#N/A</v>
      </c>
      <c r="CY4250" s="41" t="e">
        <v>#N/A</v>
      </c>
      <c r="CZ4250" s="47" t="e">
        <v>#N/A</v>
      </c>
      <c r="DA4250">
        <v>0.11332468572476186</v>
      </c>
      <c r="DB4250" t="str">
        <v/>
      </c>
    </row>
    <row r="4251" spans="83:106" x14ac:dyDescent="0.2">
      <c r="CE4251"/>
      <c r="CF4251"/>
      <c r="CG4251"/>
      <c r="CH4251"/>
      <c r="CI4251"/>
      <c r="CU4251" s="21">
        <v>4246</v>
      </c>
      <c r="CV4251" s="41">
        <v>4</v>
      </c>
      <c r="CW4251" s="41">
        <v>0.11332468572476186</v>
      </c>
      <c r="CX4251" s="41" t="e">
        <v>#N/A</v>
      </c>
      <c r="CY4251" s="41" t="e">
        <v>#N/A</v>
      </c>
      <c r="CZ4251" s="47" t="e">
        <v>#N/A</v>
      </c>
      <c r="DA4251">
        <v>0.11332468572476186</v>
      </c>
      <c r="DB4251" t="str">
        <v/>
      </c>
    </row>
    <row r="4252" spans="83:106" x14ac:dyDescent="0.2">
      <c r="CE4252"/>
      <c r="CF4252"/>
      <c r="CG4252"/>
      <c r="CH4252"/>
      <c r="CI4252"/>
      <c r="CU4252" s="21">
        <v>4247</v>
      </c>
      <c r="CV4252" s="41">
        <v>4</v>
      </c>
      <c r="CW4252" s="41">
        <v>0.11332468572476186</v>
      </c>
      <c r="CX4252" s="41" t="e">
        <v>#N/A</v>
      </c>
      <c r="CY4252" s="41" t="e">
        <v>#N/A</v>
      </c>
      <c r="CZ4252" s="47" t="e">
        <v>#N/A</v>
      </c>
      <c r="DA4252">
        <v>0.11332468572476186</v>
      </c>
      <c r="DB4252" t="str">
        <v/>
      </c>
    </row>
    <row r="4253" spans="83:106" x14ac:dyDescent="0.2">
      <c r="CE4253"/>
      <c r="CF4253"/>
      <c r="CG4253"/>
      <c r="CH4253"/>
      <c r="CI4253"/>
      <c r="CU4253" s="21">
        <v>4248</v>
      </c>
      <c r="CV4253" s="41">
        <v>4</v>
      </c>
      <c r="CW4253" s="41">
        <v>0.11332468572476186</v>
      </c>
      <c r="CX4253" s="41" t="e">
        <v>#N/A</v>
      </c>
      <c r="CY4253" s="41" t="e">
        <v>#N/A</v>
      </c>
      <c r="CZ4253" s="47" t="e">
        <v>#N/A</v>
      </c>
      <c r="DA4253">
        <v>0.11332468572476186</v>
      </c>
      <c r="DB4253" t="str">
        <v/>
      </c>
    </row>
    <row r="4254" spans="83:106" x14ac:dyDescent="0.2">
      <c r="CE4254"/>
      <c r="CF4254"/>
      <c r="CG4254"/>
      <c r="CH4254"/>
      <c r="CI4254"/>
      <c r="CU4254" s="21">
        <v>4249</v>
      </c>
      <c r="CV4254" s="41">
        <v>4</v>
      </c>
      <c r="CW4254" s="41">
        <v>0.11332468572476186</v>
      </c>
      <c r="CX4254" s="41" t="e">
        <v>#N/A</v>
      </c>
      <c r="CY4254" s="41" t="e">
        <v>#N/A</v>
      </c>
      <c r="CZ4254" s="47" t="e">
        <v>#N/A</v>
      </c>
      <c r="DA4254">
        <v>0.11332468572476186</v>
      </c>
      <c r="DB4254" t="str">
        <v/>
      </c>
    </row>
    <row r="4255" spans="83:106" x14ac:dyDescent="0.2">
      <c r="CE4255"/>
      <c r="CF4255"/>
      <c r="CG4255"/>
      <c r="CH4255"/>
      <c r="CI4255"/>
      <c r="CU4255" s="21">
        <v>4250</v>
      </c>
      <c r="CV4255" s="41">
        <v>4</v>
      </c>
      <c r="CW4255" s="41">
        <v>0.11332468572476186</v>
      </c>
      <c r="CX4255" s="41" t="e">
        <v>#N/A</v>
      </c>
      <c r="CY4255" s="41" t="e">
        <v>#N/A</v>
      </c>
      <c r="CZ4255" s="47" t="e">
        <v>#N/A</v>
      </c>
      <c r="DA4255">
        <v>0.11332468572476186</v>
      </c>
      <c r="DB4255" t="str">
        <v/>
      </c>
    </row>
    <row r="4256" spans="83:106" x14ac:dyDescent="0.2">
      <c r="CE4256"/>
      <c r="CF4256"/>
      <c r="CG4256"/>
      <c r="CH4256"/>
      <c r="CI4256"/>
      <c r="CU4256" s="21">
        <v>4251</v>
      </c>
      <c r="CV4256" s="41">
        <v>4</v>
      </c>
      <c r="CW4256" s="41">
        <v>0.11332468572476186</v>
      </c>
      <c r="CX4256" s="41" t="e">
        <v>#N/A</v>
      </c>
      <c r="CY4256" s="41" t="e">
        <v>#N/A</v>
      </c>
      <c r="CZ4256" s="47" t="e">
        <v>#N/A</v>
      </c>
      <c r="DA4256">
        <v>0.11332468572476186</v>
      </c>
      <c r="DB4256" t="str">
        <v/>
      </c>
    </row>
    <row r="4257" spans="83:106" x14ac:dyDescent="0.2">
      <c r="CE4257"/>
      <c r="CF4257"/>
      <c r="CG4257"/>
      <c r="CH4257"/>
      <c r="CI4257"/>
      <c r="CU4257" s="21">
        <v>4252</v>
      </c>
      <c r="CV4257" s="41">
        <v>4</v>
      </c>
      <c r="CW4257" s="41">
        <v>0.11332468572476186</v>
      </c>
      <c r="CX4257" s="41" t="e">
        <v>#N/A</v>
      </c>
      <c r="CY4257" s="41" t="e">
        <v>#N/A</v>
      </c>
      <c r="CZ4257" s="47" t="e">
        <v>#N/A</v>
      </c>
      <c r="DA4257">
        <v>0.11332468572476186</v>
      </c>
      <c r="DB4257" t="str">
        <v/>
      </c>
    </row>
    <row r="4258" spans="83:106" x14ac:dyDescent="0.2">
      <c r="CE4258"/>
      <c r="CF4258"/>
      <c r="CG4258"/>
      <c r="CH4258"/>
      <c r="CI4258"/>
      <c r="CU4258" s="21">
        <v>4253</v>
      </c>
      <c r="CV4258" s="41">
        <v>4</v>
      </c>
      <c r="CW4258" s="41">
        <v>0.11332468572476186</v>
      </c>
      <c r="CX4258" s="41" t="e">
        <v>#N/A</v>
      </c>
      <c r="CY4258" s="41" t="e">
        <v>#N/A</v>
      </c>
      <c r="CZ4258" s="47" t="e">
        <v>#N/A</v>
      </c>
      <c r="DA4258">
        <v>0.11332468572476186</v>
      </c>
      <c r="DB4258" t="str">
        <v/>
      </c>
    </row>
    <row r="4259" spans="83:106" x14ac:dyDescent="0.2">
      <c r="CE4259"/>
      <c r="CF4259"/>
      <c r="CG4259"/>
      <c r="CH4259"/>
      <c r="CI4259"/>
      <c r="CU4259" s="21">
        <v>4254</v>
      </c>
      <c r="CV4259" s="41">
        <v>4</v>
      </c>
      <c r="CW4259" s="41">
        <v>0.11332468572476186</v>
      </c>
      <c r="CX4259" s="41" t="e">
        <v>#N/A</v>
      </c>
      <c r="CY4259" s="41" t="e">
        <v>#N/A</v>
      </c>
      <c r="CZ4259" s="47" t="e">
        <v>#N/A</v>
      </c>
      <c r="DA4259">
        <v>0.11332468572476186</v>
      </c>
      <c r="DB4259" t="str">
        <v/>
      </c>
    </row>
    <row r="4260" spans="83:106" x14ac:dyDescent="0.2">
      <c r="CE4260"/>
      <c r="CF4260"/>
      <c r="CG4260"/>
      <c r="CH4260"/>
      <c r="CI4260"/>
      <c r="CU4260" s="21">
        <v>4255</v>
      </c>
      <c r="CV4260" s="41">
        <v>4</v>
      </c>
      <c r="CW4260" s="41">
        <v>0.11332468572476186</v>
      </c>
      <c r="CX4260" s="41" t="e">
        <v>#N/A</v>
      </c>
      <c r="CY4260" s="41" t="e">
        <v>#N/A</v>
      </c>
      <c r="CZ4260" s="47" t="e">
        <v>#N/A</v>
      </c>
      <c r="DA4260">
        <v>0.11332468572476186</v>
      </c>
      <c r="DB4260" t="str">
        <v/>
      </c>
    </row>
    <row r="4261" spans="83:106" x14ac:dyDescent="0.2">
      <c r="CE4261"/>
      <c r="CF4261"/>
      <c r="CG4261"/>
      <c r="CH4261"/>
      <c r="CI4261"/>
      <c r="CU4261" s="21">
        <v>4256</v>
      </c>
      <c r="CV4261" s="41">
        <v>4</v>
      </c>
      <c r="CW4261" s="41">
        <v>0.11332468572476186</v>
      </c>
      <c r="CX4261" s="41" t="e">
        <v>#N/A</v>
      </c>
      <c r="CY4261" s="41" t="e">
        <v>#N/A</v>
      </c>
      <c r="CZ4261" s="47" t="e">
        <v>#N/A</v>
      </c>
      <c r="DA4261">
        <v>0.11332468572476186</v>
      </c>
      <c r="DB4261" t="str">
        <v/>
      </c>
    </row>
    <row r="4262" spans="83:106" x14ac:dyDescent="0.2">
      <c r="CE4262"/>
      <c r="CF4262"/>
      <c r="CG4262"/>
      <c r="CH4262"/>
      <c r="CI4262"/>
      <c r="CU4262" s="21">
        <v>4257</v>
      </c>
      <c r="CV4262" s="41">
        <v>4</v>
      </c>
      <c r="CW4262" s="41">
        <v>0.11332468572476186</v>
      </c>
      <c r="CX4262" s="41" t="e">
        <v>#N/A</v>
      </c>
      <c r="CY4262" s="41" t="e">
        <v>#N/A</v>
      </c>
      <c r="CZ4262" s="47" t="e">
        <v>#N/A</v>
      </c>
      <c r="DA4262">
        <v>0.11332468572476186</v>
      </c>
      <c r="DB4262" t="str">
        <v/>
      </c>
    </row>
    <row r="4263" spans="83:106" x14ac:dyDescent="0.2">
      <c r="CE4263"/>
      <c r="CF4263"/>
      <c r="CG4263"/>
      <c r="CH4263"/>
      <c r="CI4263"/>
      <c r="CU4263" s="21">
        <v>4258</v>
      </c>
      <c r="CV4263" s="41">
        <v>4</v>
      </c>
      <c r="CW4263" s="41">
        <v>0.11332468572476186</v>
      </c>
      <c r="CX4263" s="41" t="e">
        <v>#N/A</v>
      </c>
      <c r="CY4263" s="41" t="e">
        <v>#N/A</v>
      </c>
      <c r="CZ4263" s="47" t="e">
        <v>#N/A</v>
      </c>
      <c r="DA4263">
        <v>0.11332468572476186</v>
      </c>
      <c r="DB4263" t="str">
        <v/>
      </c>
    </row>
    <row r="4264" spans="83:106" x14ac:dyDescent="0.2">
      <c r="CE4264"/>
      <c r="CF4264"/>
      <c r="CG4264"/>
      <c r="CH4264"/>
      <c r="CI4264"/>
      <c r="CU4264" s="21">
        <v>4259</v>
      </c>
      <c r="CV4264" s="41">
        <v>4</v>
      </c>
      <c r="CW4264" s="41">
        <v>0.11332468572476186</v>
      </c>
      <c r="CX4264" s="41" t="e">
        <v>#N/A</v>
      </c>
      <c r="CY4264" s="41" t="e">
        <v>#N/A</v>
      </c>
      <c r="CZ4264" s="47" t="e">
        <v>#N/A</v>
      </c>
      <c r="DA4264">
        <v>0.11332468572476186</v>
      </c>
      <c r="DB4264" t="str">
        <v/>
      </c>
    </row>
    <row r="4265" spans="83:106" x14ac:dyDescent="0.2">
      <c r="CE4265"/>
      <c r="CF4265"/>
      <c r="CG4265"/>
      <c r="CH4265"/>
      <c r="CI4265"/>
      <c r="CU4265" s="21">
        <v>4260</v>
      </c>
      <c r="CV4265" s="41">
        <v>4</v>
      </c>
      <c r="CW4265" s="41">
        <v>0.11332468572476186</v>
      </c>
      <c r="CX4265" s="41" t="e">
        <v>#N/A</v>
      </c>
      <c r="CY4265" s="41" t="e">
        <v>#N/A</v>
      </c>
      <c r="CZ4265" s="47" t="e">
        <v>#N/A</v>
      </c>
      <c r="DA4265">
        <v>0.11332468572476186</v>
      </c>
      <c r="DB4265" t="str">
        <v/>
      </c>
    </row>
    <row r="4266" spans="83:106" x14ac:dyDescent="0.2">
      <c r="CE4266"/>
      <c r="CF4266"/>
      <c r="CG4266"/>
      <c r="CH4266"/>
      <c r="CI4266"/>
      <c r="CU4266" s="21">
        <v>4261</v>
      </c>
      <c r="CV4266" s="41">
        <v>4</v>
      </c>
      <c r="CW4266" s="41">
        <v>0.11332468572476186</v>
      </c>
      <c r="CX4266" s="41" t="e">
        <v>#N/A</v>
      </c>
      <c r="CY4266" s="41" t="e">
        <v>#N/A</v>
      </c>
      <c r="CZ4266" s="47" t="e">
        <v>#N/A</v>
      </c>
      <c r="DA4266">
        <v>0.11332468572476186</v>
      </c>
      <c r="DB4266" t="str">
        <v/>
      </c>
    </row>
    <row r="4267" spans="83:106" x14ac:dyDescent="0.2">
      <c r="CE4267"/>
      <c r="CF4267"/>
      <c r="CG4267"/>
      <c r="CH4267"/>
      <c r="CI4267"/>
      <c r="CU4267" s="21">
        <v>4262</v>
      </c>
      <c r="CV4267" s="41">
        <v>4</v>
      </c>
      <c r="CW4267" s="41">
        <v>0.11332468572476186</v>
      </c>
      <c r="CX4267" s="41" t="e">
        <v>#N/A</v>
      </c>
      <c r="CY4267" s="41" t="e">
        <v>#N/A</v>
      </c>
      <c r="CZ4267" s="47" t="e">
        <v>#N/A</v>
      </c>
      <c r="DA4267">
        <v>0.11332468572476186</v>
      </c>
      <c r="DB4267" t="str">
        <v/>
      </c>
    </row>
    <row r="4268" spans="83:106" x14ac:dyDescent="0.2">
      <c r="CE4268"/>
      <c r="CF4268"/>
      <c r="CG4268"/>
      <c r="CH4268"/>
      <c r="CI4268"/>
      <c r="CU4268" s="21">
        <v>4263</v>
      </c>
      <c r="CV4268" s="41">
        <v>4</v>
      </c>
      <c r="CW4268" s="41">
        <v>0.11332468572476186</v>
      </c>
      <c r="CX4268" s="41" t="e">
        <v>#N/A</v>
      </c>
      <c r="CY4268" s="41" t="e">
        <v>#N/A</v>
      </c>
      <c r="CZ4268" s="47" t="e">
        <v>#N/A</v>
      </c>
      <c r="DA4268">
        <v>0.11332468572476186</v>
      </c>
      <c r="DB4268" t="str">
        <v/>
      </c>
    </row>
    <row r="4269" spans="83:106" x14ac:dyDescent="0.2">
      <c r="CE4269"/>
      <c r="CF4269"/>
      <c r="CG4269"/>
      <c r="CH4269"/>
      <c r="CI4269"/>
      <c r="CU4269" s="21">
        <v>4264</v>
      </c>
      <c r="CV4269" s="41">
        <v>4</v>
      </c>
      <c r="CW4269" s="41">
        <v>0.11332468572476186</v>
      </c>
      <c r="CX4269" s="41" t="e">
        <v>#N/A</v>
      </c>
      <c r="CY4269" s="41" t="e">
        <v>#N/A</v>
      </c>
      <c r="CZ4269" s="47" t="e">
        <v>#N/A</v>
      </c>
      <c r="DA4269">
        <v>0.11332468572476186</v>
      </c>
      <c r="DB4269" t="str">
        <v/>
      </c>
    </row>
    <row r="4270" spans="83:106" x14ac:dyDescent="0.2">
      <c r="CE4270"/>
      <c r="CF4270"/>
      <c r="CG4270"/>
      <c r="CH4270"/>
      <c r="CI4270"/>
      <c r="CU4270" s="21">
        <v>4265</v>
      </c>
      <c r="CV4270" s="41">
        <v>4</v>
      </c>
      <c r="CW4270" s="41">
        <v>0.11332468572476186</v>
      </c>
      <c r="CX4270" s="41" t="e">
        <v>#N/A</v>
      </c>
      <c r="CY4270" s="41" t="e">
        <v>#N/A</v>
      </c>
      <c r="CZ4270" s="47" t="e">
        <v>#N/A</v>
      </c>
      <c r="DA4270">
        <v>0.11332468572476186</v>
      </c>
      <c r="DB4270" t="str">
        <v/>
      </c>
    </row>
    <row r="4271" spans="83:106" x14ac:dyDescent="0.2">
      <c r="CE4271"/>
      <c r="CF4271"/>
      <c r="CG4271"/>
      <c r="CH4271"/>
      <c r="CI4271"/>
      <c r="CU4271" s="21">
        <v>4266</v>
      </c>
      <c r="CV4271" s="41">
        <v>4</v>
      </c>
      <c r="CW4271" s="41">
        <v>0.11332468572476186</v>
      </c>
      <c r="CX4271" s="41" t="e">
        <v>#N/A</v>
      </c>
      <c r="CY4271" s="41" t="e">
        <v>#N/A</v>
      </c>
      <c r="CZ4271" s="47" t="e">
        <v>#N/A</v>
      </c>
      <c r="DA4271">
        <v>0.11332468572476186</v>
      </c>
      <c r="DB4271" t="str">
        <v/>
      </c>
    </row>
    <row r="4272" spans="83:106" x14ac:dyDescent="0.2">
      <c r="CE4272"/>
      <c r="CF4272"/>
      <c r="CG4272"/>
      <c r="CH4272"/>
      <c r="CI4272"/>
      <c r="CU4272" s="21">
        <v>4267</v>
      </c>
      <c r="CV4272" s="41">
        <v>4</v>
      </c>
      <c r="CW4272" s="41">
        <v>0.11332468572476186</v>
      </c>
      <c r="CX4272" s="41" t="e">
        <v>#N/A</v>
      </c>
      <c r="CY4272" s="41" t="e">
        <v>#N/A</v>
      </c>
      <c r="CZ4272" s="47" t="e">
        <v>#N/A</v>
      </c>
      <c r="DA4272">
        <v>0.11332468572476186</v>
      </c>
      <c r="DB4272" t="str">
        <v/>
      </c>
    </row>
    <row r="4273" spans="83:106" x14ac:dyDescent="0.2">
      <c r="CE4273"/>
      <c r="CF4273"/>
      <c r="CG4273"/>
      <c r="CH4273"/>
      <c r="CI4273"/>
      <c r="CU4273" s="21">
        <v>4268</v>
      </c>
      <c r="CV4273" s="41">
        <v>4</v>
      </c>
      <c r="CW4273" s="41">
        <v>0.11332468572476186</v>
      </c>
      <c r="CX4273" s="41" t="e">
        <v>#N/A</v>
      </c>
      <c r="CY4273" s="41" t="e">
        <v>#N/A</v>
      </c>
      <c r="CZ4273" s="47" t="e">
        <v>#N/A</v>
      </c>
      <c r="DA4273">
        <v>0.11332468572476186</v>
      </c>
      <c r="DB4273" t="str">
        <v/>
      </c>
    </row>
    <row r="4274" spans="83:106" x14ac:dyDescent="0.2">
      <c r="CE4274"/>
      <c r="CF4274"/>
      <c r="CG4274"/>
      <c r="CH4274"/>
      <c r="CI4274"/>
      <c r="CU4274" s="21">
        <v>4269</v>
      </c>
      <c r="CV4274" s="41">
        <v>4</v>
      </c>
      <c r="CW4274" s="41">
        <v>0.11332468572476186</v>
      </c>
      <c r="CX4274" s="41" t="e">
        <v>#N/A</v>
      </c>
      <c r="CY4274" s="41" t="e">
        <v>#N/A</v>
      </c>
      <c r="CZ4274" s="47" t="e">
        <v>#N/A</v>
      </c>
      <c r="DA4274">
        <v>0.11332468572476186</v>
      </c>
      <c r="DB4274" t="str">
        <v/>
      </c>
    </row>
    <row r="4275" spans="83:106" x14ac:dyDescent="0.2">
      <c r="CE4275"/>
      <c r="CF4275"/>
      <c r="CG4275"/>
      <c r="CH4275"/>
      <c r="CI4275"/>
      <c r="CU4275" s="21">
        <v>4270</v>
      </c>
      <c r="CV4275" s="41">
        <v>4</v>
      </c>
      <c r="CW4275" s="41">
        <v>0.11332468572476186</v>
      </c>
      <c r="CX4275" s="41" t="e">
        <v>#N/A</v>
      </c>
      <c r="CY4275" s="41" t="e">
        <v>#N/A</v>
      </c>
      <c r="CZ4275" s="47" t="e">
        <v>#N/A</v>
      </c>
      <c r="DA4275">
        <v>0.11332468572476186</v>
      </c>
      <c r="DB4275" t="str">
        <v/>
      </c>
    </row>
    <row r="4276" spans="83:106" x14ac:dyDescent="0.2">
      <c r="CE4276"/>
      <c r="CF4276"/>
      <c r="CG4276"/>
      <c r="CH4276"/>
      <c r="CI4276"/>
      <c r="CU4276" s="21">
        <v>4271</v>
      </c>
      <c r="CV4276" s="41">
        <v>4</v>
      </c>
      <c r="CW4276" s="41">
        <v>0.11332468572476186</v>
      </c>
      <c r="CX4276" s="41" t="e">
        <v>#N/A</v>
      </c>
      <c r="CY4276" s="41" t="e">
        <v>#N/A</v>
      </c>
      <c r="CZ4276" s="47" t="e">
        <v>#N/A</v>
      </c>
      <c r="DA4276">
        <v>0.11332468572476186</v>
      </c>
      <c r="DB4276" t="str">
        <v/>
      </c>
    </row>
    <row r="4277" spans="83:106" x14ac:dyDescent="0.2">
      <c r="CE4277"/>
      <c r="CF4277"/>
      <c r="CG4277"/>
      <c r="CH4277"/>
      <c r="CI4277"/>
      <c r="CU4277" s="21">
        <v>4272</v>
      </c>
      <c r="CV4277" s="41">
        <v>4</v>
      </c>
      <c r="CW4277" s="41">
        <v>0.11332468572476186</v>
      </c>
      <c r="CX4277" s="41" t="e">
        <v>#N/A</v>
      </c>
      <c r="CY4277" s="41" t="e">
        <v>#N/A</v>
      </c>
      <c r="CZ4277" s="47" t="e">
        <v>#N/A</v>
      </c>
      <c r="DA4277">
        <v>0.11332468572476186</v>
      </c>
      <c r="DB4277" t="str">
        <v/>
      </c>
    </row>
    <row r="4278" spans="83:106" x14ac:dyDescent="0.2">
      <c r="CE4278"/>
      <c r="CF4278"/>
      <c r="CG4278"/>
      <c r="CH4278"/>
      <c r="CI4278"/>
      <c r="CU4278" s="21">
        <v>4273</v>
      </c>
      <c r="CV4278" s="41">
        <v>4</v>
      </c>
      <c r="CW4278" s="41">
        <v>0.11332468572476186</v>
      </c>
      <c r="CX4278" s="41" t="e">
        <v>#N/A</v>
      </c>
      <c r="CY4278" s="41" t="e">
        <v>#N/A</v>
      </c>
      <c r="CZ4278" s="47" t="e">
        <v>#N/A</v>
      </c>
      <c r="DA4278">
        <v>0.11332468572476186</v>
      </c>
      <c r="DB4278" t="str">
        <v/>
      </c>
    </row>
    <row r="4279" spans="83:106" x14ac:dyDescent="0.2">
      <c r="CE4279"/>
      <c r="CF4279"/>
      <c r="CG4279"/>
      <c r="CH4279"/>
      <c r="CI4279"/>
      <c r="CU4279" s="21">
        <v>4274</v>
      </c>
      <c r="CV4279" s="41">
        <v>4</v>
      </c>
      <c r="CW4279" s="41">
        <v>0.11332468572476186</v>
      </c>
      <c r="CX4279" s="41" t="e">
        <v>#N/A</v>
      </c>
      <c r="CY4279" s="41" t="e">
        <v>#N/A</v>
      </c>
      <c r="CZ4279" s="47" t="e">
        <v>#N/A</v>
      </c>
      <c r="DA4279">
        <v>0.11332468572476186</v>
      </c>
      <c r="DB4279" t="str">
        <v/>
      </c>
    </row>
    <row r="4280" spans="83:106" x14ac:dyDescent="0.2">
      <c r="CE4280"/>
      <c r="CF4280"/>
      <c r="CG4280"/>
      <c r="CH4280"/>
      <c r="CI4280"/>
      <c r="CU4280" s="21">
        <v>4275</v>
      </c>
      <c r="CV4280" s="41">
        <v>4</v>
      </c>
      <c r="CW4280" s="41">
        <v>0.11332468572476186</v>
      </c>
      <c r="CX4280" s="41" t="e">
        <v>#N/A</v>
      </c>
      <c r="CY4280" s="41" t="e">
        <v>#N/A</v>
      </c>
      <c r="CZ4280" s="47" t="e">
        <v>#N/A</v>
      </c>
      <c r="DA4280">
        <v>0.11332468572476186</v>
      </c>
      <c r="DB4280" t="str">
        <v/>
      </c>
    </row>
    <row r="4281" spans="83:106" x14ac:dyDescent="0.2">
      <c r="CE4281"/>
      <c r="CF4281"/>
      <c r="CG4281"/>
      <c r="CH4281"/>
      <c r="CI4281"/>
      <c r="CU4281" s="21">
        <v>4276</v>
      </c>
      <c r="CV4281" s="41">
        <v>4</v>
      </c>
      <c r="CW4281" s="41">
        <v>0.11332468572476186</v>
      </c>
      <c r="CX4281" s="41" t="e">
        <v>#N/A</v>
      </c>
      <c r="CY4281" s="41" t="e">
        <v>#N/A</v>
      </c>
      <c r="CZ4281" s="47" t="e">
        <v>#N/A</v>
      </c>
      <c r="DA4281">
        <v>0.11332468572476186</v>
      </c>
      <c r="DB4281" t="str">
        <v/>
      </c>
    </row>
    <row r="4282" spans="83:106" x14ac:dyDescent="0.2">
      <c r="CE4282"/>
      <c r="CF4282"/>
      <c r="CG4282"/>
      <c r="CH4282"/>
      <c r="CI4282"/>
      <c r="CU4282" s="21">
        <v>4277</v>
      </c>
      <c r="CV4282" s="41">
        <v>4</v>
      </c>
      <c r="CW4282" s="41">
        <v>0.11332468572476186</v>
      </c>
      <c r="CX4282" s="41" t="e">
        <v>#N/A</v>
      </c>
      <c r="CY4282" s="41" t="e">
        <v>#N/A</v>
      </c>
      <c r="CZ4282" s="47" t="e">
        <v>#N/A</v>
      </c>
      <c r="DA4282">
        <v>0.11332468572476186</v>
      </c>
      <c r="DB4282" t="str">
        <v/>
      </c>
    </row>
    <row r="4283" spans="83:106" x14ac:dyDescent="0.2">
      <c r="CE4283"/>
      <c r="CF4283"/>
      <c r="CG4283"/>
      <c r="CH4283"/>
      <c r="CI4283"/>
      <c r="CU4283" s="21">
        <v>4278</v>
      </c>
      <c r="CV4283" s="41">
        <v>4</v>
      </c>
      <c r="CW4283" s="41">
        <v>0.11332468572476186</v>
      </c>
      <c r="CX4283" s="41" t="e">
        <v>#N/A</v>
      </c>
      <c r="CY4283" s="41" t="e">
        <v>#N/A</v>
      </c>
      <c r="CZ4283" s="47" t="e">
        <v>#N/A</v>
      </c>
      <c r="DA4283">
        <v>0.11332468572476186</v>
      </c>
      <c r="DB4283" t="str">
        <v/>
      </c>
    </row>
    <row r="4284" spans="83:106" x14ac:dyDescent="0.2">
      <c r="CE4284"/>
      <c r="CF4284"/>
      <c r="CG4284"/>
      <c r="CH4284"/>
      <c r="CI4284"/>
      <c r="CU4284" s="21">
        <v>4279</v>
      </c>
      <c r="CV4284" s="41">
        <v>4</v>
      </c>
      <c r="CW4284" s="41">
        <v>0.11332468572476186</v>
      </c>
      <c r="CX4284" s="41" t="e">
        <v>#N/A</v>
      </c>
      <c r="CY4284" s="41" t="e">
        <v>#N/A</v>
      </c>
      <c r="CZ4284" s="47" t="e">
        <v>#N/A</v>
      </c>
      <c r="DA4284">
        <v>0.11332468572476186</v>
      </c>
      <c r="DB4284" t="str">
        <v/>
      </c>
    </row>
    <row r="4285" spans="83:106" x14ac:dyDescent="0.2">
      <c r="CE4285"/>
      <c r="CF4285"/>
      <c r="CG4285"/>
      <c r="CH4285"/>
      <c r="CI4285"/>
      <c r="CU4285" s="21">
        <v>4280</v>
      </c>
      <c r="CV4285" s="41">
        <v>4</v>
      </c>
      <c r="CW4285" s="41">
        <v>0.11332468572476186</v>
      </c>
      <c r="CX4285" s="41" t="e">
        <v>#N/A</v>
      </c>
      <c r="CY4285" s="41" t="e">
        <v>#N/A</v>
      </c>
      <c r="CZ4285" s="47" t="e">
        <v>#N/A</v>
      </c>
      <c r="DA4285">
        <v>0.11332468572476186</v>
      </c>
      <c r="DB4285" t="str">
        <v/>
      </c>
    </row>
    <row r="4286" spans="83:106" x14ac:dyDescent="0.2">
      <c r="CE4286"/>
      <c r="CF4286"/>
      <c r="CG4286"/>
      <c r="CH4286"/>
      <c r="CI4286"/>
      <c r="CU4286" s="21">
        <v>4281</v>
      </c>
      <c r="CV4286" s="41">
        <v>4</v>
      </c>
      <c r="CW4286" s="41">
        <v>0.11332468572476186</v>
      </c>
      <c r="CX4286" s="41" t="e">
        <v>#N/A</v>
      </c>
      <c r="CY4286" s="41" t="e">
        <v>#N/A</v>
      </c>
      <c r="CZ4286" s="47" t="e">
        <v>#N/A</v>
      </c>
      <c r="DA4286">
        <v>0.11332468572476186</v>
      </c>
      <c r="DB4286" t="str">
        <v/>
      </c>
    </row>
    <row r="4287" spans="83:106" x14ac:dyDescent="0.2">
      <c r="CE4287"/>
      <c r="CF4287"/>
      <c r="CG4287"/>
      <c r="CH4287"/>
      <c r="CI4287"/>
      <c r="CU4287" s="21">
        <v>4282</v>
      </c>
      <c r="CV4287" s="41">
        <v>4</v>
      </c>
      <c r="CW4287" s="41">
        <v>0.11332468572476186</v>
      </c>
      <c r="CX4287" s="41" t="e">
        <v>#N/A</v>
      </c>
      <c r="CY4287" s="41" t="e">
        <v>#N/A</v>
      </c>
      <c r="CZ4287" s="47" t="e">
        <v>#N/A</v>
      </c>
      <c r="DA4287">
        <v>0.11332468572476186</v>
      </c>
      <c r="DB4287" t="str">
        <v/>
      </c>
    </row>
    <row r="4288" spans="83:106" x14ac:dyDescent="0.2">
      <c r="CE4288"/>
      <c r="CF4288"/>
      <c r="CG4288"/>
      <c r="CH4288"/>
      <c r="CI4288"/>
      <c r="CU4288" s="21">
        <v>4283</v>
      </c>
      <c r="CV4288" s="41">
        <v>4</v>
      </c>
      <c r="CW4288" s="41">
        <v>0.11332468572476186</v>
      </c>
      <c r="CX4288" s="41" t="e">
        <v>#N/A</v>
      </c>
      <c r="CY4288" s="41" t="e">
        <v>#N/A</v>
      </c>
      <c r="CZ4288" s="47" t="e">
        <v>#N/A</v>
      </c>
      <c r="DA4288">
        <v>0.11332468572476186</v>
      </c>
      <c r="DB4288" t="str">
        <v/>
      </c>
    </row>
    <row r="4289" spans="83:106" x14ac:dyDescent="0.2">
      <c r="CE4289"/>
      <c r="CF4289"/>
      <c r="CG4289"/>
      <c r="CH4289"/>
      <c r="CI4289"/>
      <c r="CU4289" s="21">
        <v>4284</v>
      </c>
      <c r="CV4289" s="41">
        <v>4</v>
      </c>
      <c r="CW4289" s="41">
        <v>0.11332468572476186</v>
      </c>
      <c r="CX4289" s="41" t="e">
        <v>#N/A</v>
      </c>
      <c r="CY4289" s="41" t="e">
        <v>#N/A</v>
      </c>
      <c r="CZ4289" s="47" t="e">
        <v>#N/A</v>
      </c>
      <c r="DA4289">
        <v>0.11332468572476186</v>
      </c>
      <c r="DB4289" t="str">
        <v/>
      </c>
    </row>
    <row r="4290" spans="83:106" x14ac:dyDescent="0.2">
      <c r="CE4290"/>
      <c r="CF4290"/>
      <c r="CG4290"/>
      <c r="CH4290"/>
      <c r="CI4290"/>
      <c r="CU4290" s="21">
        <v>4285</v>
      </c>
      <c r="CV4290" s="41">
        <v>4</v>
      </c>
      <c r="CW4290" s="41">
        <v>0.11332468572476186</v>
      </c>
      <c r="CX4290" s="41" t="e">
        <v>#N/A</v>
      </c>
      <c r="CY4290" s="41" t="e">
        <v>#N/A</v>
      </c>
      <c r="CZ4290" s="47" t="e">
        <v>#N/A</v>
      </c>
      <c r="DA4290">
        <v>0.11332468572476186</v>
      </c>
      <c r="DB4290" t="str">
        <v/>
      </c>
    </row>
    <row r="4291" spans="83:106" x14ac:dyDescent="0.2">
      <c r="CE4291"/>
      <c r="CF4291"/>
      <c r="CG4291"/>
      <c r="CH4291"/>
      <c r="CI4291"/>
      <c r="CU4291" s="21">
        <v>4286</v>
      </c>
      <c r="CV4291" s="41">
        <v>4</v>
      </c>
      <c r="CW4291" s="41">
        <v>0.11332468572476186</v>
      </c>
      <c r="CX4291" s="41" t="e">
        <v>#N/A</v>
      </c>
      <c r="CY4291" s="41" t="e">
        <v>#N/A</v>
      </c>
      <c r="CZ4291" s="47" t="e">
        <v>#N/A</v>
      </c>
      <c r="DA4291">
        <v>0.11332468572476186</v>
      </c>
      <c r="DB4291" t="str">
        <v/>
      </c>
    </row>
    <row r="4292" spans="83:106" x14ac:dyDescent="0.2">
      <c r="CE4292"/>
      <c r="CF4292"/>
      <c r="CG4292"/>
      <c r="CH4292"/>
      <c r="CI4292"/>
      <c r="CU4292" s="21">
        <v>4287</v>
      </c>
      <c r="CV4292" s="41">
        <v>4</v>
      </c>
      <c r="CW4292" s="41">
        <v>0.11332468572476186</v>
      </c>
      <c r="CX4292" s="41" t="e">
        <v>#N/A</v>
      </c>
      <c r="CY4292" s="41" t="e">
        <v>#N/A</v>
      </c>
      <c r="CZ4292" s="47" t="e">
        <v>#N/A</v>
      </c>
      <c r="DA4292">
        <v>0.11332468572476186</v>
      </c>
      <c r="DB4292" t="str">
        <v/>
      </c>
    </row>
    <row r="4293" spans="83:106" x14ac:dyDescent="0.2">
      <c r="CE4293"/>
      <c r="CF4293"/>
      <c r="CG4293"/>
      <c r="CH4293"/>
      <c r="CI4293"/>
      <c r="CU4293" s="21">
        <v>4288</v>
      </c>
      <c r="CV4293" s="41">
        <v>4</v>
      </c>
      <c r="CW4293" s="41">
        <v>0.11332468572476186</v>
      </c>
      <c r="CX4293" s="41" t="e">
        <v>#N/A</v>
      </c>
      <c r="CY4293" s="41" t="e">
        <v>#N/A</v>
      </c>
      <c r="CZ4293" s="47" t="e">
        <v>#N/A</v>
      </c>
      <c r="DA4293">
        <v>0.11332468572476186</v>
      </c>
      <c r="DB4293" t="str">
        <v/>
      </c>
    </row>
    <row r="4294" spans="83:106" x14ac:dyDescent="0.2">
      <c r="CE4294"/>
      <c r="CF4294"/>
      <c r="CG4294"/>
      <c r="CH4294"/>
      <c r="CI4294"/>
      <c r="CU4294" s="21">
        <v>4289</v>
      </c>
      <c r="CV4294" s="41">
        <v>4</v>
      </c>
      <c r="CW4294" s="41">
        <v>0.11332468572476186</v>
      </c>
      <c r="CX4294" s="41" t="e">
        <v>#N/A</v>
      </c>
      <c r="CY4294" s="41" t="e">
        <v>#N/A</v>
      </c>
      <c r="CZ4294" s="47" t="e">
        <v>#N/A</v>
      </c>
      <c r="DA4294">
        <v>0.11332468572476186</v>
      </c>
      <c r="DB4294" t="str">
        <v/>
      </c>
    </row>
    <row r="4295" spans="83:106" x14ac:dyDescent="0.2">
      <c r="CE4295"/>
      <c r="CF4295"/>
      <c r="CG4295"/>
      <c r="CH4295"/>
      <c r="CI4295"/>
      <c r="CU4295" s="21">
        <v>4290</v>
      </c>
      <c r="CV4295" s="41">
        <v>4</v>
      </c>
      <c r="CW4295" s="41">
        <v>0.11332468572476186</v>
      </c>
      <c r="CX4295" s="41" t="e">
        <v>#N/A</v>
      </c>
      <c r="CY4295" s="41" t="e">
        <v>#N/A</v>
      </c>
      <c r="CZ4295" s="47" t="e">
        <v>#N/A</v>
      </c>
      <c r="DA4295">
        <v>0.11332468572476186</v>
      </c>
      <c r="DB4295" t="str">
        <v/>
      </c>
    </row>
    <row r="4296" spans="83:106" x14ac:dyDescent="0.2">
      <c r="CE4296"/>
      <c r="CF4296"/>
      <c r="CG4296"/>
      <c r="CH4296"/>
      <c r="CI4296"/>
      <c r="CU4296" s="21">
        <v>4291</v>
      </c>
      <c r="CV4296" s="41">
        <v>4</v>
      </c>
      <c r="CW4296" s="41">
        <v>0.11332468572476186</v>
      </c>
      <c r="CX4296" s="41" t="e">
        <v>#N/A</v>
      </c>
      <c r="CY4296" s="41" t="e">
        <v>#N/A</v>
      </c>
      <c r="CZ4296" s="47" t="e">
        <v>#N/A</v>
      </c>
      <c r="DA4296">
        <v>0.11332468572476186</v>
      </c>
      <c r="DB4296" t="str">
        <v/>
      </c>
    </row>
    <row r="4297" spans="83:106" x14ac:dyDescent="0.2">
      <c r="CE4297"/>
      <c r="CF4297"/>
      <c r="CG4297"/>
      <c r="CH4297"/>
      <c r="CI4297"/>
      <c r="CU4297" s="21">
        <v>4292</v>
      </c>
      <c r="CV4297" s="41">
        <v>4</v>
      </c>
      <c r="CW4297" s="41">
        <v>0.11332468572476186</v>
      </c>
      <c r="CX4297" s="41" t="e">
        <v>#N/A</v>
      </c>
      <c r="CY4297" s="41" t="e">
        <v>#N/A</v>
      </c>
      <c r="CZ4297" s="47" t="e">
        <v>#N/A</v>
      </c>
      <c r="DA4297">
        <v>0.11332468572476186</v>
      </c>
      <c r="DB4297" t="str">
        <v/>
      </c>
    </row>
    <row r="4298" spans="83:106" x14ac:dyDescent="0.2">
      <c r="CE4298"/>
      <c r="CF4298"/>
      <c r="CG4298"/>
      <c r="CH4298"/>
      <c r="CI4298"/>
      <c r="CU4298" s="21">
        <v>4293</v>
      </c>
      <c r="CV4298" s="41">
        <v>4</v>
      </c>
      <c r="CW4298" s="41">
        <v>0.11332468572476186</v>
      </c>
      <c r="CX4298" s="41" t="e">
        <v>#N/A</v>
      </c>
      <c r="CY4298" s="41" t="e">
        <v>#N/A</v>
      </c>
      <c r="CZ4298" s="47" t="e">
        <v>#N/A</v>
      </c>
      <c r="DA4298">
        <v>0.11332468572476186</v>
      </c>
      <c r="DB4298" t="str">
        <v/>
      </c>
    </row>
    <row r="4299" spans="83:106" x14ac:dyDescent="0.2">
      <c r="CE4299"/>
      <c r="CF4299"/>
      <c r="CG4299"/>
      <c r="CH4299"/>
      <c r="CI4299"/>
      <c r="CU4299" s="21">
        <v>4294</v>
      </c>
      <c r="CV4299" s="41">
        <v>4</v>
      </c>
      <c r="CW4299" s="41">
        <v>0.11332468572476186</v>
      </c>
      <c r="CX4299" s="41" t="e">
        <v>#N/A</v>
      </c>
      <c r="CY4299" s="41" t="e">
        <v>#N/A</v>
      </c>
      <c r="CZ4299" s="47" t="e">
        <v>#N/A</v>
      </c>
      <c r="DA4299">
        <v>0.11332468572476186</v>
      </c>
      <c r="DB4299" t="str">
        <v/>
      </c>
    </row>
    <row r="4300" spans="83:106" x14ac:dyDescent="0.2">
      <c r="CE4300"/>
      <c r="CF4300"/>
      <c r="CG4300"/>
      <c r="CH4300"/>
      <c r="CI4300"/>
      <c r="CU4300" s="21">
        <v>4295</v>
      </c>
      <c r="CV4300" s="41">
        <v>4</v>
      </c>
      <c r="CW4300" s="41">
        <v>0.11332468572476186</v>
      </c>
      <c r="CX4300" s="41" t="e">
        <v>#N/A</v>
      </c>
      <c r="CY4300" s="41" t="e">
        <v>#N/A</v>
      </c>
      <c r="CZ4300" s="47" t="e">
        <v>#N/A</v>
      </c>
      <c r="DA4300">
        <v>0.11332468572476186</v>
      </c>
      <c r="DB4300" t="str">
        <v/>
      </c>
    </row>
    <row r="4301" spans="83:106" x14ac:dyDescent="0.2">
      <c r="CE4301"/>
      <c r="CF4301"/>
      <c r="CG4301"/>
      <c r="CH4301"/>
      <c r="CI4301"/>
      <c r="CU4301" s="21">
        <v>4296</v>
      </c>
      <c r="CV4301" s="41">
        <v>4</v>
      </c>
      <c r="CW4301" s="41">
        <v>0.11332468572476186</v>
      </c>
      <c r="CX4301" s="41" t="e">
        <v>#N/A</v>
      </c>
      <c r="CY4301" s="41" t="e">
        <v>#N/A</v>
      </c>
      <c r="CZ4301" s="47" t="e">
        <v>#N/A</v>
      </c>
      <c r="DA4301">
        <v>0.11332468572476186</v>
      </c>
      <c r="DB4301" t="str">
        <v/>
      </c>
    </row>
    <row r="4302" spans="83:106" x14ac:dyDescent="0.2">
      <c r="CE4302"/>
      <c r="CF4302"/>
      <c r="CG4302"/>
      <c r="CH4302"/>
      <c r="CI4302"/>
      <c r="CU4302" s="21">
        <v>4297</v>
      </c>
      <c r="CV4302" s="41">
        <v>4</v>
      </c>
      <c r="CW4302" s="41">
        <v>0.11332468572476186</v>
      </c>
      <c r="CX4302" s="41" t="e">
        <v>#N/A</v>
      </c>
      <c r="CY4302" s="41" t="e">
        <v>#N/A</v>
      </c>
      <c r="CZ4302" s="47" t="e">
        <v>#N/A</v>
      </c>
      <c r="DA4302">
        <v>0.11332468572476186</v>
      </c>
      <c r="DB4302" t="str">
        <v/>
      </c>
    </row>
    <row r="4303" spans="83:106" x14ac:dyDescent="0.2">
      <c r="CE4303"/>
      <c r="CF4303"/>
      <c r="CG4303"/>
      <c r="CH4303"/>
      <c r="CI4303"/>
      <c r="CU4303" s="21">
        <v>4298</v>
      </c>
      <c r="CV4303" s="41">
        <v>4</v>
      </c>
      <c r="CW4303" s="41">
        <v>0.11332468572476186</v>
      </c>
      <c r="CX4303" s="41" t="e">
        <v>#N/A</v>
      </c>
      <c r="CY4303" s="41" t="e">
        <v>#N/A</v>
      </c>
      <c r="CZ4303" s="47" t="e">
        <v>#N/A</v>
      </c>
      <c r="DA4303">
        <v>0.11332468572476186</v>
      </c>
      <c r="DB4303" t="str">
        <v/>
      </c>
    </row>
    <row r="4304" spans="83:106" x14ac:dyDescent="0.2">
      <c r="CE4304"/>
      <c r="CF4304"/>
      <c r="CG4304"/>
      <c r="CH4304"/>
      <c r="CI4304"/>
      <c r="CU4304" s="21">
        <v>4299</v>
      </c>
      <c r="CV4304" s="41">
        <v>4</v>
      </c>
      <c r="CW4304" s="41">
        <v>0.11332468572476186</v>
      </c>
      <c r="CX4304" s="41" t="e">
        <v>#N/A</v>
      </c>
      <c r="CY4304" s="41" t="e">
        <v>#N/A</v>
      </c>
      <c r="CZ4304" s="47" t="e">
        <v>#N/A</v>
      </c>
      <c r="DA4304">
        <v>0.11332468572476186</v>
      </c>
      <c r="DB4304" t="str">
        <v/>
      </c>
    </row>
    <row r="4305" spans="83:106" x14ac:dyDescent="0.2">
      <c r="CE4305"/>
      <c r="CF4305"/>
      <c r="CG4305"/>
      <c r="CH4305"/>
      <c r="CI4305"/>
      <c r="CU4305" s="21">
        <v>4300</v>
      </c>
      <c r="CV4305" s="41">
        <v>4</v>
      </c>
      <c r="CW4305" s="41">
        <v>0.11332468572476186</v>
      </c>
      <c r="CX4305" s="41" t="e">
        <v>#N/A</v>
      </c>
      <c r="CY4305" s="41" t="e">
        <v>#N/A</v>
      </c>
      <c r="CZ4305" s="47" t="e">
        <v>#N/A</v>
      </c>
      <c r="DA4305">
        <v>0.11332468572476186</v>
      </c>
      <c r="DB4305" t="str">
        <v/>
      </c>
    </row>
    <row r="4306" spans="83:106" x14ac:dyDescent="0.2">
      <c r="CE4306"/>
      <c r="CF4306"/>
      <c r="CG4306"/>
      <c r="CH4306"/>
      <c r="CI4306"/>
      <c r="CU4306" s="21">
        <v>4301</v>
      </c>
      <c r="CV4306" s="41">
        <v>4</v>
      </c>
      <c r="CW4306" s="41">
        <v>0.11332468572476186</v>
      </c>
      <c r="CX4306" s="41" t="e">
        <v>#N/A</v>
      </c>
      <c r="CY4306" s="41" t="e">
        <v>#N/A</v>
      </c>
      <c r="CZ4306" s="47" t="e">
        <v>#N/A</v>
      </c>
      <c r="DA4306">
        <v>0.11332468572476186</v>
      </c>
      <c r="DB4306" t="str">
        <v/>
      </c>
    </row>
    <row r="4307" spans="83:106" x14ac:dyDescent="0.2">
      <c r="CE4307"/>
      <c r="CF4307"/>
      <c r="CG4307"/>
      <c r="CH4307"/>
      <c r="CI4307"/>
      <c r="CU4307" s="21">
        <v>4302</v>
      </c>
      <c r="CV4307" s="41">
        <v>4</v>
      </c>
      <c r="CW4307" s="41">
        <v>0.11332468572476186</v>
      </c>
      <c r="CX4307" s="41" t="e">
        <v>#N/A</v>
      </c>
      <c r="CY4307" s="41" t="e">
        <v>#N/A</v>
      </c>
      <c r="CZ4307" s="47" t="e">
        <v>#N/A</v>
      </c>
      <c r="DA4307">
        <v>0.11332468572476186</v>
      </c>
      <c r="DB4307" t="str">
        <v/>
      </c>
    </row>
    <row r="4308" spans="83:106" x14ac:dyDescent="0.2">
      <c r="CE4308"/>
      <c r="CF4308"/>
      <c r="CG4308"/>
      <c r="CH4308"/>
      <c r="CI4308"/>
      <c r="CU4308" s="21">
        <v>4303</v>
      </c>
      <c r="CV4308" s="41">
        <v>4</v>
      </c>
      <c r="CW4308" s="41">
        <v>0.11332468572476186</v>
      </c>
      <c r="CX4308" s="41" t="e">
        <v>#N/A</v>
      </c>
      <c r="CY4308" s="41" t="e">
        <v>#N/A</v>
      </c>
      <c r="CZ4308" s="47" t="e">
        <v>#N/A</v>
      </c>
      <c r="DA4308">
        <v>0.11332468572476186</v>
      </c>
      <c r="DB4308" t="str">
        <v/>
      </c>
    </row>
    <row r="4309" spans="83:106" x14ac:dyDescent="0.2">
      <c r="CE4309"/>
      <c r="CF4309"/>
      <c r="CG4309"/>
      <c r="CH4309"/>
      <c r="CI4309"/>
      <c r="CU4309" s="21">
        <v>4304</v>
      </c>
      <c r="CV4309" s="41">
        <v>4</v>
      </c>
      <c r="CW4309" s="41">
        <v>0.11332468572476186</v>
      </c>
      <c r="CX4309" s="41" t="e">
        <v>#N/A</v>
      </c>
      <c r="CY4309" s="41" t="e">
        <v>#N/A</v>
      </c>
      <c r="CZ4309" s="47" t="e">
        <v>#N/A</v>
      </c>
      <c r="DA4309">
        <v>0.11332468572476186</v>
      </c>
      <c r="DB4309" t="str">
        <v/>
      </c>
    </row>
    <row r="4310" spans="83:106" x14ac:dyDescent="0.2">
      <c r="CE4310"/>
      <c r="CF4310"/>
      <c r="CG4310"/>
      <c r="CH4310"/>
      <c r="CI4310"/>
      <c r="CU4310" s="21">
        <v>4305</v>
      </c>
      <c r="CV4310" s="41">
        <v>4</v>
      </c>
      <c r="CW4310" s="41">
        <v>0.11332468572476186</v>
      </c>
      <c r="CX4310" s="41" t="e">
        <v>#N/A</v>
      </c>
      <c r="CY4310" s="41" t="e">
        <v>#N/A</v>
      </c>
      <c r="CZ4310" s="47" t="e">
        <v>#N/A</v>
      </c>
      <c r="DA4310">
        <v>0.11332468572476186</v>
      </c>
      <c r="DB4310" t="str">
        <v/>
      </c>
    </row>
    <row r="4311" spans="83:106" x14ac:dyDescent="0.2">
      <c r="CE4311"/>
      <c r="CF4311"/>
      <c r="CG4311"/>
      <c r="CH4311"/>
      <c r="CI4311"/>
      <c r="CU4311" s="21">
        <v>4306</v>
      </c>
      <c r="CV4311" s="41">
        <v>4</v>
      </c>
      <c r="CW4311" s="41">
        <v>0.11332468572476186</v>
      </c>
      <c r="CX4311" s="41" t="e">
        <v>#N/A</v>
      </c>
      <c r="CY4311" s="41" t="e">
        <v>#N/A</v>
      </c>
      <c r="CZ4311" s="47" t="e">
        <v>#N/A</v>
      </c>
      <c r="DA4311">
        <v>0.11332468572476186</v>
      </c>
      <c r="DB4311" t="str">
        <v/>
      </c>
    </row>
    <row r="4312" spans="83:106" x14ac:dyDescent="0.2">
      <c r="CE4312"/>
      <c r="CF4312"/>
      <c r="CG4312"/>
      <c r="CH4312"/>
      <c r="CI4312"/>
      <c r="CU4312" s="21">
        <v>4307</v>
      </c>
      <c r="CV4312" s="41">
        <v>4</v>
      </c>
      <c r="CW4312" s="41">
        <v>0.11332468572476186</v>
      </c>
      <c r="CX4312" s="41" t="e">
        <v>#N/A</v>
      </c>
      <c r="CY4312" s="41" t="e">
        <v>#N/A</v>
      </c>
      <c r="CZ4312" s="47" t="e">
        <v>#N/A</v>
      </c>
      <c r="DA4312">
        <v>0.11332468572476186</v>
      </c>
      <c r="DB4312" t="str">
        <v/>
      </c>
    </row>
    <row r="4313" spans="83:106" x14ac:dyDescent="0.2">
      <c r="CE4313"/>
      <c r="CF4313"/>
      <c r="CG4313"/>
      <c r="CH4313"/>
      <c r="CI4313"/>
      <c r="CU4313" s="21">
        <v>4308</v>
      </c>
      <c r="CV4313" s="41">
        <v>4</v>
      </c>
      <c r="CW4313" s="41">
        <v>0.11332468572476186</v>
      </c>
      <c r="CX4313" s="41" t="e">
        <v>#N/A</v>
      </c>
      <c r="CY4313" s="41" t="e">
        <v>#N/A</v>
      </c>
      <c r="CZ4313" s="47" t="e">
        <v>#N/A</v>
      </c>
      <c r="DA4313">
        <v>0.11332468572476186</v>
      </c>
      <c r="DB4313" t="str">
        <v/>
      </c>
    </row>
    <row r="4314" spans="83:106" x14ac:dyDescent="0.2">
      <c r="CE4314"/>
      <c r="CF4314"/>
      <c r="CG4314"/>
      <c r="CH4314"/>
      <c r="CI4314"/>
      <c r="CU4314" s="21">
        <v>4309</v>
      </c>
      <c r="CV4314" s="41">
        <v>4</v>
      </c>
      <c r="CW4314" s="41">
        <v>0.11332468572476186</v>
      </c>
      <c r="CX4314" s="41" t="e">
        <v>#N/A</v>
      </c>
      <c r="CY4314" s="41" t="e">
        <v>#N/A</v>
      </c>
      <c r="CZ4314" s="47" t="e">
        <v>#N/A</v>
      </c>
      <c r="DA4314">
        <v>0.11332468572476186</v>
      </c>
      <c r="DB4314" t="str">
        <v/>
      </c>
    </row>
    <row r="4315" spans="83:106" x14ac:dyDescent="0.2">
      <c r="CE4315"/>
      <c r="CF4315"/>
      <c r="CG4315"/>
      <c r="CH4315"/>
      <c r="CI4315"/>
      <c r="CU4315" s="21">
        <v>4310</v>
      </c>
      <c r="CV4315" s="41">
        <v>4</v>
      </c>
      <c r="CW4315" s="41">
        <v>0.11332468572476186</v>
      </c>
      <c r="CX4315" s="41" t="e">
        <v>#N/A</v>
      </c>
      <c r="CY4315" s="41" t="e">
        <v>#N/A</v>
      </c>
      <c r="CZ4315" s="47" t="e">
        <v>#N/A</v>
      </c>
      <c r="DA4315">
        <v>0.11332468572476186</v>
      </c>
      <c r="DB4315" t="str">
        <v/>
      </c>
    </row>
    <row r="4316" spans="83:106" x14ac:dyDescent="0.2">
      <c r="CE4316"/>
      <c r="CF4316"/>
      <c r="CG4316"/>
      <c r="CH4316"/>
      <c r="CI4316"/>
      <c r="CU4316" s="21">
        <v>4311</v>
      </c>
      <c r="CV4316" s="41">
        <v>4</v>
      </c>
      <c r="CW4316" s="41">
        <v>0.11332468572476186</v>
      </c>
      <c r="CX4316" s="41" t="e">
        <v>#N/A</v>
      </c>
      <c r="CY4316" s="41" t="e">
        <v>#N/A</v>
      </c>
      <c r="CZ4316" s="47" t="e">
        <v>#N/A</v>
      </c>
      <c r="DA4316">
        <v>0.11332468572476186</v>
      </c>
      <c r="DB4316" t="str">
        <v/>
      </c>
    </row>
    <row r="4317" spans="83:106" x14ac:dyDescent="0.2">
      <c r="CE4317"/>
      <c r="CF4317"/>
      <c r="CG4317"/>
      <c r="CH4317"/>
      <c r="CI4317"/>
      <c r="CU4317" s="21">
        <v>4312</v>
      </c>
      <c r="CV4317" s="41">
        <v>4</v>
      </c>
      <c r="CW4317" s="41">
        <v>0.11332468572476186</v>
      </c>
      <c r="CX4317" s="41" t="e">
        <v>#N/A</v>
      </c>
      <c r="CY4317" s="41" t="e">
        <v>#N/A</v>
      </c>
      <c r="CZ4317" s="47" t="e">
        <v>#N/A</v>
      </c>
      <c r="DA4317">
        <v>0.11332468572476186</v>
      </c>
      <c r="DB4317" t="str">
        <v/>
      </c>
    </row>
    <row r="4318" spans="83:106" x14ac:dyDescent="0.2">
      <c r="CE4318"/>
      <c r="CF4318"/>
      <c r="CG4318"/>
      <c r="CH4318"/>
      <c r="CI4318"/>
      <c r="CU4318" s="21">
        <v>4313</v>
      </c>
      <c r="CV4318" s="41">
        <v>4</v>
      </c>
      <c r="CW4318" s="41">
        <v>0.11332468572476186</v>
      </c>
      <c r="CX4318" s="41" t="e">
        <v>#N/A</v>
      </c>
      <c r="CY4318" s="41" t="e">
        <v>#N/A</v>
      </c>
      <c r="CZ4318" s="47" t="e">
        <v>#N/A</v>
      </c>
      <c r="DA4318">
        <v>0.11332468572476186</v>
      </c>
      <c r="DB4318" t="str">
        <v/>
      </c>
    </row>
    <row r="4319" spans="83:106" x14ac:dyDescent="0.2">
      <c r="CE4319"/>
      <c r="CF4319"/>
      <c r="CG4319"/>
      <c r="CH4319"/>
      <c r="CI4319"/>
      <c r="CU4319" s="21">
        <v>4314</v>
      </c>
      <c r="CV4319" s="41">
        <v>4</v>
      </c>
      <c r="CW4319" s="41">
        <v>0.11332468572476186</v>
      </c>
      <c r="CX4319" s="41" t="e">
        <v>#N/A</v>
      </c>
      <c r="CY4319" s="41" t="e">
        <v>#N/A</v>
      </c>
      <c r="CZ4319" s="47" t="e">
        <v>#N/A</v>
      </c>
      <c r="DA4319">
        <v>0.11332468572476186</v>
      </c>
      <c r="DB4319" t="str">
        <v/>
      </c>
    </row>
    <row r="4320" spans="83:106" x14ac:dyDescent="0.2">
      <c r="CE4320"/>
      <c r="CF4320"/>
      <c r="CG4320"/>
      <c r="CH4320"/>
      <c r="CI4320"/>
      <c r="CU4320" s="21">
        <v>4315</v>
      </c>
      <c r="CV4320" s="41">
        <v>4</v>
      </c>
      <c r="CW4320" s="41">
        <v>0.11332468572476186</v>
      </c>
      <c r="CX4320" s="41" t="e">
        <v>#N/A</v>
      </c>
      <c r="CY4320" s="41" t="e">
        <v>#N/A</v>
      </c>
      <c r="CZ4320" s="47" t="e">
        <v>#N/A</v>
      </c>
      <c r="DA4320">
        <v>0.11332468572476186</v>
      </c>
      <c r="DB4320" t="str">
        <v/>
      </c>
    </row>
    <row r="4321" spans="83:106" x14ac:dyDescent="0.2">
      <c r="CE4321"/>
      <c r="CF4321"/>
      <c r="CG4321"/>
      <c r="CH4321"/>
      <c r="CI4321"/>
      <c r="CU4321" s="21">
        <v>4316</v>
      </c>
      <c r="CV4321" s="41">
        <v>4</v>
      </c>
      <c r="CW4321" s="41">
        <v>0.11332468572476186</v>
      </c>
      <c r="CX4321" s="41" t="e">
        <v>#N/A</v>
      </c>
      <c r="CY4321" s="41" t="e">
        <v>#N/A</v>
      </c>
      <c r="CZ4321" s="47" t="e">
        <v>#N/A</v>
      </c>
      <c r="DA4321">
        <v>0.11332468572476186</v>
      </c>
      <c r="DB4321" t="str">
        <v/>
      </c>
    </row>
    <row r="4322" spans="83:106" x14ac:dyDescent="0.2">
      <c r="CE4322"/>
      <c r="CF4322"/>
      <c r="CG4322"/>
      <c r="CH4322"/>
      <c r="CI4322"/>
      <c r="CU4322" s="21">
        <v>4317</v>
      </c>
      <c r="CV4322" s="41">
        <v>4</v>
      </c>
      <c r="CW4322" s="41">
        <v>0.11332468572476186</v>
      </c>
      <c r="CX4322" s="41" t="e">
        <v>#N/A</v>
      </c>
      <c r="CY4322" s="41" t="e">
        <v>#N/A</v>
      </c>
      <c r="CZ4322" s="47" t="e">
        <v>#N/A</v>
      </c>
      <c r="DA4322">
        <v>0.11332468572476186</v>
      </c>
      <c r="DB4322" t="str">
        <v/>
      </c>
    </row>
    <row r="4323" spans="83:106" x14ac:dyDescent="0.2">
      <c r="CE4323"/>
      <c r="CF4323"/>
      <c r="CG4323"/>
      <c r="CH4323"/>
      <c r="CI4323"/>
      <c r="CU4323" s="21">
        <v>4318</v>
      </c>
      <c r="CV4323" s="41">
        <v>4</v>
      </c>
      <c r="CW4323" s="41">
        <v>0.11332468572476186</v>
      </c>
      <c r="CX4323" s="41" t="e">
        <v>#N/A</v>
      </c>
      <c r="CY4323" s="41" t="e">
        <v>#N/A</v>
      </c>
      <c r="CZ4323" s="47" t="e">
        <v>#N/A</v>
      </c>
      <c r="DA4323">
        <v>0.11332468572476186</v>
      </c>
      <c r="DB4323" t="str">
        <v/>
      </c>
    </row>
    <row r="4324" spans="83:106" x14ac:dyDescent="0.2">
      <c r="CE4324"/>
      <c r="CF4324"/>
      <c r="CG4324"/>
      <c r="CH4324"/>
      <c r="CI4324"/>
      <c r="CU4324" s="21">
        <v>4319</v>
      </c>
      <c r="CV4324" s="41">
        <v>4</v>
      </c>
      <c r="CW4324" s="41">
        <v>0.11332468572476186</v>
      </c>
      <c r="CX4324" s="41" t="e">
        <v>#N/A</v>
      </c>
      <c r="CY4324" s="41" t="e">
        <v>#N/A</v>
      </c>
      <c r="CZ4324" s="47" t="e">
        <v>#N/A</v>
      </c>
      <c r="DA4324">
        <v>0.11332468572476186</v>
      </c>
      <c r="DB4324" t="str">
        <v/>
      </c>
    </row>
    <row r="4325" spans="83:106" x14ac:dyDescent="0.2">
      <c r="CE4325"/>
      <c r="CF4325"/>
      <c r="CG4325"/>
      <c r="CH4325"/>
      <c r="CI4325"/>
      <c r="CU4325" s="21">
        <v>4320</v>
      </c>
      <c r="CV4325" s="41">
        <v>4</v>
      </c>
      <c r="CW4325" s="41">
        <v>0.11332468572476186</v>
      </c>
      <c r="CX4325" s="41" t="e">
        <v>#N/A</v>
      </c>
      <c r="CY4325" s="41" t="e">
        <v>#N/A</v>
      </c>
      <c r="CZ4325" s="47" t="e">
        <v>#N/A</v>
      </c>
      <c r="DA4325">
        <v>0.11332468572476186</v>
      </c>
      <c r="DB4325" t="str">
        <v/>
      </c>
    </row>
    <row r="4326" spans="83:106" x14ac:dyDescent="0.2">
      <c r="CE4326"/>
      <c r="CF4326"/>
      <c r="CG4326"/>
      <c r="CH4326"/>
      <c r="CI4326"/>
      <c r="CU4326" s="21">
        <v>4321</v>
      </c>
      <c r="CV4326" s="41">
        <v>4</v>
      </c>
      <c r="CW4326" s="41">
        <v>0.11332468572476186</v>
      </c>
      <c r="CX4326" s="41" t="e">
        <v>#N/A</v>
      </c>
      <c r="CY4326" s="41" t="e">
        <v>#N/A</v>
      </c>
      <c r="CZ4326" s="47" t="e">
        <v>#N/A</v>
      </c>
      <c r="DA4326">
        <v>0.11332468572476186</v>
      </c>
      <c r="DB4326" t="str">
        <v/>
      </c>
    </row>
    <row r="4327" spans="83:106" x14ac:dyDescent="0.2">
      <c r="CE4327"/>
      <c r="CF4327"/>
      <c r="CG4327"/>
      <c r="CH4327"/>
      <c r="CI4327"/>
      <c r="CU4327" s="21">
        <v>4322</v>
      </c>
      <c r="CV4327" s="41">
        <v>4</v>
      </c>
      <c r="CW4327" s="41">
        <v>0.11332468572476186</v>
      </c>
      <c r="CX4327" s="41" t="e">
        <v>#N/A</v>
      </c>
      <c r="CY4327" s="41" t="e">
        <v>#N/A</v>
      </c>
      <c r="CZ4327" s="47" t="e">
        <v>#N/A</v>
      </c>
      <c r="DA4327">
        <v>0.11332468572476186</v>
      </c>
      <c r="DB4327" t="str">
        <v/>
      </c>
    </row>
    <row r="4328" spans="83:106" x14ac:dyDescent="0.2">
      <c r="CE4328"/>
      <c r="CF4328"/>
      <c r="CG4328"/>
      <c r="CH4328"/>
      <c r="CI4328"/>
      <c r="CU4328" s="21">
        <v>4323</v>
      </c>
      <c r="CV4328" s="41">
        <v>4</v>
      </c>
      <c r="CW4328" s="41">
        <v>0.11332468572476186</v>
      </c>
      <c r="CX4328" s="41" t="e">
        <v>#N/A</v>
      </c>
      <c r="CY4328" s="41" t="e">
        <v>#N/A</v>
      </c>
      <c r="CZ4328" s="47" t="e">
        <v>#N/A</v>
      </c>
      <c r="DA4328">
        <v>0.11332468572476186</v>
      </c>
      <c r="DB4328" t="str">
        <v/>
      </c>
    </row>
    <row r="4329" spans="83:106" x14ac:dyDescent="0.2">
      <c r="CE4329"/>
      <c r="CF4329"/>
      <c r="CG4329"/>
      <c r="CH4329"/>
      <c r="CI4329"/>
      <c r="CU4329" s="21">
        <v>4324</v>
      </c>
      <c r="CV4329" s="41">
        <v>4</v>
      </c>
      <c r="CW4329" s="41">
        <v>0.11332468572476186</v>
      </c>
      <c r="CX4329" s="41" t="e">
        <v>#N/A</v>
      </c>
      <c r="CY4329" s="41" t="e">
        <v>#N/A</v>
      </c>
      <c r="CZ4329" s="47" t="e">
        <v>#N/A</v>
      </c>
      <c r="DA4329">
        <v>0.11332468572476186</v>
      </c>
      <c r="DB4329" t="str">
        <v/>
      </c>
    </row>
    <row r="4330" spans="83:106" x14ac:dyDescent="0.2">
      <c r="CE4330"/>
      <c r="CF4330"/>
      <c r="CG4330"/>
      <c r="CH4330"/>
      <c r="CI4330"/>
      <c r="CU4330" s="21">
        <v>4325</v>
      </c>
      <c r="CV4330" s="41">
        <v>4</v>
      </c>
      <c r="CW4330" s="41">
        <v>0.11332468572476186</v>
      </c>
      <c r="CX4330" s="41" t="e">
        <v>#N/A</v>
      </c>
      <c r="CY4330" s="41" t="e">
        <v>#N/A</v>
      </c>
      <c r="CZ4330" s="47" t="e">
        <v>#N/A</v>
      </c>
      <c r="DA4330">
        <v>0.11332468572476186</v>
      </c>
      <c r="DB4330" t="str">
        <v/>
      </c>
    </row>
    <row r="4331" spans="83:106" x14ac:dyDescent="0.2">
      <c r="CE4331"/>
      <c r="CF4331"/>
      <c r="CG4331"/>
      <c r="CH4331"/>
      <c r="CI4331"/>
      <c r="CU4331" s="21">
        <v>4326</v>
      </c>
      <c r="CV4331" s="41">
        <v>4</v>
      </c>
      <c r="CW4331" s="41">
        <v>0.11332468572476186</v>
      </c>
      <c r="CX4331" s="41" t="e">
        <v>#N/A</v>
      </c>
      <c r="CY4331" s="41" t="e">
        <v>#N/A</v>
      </c>
      <c r="CZ4331" s="47" t="e">
        <v>#N/A</v>
      </c>
      <c r="DA4331">
        <v>0.11332468572476186</v>
      </c>
      <c r="DB4331" t="str">
        <v/>
      </c>
    </row>
    <row r="4332" spans="83:106" x14ac:dyDescent="0.2">
      <c r="CE4332"/>
      <c r="CF4332"/>
      <c r="CG4332"/>
      <c r="CH4332"/>
      <c r="CI4332"/>
      <c r="CU4332" s="21">
        <v>4327</v>
      </c>
      <c r="CV4332" s="41">
        <v>4</v>
      </c>
      <c r="CW4332" s="41">
        <v>0.11332468572476186</v>
      </c>
      <c r="CX4332" s="41" t="e">
        <v>#N/A</v>
      </c>
      <c r="CY4332" s="41" t="e">
        <v>#N/A</v>
      </c>
      <c r="CZ4332" s="47" t="e">
        <v>#N/A</v>
      </c>
      <c r="DA4332">
        <v>0.11332468572476186</v>
      </c>
      <c r="DB4332" t="str">
        <v/>
      </c>
    </row>
    <row r="4333" spans="83:106" x14ac:dyDescent="0.2">
      <c r="CE4333"/>
      <c r="CF4333"/>
      <c r="CG4333"/>
      <c r="CH4333"/>
      <c r="CI4333"/>
      <c r="CU4333" s="21">
        <v>4328</v>
      </c>
      <c r="CV4333" s="41">
        <v>4</v>
      </c>
      <c r="CW4333" s="41">
        <v>0.11332468572476186</v>
      </c>
      <c r="CX4333" s="41" t="e">
        <v>#N/A</v>
      </c>
      <c r="CY4333" s="41" t="e">
        <v>#N/A</v>
      </c>
      <c r="CZ4333" s="47" t="e">
        <v>#N/A</v>
      </c>
      <c r="DA4333">
        <v>0.11332468572476186</v>
      </c>
      <c r="DB4333" t="str">
        <v/>
      </c>
    </row>
    <row r="4334" spans="83:106" x14ac:dyDescent="0.2">
      <c r="CE4334"/>
      <c r="CF4334"/>
      <c r="CG4334"/>
      <c r="CH4334"/>
      <c r="CI4334"/>
      <c r="CU4334" s="21">
        <v>4329</v>
      </c>
      <c r="CV4334" s="41">
        <v>4</v>
      </c>
      <c r="CW4334" s="41">
        <v>0.11332468572476186</v>
      </c>
      <c r="CX4334" s="41" t="e">
        <v>#N/A</v>
      </c>
      <c r="CY4334" s="41" t="e">
        <v>#N/A</v>
      </c>
      <c r="CZ4334" s="47" t="e">
        <v>#N/A</v>
      </c>
      <c r="DA4334">
        <v>0.11332468572476186</v>
      </c>
      <c r="DB4334" t="str">
        <v/>
      </c>
    </row>
    <row r="4335" spans="83:106" x14ac:dyDescent="0.2">
      <c r="CE4335"/>
      <c r="CF4335"/>
      <c r="CG4335"/>
      <c r="CH4335"/>
      <c r="CI4335"/>
      <c r="CU4335" s="21">
        <v>4330</v>
      </c>
      <c r="CV4335" s="41">
        <v>4</v>
      </c>
      <c r="CW4335" s="41">
        <v>0.11332468572476186</v>
      </c>
      <c r="CX4335" s="41" t="e">
        <v>#N/A</v>
      </c>
      <c r="CY4335" s="41" t="e">
        <v>#N/A</v>
      </c>
      <c r="CZ4335" s="47" t="e">
        <v>#N/A</v>
      </c>
      <c r="DA4335">
        <v>0.11332468572476186</v>
      </c>
      <c r="DB4335" t="str">
        <v/>
      </c>
    </row>
    <row r="4336" spans="83:106" x14ac:dyDescent="0.2">
      <c r="CE4336"/>
      <c r="CF4336"/>
      <c r="CG4336"/>
      <c r="CH4336"/>
      <c r="CI4336"/>
      <c r="CU4336" s="21">
        <v>4331</v>
      </c>
      <c r="CV4336" s="41">
        <v>4</v>
      </c>
      <c r="CW4336" s="41">
        <v>0.11332468572476186</v>
      </c>
      <c r="CX4336" s="41" t="e">
        <v>#N/A</v>
      </c>
      <c r="CY4336" s="41" t="e">
        <v>#N/A</v>
      </c>
      <c r="CZ4336" s="47" t="e">
        <v>#N/A</v>
      </c>
      <c r="DA4336">
        <v>0.11332468572476186</v>
      </c>
      <c r="DB4336" t="str">
        <v/>
      </c>
    </row>
    <row r="4337" spans="83:106" x14ac:dyDescent="0.2">
      <c r="CE4337"/>
      <c r="CF4337"/>
      <c r="CG4337"/>
      <c r="CH4337"/>
      <c r="CI4337"/>
      <c r="CU4337" s="21">
        <v>4332</v>
      </c>
      <c r="CV4337" s="41">
        <v>4</v>
      </c>
      <c r="CW4337" s="41">
        <v>0.11332468572476186</v>
      </c>
      <c r="CX4337" s="41" t="e">
        <v>#N/A</v>
      </c>
      <c r="CY4337" s="41" t="e">
        <v>#N/A</v>
      </c>
      <c r="CZ4337" s="47" t="e">
        <v>#N/A</v>
      </c>
      <c r="DA4337">
        <v>0.11332468572476186</v>
      </c>
      <c r="DB4337" t="str">
        <v/>
      </c>
    </row>
    <row r="4338" spans="83:106" x14ac:dyDescent="0.2">
      <c r="CE4338"/>
      <c r="CF4338"/>
      <c r="CG4338"/>
      <c r="CH4338"/>
      <c r="CI4338"/>
      <c r="CU4338" s="21">
        <v>4333</v>
      </c>
      <c r="CV4338" s="41">
        <v>4</v>
      </c>
      <c r="CW4338" s="41">
        <v>0.11332468572476186</v>
      </c>
      <c r="CX4338" s="41" t="e">
        <v>#N/A</v>
      </c>
      <c r="CY4338" s="41" t="e">
        <v>#N/A</v>
      </c>
      <c r="CZ4338" s="47" t="e">
        <v>#N/A</v>
      </c>
      <c r="DA4338">
        <v>0.11332468572476186</v>
      </c>
      <c r="DB4338" t="str">
        <v/>
      </c>
    </row>
    <row r="4339" spans="83:106" x14ac:dyDescent="0.2">
      <c r="CE4339"/>
      <c r="CF4339"/>
      <c r="CG4339"/>
      <c r="CH4339"/>
      <c r="CI4339"/>
      <c r="CU4339" s="21">
        <v>4334</v>
      </c>
      <c r="CV4339" s="41">
        <v>4</v>
      </c>
      <c r="CW4339" s="41">
        <v>0.11332468572476186</v>
      </c>
      <c r="CX4339" s="41" t="e">
        <v>#N/A</v>
      </c>
      <c r="CY4339" s="41" t="e">
        <v>#N/A</v>
      </c>
      <c r="CZ4339" s="47" t="e">
        <v>#N/A</v>
      </c>
      <c r="DA4339">
        <v>0.11332468572476186</v>
      </c>
      <c r="DB4339" t="str">
        <v/>
      </c>
    </row>
    <row r="4340" spans="83:106" x14ac:dyDescent="0.2">
      <c r="CE4340"/>
      <c r="CF4340"/>
      <c r="CG4340"/>
      <c r="CH4340"/>
      <c r="CI4340"/>
      <c r="CU4340" s="21">
        <v>4335</v>
      </c>
      <c r="CV4340" s="41">
        <v>4</v>
      </c>
      <c r="CW4340" s="41">
        <v>0.11332468572476186</v>
      </c>
      <c r="CX4340" s="41" t="e">
        <v>#N/A</v>
      </c>
      <c r="CY4340" s="41" t="e">
        <v>#N/A</v>
      </c>
      <c r="CZ4340" s="47" t="e">
        <v>#N/A</v>
      </c>
      <c r="DA4340">
        <v>0.11332468572476186</v>
      </c>
      <c r="DB4340" t="str">
        <v/>
      </c>
    </row>
    <row r="4341" spans="83:106" x14ac:dyDescent="0.2">
      <c r="CE4341"/>
      <c r="CF4341"/>
      <c r="CG4341"/>
      <c r="CH4341"/>
      <c r="CI4341"/>
      <c r="CU4341" s="21">
        <v>4336</v>
      </c>
      <c r="CV4341" s="41">
        <v>4</v>
      </c>
      <c r="CW4341" s="41">
        <v>0.11332468572476186</v>
      </c>
      <c r="CX4341" s="41" t="e">
        <v>#N/A</v>
      </c>
      <c r="CY4341" s="41" t="e">
        <v>#N/A</v>
      </c>
      <c r="CZ4341" s="47" t="e">
        <v>#N/A</v>
      </c>
      <c r="DA4341">
        <v>0.11332468572476186</v>
      </c>
      <c r="DB4341" t="str">
        <v/>
      </c>
    </row>
    <row r="4342" spans="83:106" x14ac:dyDescent="0.2">
      <c r="CE4342"/>
      <c r="CF4342"/>
      <c r="CG4342"/>
      <c r="CH4342"/>
      <c r="CI4342"/>
      <c r="CU4342" s="21">
        <v>4337</v>
      </c>
      <c r="CV4342" s="41">
        <v>4</v>
      </c>
      <c r="CW4342" s="41">
        <v>0.11332468572476186</v>
      </c>
      <c r="CX4342" s="41" t="e">
        <v>#N/A</v>
      </c>
      <c r="CY4342" s="41" t="e">
        <v>#N/A</v>
      </c>
      <c r="CZ4342" s="47" t="e">
        <v>#N/A</v>
      </c>
      <c r="DA4342">
        <v>0.11332468572476186</v>
      </c>
      <c r="DB4342" t="str">
        <v/>
      </c>
    </row>
    <row r="4343" spans="83:106" x14ac:dyDescent="0.2">
      <c r="CE4343"/>
      <c r="CF4343"/>
      <c r="CG4343"/>
      <c r="CH4343"/>
      <c r="CI4343"/>
      <c r="CU4343" s="21">
        <v>4338</v>
      </c>
      <c r="CV4343" s="41">
        <v>4</v>
      </c>
      <c r="CW4343" s="41">
        <v>0.11332468572476186</v>
      </c>
      <c r="CX4343" s="41" t="e">
        <v>#N/A</v>
      </c>
      <c r="CY4343" s="41" t="e">
        <v>#N/A</v>
      </c>
      <c r="CZ4343" s="47" t="e">
        <v>#N/A</v>
      </c>
      <c r="DA4343">
        <v>0.11332468572476186</v>
      </c>
      <c r="DB4343" t="str">
        <v/>
      </c>
    </row>
    <row r="4344" spans="83:106" x14ac:dyDescent="0.2">
      <c r="CE4344"/>
      <c r="CF4344"/>
      <c r="CG4344"/>
      <c r="CH4344"/>
      <c r="CI4344"/>
      <c r="CU4344" s="21">
        <v>4339</v>
      </c>
      <c r="CV4344" s="41">
        <v>4</v>
      </c>
      <c r="CW4344" s="41">
        <v>0.11332468572476186</v>
      </c>
      <c r="CX4344" s="41" t="e">
        <v>#N/A</v>
      </c>
      <c r="CY4344" s="41" t="e">
        <v>#N/A</v>
      </c>
      <c r="CZ4344" s="47" t="e">
        <v>#N/A</v>
      </c>
      <c r="DA4344">
        <v>0.11332468572476186</v>
      </c>
      <c r="DB4344" t="str">
        <v/>
      </c>
    </row>
    <row r="4345" spans="83:106" x14ac:dyDescent="0.2">
      <c r="CE4345"/>
      <c r="CF4345"/>
      <c r="CG4345"/>
      <c r="CH4345"/>
      <c r="CI4345"/>
      <c r="CU4345" s="21">
        <v>4340</v>
      </c>
      <c r="CV4345" s="41">
        <v>4</v>
      </c>
      <c r="CW4345" s="41">
        <v>0.11332468572476186</v>
      </c>
      <c r="CX4345" s="41" t="e">
        <v>#N/A</v>
      </c>
      <c r="CY4345" s="41" t="e">
        <v>#N/A</v>
      </c>
      <c r="CZ4345" s="47" t="e">
        <v>#N/A</v>
      </c>
      <c r="DA4345">
        <v>0.11332468572476186</v>
      </c>
      <c r="DB4345" t="str">
        <v/>
      </c>
    </row>
    <row r="4346" spans="83:106" x14ac:dyDescent="0.2">
      <c r="CE4346"/>
      <c r="CF4346"/>
      <c r="CG4346"/>
      <c r="CH4346"/>
      <c r="CI4346"/>
      <c r="CU4346" s="21">
        <v>4341</v>
      </c>
      <c r="CV4346" s="41">
        <v>4</v>
      </c>
      <c r="CW4346" s="41">
        <v>0.11332468572476186</v>
      </c>
      <c r="CX4346" s="41" t="e">
        <v>#N/A</v>
      </c>
      <c r="CY4346" s="41" t="e">
        <v>#N/A</v>
      </c>
      <c r="CZ4346" s="47" t="e">
        <v>#N/A</v>
      </c>
      <c r="DA4346">
        <v>0.11332468572476186</v>
      </c>
      <c r="DB4346" t="str">
        <v/>
      </c>
    </row>
    <row r="4347" spans="83:106" x14ac:dyDescent="0.2">
      <c r="CE4347"/>
      <c r="CF4347"/>
      <c r="CG4347"/>
      <c r="CH4347"/>
      <c r="CI4347"/>
      <c r="CU4347" s="21">
        <v>4342</v>
      </c>
      <c r="CV4347" s="41">
        <v>4</v>
      </c>
      <c r="CW4347" s="41">
        <v>0.11332468572476186</v>
      </c>
      <c r="CX4347" s="41" t="e">
        <v>#N/A</v>
      </c>
      <c r="CY4347" s="41" t="e">
        <v>#N/A</v>
      </c>
      <c r="CZ4347" s="47" t="e">
        <v>#N/A</v>
      </c>
      <c r="DA4347">
        <v>0.11332468572476186</v>
      </c>
      <c r="DB4347" t="str">
        <v/>
      </c>
    </row>
    <row r="4348" spans="83:106" x14ac:dyDescent="0.2">
      <c r="CE4348"/>
      <c r="CF4348"/>
      <c r="CG4348"/>
      <c r="CH4348"/>
      <c r="CI4348"/>
      <c r="CU4348" s="21">
        <v>4343</v>
      </c>
      <c r="CV4348" s="41">
        <v>4</v>
      </c>
      <c r="CW4348" s="41">
        <v>0.11332468572476186</v>
      </c>
      <c r="CX4348" s="41" t="e">
        <v>#N/A</v>
      </c>
      <c r="CY4348" s="41" t="e">
        <v>#N/A</v>
      </c>
      <c r="CZ4348" s="47" t="e">
        <v>#N/A</v>
      </c>
      <c r="DA4348">
        <v>0.11332468572476186</v>
      </c>
      <c r="DB4348" t="str">
        <v/>
      </c>
    </row>
    <row r="4349" spans="83:106" x14ac:dyDescent="0.2">
      <c r="CE4349"/>
      <c r="CF4349"/>
      <c r="CG4349"/>
      <c r="CH4349"/>
      <c r="CI4349"/>
      <c r="CU4349" s="21">
        <v>4344</v>
      </c>
      <c r="CV4349" s="41">
        <v>4</v>
      </c>
      <c r="CW4349" s="41">
        <v>0.11332468572476186</v>
      </c>
      <c r="CX4349" s="41" t="e">
        <v>#N/A</v>
      </c>
      <c r="CY4349" s="41" t="e">
        <v>#N/A</v>
      </c>
      <c r="CZ4349" s="47" t="e">
        <v>#N/A</v>
      </c>
      <c r="DA4349">
        <v>0.11332468572476186</v>
      </c>
      <c r="DB4349" t="str">
        <v/>
      </c>
    </row>
    <row r="4350" spans="83:106" x14ac:dyDescent="0.2">
      <c r="CE4350"/>
      <c r="CF4350"/>
      <c r="CG4350"/>
      <c r="CH4350"/>
      <c r="CI4350"/>
      <c r="CU4350" s="21">
        <v>4345</v>
      </c>
      <c r="CV4350" s="41">
        <v>4</v>
      </c>
      <c r="CW4350" s="41">
        <v>0.11332468572476186</v>
      </c>
      <c r="CX4350" s="41" t="e">
        <v>#N/A</v>
      </c>
      <c r="CY4350" s="41" t="e">
        <v>#N/A</v>
      </c>
      <c r="CZ4350" s="47" t="e">
        <v>#N/A</v>
      </c>
      <c r="DA4350">
        <v>0.11332468572476186</v>
      </c>
      <c r="DB4350" t="str">
        <v/>
      </c>
    </row>
    <row r="4351" spans="83:106" x14ac:dyDescent="0.2">
      <c r="CE4351"/>
      <c r="CF4351"/>
      <c r="CG4351"/>
      <c r="CH4351"/>
      <c r="CI4351"/>
      <c r="CU4351" s="21">
        <v>4346</v>
      </c>
      <c r="CV4351" s="41">
        <v>4</v>
      </c>
      <c r="CW4351" s="41">
        <v>0.11332468572476186</v>
      </c>
      <c r="CX4351" s="41" t="e">
        <v>#N/A</v>
      </c>
      <c r="CY4351" s="41" t="e">
        <v>#N/A</v>
      </c>
      <c r="CZ4351" s="47" t="e">
        <v>#N/A</v>
      </c>
      <c r="DA4351">
        <v>0.11332468572476186</v>
      </c>
      <c r="DB4351" t="str">
        <v/>
      </c>
    </row>
    <row r="4352" spans="83:106" x14ac:dyDescent="0.2">
      <c r="CE4352"/>
      <c r="CF4352"/>
      <c r="CG4352"/>
      <c r="CH4352"/>
      <c r="CI4352"/>
      <c r="CU4352" s="21">
        <v>4347</v>
      </c>
      <c r="CV4352" s="41">
        <v>4</v>
      </c>
      <c r="CW4352" s="41">
        <v>0.11332468572476186</v>
      </c>
      <c r="CX4352" s="41" t="e">
        <v>#N/A</v>
      </c>
      <c r="CY4352" s="41" t="e">
        <v>#N/A</v>
      </c>
      <c r="CZ4352" s="47" t="e">
        <v>#N/A</v>
      </c>
      <c r="DA4352">
        <v>0.11332468572476186</v>
      </c>
      <c r="DB4352" t="str">
        <v/>
      </c>
    </row>
    <row r="4353" spans="83:106" x14ac:dyDescent="0.2">
      <c r="CE4353"/>
      <c r="CF4353"/>
      <c r="CG4353"/>
      <c r="CH4353"/>
      <c r="CI4353"/>
      <c r="CU4353" s="21">
        <v>4348</v>
      </c>
      <c r="CV4353" s="41">
        <v>4</v>
      </c>
      <c r="CW4353" s="41">
        <v>0.11332468572476186</v>
      </c>
      <c r="CX4353" s="41" t="e">
        <v>#N/A</v>
      </c>
      <c r="CY4353" s="41" t="e">
        <v>#N/A</v>
      </c>
      <c r="CZ4353" s="47" t="e">
        <v>#N/A</v>
      </c>
      <c r="DA4353">
        <v>0.11332468572476186</v>
      </c>
      <c r="DB4353" t="str">
        <v/>
      </c>
    </row>
    <row r="4354" spans="83:106" x14ac:dyDescent="0.2">
      <c r="CE4354"/>
      <c r="CF4354"/>
      <c r="CG4354"/>
      <c r="CH4354"/>
      <c r="CI4354"/>
      <c r="CU4354" s="21">
        <v>4349</v>
      </c>
      <c r="CV4354" s="41">
        <v>4</v>
      </c>
      <c r="CW4354" s="41">
        <v>0.11332468572476186</v>
      </c>
      <c r="CX4354" s="41" t="e">
        <v>#N/A</v>
      </c>
      <c r="CY4354" s="41" t="e">
        <v>#N/A</v>
      </c>
      <c r="CZ4354" s="47" t="e">
        <v>#N/A</v>
      </c>
      <c r="DA4354">
        <v>0.11332468572476186</v>
      </c>
      <c r="DB4354" t="str">
        <v/>
      </c>
    </row>
    <row r="4355" spans="83:106" x14ac:dyDescent="0.2">
      <c r="CE4355"/>
      <c r="CF4355"/>
      <c r="CG4355"/>
      <c r="CH4355"/>
      <c r="CI4355"/>
      <c r="CU4355" s="21">
        <v>4350</v>
      </c>
      <c r="CV4355" s="41">
        <v>4</v>
      </c>
      <c r="CW4355" s="41">
        <v>0.11332468572476186</v>
      </c>
      <c r="CX4355" s="41" t="e">
        <v>#N/A</v>
      </c>
      <c r="CY4355" s="41" t="e">
        <v>#N/A</v>
      </c>
      <c r="CZ4355" s="47" t="e">
        <v>#N/A</v>
      </c>
      <c r="DA4355">
        <v>0.11332468572476186</v>
      </c>
      <c r="DB4355" t="str">
        <v/>
      </c>
    </row>
    <row r="4356" spans="83:106" x14ac:dyDescent="0.2">
      <c r="CE4356"/>
      <c r="CF4356"/>
      <c r="CG4356"/>
      <c r="CH4356"/>
      <c r="CI4356"/>
      <c r="CU4356" s="21">
        <v>4351</v>
      </c>
      <c r="CV4356" s="41">
        <v>4</v>
      </c>
      <c r="CW4356" s="41">
        <v>0.11332468572476186</v>
      </c>
      <c r="CX4356" s="41" t="e">
        <v>#N/A</v>
      </c>
      <c r="CY4356" s="41" t="e">
        <v>#N/A</v>
      </c>
      <c r="CZ4356" s="47" t="e">
        <v>#N/A</v>
      </c>
      <c r="DA4356">
        <v>0.11332468572476186</v>
      </c>
      <c r="DB4356" t="str">
        <v/>
      </c>
    </row>
    <row r="4357" spans="83:106" x14ac:dyDescent="0.2">
      <c r="CE4357"/>
      <c r="CF4357"/>
      <c r="CG4357"/>
      <c r="CH4357"/>
      <c r="CI4357"/>
      <c r="CU4357" s="21">
        <v>4352</v>
      </c>
      <c r="CV4357" s="41">
        <v>4</v>
      </c>
      <c r="CW4357" s="41">
        <v>0.11332468572476186</v>
      </c>
      <c r="CX4357" s="41" t="e">
        <v>#N/A</v>
      </c>
      <c r="CY4357" s="41" t="e">
        <v>#N/A</v>
      </c>
      <c r="CZ4357" s="47" t="e">
        <v>#N/A</v>
      </c>
      <c r="DA4357">
        <v>0.11332468572476186</v>
      </c>
      <c r="DB4357" t="str">
        <v/>
      </c>
    </row>
    <row r="4358" spans="83:106" x14ac:dyDescent="0.2">
      <c r="CE4358"/>
      <c r="CF4358"/>
      <c r="CG4358"/>
      <c r="CH4358"/>
      <c r="CI4358"/>
      <c r="CU4358" s="21">
        <v>4353</v>
      </c>
      <c r="CV4358" s="41">
        <v>4</v>
      </c>
      <c r="CW4358" s="41">
        <v>0.11332468572476186</v>
      </c>
      <c r="CX4358" s="41" t="e">
        <v>#N/A</v>
      </c>
      <c r="CY4358" s="41" t="e">
        <v>#N/A</v>
      </c>
      <c r="CZ4358" s="47" t="e">
        <v>#N/A</v>
      </c>
      <c r="DA4358">
        <v>0.11332468572476186</v>
      </c>
      <c r="DB4358" t="str">
        <v/>
      </c>
    </row>
    <row r="4359" spans="83:106" x14ac:dyDescent="0.2">
      <c r="CE4359"/>
      <c r="CF4359"/>
      <c r="CG4359"/>
      <c r="CH4359"/>
      <c r="CI4359"/>
      <c r="CU4359" s="21">
        <v>4354</v>
      </c>
      <c r="CV4359" s="41">
        <v>4</v>
      </c>
      <c r="CW4359" s="41">
        <v>0.11332468572476186</v>
      </c>
      <c r="CX4359" s="41" t="e">
        <v>#N/A</v>
      </c>
      <c r="CY4359" s="41" t="e">
        <v>#N/A</v>
      </c>
      <c r="CZ4359" s="47" t="e">
        <v>#N/A</v>
      </c>
      <c r="DA4359">
        <v>0.11332468572476186</v>
      </c>
      <c r="DB4359" t="str">
        <v/>
      </c>
    </row>
    <row r="4360" spans="83:106" x14ac:dyDescent="0.2">
      <c r="CE4360"/>
      <c r="CF4360"/>
      <c r="CG4360"/>
      <c r="CH4360"/>
      <c r="CI4360"/>
      <c r="CU4360" s="21">
        <v>4355</v>
      </c>
      <c r="CV4360" s="41">
        <v>4</v>
      </c>
      <c r="CW4360" s="41">
        <v>0.11332468572476186</v>
      </c>
      <c r="CX4360" s="41" t="e">
        <v>#N/A</v>
      </c>
      <c r="CY4360" s="41" t="e">
        <v>#N/A</v>
      </c>
      <c r="CZ4360" s="47" t="e">
        <v>#N/A</v>
      </c>
      <c r="DA4360">
        <v>0.11332468572476186</v>
      </c>
      <c r="DB4360" t="str">
        <v/>
      </c>
    </row>
    <row r="4361" spans="83:106" x14ac:dyDescent="0.2">
      <c r="CE4361"/>
      <c r="CF4361"/>
      <c r="CG4361"/>
      <c r="CH4361"/>
      <c r="CI4361"/>
      <c r="CU4361" s="21">
        <v>4356</v>
      </c>
      <c r="CV4361" s="41">
        <v>4</v>
      </c>
      <c r="CW4361" s="41">
        <v>0.11332468572476186</v>
      </c>
      <c r="CX4361" s="41" t="e">
        <v>#N/A</v>
      </c>
      <c r="CY4361" s="41" t="e">
        <v>#N/A</v>
      </c>
      <c r="CZ4361" s="47" t="e">
        <v>#N/A</v>
      </c>
      <c r="DA4361">
        <v>0.11332468572476186</v>
      </c>
      <c r="DB4361" t="str">
        <v/>
      </c>
    </row>
    <row r="4362" spans="83:106" x14ac:dyDescent="0.2">
      <c r="CE4362"/>
      <c r="CF4362"/>
      <c r="CG4362"/>
      <c r="CH4362"/>
      <c r="CI4362"/>
      <c r="CU4362" s="21">
        <v>4357</v>
      </c>
      <c r="CV4362" s="41">
        <v>4</v>
      </c>
      <c r="CW4362" s="41">
        <v>0.11332468572476186</v>
      </c>
      <c r="CX4362" s="41" t="e">
        <v>#N/A</v>
      </c>
      <c r="CY4362" s="41" t="e">
        <v>#N/A</v>
      </c>
      <c r="CZ4362" s="47" t="e">
        <v>#N/A</v>
      </c>
      <c r="DA4362">
        <v>0.11332468572476186</v>
      </c>
      <c r="DB4362" t="str">
        <v/>
      </c>
    </row>
    <row r="4363" spans="83:106" x14ac:dyDescent="0.2">
      <c r="CE4363"/>
      <c r="CF4363"/>
      <c r="CG4363"/>
      <c r="CH4363"/>
      <c r="CI4363"/>
      <c r="CU4363" s="21">
        <v>4358</v>
      </c>
      <c r="CV4363" s="41">
        <v>4</v>
      </c>
      <c r="CW4363" s="41">
        <v>0.11332468572476186</v>
      </c>
      <c r="CX4363" s="41" t="e">
        <v>#N/A</v>
      </c>
      <c r="CY4363" s="41" t="e">
        <v>#N/A</v>
      </c>
      <c r="CZ4363" s="47" t="e">
        <v>#N/A</v>
      </c>
      <c r="DA4363">
        <v>0.11332468572476186</v>
      </c>
      <c r="DB4363" t="str">
        <v/>
      </c>
    </row>
    <row r="4364" spans="83:106" x14ac:dyDescent="0.2">
      <c r="CE4364"/>
      <c r="CF4364"/>
      <c r="CG4364"/>
      <c r="CH4364"/>
      <c r="CI4364"/>
      <c r="CU4364" s="21">
        <v>4359</v>
      </c>
      <c r="CV4364" s="41">
        <v>4</v>
      </c>
      <c r="CW4364" s="41">
        <v>0.11332468572476186</v>
      </c>
      <c r="CX4364" s="41" t="e">
        <v>#N/A</v>
      </c>
      <c r="CY4364" s="41" t="e">
        <v>#N/A</v>
      </c>
      <c r="CZ4364" s="47" t="e">
        <v>#N/A</v>
      </c>
      <c r="DA4364">
        <v>0.11332468572476186</v>
      </c>
      <c r="DB4364" t="str">
        <v/>
      </c>
    </row>
    <row r="4365" spans="83:106" x14ac:dyDescent="0.2">
      <c r="CE4365"/>
      <c r="CF4365"/>
      <c r="CG4365"/>
      <c r="CH4365"/>
      <c r="CI4365"/>
      <c r="CU4365" s="21">
        <v>4360</v>
      </c>
      <c r="CV4365" s="41">
        <v>4</v>
      </c>
      <c r="CW4365" s="41">
        <v>0.11332468572476186</v>
      </c>
      <c r="CX4365" s="41" t="e">
        <v>#N/A</v>
      </c>
      <c r="CY4365" s="41" t="e">
        <v>#N/A</v>
      </c>
      <c r="CZ4365" s="47" t="e">
        <v>#N/A</v>
      </c>
      <c r="DA4365">
        <v>0.11332468572476186</v>
      </c>
      <c r="DB4365" t="str">
        <v/>
      </c>
    </row>
    <row r="4366" spans="83:106" x14ac:dyDescent="0.2">
      <c r="CE4366"/>
      <c r="CF4366"/>
      <c r="CG4366"/>
      <c r="CH4366"/>
      <c r="CI4366"/>
      <c r="CU4366" s="21">
        <v>4361</v>
      </c>
      <c r="CV4366" s="41">
        <v>4</v>
      </c>
      <c r="CW4366" s="41">
        <v>0.11332468572476186</v>
      </c>
      <c r="CX4366" s="41" t="e">
        <v>#N/A</v>
      </c>
      <c r="CY4366" s="41" t="e">
        <v>#N/A</v>
      </c>
      <c r="CZ4366" s="47" t="e">
        <v>#N/A</v>
      </c>
      <c r="DA4366">
        <v>0.11332468572476186</v>
      </c>
      <c r="DB4366" t="str">
        <v/>
      </c>
    </row>
    <row r="4367" spans="83:106" x14ac:dyDescent="0.2">
      <c r="CE4367"/>
      <c r="CF4367"/>
      <c r="CG4367"/>
      <c r="CH4367"/>
      <c r="CI4367"/>
      <c r="CU4367" s="21">
        <v>4362</v>
      </c>
      <c r="CV4367" s="41">
        <v>4</v>
      </c>
      <c r="CW4367" s="41">
        <v>0.11332468572476186</v>
      </c>
      <c r="CX4367" s="41" t="e">
        <v>#N/A</v>
      </c>
      <c r="CY4367" s="41" t="e">
        <v>#N/A</v>
      </c>
      <c r="CZ4367" s="47" t="e">
        <v>#N/A</v>
      </c>
      <c r="DA4367">
        <v>0.11332468572476186</v>
      </c>
      <c r="DB4367" t="str">
        <v/>
      </c>
    </row>
    <row r="4368" spans="83:106" x14ac:dyDescent="0.2">
      <c r="CE4368"/>
      <c r="CF4368"/>
      <c r="CG4368"/>
      <c r="CH4368"/>
      <c r="CI4368"/>
      <c r="CU4368" s="21">
        <v>4363</v>
      </c>
      <c r="CV4368" s="41">
        <v>4</v>
      </c>
      <c r="CW4368" s="41">
        <v>0.11332468572476186</v>
      </c>
      <c r="CX4368" s="41" t="e">
        <v>#N/A</v>
      </c>
      <c r="CY4368" s="41" t="e">
        <v>#N/A</v>
      </c>
      <c r="CZ4368" s="47" t="e">
        <v>#N/A</v>
      </c>
      <c r="DA4368">
        <v>0.11332468572476186</v>
      </c>
      <c r="DB4368" t="str">
        <v/>
      </c>
    </row>
    <row r="4369" spans="83:106" x14ac:dyDescent="0.2">
      <c r="CE4369"/>
      <c r="CF4369"/>
      <c r="CG4369"/>
      <c r="CH4369"/>
      <c r="CI4369"/>
      <c r="CU4369" s="21">
        <v>4364</v>
      </c>
      <c r="CV4369" s="41">
        <v>4</v>
      </c>
      <c r="CW4369" s="41">
        <v>0.11332468572476186</v>
      </c>
      <c r="CX4369" s="41" t="e">
        <v>#N/A</v>
      </c>
      <c r="CY4369" s="41" t="e">
        <v>#N/A</v>
      </c>
      <c r="CZ4369" s="47" t="e">
        <v>#N/A</v>
      </c>
      <c r="DA4369">
        <v>0.11332468572476186</v>
      </c>
      <c r="DB4369" t="str">
        <v/>
      </c>
    </row>
    <row r="4370" spans="83:106" x14ac:dyDescent="0.2">
      <c r="CE4370"/>
      <c r="CF4370"/>
      <c r="CG4370"/>
      <c r="CH4370"/>
      <c r="CI4370"/>
      <c r="CU4370" s="21">
        <v>4365</v>
      </c>
      <c r="CV4370" s="41">
        <v>4</v>
      </c>
      <c r="CW4370" s="41">
        <v>0.11332468572476186</v>
      </c>
      <c r="CX4370" s="41" t="e">
        <v>#N/A</v>
      </c>
      <c r="CY4370" s="41" t="e">
        <v>#N/A</v>
      </c>
      <c r="CZ4370" s="47" t="e">
        <v>#N/A</v>
      </c>
      <c r="DA4370">
        <v>0.11332468572476186</v>
      </c>
      <c r="DB4370" t="str">
        <v/>
      </c>
    </row>
    <row r="4371" spans="83:106" x14ac:dyDescent="0.2">
      <c r="CE4371"/>
      <c r="CF4371"/>
      <c r="CG4371"/>
      <c r="CH4371"/>
      <c r="CI4371"/>
      <c r="CU4371" s="21">
        <v>4366</v>
      </c>
      <c r="CV4371" s="41">
        <v>4</v>
      </c>
      <c r="CW4371" s="41">
        <v>0.11332468572476186</v>
      </c>
      <c r="CX4371" s="41" t="e">
        <v>#N/A</v>
      </c>
      <c r="CY4371" s="41" t="e">
        <v>#N/A</v>
      </c>
      <c r="CZ4371" s="47" t="e">
        <v>#N/A</v>
      </c>
      <c r="DA4371">
        <v>0.11332468572476186</v>
      </c>
      <c r="DB4371" t="str">
        <v/>
      </c>
    </row>
    <row r="4372" spans="83:106" x14ac:dyDescent="0.2">
      <c r="CE4372"/>
      <c r="CF4372"/>
      <c r="CG4372"/>
      <c r="CH4372"/>
      <c r="CI4372"/>
      <c r="CU4372" s="21">
        <v>4367</v>
      </c>
      <c r="CV4372" s="41">
        <v>4</v>
      </c>
      <c r="CW4372" s="41">
        <v>0.11332468572476186</v>
      </c>
      <c r="CX4372" s="41" t="e">
        <v>#N/A</v>
      </c>
      <c r="CY4372" s="41" t="e">
        <v>#N/A</v>
      </c>
      <c r="CZ4372" s="47" t="e">
        <v>#N/A</v>
      </c>
      <c r="DA4372">
        <v>0.11332468572476186</v>
      </c>
      <c r="DB4372" t="str">
        <v/>
      </c>
    </row>
    <row r="4373" spans="83:106" x14ac:dyDescent="0.2">
      <c r="CE4373"/>
      <c r="CF4373"/>
      <c r="CG4373"/>
      <c r="CH4373"/>
      <c r="CI4373"/>
      <c r="CU4373" s="21">
        <v>4368</v>
      </c>
      <c r="CV4373" s="41">
        <v>4</v>
      </c>
      <c r="CW4373" s="41">
        <v>0.11332468572476186</v>
      </c>
      <c r="CX4373" s="41" t="e">
        <v>#N/A</v>
      </c>
      <c r="CY4373" s="41" t="e">
        <v>#N/A</v>
      </c>
      <c r="CZ4373" s="47" t="e">
        <v>#N/A</v>
      </c>
      <c r="DA4373">
        <v>0.11332468572476186</v>
      </c>
      <c r="DB4373" t="str">
        <v/>
      </c>
    </row>
    <row r="4374" spans="83:106" x14ac:dyDescent="0.2">
      <c r="CE4374"/>
      <c r="CF4374"/>
      <c r="CG4374"/>
      <c r="CH4374"/>
      <c r="CI4374"/>
      <c r="CU4374" s="21">
        <v>4369</v>
      </c>
      <c r="CV4374" s="41">
        <v>4</v>
      </c>
      <c r="CW4374" s="41">
        <v>0.11332468572476186</v>
      </c>
      <c r="CX4374" s="41" t="e">
        <v>#N/A</v>
      </c>
      <c r="CY4374" s="41" t="e">
        <v>#N/A</v>
      </c>
      <c r="CZ4374" s="47" t="e">
        <v>#N/A</v>
      </c>
      <c r="DA4374">
        <v>0.11332468572476186</v>
      </c>
      <c r="DB4374" t="str">
        <v/>
      </c>
    </row>
    <row r="4375" spans="83:106" x14ac:dyDescent="0.2">
      <c r="CE4375"/>
      <c r="CF4375"/>
      <c r="CG4375"/>
      <c r="CH4375"/>
      <c r="CI4375"/>
      <c r="CU4375" s="21">
        <v>4370</v>
      </c>
      <c r="CV4375" s="41">
        <v>4</v>
      </c>
      <c r="CW4375" s="41">
        <v>0.11332468572476186</v>
      </c>
      <c r="CX4375" s="41" t="e">
        <v>#N/A</v>
      </c>
      <c r="CY4375" s="41" t="e">
        <v>#N/A</v>
      </c>
      <c r="CZ4375" s="47" t="e">
        <v>#N/A</v>
      </c>
      <c r="DA4375">
        <v>0.11332468572476186</v>
      </c>
      <c r="DB4375" t="str">
        <v/>
      </c>
    </row>
    <row r="4376" spans="83:106" x14ac:dyDescent="0.2">
      <c r="CE4376"/>
      <c r="CF4376"/>
      <c r="CG4376"/>
      <c r="CH4376"/>
      <c r="CI4376"/>
      <c r="CU4376" s="21">
        <v>4371</v>
      </c>
      <c r="CV4376" s="41">
        <v>4</v>
      </c>
      <c r="CW4376" s="41">
        <v>0.11332468572476186</v>
      </c>
      <c r="CX4376" s="41" t="e">
        <v>#N/A</v>
      </c>
      <c r="CY4376" s="41" t="e">
        <v>#N/A</v>
      </c>
      <c r="CZ4376" s="47" t="e">
        <v>#N/A</v>
      </c>
      <c r="DA4376">
        <v>0.11332468572476186</v>
      </c>
      <c r="DB4376" t="str">
        <v/>
      </c>
    </row>
    <row r="4377" spans="83:106" x14ac:dyDescent="0.2">
      <c r="CE4377"/>
      <c r="CF4377"/>
      <c r="CG4377"/>
      <c r="CH4377"/>
      <c r="CI4377"/>
      <c r="CU4377" s="21">
        <v>4372</v>
      </c>
      <c r="CV4377" s="41">
        <v>4</v>
      </c>
      <c r="CW4377" s="41">
        <v>0.11332468572476186</v>
      </c>
      <c r="CX4377" s="41" t="e">
        <v>#N/A</v>
      </c>
      <c r="CY4377" s="41" t="e">
        <v>#N/A</v>
      </c>
      <c r="CZ4377" s="47" t="e">
        <v>#N/A</v>
      </c>
      <c r="DA4377">
        <v>0.11332468572476186</v>
      </c>
      <c r="DB4377" t="str">
        <v/>
      </c>
    </row>
    <row r="4378" spans="83:106" x14ac:dyDescent="0.2">
      <c r="CE4378"/>
      <c r="CF4378"/>
      <c r="CG4378"/>
      <c r="CH4378"/>
      <c r="CI4378"/>
      <c r="CU4378" s="21">
        <v>4373</v>
      </c>
      <c r="CV4378" s="41">
        <v>4</v>
      </c>
      <c r="CW4378" s="41">
        <v>0.11332468572476186</v>
      </c>
      <c r="CX4378" s="41" t="e">
        <v>#N/A</v>
      </c>
      <c r="CY4378" s="41" t="e">
        <v>#N/A</v>
      </c>
      <c r="CZ4378" s="47" t="e">
        <v>#N/A</v>
      </c>
      <c r="DA4378">
        <v>0.11332468572476186</v>
      </c>
      <c r="DB4378" t="str">
        <v/>
      </c>
    </row>
    <row r="4379" spans="83:106" x14ac:dyDescent="0.2">
      <c r="CE4379"/>
      <c r="CF4379"/>
      <c r="CG4379"/>
      <c r="CH4379"/>
      <c r="CI4379"/>
      <c r="CU4379" s="21">
        <v>4374</v>
      </c>
      <c r="CV4379" s="41">
        <v>4</v>
      </c>
      <c r="CW4379" s="41">
        <v>0.11332468572476186</v>
      </c>
      <c r="CX4379" s="41" t="e">
        <v>#N/A</v>
      </c>
      <c r="CY4379" s="41" t="e">
        <v>#N/A</v>
      </c>
      <c r="CZ4379" s="47" t="e">
        <v>#N/A</v>
      </c>
      <c r="DA4379">
        <v>0.11332468572476186</v>
      </c>
      <c r="DB4379" t="str">
        <v/>
      </c>
    </row>
    <row r="4380" spans="83:106" x14ac:dyDescent="0.2">
      <c r="CE4380"/>
      <c r="CF4380"/>
      <c r="CG4380"/>
      <c r="CH4380"/>
      <c r="CI4380"/>
      <c r="CU4380" s="21">
        <v>4375</v>
      </c>
      <c r="CV4380" s="41">
        <v>4</v>
      </c>
      <c r="CW4380" s="41">
        <v>0.11332468572476186</v>
      </c>
      <c r="CX4380" s="41" t="e">
        <v>#N/A</v>
      </c>
      <c r="CY4380" s="41" t="e">
        <v>#N/A</v>
      </c>
      <c r="CZ4380" s="47" t="e">
        <v>#N/A</v>
      </c>
      <c r="DA4380">
        <v>0.11332468572476186</v>
      </c>
      <c r="DB4380" t="str">
        <v/>
      </c>
    </row>
    <row r="4381" spans="83:106" x14ac:dyDescent="0.2">
      <c r="CE4381"/>
      <c r="CF4381"/>
      <c r="CG4381"/>
      <c r="CH4381"/>
      <c r="CI4381"/>
      <c r="CU4381" s="21">
        <v>4376</v>
      </c>
      <c r="CV4381" s="41">
        <v>4</v>
      </c>
      <c r="CW4381" s="41">
        <v>0.11332468572476186</v>
      </c>
      <c r="CX4381" s="41" t="e">
        <v>#N/A</v>
      </c>
      <c r="CY4381" s="41" t="e">
        <v>#N/A</v>
      </c>
      <c r="CZ4381" s="47" t="e">
        <v>#N/A</v>
      </c>
      <c r="DA4381">
        <v>0.11332468572476186</v>
      </c>
      <c r="DB4381" t="str">
        <v/>
      </c>
    </row>
    <row r="4382" spans="83:106" x14ac:dyDescent="0.2">
      <c r="CE4382"/>
      <c r="CF4382"/>
      <c r="CG4382"/>
      <c r="CH4382"/>
      <c r="CI4382"/>
      <c r="CU4382" s="21">
        <v>4377</v>
      </c>
      <c r="CV4382" s="41">
        <v>4</v>
      </c>
      <c r="CW4382" s="41">
        <v>0.11332468572476186</v>
      </c>
      <c r="CX4382" s="41" t="e">
        <v>#N/A</v>
      </c>
      <c r="CY4382" s="41" t="e">
        <v>#N/A</v>
      </c>
      <c r="CZ4382" s="47" t="e">
        <v>#N/A</v>
      </c>
      <c r="DA4382">
        <v>0.11332468572476186</v>
      </c>
      <c r="DB4382" t="str">
        <v/>
      </c>
    </row>
    <row r="4383" spans="83:106" x14ac:dyDescent="0.2">
      <c r="CE4383"/>
      <c r="CF4383"/>
      <c r="CG4383"/>
      <c r="CH4383"/>
      <c r="CI4383"/>
      <c r="CU4383" s="21">
        <v>4378</v>
      </c>
      <c r="CV4383" s="41">
        <v>4</v>
      </c>
      <c r="CW4383" s="41">
        <v>0.11332468572476186</v>
      </c>
      <c r="CX4383" s="41" t="e">
        <v>#N/A</v>
      </c>
      <c r="CY4383" s="41" t="e">
        <v>#N/A</v>
      </c>
      <c r="CZ4383" s="47" t="e">
        <v>#N/A</v>
      </c>
      <c r="DA4383">
        <v>0.11332468572476186</v>
      </c>
      <c r="DB4383" t="str">
        <v/>
      </c>
    </row>
    <row r="4384" spans="83:106" x14ac:dyDescent="0.2">
      <c r="CE4384"/>
      <c r="CF4384"/>
      <c r="CG4384"/>
      <c r="CH4384"/>
      <c r="CI4384"/>
      <c r="CU4384" s="21">
        <v>4379</v>
      </c>
      <c r="CV4384" s="41">
        <v>4</v>
      </c>
      <c r="CW4384" s="41">
        <v>0.11332468572476186</v>
      </c>
      <c r="CX4384" s="41" t="e">
        <v>#N/A</v>
      </c>
      <c r="CY4384" s="41" t="e">
        <v>#N/A</v>
      </c>
      <c r="CZ4384" s="47" t="e">
        <v>#N/A</v>
      </c>
      <c r="DA4384">
        <v>0.11332468572476186</v>
      </c>
      <c r="DB4384" t="str">
        <v/>
      </c>
    </row>
    <row r="4385" spans="83:106" x14ac:dyDescent="0.2">
      <c r="CE4385"/>
      <c r="CF4385"/>
      <c r="CG4385"/>
      <c r="CH4385"/>
      <c r="CI4385"/>
      <c r="CU4385" s="21">
        <v>4380</v>
      </c>
      <c r="CV4385" s="41">
        <v>4</v>
      </c>
      <c r="CW4385" s="41">
        <v>0.11332468572476186</v>
      </c>
      <c r="CX4385" s="41" t="e">
        <v>#N/A</v>
      </c>
      <c r="CY4385" s="41" t="e">
        <v>#N/A</v>
      </c>
      <c r="CZ4385" s="47" t="e">
        <v>#N/A</v>
      </c>
      <c r="DA4385">
        <v>0.11332468572476186</v>
      </c>
      <c r="DB4385" t="str">
        <v/>
      </c>
    </row>
    <row r="4386" spans="83:106" x14ac:dyDescent="0.2">
      <c r="CE4386"/>
      <c r="CF4386"/>
      <c r="CG4386"/>
      <c r="CH4386"/>
      <c r="CI4386"/>
      <c r="CU4386" s="21">
        <v>4381</v>
      </c>
      <c r="CV4386" s="41">
        <v>4</v>
      </c>
      <c r="CW4386" s="41">
        <v>0.11332468572476186</v>
      </c>
      <c r="CX4386" s="41" t="e">
        <v>#N/A</v>
      </c>
      <c r="CY4386" s="41" t="e">
        <v>#N/A</v>
      </c>
      <c r="CZ4386" s="47" t="e">
        <v>#N/A</v>
      </c>
      <c r="DA4386">
        <v>0.11332468572476186</v>
      </c>
      <c r="DB4386" t="str">
        <v/>
      </c>
    </row>
    <row r="4387" spans="83:106" x14ac:dyDescent="0.2">
      <c r="CE4387"/>
      <c r="CF4387"/>
      <c r="CG4387"/>
      <c r="CH4387"/>
      <c r="CI4387"/>
      <c r="CU4387" s="21">
        <v>4382</v>
      </c>
      <c r="CV4387" s="41">
        <v>4</v>
      </c>
      <c r="CW4387" s="41">
        <v>0.11332468572476186</v>
      </c>
      <c r="CX4387" s="41" t="e">
        <v>#N/A</v>
      </c>
      <c r="CY4387" s="41" t="e">
        <v>#N/A</v>
      </c>
      <c r="CZ4387" s="47" t="e">
        <v>#N/A</v>
      </c>
      <c r="DA4387">
        <v>0.11332468572476186</v>
      </c>
      <c r="DB4387" t="str">
        <v/>
      </c>
    </row>
    <row r="4388" spans="83:106" x14ac:dyDescent="0.2">
      <c r="CE4388"/>
      <c r="CF4388"/>
      <c r="CG4388"/>
      <c r="CH4388"/>
      <c r="CI4388"/>
      <c r="CU4388" s="21">
        <v>4383</v>
      </c>
      <c r="CV4388" s="41">
        <v>4</v>
      </c>
      <c r="CW4388" s="41">
        <v>0.11332468572476186</v>
      </c>
      <c r="CX4388" s="41" t="e">
        <v>#N/A</v>
      </c>
      <c r="CY4388" s="41" t="e">
        <v>#N/A</v>
      </c>
      <c r="CZ4388" s="47" t="e">
        <v>#N/A</v>
      </c>
      <c r="DA4388">
        <v>0.11332468572476186</v>
      </c>
      <c r="DB4388" t="str">
        <v/>
      </c>
    </row>
    <row r="4389" spans="83:106" x14ac:dyDescent="0.2">
      <c r="CE4389"/>
      <c r="CF4389"/>
      <c r="CG4389"/>
      <c r="CH4389"/>
      <c r="CI4389"/>
      <c r="CU4389" s="21">
        <v>4384</v>
      </c>
      <c r="CV4389" s="41">
        <v>4</v>
      </c>
      <c r="CW4389" s="41">
        <v>0.11332468572476186</v>
      </c>
      <c r="CX4389" s="41" t="e">
        <v>#N/A</v>
      </c>
      <c r="CY4389" s="41" t="e">
        <v>#N/A</v>
      </c>
      <c r="CZ4389" s="47" t="e">
        <v>#N/A</v>
      </c>
      <c r="DA4389">
        <v>0.11332468572476186</v>
      </c>
      <c r="DB4389" t="str">
        <v/>
      </c>
    </row>
    <row r="4390" spans="83:106" x14ac:dyDescent="0.2">
      <c r="CE4390"/>
      <c r="CF4390"/>
      <c r="CG4390"/>
      <c r="CH4390"/>
      <c r="CI4390"/>
      <c r="CU4390" s="21">
        <v>4385</v>
      </c>
      <c r="CV4390" s="41">
        <v>4</v>
      </c>
      <c r="CW4390" s="41">
        <v>0.11332468572476186</v>
      </c>
      <c r="CX4390" s="41" t="e">
        <v>#N/A</v>
      </c>
      <c r="CY4390" s="41" t="e">
        <v>#N/A</v>
      </c>
      <c r="CZ4390" s="47" t="e">
        <v>#N/A</v>
      </c>
      <c r="DA4390">
        <v>0.11332468572476186</v>
      </c>
      <c r="DB4390" t="str">
        <v/>
      </c>
    </row>
    <row r="4391" spans="83:106" x14ac:dyDescent="0.2">
      <c r="CE4391"/>
      <c r="CF4391"/>
      <c r="CG4391"/>
      <c r="CH4391"/>
      <c r="CI4391"/>
      <c r="CU4391" s="21">
        <v>4386</v>
      </c>
      <c r="CV4391" s="41">
        <v>4</v>
      </c>
      <c r="CW4391" s="41">
        <v>0.11332468572476186</v>
      </c>
      <c r="CX4391" s="41" t="e">
        <v>#N/A</v>
      </c>
      <c r="CY4391" s="41" t="e">
        <v>#N/A</v>
      </c>
      <c r="CZ4391" s="47" t="e">
        <v>#N/A</v>
      </c>
      <c r="DA4391">
        <v>0.11332468572476186</v>
      </c>
      <c r="DB4391" t="str">
        <v/>
      </c>
    </row>
    <row r="4392" spans="83:106" x14ac:dyDescent="0.2">
      <c r="CE4392"/>
      <c r="CF4392"/>
      <c r="CG4392"/>
      <c r="CH4392"/>
      <c r="CI4392"/>
      <c r="CU4392" s="21">
        <v>4387</v>
      </c>
      <c r="CV4392" s="41">
        <v>4</v>
      </c>
      <c r="CW4392" s="41">
        <v>0.11332468572476186</v>
      </c>
      <c r="CX4392" s="41" t="e">
        <v>#N/A</v>
      </c>
      <c r="CY4392" s="41" t="e">
        <v>#N/A</v>
      </c>
      <c r="CZ4392" s="47" t="e">
        <v>#N/A</v>
      </c>
      <c r="DA4392">
        <v>0.11332468572476186</v>
      </c>
      <c r="DB4392" t="str">
        <v/>
      </c>
    </row>
    <row r="4393" spans="83:106" x14ac:dyDescent="0.2">
      <c r="CE4393"/>
      <c r="CF4393"/>
      <c r="CG4393"/>
      <c r="CH4393"/>
      <c r="CI4393"/>
      <c r="CU4393" s="21">
        <v>4388</v>
      </c>
      <c r="CV4393" s="41">
        <v>4</v>
      </c>
      <c r="CW4393" s="41">
        <v>0.11332468572476186</v>
      </c>
      <c r="CX4393" s="41" t="e">
        <v>#N/A</v>
      </c>
      <c r="CY4393" s="41" t="e">
        <v>#N/A</v>
      </c>
      <c r="CZ4393" s="47" t="e">
        <v>#N/A</v>
      </c>
      <c r="DA4393">
        <v>0.11332468572476186</v>
      </c>
      <c r="DB4393" t="str">
        <v/>
      </c>
    </row>
    <row r="4394" spans="83:106" x14ac:dyDescent="0.2">
      <c r="CE4394"/>
      <c r="CF4394"/>
      <c r="CG4394"/>
      <c r="CH4394"/>
      <c r="CI4394"/>
      <c r="CU4394" s="21">
        <v>4389</v>
      </c>
      <c r="CV4394" s="41">
        <v>4</v>
      </c>
      <c r="CW4394" s="41">
        <v>0.11332468572476186</v>
      </c>
      <c r="CX4394" s="41" t="e">
        <v>#N/A</v>
      </c>
      <c r="CY4394" s="41" t="e">
        <v>#N/A</v>
      </c>
      <c r="CZ4394" s="47" t="e">
        <v>#N/A</v>
      </c>
      <c r="DA4394">
        <v>0.11332468572476186</v>
      </c>
      <c r="DB4394" t="str">
        <v/>
      </c>
    </row>
    <row r="4395" spans="83:106" x14ac:dyDescent="0.2">
      <c r="CE4395"/>
      <c r="CF4395"/>
      <c r="CG4395"/>
      <c r="CH4395"/>
      <c r="CI4395"/>
      <c r="CU4395" s="21">
        <v>4390</v>
      </c>
      <c r="CV4395" s="41">
        <v>4</v>
      </c>
      <c r="CW4395" s="41">
        <v>0.11332468572476186</v>
      </c>
      <c r="CX4395" s="41" t="e">
        <v>#N/A</v>
      </c>
      <c r="CY4395" s="41" t="e">
        <v>#N/A</v>
      </c>
      <c r="CZ4395" s="47" t="e">
        <v>#N/A</v>
      </c>
      <c r="DA4395">
        <v>0.11332468572476186</v>
      </c>
      <c r="DB4395" t="str">
        <v/>
      </c>
    </row>
    <row r="4396" spans="83:106" x14ac:dyDescent="0.2">
      <c r="CE4396"/>
      <c r="CF4396"/>
      <c r="CG4396"/>
      <c r="CH4396"/>
      <c r="CI4396"/>
      <c r="CU4396" s="21">
        <v>4391</v>
      </c>
      <c r="CV4396" s="41">
        <v>4</v>
      </c>
      <c r="CW4396" s="41">
        <v>0.11332468572476186</v>
      </c>
      <c r="CX4396" s="41" t="e">
        <v>#N/A</v>
      </c>
      <c r="CY4396" s="41" t="e">
        <v>#N/A</v>
      </c>
      <c r="CZ4396" s="47" t="e">
        <v>#N/A</v>
      </c>
      <c r="DA4396">
        <v>0.11332468572476186</v>
      </c>
      <c r="DB4396" t="str">
        <v/>
      </c>
    </row>
    <row r="4397" spans="83:106" x14ac:dyDescent="0.2">
      <c r="CE4397"/>
      <c r="CF4397"/>
      <c r="CG4397"/>
      <c r="CH4397"/>
      <c r="CI4397"/>
      <c r="CU4397" s="21">
        <v>4392</v>
      </c>
      <c r="CV4397" s="41">
        <v>4</v>
      </c>
      <c r="CW4397" s="41">
        <v>0.11332468572476186</v>
      </c>
      <c r="CX4397" s="41" t="e">
        <v>#N/A</v>
      </c>
      <c r="CY4397" s="41" t="e">
        <v>#N/A</v>
      </c>
      <c r="CZ4397" s="47" t="e">
        <v>#N/A</v>
      </c>
      <c r="DA4397">
        <v>0.11332468572476186</v>
      </c>
      <c r="DB4397" t="str">
        <v/>
      </c>
    </row>
    <row r="4398" spans="83:106" x14ac:dyDescent="0.2">
      <c r="CE4398"/>
      <c r="CF4398"/>
      <c r="CG4398"/>
      <c r="CH4398"/>
      <c r="CI4398"/>
      <c r="CU4398" s="21">
        <v>4393</v>
      </c>
      <c r="CV4398" s="41">
        <v>4</v>
      </c>
      <c r="CW4398" s="41">
        <v>0.11332468572476186</v>
      </c>
      <c r="CX4398" s="41" t="e">
        <v>#N/A</v>
      </c>
      <c r="CY4398" s="41" t="e">
        <v>#N/A</v>
      </c>
      <c r="CZ4398" s="47" t="e">
        <v>#N/A</v>
      </c>
      <c r="DA4398">
        <v>0.11332468572476186</v>
      </c>
      <c r="DB4398" t="str">
        <v/>
      </c>
    </row>
    <row r="4399" spans="83:106" x14ac:dyDescent="0.2">
      <c r="CE4399"/>
      <c r="CF4399"/>
      <c r="CG4399"/>
      <c r="CH4399"/>
      <c r="CI4399"/>
      <c r="CU4399" s="21">
        <v>4394</v>
      </c>
      <c r="CV4399" s="41">
        <v>4</v>
      </c>
      <c r="CW4399" s="41">
        <v>0.11332468572476186</v>
      </c>
      <c r="CX4399" s="41" t="e">
        <v>#N/A</v>
      </c>
      <c r="CY4399" s="41" t="e">
        <v>#N/A</v>
      </c>
      <c r="CZ4399" s="47" t="e">
        <v>#N/A</v>
      </c>
      <c r="DA4399">
        <v>0.11332468572476186</v>
      </c>
      <c r="DB4399" t="str">
        <v/>
      </c>
    </row>
    <row r="4400" spans="83:106" x14ac:dyDescent="0.2">
      <c r="CE4400"/>
      <c r="CF4400"/>
      <c r="CG4400"/>
      <c r="CH4400"/>
      <c r="CI4400"/>
      <c r="CU4400" s="21">
        <v>4395</v>
      </c>
      <c r="CV4400" s="41">
        <v>4</v>
      </c>
      <c r="CW4400" s="41">
        <v>0.11332468572476186</v>
      </c>
      <c r="CX4400" s="41" t="e">
        <v>#N/A</v>
      </c>
      <c r="CY4400" s="41" t="e">
        <v>#N/A</v>
      </c>
      <c r="CZ4400" s="47" t="e">
        <v>#N/A</v>
      </c>
      <c r="DA4400">
        <v>0.11332468572476186</v>
      </c>
      <c r="DB4400" t="str">
        <v/>
      </c>
    </row>
    <row r="4401" spans="83:106" x14ac:dyDescent="0.2">
      <c r="CE4401"/>
      <c r="CF4401"/>
      <c r="CG4401"/>
      <c r="CH4401"/>
      <c r="CI4401"/>
      <c r="CU4401" s="21">
        <v>4396</v>
      </c>
      <c r="CV4401" s="41">
        <v>4</v>
      </c>
      <c r="CW4401" s="41">
        <v>0.11332468572476186</v>
      </c>
      <c r="CX4401" s="41" t="e">
        <v>#N/A</v>
      </c>
      <c r="CY4401" s="41" t="e">
        <v>#N/A</v>
      </c>
      <c r="CZ4401" s="47" t="e">
        <v>#N/A</v>
      </c>
      <c r="DA4401">
        <v>0.11332468572476186</v>
      </c>
      <c r="DB4401" t="str">
        <v/>
      </c>
    </row>
    <row r="4402" spans="83:106" x14ac:dyDescent="0.2">
      <c r="CE4402"/>
      <c r="CF4402"/>
      <c r="CG4402"/>
      <c r="CH4402"/>
      <c r="CI4402"/>
      <c r="CU4402" s="21">
        <v>4397</v>
      </c>
      <c r="CV4402" s="41">
        <v>4</v>
      </c>
      <c r="CW4402" s="41">
        <v>0.11332468572476186</v>
      </c>
      <c r="CX4402" s="41" t="e">
        <v>#N/A</v>
      </c>
      <c r="CY4402" s="41" t="e">
        <v>#N/A</v>
      </c>
      <c r="CZ4402" s="47" t="e">
        <v>#N/A</v>
      </c>
      <c r="DA4402">
        <v>0.11332468572476186</v>
      </c>
      <c r="DB4402" t="str">
        <v/>
      </c>
    </row>
    <row r="4403" spans="83:106" x14ac:dyDescent="0.2">
      <c r="CE4403"/>
      <c r="CF4403"/>
      <c r="CG4403"/>
      <c r="CH4403"/>
      <c r="CI4403"/>
      <c r="CU4403" s="21">
        <v>4398</v>
      </c>
      <c r="CV4403" s="41">
        <v>4</v>
      </c>
      <c r="CW4403" s="41">
        <v>0.11332468572476186</v>
      </c>
      <c r="CX4403" s="41" t="e">
        <v>#N/A</v>
      </c>
      <c r="CY4403" s="41" t="e">
        <v>#N/A</v>
      </c>
      <c r="CZ4403" s="47" t="e">
        <v>#N/A</v>
      </c>
      <c r="DA4403">
        <v>0.11332468572476186</v>
      </c>
      <c r="DB4403" t="str">
        <v/>
      </c>
    </row>
    <row r="4404" spans="83:106" x14ac:dyDescent="0.2">
      <c r="CE4404"/>
      <c r="CF4404"/>
      <c r="CG4404"/>
      <c r="CH4404"/>
      <c r="CI4404"/>
      <c r="CU4404" s="21">
        <v>4399</v>
      </c>
      <c r="CV4404" s="41">
        <v>4</v>
      </c>
      <c r="CW4404" s="41">
        <v>0.11332468572476186</v>
      </c>
      <c r="CX4404" s="41" t="e">
        <v>#N/A</v>
      </c>
      <c r="CY4404" s="41" t="e">
        <v>#N/A</v>
      </c>
      <c r="CZ4404" s="47" t="e">
        <v>#N/A</v>
      </c>
      <c r="DA4404">
        <v>0.11332468572476186</v>
      </c>
      <c r="DB4404" t="str">
        <v/>
      </c>
    </row>
    <row r="4405" spans="83:106" x14ac:dyDescent="0.2">
      <c r="CE4405"/>
      <c r="CF4405"/>
      <c r="CG4405"/>
      <c r="CH4405"/>
      <c r="CI4405"/>
      <c r="CU4405" s="21">
        <v>4400</v>
      </c>
      <c r="CV4405" s="41">
        <v>4</v>
      </c>
      <c r="CW4405" s="41">
        <v>0.11332468572476186</v>
      </c>
      <c r="CX4405" s="41" t="e">
        <v>#N/A</v>
      </c>
      <c r="CY4405" s="41" t="e">
        <v>#N/A</v>
      </c>
      <c r="CZ4405" s="47" t="e">
        <v>#N/A</v>
      </c>
      <c r="DA4405">
        <v>0.11332468572476186</v>
      </c>
      <c r="DB4405" t="str">
        <v/>
      </c>
    </row>
    <row r="4406" spans="83:106" x14ac:dyDescent="0.2">
      <c r="CE4406"/>
      <c r="CF4406"/>
      <c r="CG4406"/>
      <c r="CH4406"/>
      <c r="CI4406"/>
      <c r="CU4406" s="21">
        <v>4401</v>
      </c>
      <c r="CV4406" s="41">
        <v>4</v>
      </c>
      <c r="CW4406" s="41">
        <v>0.11332468572476186</v>
      </c>
      <c r="CX4406" s="41" t="e">
        <v>#N/A</v>
      </c>
      <c r="CY4406" s="41" t="e">
        <v>#N/A</v>
      </c>
      <c r="CZ4406" s="47" t="e">
        <v>#N/A</v>
      </c>
      <c r="DA4406">
        <v>0.11332468572476186</v>
      </c>
      <c r="DB4406" t="str">
        <v/>
      </c>
    </row>
    <row r="4407" spans="83:106" x14ac:dyDescent="0.2">
      <c r="CE4407"/>
      <c r="CF4407"/>
      <c r="CG4407"/>
      <c r="CH4407"/>
      <c r="CI4407"/>
      <c r="CU4407" s="21">
        <v>4402</v>
      </c>
      <c r="CV4407" s="41">
        <v>4</v>
      </c>
      <c r="CW4407" s="41">
        <v>0.11332468572476186</v>
      </c>
      <c r="CX4407" s="41" t="e">
        <v>#N/A</v>
      </c>
      <c r="CY4407" s="41" t="e">
        <v>#N/A</v>
      </c>
      <c r="CZ4407" s="47" t="e">
        <v>#N/A</v>
      </c>
      <c r="DA4407">
        <v>0.11332468572476186</v>
      </c>
      <c r="DB4407" t="str">
        <v/>
      </c>
    </row>
    <row r="4408" spans="83:106" x14ac:dyDescent="0.2">
      <c r="CE4408"/>
      <c r="CF4408"/>
      <c r="CG4408"/>
      <c r="CH4408"/>
      <c r="CI4408"/>
      <c r="CU4408" s="21">
        <v>4403</v>
      </c>
      <c r="CV4408" s="41">
        <v>4</v>
      </c>
      <c r="CW4408" s="41">
        <v>0.11332468572476186</v>
      </c>
      <c r="CX4408" s="41" t="e">
        <v>#N/A</v>
      </c>
      <c r="CY4408" s="41" t="e">
        <v>#N/A</v>
      </c>
      <c r="CZ4408" s="47" t="e">
        <v>#N/A</v>
      </c>
      <c r="DA4408">
        <v>0.11332468572476186</v>
      </c>
      <c r="DB4408" t="str">
        <v/>
      </c>
    </row>
    <row r="4409" spans="83:106" x14ac:dyDescent="0.2">
      <c r="CE4409"/>
      <c r="CF4409"/>
      <c r="CG4409"/>
      <c r="CH4409"/>
      <c r="CI4409"/>
      <c r="CU4409" s="21">
        <v>4404</v>
      </c>
      <c r="CV4409" s="41">
        <v>4</v>
      </c>
      <c r="CW4409" s="41">
        <v>0.11332468572476186</v>
      </c>
      <c r="CX4409" s="41" t="e">
        <v>#N/A</v>
      </c>
      <c r="CY4409" s="41" t="e">
        <v>#N/A</v>
      </c>
      <c r="CZ4409" s="47" t="e">
        <v>#N/A</v>
      </c>
      <c r="DA4409">
        <v>0.11332468572476186</v>
      </c>
      <c r="DB4409" t="str">
        <v/>
      </c>
    </row>
    <row r="4410" spans="83:106" x14ac:dyDescent="0.2">
      <c r="CE4410"/>
      <c r="CF4410"/>
      <c r="CG4410"/>
      <c r="CH4410"/>
      <c r="CI4410"/>
      <c r="CU4410" s="21">
        <v>4405</v>
      </c>
      <c r="CV4410" s="41">
        <v>4</v>
      </c>
      <c r="CW4410" s="41">
        <v>0.11332468572476186</v>
      </c>
      <c r="CX4410" s="41" t="e">
        <v>#N/A</v>
      </c>
      <c r="CY4410" s="41" t="e">
        <v>#N/A</v>
      </c>
      <c r="CZ4410" s="47" t="e">
        <v>#N/A</v>
      </c>
      <c r="DA4410">
        <v>0.11332468572476186</v>
      </c>
      <c r="DB4410" t="str">
        <v/>
      </c>
    </row>
    <row r="4411" spans="83:106" x14ac:dyDescent="0.2">
      <c r="CE4411"/>
      <c r="CF4411"/>
      <c r="CG4411"/>
      <c r="CH4411"/>
      <c r="CI4411"/>
      <c r="CU4411" s="21">
        <v>4406</v>
      </c>
      <c r="CV4411" s="41">
        <v>4</v>
      </c>
      <c r="CW4411" s="41">
        <v>0.11332468572476186</v>
      </c>
      <c r="CX4411" s="41" t="e">
        <v>#N/A</v>
      </c>
      <c r="CY4411" s="41" t="e">
        <v>#N/A</v>
      </c>
      <c r="CZ4411" s="47" t="e">
        <v>#N/A</v>
      </c>
      <c r="DA4411">
        <v>0.11332468572476186</v>
      </c>
      <c r="DB4411" t="str">
        <v/>
      </c>
    </row>
    <row r="4412" spans="83:106" x14ac:dyDescent="0.2">
      <c r="CE4412"/>
      <c r="CF4412"/>
      <c r="CG4412"/>
      <c r="CH4412"/>
      <c r="CI4412"/>
      <c r="CU4412" s="21">
        <v>4407</v>
      </c>
      <c r="CV4412" s="41">
        <v>4</v>
      </c>
      <c r="CW4412" s="41">
        <v>0.11332468572476186</v>
      </c>
      <c r="CX4412" s="41" t="e">
        <v>#N/A</v>
      </c>
      <c r="CY4412" s="41" t="e">
        <v>#N/A</v>
      </c>
      <c r="CZ4412" s="47" t="e">
        <v>#N/A</v>
      </c>
      <c r="DA4412">
        <v>0.11332468572476186</v>
      </c>
      <c r="DB4412" t="str">
        <v/>
      </c>
    </row>
    <row r="4413" spans="83:106" x14ac:dyDescent="0.2">
      <c r="CE4413"/>
      <c r="CF4413"/>
      <c r="CG4413"/>
      <c r="CH4413"/>
      <c r="CI4413"/>
      <c r="CU4413" s="21">
        <v>4408</v>
      </c>
      <c r="CV4413" s="41">
        <v>4</v>
      </c>
      <c r="CW4413" s="41">
        <v>0.11332468572476186</v>
      </c>
      <c r="CX4413" s="41" t="e">
        <v>#N/A</v>
      </c>
      <c r="CY4413" s="41" t="e">
        <v>#N/A</v>
      </c>
      <c r="CZ4413" s="47" t="e">
        <v>#N/A</v>
      </c>
      <c r="DA4413">
        <v>0.11332468572476186</v>
      </c>
      <c r="DB4413" t="str">
        <v/>
      </c>
    </row>
    <row r="4414" spans="83:106" x14ac:dyDescent="0.2">
      <c r="CE4414"/>
      <c r="CF4414"/>
      <c r="CG4414"/>
      <c r="CH4414"/>
      <c r="CI4414"/>
      <c r="CU4414" s="21">
        <v>4409</v>
      </c>
      <c r="CV4414" s="41">
        <v>4</v>
      </c>
      <c r="CW4414" s="41">
        <v>0.11332468572476186</v>
      </c>
      <c r="CX4414" s="41" t="e">
        <v>#N/A</v>
      </c>
      <c r="CY4414" s="41" t="e">
        <v>#N/A</v>
      </c>
      <c r="CZ4414" s="47" t="e">
        <v>#N/A</v>
      </c>
      <c r="DA4414">
        <v>0.11332468572476186</v>
      </c>
      <c r="DB4414" t="str">
        <v/>
      </c>
    </row>
    <row r="4415" spans="83:106" x14ac:dyDescent="0.2">
      <c r="CE4415"/>
      <c r="CF4415"/>
      <c r="CG4415"/>
      <c r="CH4415"/>
      <c r="CI4415"/>
      <c r="CU4415" s="21">
        <v>4410</v>
      </c>
      <c r="CV4415" s="41">
        <v>4</v>
      </c>
      <c r="CW4415" s="41">
        <v>0.11332468572476186</v>
      </c>
      <c r="CX4415" s="41" t="e">
        <v>#N/A</v>
      </c>
      <c r="CY4415" s="41" t="e">
        <v>#N/A</v>
      </c>
      <c r="CZ4415" s="47" t="e">
        <v>#N/A</v>
      </c>
      <c r="DA4415">
        <v>0.11332468572476186</v>
      </c>
      <c r="DB4415" t="str">
        <v/>
      </c>
    </row>
    <row r="4416" spans="83:106" x14ac:dyDescent="0.2">
      <c r="CE4416"/>
      <c r="CF4416"/>
      <c r="CG4416"/>
      <c r="CH4416"/>
      <c r="CI4416"/>
      <c r="CU4416" s="21">
        <v>4411</v>
      </c>
      <c r="CV4416" s="41">
        <v>4</v>
      </c>
      <c r="CW4416" s="41">
        <v>0.11332468572476186</v>
      </c>
      <c r="CX4416" s="41" t="e">
        <v>#N/A</v>
      </c>
      <c r="CY4416" s="41" t="e">
        <v>#N/A</v>
      </c>
      <c r="CZ4416" s="47" t="e">
        <v>#N/A</v>
      </c>
      <c r="DA4416">
        <v>0.11332468572476186</v>
      </c>
      <c r="DB4416" t="str">
        <v/>
      </c>
    </row>
    <row r="4417" spans="83:106" x14ac:dyDescent="0.2">
      <c r="CE4417"/>
      <c r="CF4417"/>
      <c r="CG4417"/>
      <c r="CH4417"/>
      <c r="CI4417"/>
      <c r="CU4417" s="21">
        <v>4412</v>
      </c>
      <c r="CV4417" s="41">
        <v>4</v>
      </c>
      <c r="CW4417" s="41">
        <v>0.11332468572476186</v>
      </c>
      <c r="CX4417" s="41" t="e">
        <v>#N/A</v>
      </c>
      <c r="CY4417" s="41" t="e">
        <v>#N/A</v>
      </c>
      <c r="CZ4417" s="47" t="e">
        <v>#N/A</v>
      </c>
      <c r="DA4417">
        <v>0.11332468572476186</v>
      </c>
      <c r="DB4417" t="str">
        <v/>
      </c>
    </row>
    <row r="4418" spans="83:106" x14ac:dyDescent="0.2">
      <c r="CE4418"/>
      <c r="CF4418"/>
      <c r="CG4418"/>
      <c r="CH4418"/>
      <c r="CI4418"/>
      <c r="CU4418" s="21">
        <v>4413</v>
      </c>
      <c r="CV4418" s="41">
        <v>4</v>
      </c>
      <c r="CW4418" s="41">
        <v>0.11332468572476186</v>
      </c>
      <c r="CX4418" s="41" t="e">
        <v>#N/A</v>
      </c>
      <c r="CY4418" s="41" t="e">
        <v>#N/A</v>
      </c>
      <c r="CZ4418" s="47" t="e">
        <v>#N/A</v>
      </c>
      <c r="DA4418">
        <v>0.11332468572476186</v>
      </c>
      <c r="DB4418" t="str">
        <v/>
      </c>
    </row>
    <row r="4419" spans="83:106" x14ac:dyDescent="0.2">
      <c r="CE4419"/>
      <c r="CF4419"/>
      <c r="CG4419"/>
      <c r="CH4419"/>
      <c r="CI4419"/>
      <c r="CU4419" s="21">
        <v>4414</v>
      </c>
      <c r="CV4419" s="41">
        <v>4</v>
      </c>
      <c r="CW4419" s="41">
        <v>0.11332468572476186</v>
      </c>
      <c r="CX4419" s="41" t="e">
        <v>#N/A</v>
      </c>
      <c r="CY4419" s="41" t="e">
        <v>#N/A</v>
      </c>
      <c r="CZ4419" s="47" t="e">
        <v>#N/A</v>
      </c>
      <c r="DA4419">
        <v>0.11332468572476186</v>
      </c>
      <c r="DB4419" t="str">
        <v/>
      </c>
    </row>
    <row r="4420" spans="83:106" x14ac:dyDescent="0.2">
      <c r="CE4420"/>
      <c r="CF4420"/>
      <c r="CG4420"/>
      <c r="CH4420"/>
      <c r="CI4420"/>
      <c r="CU4420" s="21">
        <v>4415</v>
      </c>
      <c r="CV4420" s="41">
        <v>4</v>
      </c>
      <c r="CW4420" s="41">
        <v>0.11332468572476186</v>
      </c>
      <c r="CX4420" s="41" t="e">
        <v>#N/A</v>
      </c>
      <c r="CY4420" s="41" t="e">
        <v>#N/A</v>
      </c>
      <c r="CZ4420" s="47" t="e">
        <v>#N/A</v>
      </c>
      <c r="DA4420">
        <v>0.11332468572476186</v>
      </c>
      <c r="DB4420" t="str">
        <v/>
      </c>
    </row>
    <row r="4421" spans="83:106" x14ac:dyDescent="0.2">
      <c r="CE4421"/>
      <c r="CF4421"/>
      <c r="CG4421"/>
      <c r="CH4421"/>
      <c r="CI4421"/>
      <c r="CU4421" s="21">
        <v>4416</v>
      </c>
      <c r="CV4421" s="41">
        <v>4</v>
      </c>
      <c r="CW4421" s="41">
        <v>0.11332468572476186</v>
      </c>
      <c r="CX4421" s="41" t="e">
        <v>#N/A</v>
      </c>
      <c r="CY4421" s="41" t="e">
        <v>#N/A</v>
      </c>
      <c r="CZ4421" s="47" t="e">
        <v>#N/A</v>
      </c>
      <c r="DA4421">
        <v>0.11332468572476186</v>
      </c>
      <c r="DB4421" t="str">
        <v/>
      </c>
    </row>
    <row r="4422" spans="83:106" x14ac:dyDescent="0.2">
      <c r="CE4422"/>
      <c r="CF4422"/>
      <c r="CG4422"/>
      <c r="CH4422"/>
      <c r="CI4422"/>
      <c r="CU4422" s="21">
        <v>4417</v>
      </c>
      <c r="CV4422" s="41">
        <v>4</v>
      </c>
      <c r="CW4422" s="41">
        <v>0.11332468572476186</v>
      </c>
      <c r="CX4422" s="41" t="e">
        <v>#N/A</v>
      </c>
      <c r="CY4422" s="41" t="e">
        <v>#N/A</v>
      </c>
      <c r="CZ4422" s="47" t="e">
        <v>#N/A</v>
      </c>
      <c r="DA4422">
        <v>0.11332468572476186</v>
      </c>
      <c r="DB4422" t="str">
        <v/>
      </c>
    </row>
    <row r="4423" spans="83:106" x14ac:dyDescent="0.2">
      <c r="CE4423"/>
      <c r="CF4423"/>
      <c r="CG4423"/>
      <c r="CH4423"/>
      <c r="CI4423"/>
      <c r="CU4423" s="21">
        <v>4418</v>
      </c>
      <c r="CV4423" s="41">
        <v>4</v>
      </c>
      <c r="CW4423" s="41">
        <v>0.11332468572476186</v>
      </c>
      <c r="CX4423" s="41" t="e">
        <v>#N/A</v>
      </c>
      <c r="CY4423" s="41" t="e">
        <v>#N/A</v>
      </c>
      <c r="CZ4423" s="47" t="e">
        <v>#N/A</v>
      </c>
      <c r="DA4423">
        <v>0.11332468572476186</v>
      </c>
      <c r="DB4423" t="str">
        <v/>
      </c>
    </row>
    <row r="4424" spans="83:106" x14ac:dyDescent="0.2">
      <c r="CE4424"/>
      <c r="CF4424"/>
      <c r="CG4424"/>
      <c r="CH4424"/>
      <c r="CI4424"/>
      <c r="CU4424" s="21">
        <v>4419</v>
      </c>
      <c r="CV4424" s="41">
        <v>4</v>
      </c>
      <c r="CW4424" s="41">
        <v>0.11332468572476186</v>
      </c>
      <c r="CX4424" s="41" t="e">
        <v>#N/A</v>
      </c>
      <c r="CY4424" s="41" t="e">
        <v>#N/A</v>
      </c>
      <c r="CZ4424" s="47" t="e">
        <v>#N/A</v>
      </c>
      <c r="DA4424">
        <v>0.11332468572476186</v>
      </c>
      <c r="DB4424" t="str">
        <v/>
      </c>
    </row>
    <row r="4425" spans="83:106" x14ac:dyDescent="0.2">
      <c r="CE4425"/>
      <c r="CF4425"/>
      <c r="CG4425"/>
      <c r="CH4425"/>
      <c r="CI4425"/>
      <c r="CU4425" s="21">
        <v>4420</v>
      </c>
      <c r="CV4425" s="41">
        <v>4</v>
      </c>
      <c r="CW4425" s="41">
        <v>0.11332468572476186</v>
      </c>
      <c r="CX4425" s="41" t="e">
        <v>#N/A</v>
      </c>
      <c r="CY4425" s="41" t="e">
        <v>#N/A</v>
      </c>
      <c r="CZ4425" s="47" t="e">
        <v>#N/A</v>
      </c>
      <c r="DA4425">
        <v>0.11332468572476186</v>
      </c>
      <c r="DB4425" t="str">
        <v/>
      </c>
    </row>
    <row r="4426" spans="83:106" x14ac:dyDescent="0.2">
      <c r="CE4426"/>
      <c r="CF4426"/>
      <c r="CG4426"/>
      <c r="CH4426"/>
      <c r="CI4426"/>
      <c r="CU4426" s="21">
        <v>4421</v>
      </c>
      <c r="CV4426" s="41">
        <v>4</v>
      </c>
      <c r="CW4426" s="41">
        <v>0.11332468572476186</v>
      </c>
      <c r="CX4426" s="41" t="e">
        <v>#N/A</v>
      </c>
      <c r="CY4426" s="41" t="e">
        <v>#N/A</v>
      </c>
      <c r="CZ4426" s="47" t="e">
        <v>#N/A</v>
      </c>
      <c r="DA4426">
        <v>0.11332468572476186</v>
      </c>
      <c r="DB4426" t="str">
        <v/>
      </c>
    </row>
    <row r="4427" spans="83:106" x14ac:dyDescent="0.2">
      <c r="CE4427"/>
      <c r="CF4427"/>
      <c r="CG4427"/>
      <c r="CH4427"/>
      <c r="CI4427"/>
      <c r="CU4427" s="21">
        <v>4422</v>
      </c>
      <c r="CV4427" s="41">
        <v>4</v>
      </c>
      <c r="CW4427" s="41">
        <v>0.11332468572476186</v>
      </c>
      <c r="CX4427" s="41" t="e">
        <v>#N/A</v>
      </c>
      <c r="CY4427" s="41" t="e">
        <v>#N/A</v>
      </c>
      <c r="CZ4427" s="47" t="e">
        <v>#N/A</v>
      </c>
      <c r="DA4427">
        <v>0.11332468572476186</v>
      </c>
      <c r="DB4427" t="str">
        <v/>
      </c>
    </row>
    <row r="4428" spans="83:106" x14ac:dyDescent="0.2">
      <c r="CE4428"/>
      <c r="CF4428"/>
      <c r="CG4428"/>
      <c r="CH4428"/>
      <c r="CI4428"/>
      <c r="CU4428" s="21">
        <v>4423</v>
      </c>
      <c r="CV4428" s="41">
        <v>4</v>
      </c>
      <c r="CW4428" s="41">
        <v>0.11332468572476186</v>
      </c>
      <c r="CX4428" s="41" t="e">
        <v>#N/A</v>
      </c>
      <c r="CY4428" s="41" t="e">
        <v>#N/A</v>
      </c>
      <c r="CZ4428" s="47" t="e">
        <v>#N/A</v>
      </c>
      <c r="DA4428">
        <v>0.11332468572476186</v>
      </c>
      <c r="DB4428" t="str">
        <v/>
      </c>
    </row>
    <row r="4429" spans="83:106" x14ac:dyDescent="0.2">
      <c r="CE4429"/>
      <c r="CF4429"/>
      <c r="CG4429"/>
      <c r="CH4429"/>
      <c r="CI4429"/>
      <c r="CU4429" s="21">
        <v>4424</v>
      </c>
      <c r="CV4429" s="41">
        <v>4</v>
      </c>
      <c r="CW4429" s="41">
        <v>0.11332468572476186</v>
      </c>
      <c r="CX4429" s="41" t="e">
        <v>#N/A</v>
      </c>
      <c r="CY4429" s="41" t="e">
        <v>#N/A</v>
      </c>
      <c r="CZ4429" s="47" t="e">
        <v>#N/A</v>
      </c>
      <c r="DA4429">
        <v>0.11332468572476186</v>
      </c>
      <c r="DB4429" t="str">
        <v/>
      </c>
    </row>
    <row r="4430" spans="83:106" x14ac:dyDescent="0.2">
      <c r="CE4430"/>
      <c r="CF4430"/>
      <c r="CG4430"/>
      <c r="CH4430"/>
      <c r="CI4430"/>
      <c r="CU4430" s="21">
        <v>4425</v>
      </c>
      <c r="CV4430" s="41">
        <v>4</v>
      </c>
      <c r="CW4430" s="41">
        <v>0.11332468572476186</v>
      </c>
      <c r="CX4430" s="41" t="e">
        <v>#N/A</v>
      </c>
      <c r="CY4430" s="41" t="e">
        <v>#N/A</v>
      </c>
      <c r="CZ4430" s="47" t="e">
        <v>#N/A</v>
      </c>
      <c r="DA4430">
        <v>0.11332468572476186</v>
      </c>
      <c r="DB4430" t="str">
        <v/>
      </c>
    </row>
    <row r="4431" spans="83:106" x14ac:dyDescent="0.2">
      <c r="CE4431"/>
      <c r="CF4431"/>
      <c r="CG4431"/>
      <c r="CH4431"/>
      <c r="CI4431"/>
      <c r="CU4431" s="21">
        <v>4426</v>
      </c>
      <c r="CV4431" s="41">
        <v>4</v>
      </c>
      <c r="CW4431" s="41">
        <v>0.11332468572476186</v>
      </c>
      <c r="CX4431" s="41" t="e">
        <v>#N/A</v>
      </c>
      <c r="CY4431" s="41" t="e">
        <v>#N/A</v>
      </c>
      <c r="CZ4431" s="47" t="e">
        <v>#N/A</v>
      </c>
      <c r="DA4431">
        <v>0.11332468572476186</v>
      </c>
      <c r="DB4431" t="str">
        <v/>
      </c>
    </row>
    <row r="4432" spans="83:106" x14ac:dyDescent="0.2">
      <c r="CE4432"/>
      <c r="CF4432"/>
      <c r="CG4432"/>
      <c r="CH4432"/>
      <c r="CI4432"/>
      <c r="CU4432" s="21">
        <v>4427</v>
      </c>
      <c r="CV4432" s="41">
        <v>4</v>
      </c>
      <c r="CW4432" s="41">
        <v>0.11332468572476186</v>
      </c>
      <c r="CX4432" s="41" t="e">
        <v>#N/A</v>
      </c>
      <c r="CY4432" s="41" t="e">
        <v>#N/A</v>
      </c>
      <c r="CZ4432" s="47" t="e">
        <v>#N/A</v>
      </c>
      <c r="DA4432">
        <v>0.11332468572476186</v>
      </c>
      <c r="DB4432" t="str">
        <v/>
      </c>
    </row>
    <row r="4433" spans="83:106" x14ac:dyDescent="0.2">
      <c r="CE4433"/>
      <c r="CF4433"/>
      <c r="CG4433"/>
      <c r="CH4433"/>
      <c r="CI4433"/>
      <c r="CU4433" s="21">
        <v>4428</v>
      </c>
      <c r="CV4433" s="41">
        <v>4</v>
      </c>
      <c r="CW4433" s="41">
        <v>0.11332468572476186</v>
      </c>
      <c r="CX4433" s="41" t="e">
        <v>#N/A</v>
      </c>
      <c r="CY4433" s="41" t="e">
        <v>#N/A</v>
      </c>
      <c r="CZ4433" s="47" t="e">
        <v>#N/A</v>
      </c>
      <c r="DA4433">
        <v>0.11332468572476186</v>
      </c>
      <c r="DB4433" t="str">
        <v/>
      </c>
    </row>
    <row r="4434" spans="83:106" x14ac:dyDescent="0.2">
      <c r="CE4434"/>
      <c r="CF4434"/>
      <c r="CG4434"/>
      <c r="CH4434"/>
      <c r="CI4434"/>
      <c r="CU4434" s="21">
        <v>4429</v>
      </c>
      <c r="CV4434" s="41">
        <v>4</v>
      </c>
      <c r="CW4434" s="41">
        <v>0.11332468572476186</v>
      </c>
      <c r="CX4434" s="41" t="e">
        <v>#N/A</v>
      </c>
      <c r="CY4434" s="41" t="e">
        <v>#N/A</v>
      </c>
      <c r="CZ4434" s="47" t="e">
        <v>#N/A</v>
      </c>
      <c r="DA4434">
        <v>0.11332468572476186</v>
      </c>
      <c r="DB4434" t="str">
        <v/>
      </c>
    </row>
    <row r="4435" spans="83:106" x14ac:dyDescent="0.2">
      <c r="CE4435"/>
      <c r="CF4435"/>
      <c r="CG4435"/>
      <c r="CH4435"/>
      <c r="CI4435"/>
      <c r="CU4435" s="21">
        <v>4430</v>
      </c>
      <c r="CV4435" s="41">
        <v>4</v>
      </c>
      <c r="CW4435" s="41">
        <v>0.11332468572476186</v>
      </c>
      <c r="CX4435" s="41" t="e">
        <v>#N/A</v>
      </c>
      <c r="CY4435" s="41" t="e">
        <v>#N/A</v>
      </c>
      <c r="CZ4435" s="47" t="e">
        <v>#N/A</v>
      </c>
      <c r="DA4435">
        <v>0.11332468572476186</v>
      </c>
      <c r="DB4435" t="str">
        <v/>
      </c>
    </row>
    <row r="4436" spans="83:106" x14ac:dyDescent="0.2">
      <c r="CE4436"/>
      <c r="CF4436"/>
      <c r="CG4436"/>
      <c r="CH4436"/>
      <c r="CI4436"/>
      <c r="CU4436" s="21">
        <v>4431</v>
      </c>
      <c r="CV4436" s="41">
        <v>4</v>
      </c>
      <c r="CW4436" s="41">
        <v>0.11332468572476186</v>
      </c>
      <c r="CX4436" s="41" t="e">
        <v>#N/A</v>
      </c>
      <c r="CY4436" s="41" t="e">
        <v>#N/A</v>
      </c>
      <c r="CZ4436" s="47" t="e">
        <v>#N/A</v>
      </c>
      <c r="DA4436">
        <v>0.11332468572476186</v>
      </c>
      <c r="DB4436" t="str">
        <v/>
      </c>
    </row>
    <row r="4437" spans="83:106" x14ac:dyDescent="0.2">
      <c r="CE4437"/>
      <c r="CF4437"/>
      <c r="CG4437"/>
      <c r="CH4437"/>
      <c r="CI4437"/>
      <c r="CU4437" s="21">
        <v>4432</v>
      </c>
      <c r="CV4437" s="41">
        <v>4</v>
      </c>
      <c r="CW4437" s="41">
        <v>0.11332468572476186</v>
      </c>
      <c r="CX4437" s="41" t="e">
        <v>#N/A</v>
      </c>
      <c r="CY4437" s="41" t="e">
        <v>#N/A</v>
      </c>
      <c r="CZ4437" s="47" t="e">
        <v>#N/A</v>
      </c>
      <c r="DA4437">
        <v>0.11332468572476186</v>
      </c>
      <c r="DB4437" t="str">
        <v/>
      </c>
    </row>
    <row r="4438" spans="83:106" x14ac:dyDescent="0.2">
      <c r="CE4438"/>
      <c r="CF4438"/>
      <c r="CG4438"/>
      <c r="CH4438"/>
      <c r="CI4438"/>
      <c r="CU4438" s="21">
        <v>4433</v>
      </c>
      <c r="CV4438" s="41">
        <v>4</v>
      </c>
      <c r="CW4438" s="41">
        <v>0.11332468572476186</v>
      </c>
      <c r="CX4438" s="41" t="e">
        <v>#N/A</v>
      </c>
      <c r="CY4438" s="41" t="e">
        <v>#N/A</v>
      </c>
      <c r="CZ4438" s="47" t="e">
        <v>#N/A</v>
      </c>
      <c r="DA4438">
        <v>0.11332468572476186</v>
      </c>
      <c r="DB4438" t="str">
        <v/>
      </c>
    </row>
    <row r="4439" spans="83:106" x14ac:dyDescent="0.2">
      <c r="CE4439"/>
      <c r="CF4439"/>
      <c r="CG4439"/>
      <c r="CH4439"/>
      <c r="CI4439"/>
      <c r="CU4439" s="21">
        <v>4434</v>
      </c>
      <c r="CV4439" s="41">
        <v>4</v>
      </c>
      <c r="CW4439" s="41">
        <v>0.11332468572476186</v>
      </c>
      <c r="CX4439" s="41" t="e">
        <v>#N/A</v>
      </c>
      <c r="CY4439" s="41" t="e">
        <v>#N/A</v>
      </c>
      <c r="CZ4439" s="47" t="e">
        <v>#N/A</v>
      </c>
      <c r="DA4439">
        <v>0.11332468572476186</v>
      </c>
      <c r="DB4439" t="str">
        <v/>
      </c>
    </row>
    <row r="4440" spans="83:106" x14ac:dyDescent="0.2">
      <c r="CE4440"/>
      <c r="CF4440"/>
      <c r="CG4440"/>
      <c r="CH4440"/>
      <c r="CI4440"/>
      <c r="CU4440" s="21">
        <v>4435</v>
      </c>
      <c r="CV4440" s="41">
        <v>4</v>
      </c>
      <c r="CW4440" s="41">
        <v>0.11332468572476186</v>
      </c>
      <c r="CX4440" s="41" t="e">
        <v>#N/A</v>
      </c>
      <c r="CY4440" s="41" t="e">
        <v>#N/A</v>
      </c>
      <c r="CZ4440" s="47" t="e">
        <v>#N/A</v>
      </c>
      <c r="DA4440">
        <v>0.11332468572476186</v>
      </c>
      <c r="DB4440" t="str">
        <v/>
      </c>
    </row>
    <row r="4441" spans="83:106" x14ac:dyDescent="0.2">
      <c r="CE4441"/>
      <c r="CF4441"/>
      <c r="CG4441"/>
      <c r="CH4441"/>
      <c r="CI4441"/>
      <c r="CU4441" s="21">
        <v>4436</v>
      </c>
      <c r="CV4441" s="41">
        <v>4</v>
      </c>
      <c r="CW4441" s="41">
        <v>0.11332468572476186</v>
      </c>
      <c r="CX4441" s="41" t="e">
        <v>#N/A</v>
      </c>
      <c r="CY4441" s="41" t="e">
        <v>#N/A</v>
      </c>
      <c r="CZ4441" s="47" t="e">
        <v>#N/A</v>
      </c>
      <c r="DA4441">
        <v>0.11332468572476186</v>
      </c>
      <c r="DB4441" t="str">
        <v/>
      </c>
    </row>
    <row r="4442" spans="83:106" x14ac:dyDescent="0.2">
      <c r="CE4442"/>
      <c r="CF4442"/>
      <c r="CG4442"/>
      <c r="CH4442"/>
      <c r="CI4442"/>
      <c r="CU4442" s="21">
        <v>4437</v>
      </c>
      <c r="CV4442" s="41">
        <v>4</v>
      </c>
      <c r="CW4442" s="41">
        <v>0.11332468572476186</v>
      </c>
      <c r="CX4442" s="41" t="e">
        <v>#N/A</v>
      </c>
      <c r="CY4442" s="41" t="e">
        <v>#N/A</v>
      </c>
      <c r="CZ4442" s="47" t="e">
        <v>#N/A</v>
      </c>
      <c r="DA4442">
        <v>0.11332468572476186</v>
      </c>
      <c r="DB4442" t="str">
        <v/>
      </c>
    </row>
    <row r="4443" spans="83:106" x14ac:dyDescent="0.2">
      <c r="CE4443"/>
      <c r="CF4443"/>
      <c r="CG4443"/>
      <c r="CH4443"/>
      <c r="CI4443"/>
      <c r="CU4443" s="21">
        <v>4438</v>
      </c>
      <c r="CV4443" s="41">
        <v>4</v>
      </c>
      <c r="CW4443" s="41">
        <v>0.11332468572476186</v>
      </c>
      <c r="CX4443" s="41" t="e">
        <v>#N/A</v>
      </c>
      <c r="CY4443" s="41" t="e">
        <v>#N/A</v>
      </c>
      <c r="CZ4443" s="47" t="e">
        <v>#N/A</v>
      </c>
      <c r="DA4443">
        <v>0.11332468572476186</v>
      </c>
      <c r="DB4443" t="str">
        <v/>
      </c>
    </row>
    <row r="4444" spans="83:106" x14ac:dyDescent="0.2">
      <c r="CE4444"/>
      <c r="CF4444"/>
      <c r="CG4444"/>
      <c r="CH4444"/>
      <c r="CI4444"/>
      <c r="CU4444" s="21">
        <v>4439</v>
      </c>
      <c r="CV4444" s="41">
        <v>4</v>
      </c>
      <c r="CW4444" s="41">
        <v>0.11332468572476186</v>
      </c>
      <c r="CX4444" s="41" t="e">
        <v>#N/A</v>
      </c>
      <c r="CY4444" s="41" t="e">
        <v>#N/A</v>
      </c>
      <c r="CZ4444" s="47" t="e">
        <v>#N/A</v>
      </c>
      <c r="DA4444">
        <v>0.11332468572476186</v>
      </c>
      <c r="DB4444" t="str">
        <v/>
      </c>
    </row>
    <row r="4445" spans="83:106" x14ac:dyDescent="0.2">
      <c r="CE4445"/>
      <c r="CF4445"/>
      <c r="CG4445"/>
      <c r="CH4445"/>
      <c r="CI4445"/>
      <c r="CU4445" s="21">
        <v>4440</v>
      </c>
      <c r="CV4445" s="41">
        <v>4</v>
      </c>
      <c r="CW4445" s="41">
        <v>0.11332468572476186</v>
      </c>
      <c r="CX4445" s="41" t="e">
        <v>#N/A</v>
      </c>
      <c r="CY4445" s="41" t="e">
        <v>#N/A</v>
      </c>
      <c r="CZ4445" s="47" t="e">
        <v>#N/A</v>
      </c>
      <c r="DA4445">
        <v>0.11332468572476186</v>
      </c>
      <c r="DB4445" t="str">
        <v/>
      </c>
    </row>
    <row r="4446" spans="83:106" x14ac:dyDescent="0.2">
      <c r="CE4446"/>
      <c r="CF4446"/>
      <c r="CG4446"/>
      <c r="CH4446"/>
      <c r="CI4446"/>
      <c r="CU4446" s="21">
        <v>4441</v>
      </c>
      <c r="CV4446" s="41">
        <v>4</v>
      </c>
      <c r="CW4446" s="41">
        <v>0.11332468572476186</v>
      </c>
      <c r="CX4446" s="41" t="e">
        <v>#N/A</v>
      </c>
      <c r="CY4446" s="41" t="e">
        <v>#N/A</v>
      </c>
      <c r="CZ4446" s="47" t="e">
        <v>#N/A</v>
      </c>
      <c r="DA4446">
        <v>0.11332468572476186</v>
      </c>
      <c r="DB4446" t="str">
        <v/>
      </c>
    </row>
    <row r="4447" spans="83:106" x14ac:dyDescent="0.2">
      <c r="CE4447"/>
      <c r="CF4447"/>
      <c r="CG4447"/>
      <c r="CH4447"/>
      <c r="CI4447"/>
      <c r="CU4447" s="21">
        <v>4442</v>
      </c>
      <c r="CV4447" s="41">
        <v>4</v>
      </c>
      <c r="CW4447" s="41">
        <v>0.11332468572476186</v>
      </c>
      <c r="CX4447" s="41" t="e">
        <v>#N/A</v>
      </c>
      <c r="CY4447" s="41" t="e">
        <v>#N/A</v>
      </c>
      <c r="CZ4447" s="47" t="e">
        <v>#N/A</v>
      </c>
      <c r="DA4447">
        <v>0.11332468572476186</v>
      </c>
      <c r="DB4447" t="str">
        <v/>
      </c>
    </row>
    <row r="4448" spans="83:106" x14ac:dyDescent="0.2">
      <c r="CE4448"/>
      <c r="CF4448"/>
      <c r="CG4448"/>
      <c r="CH4448"/>
      <c r="CI4448"/>
      <c r="CU4448" s="21">
        <v>4443</v>
      </c>
      <c r="CV4448" s="41">
        <v>4</v>
      </c>
      <c r="CW4448" s="41">
        <v>0.11332468572476186</v>
      </c>
      <c r="CX4448" s="41" t="e">
        <v>#N/A</v>
      </c>
      <c r="CY4448" s="41" t="e">
        <v>#N/A</v>
      </c>
      <c r="CZ4448" s="47" t="e">
        <v>#N/A</v>
      </c>
      <c r="DA4448">
        <v>0.11332468572476186</v>
      </c>
      <c r="DB4448" t="str">
        <v/>
      </c>
    </row>
    <row r="4449" spans="83:106" x14ac:dyDescent="0.2">
      <c r="CE4449"/>
      <c r="CF4449"/>
      <c r="CG4449"/>
      <c r="CH4449"/>
      <c r="CI4449"/>
      <c r="CU4449" s="21">
        <v>4444</v>
      </c>
      <c r="CV4449" s="41">
        <v>4</v>
      </c>
      <c r="CW4449" s="41">
        <v>0.11332468572476186</v>
      </c>
      <c r="CX4449" s="41" t="e">
        <v>#N/A</v>
      </c>
      <c r="CY4449" s="41" t="e">
        <v>#N/A</v>
      </c>
      <c r="CZ4449" s="47" t="e">
        <v>#N/A</v>
      </c>
      <c r="DA4449">
        <v>0.11332468572476186</v>
      </c>
      <c r="DB4449" t="str">
        <v/>
      </c>
    </row>
    <row r="4450" spans="83:106" x14ac:dyDescent="0.2">
      <c r="CE4450"/>
      <c r="CF4450"/>
      <c r="CG4450"/>
      <c r="CH4450"/>
      <c r="CI4450"/>
      <c r="CU4450" s="21">
        <v>4445</v>
      </c>
      <c r="CV4450" s="41">
        <v>4</v>
      </c>
      <c r="CW4450" s="41">
        <v>0.11332468572476186</v>
      </c>
      <c r="CX4450" s="41" t="e">
        <v>#N/A</v>
      </c>
      <c r="CY4450" s="41" t="e">
        <v>#N/A</v>
      </c>
      <c r="CZ4450" s="47" t="e">
        <v>#N/A</v>
      </c>
      <c r="DA4450">
        <v>0.11332468572476186</v>
      </c>
      <c r="DB4450" t="str">
        <v/>
      </c>
    </row>
    <row r="4451" spans="83:106" x14ac:dyDescent="0.2">
      <c r="CE4451"/>
      <c r="CF4451"/>
      <c r="CG4451"/>
      <c r="CH4451"/>
      <c r="CI4451"/>
      <c r="CU4451" s="21">
        <v>4446</v>
      </c>
      <c r="CV4451" s="41">
        <v>4</v>
      </c>
      <c r="CW4451" s="41">
        <v>0.11332468572476186</v>
      </c>
      <c r="CX4451" s="41" t="e">
        <v>#N/A</v>
      </c>
      <c r="CY4451" s="41" t="e">
        <v>#N/A</v>
      </c>
      <c r="CZ4451" s="47" t="e">
        <v>#N/A</v>
      </c>
      <c r="DA4451">
        <v>0.11332468572476186</v>
      </c>
      <c r="DB4451" t="str">
        <v/>
      </c>
    </row>
    <row r="4452" spans="83:106" x14ac:dyDescent="0.2">
      <c r="CE4452"/>
      <c r="CF4452"/>
      <c r="CG4452"/>
      <c r="CH4452"/>
      <c r="CI4452"/>
      <c r="CU4452" s="21">
        <v>4447</v>
      </c>
      <c r="CV4452" s="41">
        <v>4</v>
      </c>
      <c r="CW4452" s="41">
        <v>0.11332468572476186</v>
      </c>
      <c r="CX4452" s="41" t="e">
        <v>#N/A</v>
      </c>
      <c r="CY4452" s="41" t="e">
        <v>#N/A</v>
      </c>
      <c r="CZ4452" s="47" t="e">
        <v>#N/A</v>
      </c>
      <c r="DA4452">
        <v>0.11332468572476186</v>
      </c>
      <c r="DB4452" t="str">
        <v/>
      </c>
    </row>
    <row r="4453" spans="83:106" x14ac:dyDescent="0.2">
      <c r="CE4453"/>
      <c r="CF4453"/>
      <c r="CG4453"/>
      <c r="CH4453"/>
      <c r="CI4453"/>
      <c r="CU4453" s="21">
        <v>4448</v>
      </c>
      <c r="CV4453" s="41">
        <v>4</v>
      </c>
      <c r="CW4453" s="41">
        <v>0.11332468572476186</v>
      </c>
      <c r="CX4453" s="41" t="e">
        <v>#N/A</v>
      </c>
      <c r="CY4453" s="41" t="e">
        <v>#N/A</v>
      </c>
      <c r="CZ4453" s="47" t="e">
        <v>#N/A</v>
      </c>
      <c r="DA4453">
        <v>0.11332468572476186</v>
      </c>
      <c r="DB4453" t="str">
        <v/>
      </c>
    </row>
    <row r="4454" spans="83:106" x14ac:dyDescent="0.2">
      <c r="CE4454"/>
      <c r="CF4454"/>
      <c r="CG4454"/>
      <c r="CH4454"/>
      <c r="CI4454"/>
      <c r="CU4454" s="21">
        <v>4449</v>
      </c>
      <c r="CV4454" s="41">
        <v>4</v>
      </c>
      <c r="CW4454" s="41">
        <v>0.11332468572476186</v>
      </c>
      <c r="CX4454" s="41" t="e">
        <v>#N/A</v>
      </c>
      <c r="CY4454" s="41" t="e">
        <v>#N/A</v>
      </c>
      <c r="CZ4454" s="47" t="e">
        <v>#N/A</v>
      </c>
      <c r="DA4454">
        <v>0.11332468572476186</v>
      </c>
      <c r="DB4454" t="str">
        <v/>
      </c>
    </row>
    <row r="4455" spans="83:106" x14ac:dyDescent="0.2">
      <c r="CE4455"/>
      <c r="CF4455"/>
      <c r="CG4455"/>
      <c r="CH4455"/>
      <c r="CI4455"/>
      <c r="CU4455" s="21">
        <v>4450</v>
      </c>
      <c r="CV4455" s="41">
        <v>4</v>
      </c>
      <c r="CW4455" s="41">
        <v>0.11332468572476186</v>
      </c>
      <c r="CX4455" s="41" t="e">
        <v>#N/A</v>
      </c>
      <c r="CY4455" s="41" t="e">
        <v>#N/A</v>
      </c>
      <c r="CZ4455" s="47" t="e">
        <v>#N/A</v>
      </c>
      <c r="DA4455">
        <v>0.11332468572476186</v>
      </c>
      <c r="DB4455" t="str">
        <v/>
      </c>
    </row>
    <row r="4456" spans="83:106" x14ac:dyDescent="0.2">
      <c r="CE4456"/>
      <c r="CF4456"/>
      <c r="CG4456"/>
      <c r="CH4456"/>
      <c r="CI4456"/>
      <c r="CU4456" s="21">
        <v>4451</v>
      </c>
      <c r="CV4456" s="41">
        <v>4</v>
      </c>
      <c r="CW4456" s="41">
        <v>0.11332468572476186</v>
      </c>
      <c r="CX4456" s="41" t="e">
        <v>#N/A</v>
      </c>
      <c r="CY4456" s="41" t="e">
        <v>#N/A</v>
      </c>
      <c r="CZ4456" s="47" t="e">
        <v>#N/A</v>
      </c>
      <c r="DA4456">
        <v>0.11332468572476186</v>
      </c>
      <c r="DB4456" t="str">
        <v/>
      </c>
    </row>
    <row r="4457" spans="83:106" x14ac:dyDescent="0.2">
      <c r="CE4457"/>
      <c r="CF4457"/>
      <c r="CG4457"/>
      <c r="CH4457"/>
      <c r="CI4457"/>
      <c r="CU4457" s="21">
        <v>4452</v>
      </c>
      <c r="CV4457" s="41">
        <v>4</v>
      </c>
      <c r="CW4457" s="41">
        <v>0.11332468572476186</v>
      </c>
      <c r="CX4457" s="41" t="e">
        <v>#N/A</v>
      </c>
      <c r="CY4457" s="41" t="e">
        <v>#N/A</v>
      </c>
      <c r="CZ4457" s="47" t="e">
        <v>#N/A</v>
      </c>
      <c r="DA4457">
        <v>0.11332468572476186</v>
      </c>
      <c r="DB4457" t="str">
        <v/>
      </c>
    </row>
    <row r="4458" spans="83:106" x14ac:dyDescent="0.2">
      <c r="CE4458"/>
      <c r="CF4458"/>
      <c r="CG4458"/>
      <c r="CH4458"/>
      <c r="CI4458"/>
      <c r="CU4458" s="21">
        <v>4453</v>
      </c>
      <c r="CV4458" s="41">
        <v>4</v>
      </c>
      <c r="CW4458" s="41">
        <v>0.11332468572476186</v>
      </c>
      <c r="CX4458" s="41" t="e">
        <v>#N/A</v>
      </c>
      <c r="CY4458" s="41" t="e">
        <v>#N/A</v>
      </c>
      <c r="CZ4458" s="47" t="e">
        <v>#N/A</v>
      </c>
      <c r="DA4458">
        <v>0.11332468572476186</v>
      </c>
      <c r="DB4458" t="str">
        <v/>
      </c>
    </row>
    <row r="4459" spans="83:106" x14ac:dyDescent="0.2">
      <c r="CE4459"/>
      <c r="CF4459"/>
      <c r="CG4459"/>
      <c r="CH4459"/>
      <c r="CI4459"/>
      <c r="CU4459" s="21">
        <v>4454</v>
      </c>
      <c r="CV4459" s="41">
        <v>4</v>
      </c>
      <c r="CW4459" s="41">
        <v>0.11332468572476186</v>
      </c>
      <c r="CX4459" s="41" t="e">
        <v>#N/A</v>
      </c>
      <c r="CY4459" s="41" t="e">
        <v>#N/A</v>
      </c>
      <c r="CZ4459" s="47" t="e">
        <v>#N/A</v>
      </c>
      <c r="DA4459">
        <v>0.11332468572476186</v>
      </c>
      <c r="DB4459" t="str">
        <v/>
      </c>
    </row>
    <row r="4460" spans="83:106" x14ac:dyDescent="0.2">
      <c r="CE4460"/>
      <c r="CF4460"/>
      <c r="CG4460"/>
      <c r="CH4460"/>
      <c r="CI4460"/>
      <c r="CU4460" s="21">
        <v>4455</v>
      </c>
      <c r="CV4460" s="41">
        <v>4</v>
      </c>
      <c r="CW4460" s="41">
        <v>0.11332468572476186</v>
      </c>
      <c r="CX4460" s="41" t="e">
        <v>#N/A</v>
      </c>
      <c r="CY4460" s="41" t="e">
        <v>#N/A</v>
      </c>
      <c r="CZ4460" s="47" t="e">
        <v>#N/A</v>
      </c>
      <c r="DA4460">
        <v>0.11332468572476186</v>
      </c>
      <c r="DB4460" t="str">
        <v/>
      </c>
    </row>
    <row r="4461" spans="83:106" x14ac:dyDescent="0.2">
      <c r="CE4461"/>
      <c r="CF4461"/>
      <c r="CG4461"/>
      <c r="CH4461"/>
      <c r="CI4461"/>
      <c r="CU4461" s="21">
        <v>4456</v>
      </c>
      <c r="CV4461" s="41">
        <v>4</v>
      </c>
      <c r="CW4461" s="41">
        <v>0.11332468572476186</v>
      </c>
      <c r="CX4461" s="41" t="e">
        <v>#N/A</v>
      </c>
      <c r="CY4461" s="41" t="e">
        <v>#N/A</v>
      </c>
      <c r="CZ4461" s="47" t="e">
        <v>#N/A</v>
      </c>
      <c r="DA4461">
        <v>0.11332468572476186</v>
      </c>
      <c r="DB4461" t="str">
        <v/>
      </c>
    </row>
    <row r="4462" spans="83:106" x14ac:dyDescent="0.2">
      <c r="CE4462"/>
      <c r="CF4462"/>
      <c r="CG4462"/>
      <c r="CH4462"/>
      <c r="CI4462"/>
      <c r="CU4462" s="21">
        <v>4457</v>
      </c>
      <c r="CV4462" s="41">
        <v>4</v>
      </c>
      <c r="CW4462" s="41">
        <v>0.11332468572476186</v>
      </c>
      <c r="CX4462" s="41" t="e">
        <v>#N/A</v>
      </c>
      <c r="CY4462" s="41" t="e">
        <v>#N/A</v>
      </c>
      <c r="CZ4462" s="47" t="e">
        <v>#N/A</v>
      </c>
      <c r="DA4462">
        <v>0.11332468572476186</v>
      </c>
      <c r="DB4462" t="str">
        <v/>
      </c>
    </row>
    <row r="4463" spans="83:106" x14ac:dyDescent="0.2">
      <c r="CE4463"/>
      <c r="CF4463"/>
      <c r="CG4463"/>
      <c r="CH4463"/>
      <c r="CI4463"/>
      <c r="CU4463" s="21">
        <v>4458</v>
      </c>
      <c r="CV4463" s="41">
        <v>4</v>
      </c>
      <c r="CW4463" s="41">
        <v>0.11332468572476186</v>
      </c>
      <c r="CX4463" s="41" t="e">
        <v>#N/A</v>
      </c>
      <c r="CY4463" s="41" t="e">
        <v>#N/A</v>
      </c>
      <c r="CZ4463" s="47" t="e">
        <v>#N/A</v>
      </c>
      <c r="DA4463">
        <v>0.11332468572476186</v>
      </c>
      <c r="DB4463" t="str">
        <v/>
      </c>
    </row>
    <row r="4464" spans="83:106" x14ac:dyDescent="0.2">
      <c r="CE4464"/>
      <c r="CF4464"/>
      <c r="CG4464"/>
      <c r="CH4464"/>
      <c r="CI4464"/>
      <c r="CU4464" s="21">
        <v>4459</v>
      </c>
      <c r="CV4464" s="41">
        <v>4</v>
      </c>
      <c r="CW4464" s="41">
        <v>0.11332468572476186</v>
      </c>
      <c r="CX4464" s="41" t="e">
        <v>#N/A</v>
      </c>
      <c r="CY4464" s="41" t="e">
        <v>#N/A</v>
      </c>
      <c r="CZ4464" s="47" t="e">
        <v>#N/A</v>
      </c>
      <c r="DA4464">
        <v>0.11332468572476186</v>
      </c>
      <c r="DB4464" t="str">
        <v/>
      </c>
    </row>
    <row r="4465" spans="83:106" x14ac:dyDescent="0.2">
      <c r="CE4465"/>
      <c r="CF4465"/>
      <c r="CG4465"/>
      <c r="CH4465"/>
      <c r="CI4465"/>
      <c r="CU4465" s="21">
        <v>4460</v>
      </c>
      <c r="CV4465" s="41">
        <v>4</v>
      </c>
      <c r="CW4465" s="41">
        <v>0.11332468572476186</v>
      </c>
      <c r="CX4465" s="41" t="e">
        <v>#N/A</v>
      </c>
      <c r="CY4465" s="41" t="e">
        <v>#N/A</v>
      </c>
      <c r="CZ4465" s="47" t="e">
        <v>#N/A</v>
      </c>
      <c r="DA4465">
        <v>0.11332468572476186</v>
      </c>
      <c r="DB4465" t="str">
        <v/>
      </c>
    </row>
    <row r="4466" spans="83:106" x14ac:dyDescent="0.2">
      <c r="CE4466"/>
      <c r="CF4466"/>
      <c r="CG4466"/>
      <c r="CH4466"/>
      <c r="CI4466"/>
      <c r="CU4466" s="21">
        <v>4461</v>
      </c>
      <c r="CV4466" s="41">
        <v>4</v>
      </c>
      <c r="CW4466" s="41">
        <v>0.11332468572476186</v>
      </c>
      <c r="CX4466" s="41" t="e">
        <v>#N/A</v>
      </c>
      <c r="CY4466" s="41" t="e">
        <v>#N/A</v>
      </c>
      <c r="CZ4466" s="47" t="e">
        <v>#N/A</v>
      </c>
      <c r="DA4466">
        <v>0.11332468572476186</v>
      </c>
      <c r="DB4466" t="str">
        <v/>
      </c>
    </row>
    <row r="4467" spans="83:106" x14ac:dyDescent="0.2">
      <c r="CE4467"/>
      <c r="CF4467"/>
      <c r="CG4467"/>
      <c r="CH4467"/>
      <c r="CI4467"/>
      <c r="CU4467" s="21">
        <v>4462</v>
      </c>
      <c r="CV4467" s="41">
        <v>4</v>
      </c>
      <c r="CW4467" s="41">
        <v>0.11332468572476186</v>
      </c>
      <c r="CX4467" s="41" t="e">
        <v>#N/A</v>
      </c>
      <c r="CY4467" s="41" t="e">
        <v>#N/A</v>
      </c>
      <c r="CZ4467" s="47" t="e">
        <v>#N/A</v>
      </c>
      <c r="DA4467">
        <v>0.11332468572476186</v>
      </c>
      <c r="DB4467" t="str">
        <v/>
      </c>
    </row>
    <row r="4468" spans="83:106" x14ac:dyDescent="0.2">
      <c r="CE4468"/>
      <c r="CF4468"/>
      <c r="CG4468"/>
      <c r="CH4468"/>
      <c r="CI4468"/>
      <c r="CU4468" s="21">
        <v>4463</v>
      </c>
      <c r="CV4468" s="41">
        <v>4</v>
      </c>
      <c r="CW4468" s="41">
        <v>0.11332468572476186</v>
      </c>
      <c r="CX4468" s="41" t="e">
        <v>#N/A</v>
      </c>
      <c r="CY4468" s="41" t="e">
        <v>#N/A</v>
      </c>
      <c r="CZ4468" s="47" t="e">
        <v>#N/A</v>
      </c>
      <c r="DA4468">
        <v>0.11332468572476186</v>
      </c>
      <c r="DB4468" t="str">
        <v/>
      </c>
    </row>
    <row r="4469" spans="83:106" x14ac:dyDescent="0.2">
      <c r="CE4469"/>
      <c r="CF4469"/>
      <c r="CG4469"/>
      <c r="CH4469"/>
      <c r="CI4469"/>
      <c r="CU4469" s="21">
        <v>4464</v>
      </c>
      <c r="CV4469" s="41">
        <v>4</v>
      </c>
      <c r="CW4469" s="41">
        <v>0.11332468572476186</v>
      </c>
      <c r="CX4469" s="41" t="e">
        <v>#N/A</v>
      </c>
      <c r="CY4469" s="41" t="e">
        <v>#N/A</v>
      </c>
      <c r="CZ4469" s="47" t="e">
        <v>#N/A</v>
      </c>
      <c r="DA4469">
        <v>0.11332468572476186</v>
      </c>
      <c r="DB4469" t="str">
        <v/>
      </c>
    </row>
    <row r="4470" spans="83:106" x14ac:dyDescent="0.2">
      <c r="CE4470"/>
      <c r="CF4470"/>
      <c r="CG4470"/>
      <c r="CH4470"/>
      <c r="CI4470"/>
      <c r="CU4470" s="21">
        <v>4465</v>
      </c>
      <c r="CV4470" s="41">
        <v>4</v>
      </c>
      <c r="CW4470" s="41">
        <v>0.11332468572476186</v>
      </c>
      <c r="CX4470" s="41" t="e">
        <v>#N/A</v>
      </c>
      <c r="CY4470" s="41" t="e">
        <v>#N/A</v>
      </c>
      <c r="CZ4470" s="47" t="e">
        <v>#N/A</v>
      </c>
      <c r="DA4470">
        <v>0.11332468572476186</v>
      </c>
      <c r="DB4470" t="str">
        <v/>
      </c>
    </row>
    <row r="4471" spans="83:106" x14ac:dyDescent="0.2">
      <c r="CE4471"/>
      <c r="CF4471"/>
      <c r="CG4471"/>
      <c r="CH4471"/>
      <c r="CI4471"/>
      <c r="CU4471" s="21">
        <v>4466</v>
      </c>
      <c r="CV4471" s="41">
        <v>4</v>
      </c>
      <c r="CW4471" s="41">
        <v>0.11332468572476186</v>
      </c>
      <c r="CX4471" s="41" t="e">
        <v>#N/A</v>
      </c>
      <c r="CY4471" s="41" t="e">
        <v>#N/A</v>
      </c>
      <c r="CZ4471" s="47" t="e">
        <v>#N/A</v>
      </c>
      <c r="DA4471">
        <v>0.11332468572476186</v>
      </c>
      <c r="DB4471" t="str">
        <v/>
      </c>
    </row>
    <row r="4472" spans="83:106" x14ac:dyDescent="0.2">
      <c r="CE4472"/>
      <c r="CF4472"/>
      <c r="CG4472"/>
      <c r="CH4472"/>
      <c r="CI4472"/>
      <c r="CU4472" s="21">
        <v>4467</v>
      </c>
      <c r="CV4472" s="41">
        <v>4</v>
      </c>
      <c r="CW4472" s="41">
        <v>0.11332468572476186</v>
      </c>
      <c r="CX4472" s="41" t="e">
        <v>#N/A</v>
      </c>
      <c r="CY4472" s="41" t="e">
        <v>#N/A</v>
      </c>
      <c r="CZ4472" s="47" t="e">
        <v>#N/A</v>
      </c>
      <c r="DA4472">
        <v>0.11332468572476186</v>
      </c>
      <c r="DB4472" t="str">
        <v/>
      </c>
    </row>
    <row r="4473" spans="83:106" x14ac:dyDescent="0.2">
      <c r="CE4473"/>
      <c r="CF4473"/>
      <c r="CG4473"/>
      <c r="CH4473"/>
      <c r="CI4473"/>
      <c r="CU4473" s="21">
        <v>4468</v>
      </c>
      <c r="CV4473" s="41">
        <v>4</v>
      </c>
      <c r="CW4473" s="41">
        <v>0.11332468572476186</v>
      </c>
      <c r="CX4473" s="41" t="e">
        <v>#N/A</v>
      </c>
      <c r="CY4473" s="41" t="e">
        <v>#N/A</v>
      </c>
      <c r="CZ4473" s="47" t="e">
        <v>#N/A</v>
      </c>
      <c r="DA4473">
        <v>0.11332468572476186</v>
      </c>
      <c r="DB4473" t="str">
        <v/>
      </c>
    </row>
    <row r="4474" spans="83:106" x14ac:dyDescent="0.2">
      <c r="CE4474"/>
      <c r="CF4474"/>
      <c r="CG4474"/>
      <c r="CH4474"/>
      <c r="CI4474"/>
      <c r="CU4474" s="21">
        <v>4469</v>
      </c>
      <c r="CV4474" s="41">
        <v>4</v>
      </c>
      <c r="CW4474" s="41">
        <v>0.11332468572476186</v>
      </c>
      <c r="CX4474" s="41" t="e">
        <v>#N/A</v>
      </c>
      <c r="CY4474" s="41" t="e">
        <v>#N/A</v>
      </c>
      <c r="CZ4474" s="47" t="e">
        <v>#N/A</v>
      </c>
      <c r="DA4474">
        <v>0.11332468572476186</v>
      </c>
      <c r="DB4474" t="str">
        <v/>
      </c>
    </row>
    <row r="4475" spans="83:106" x14ac:dyDescent="0.2">
      <c r="CE4475"/>
      <c r="CF4475"/>
      <c r="CG4475"/>
      <c r="CH4475"/>
      <c r="CI4475"/>
      <c r="CU4475" s="21">
        <v>4470</v>
      </c>
      <c r="CV4475" s="41">
        <v>4</v>
      </c>
      <c r="CW4475" s="41">
        <v>0.11332468572476186</v>
      </c>
      <c r="CX4475" s="41" t="e">
        <v>#N/A</v>
      </c>
      <c r="CY4475" s="41" t="e">
        <v>#N/A</v>
      </c>
      <c r="CZ4475" s="47" t="e">
        <v>#N/A</v>
      </c>
      <c r="DA4475">
        <v>0.11332468572476186</v>
      </c>
      <c r="DB4475" t="str">
        <v/>
      </c>
    </row>
    <row r="4476" spans="83:106" x14ac:dyDescent="0.2">
      <c r="CE4476"/>
      <c r="CF4476"/>
      <c r="CG4476"/>
      <c r="CH4476"/>
      <c r="CI4476"/>
      <c r="CU4476" s="21">
        <v>4471</v>
      </c>
      <c r="CV4476" s="41">
        <v>4</v>
      </c>
      <c r="CW4476" s="41">
        <v>0.11332468572476186</v>
      </c>
      <c r="CX4476" s="41" t="e">
        <v>#N/A</v>
      </c>
      <c r="CY4476" s="41" t="e">
        <v>#N/A</v>
      </c>
      <c r="CZ4476" s="47" t="e">
        <v>#N/A</v>
      </c>
      <c r="DA4476">
        <v>0.11332468572476186</v>
      </c>
      <c r="DB4476" t="str">
        <v/>
      </c>
    </row>
    <row r="4477" spans="83:106" x14ac:dyDescent="0.2">
      <c r="CE4477"/>
      <c r="CF4477"/>
      <c r="CG4477"/>
      <c r="CH4477"/>
      <c r="CI4477"/>
      <c r="CU4477" s="21">
        <v>4472</v>
      </c>
      <c r="CV4477" s="41">
        <v>4</v>
      </c>
      <c r="CW4477" s="41">
        <v>0.11332468572476186</v>
      </c>
      <c r="CX4477" s="41" t="e">
        <v>#N/A</v>
      </c>
      <c r="CY4477" s="41" t="e">
        <v>#N/A</v>
      </c>
      <c r="CZ4477" s="47" t="e">
        <v>#N/A</v>
      </c>
      <c r="DA4477">
        <v>0.11332468572476186</v>
      </c>
      <c r="DB4477" t="str">
        <v/>
      </c>
    </row>
    <row r="4478" spans="83:106" x14ac:dyDescent="0.2">
      <c r="CE4478"/>
      <c r="CF4478"/>
      <c r="CG4478"/>
      <c r="CH4478"/>
      <c r="CI4478"/>
      <c r="CU4478" s="21">
        <v>4473</v>
      </c>
      <c r="CV4478" s="41">
        <v>4</v>
      </c>
      <c r="CW4478" s="41">
        <v>0.11332468572476186</v>
      </c>
      <c r="CX4478" s="41" t="e">
        <v>#N/A</v>
      </c>
      <c r="CY4478" s="41" t="e">
        <v>#N/A</v>
      </c>
      <c r="CZ4478" s="47" t="e">
        <v>#N/A</v>
      </c>
      <c r="DA4478">
        <v>0.11332468572476186</v>
      </c>
      <c r="DB4478" t="str">
        <v/>
      </c>
    </row>
    <row r="4479" spans="83:106" x14ac:dyDescent="0.2">
      <c r="CE4479"/>
      <c r="CF4479"/>
      <c r="CG4479"/>
      <c r="CH4479"/>
      <c r="CI4479"/>
      <c r="CU4479" s="21">
        <v>4474</v>
      </c>
      <c r="CV4479" s="41">
        <v>4</v>
      </c>
      <c r="CW4479" s="41">
        <v>0.11332468572476186</v>
      </c>
      <c r="CX4479" s="41" t="e">
        <v>#N/A</v>
      </c>
      <c r="CY4479" s="41" t="e">
        <v>#N/A</v>
      </c>
      <c r="CZ4479" s="47" t="e">
        <v>#N/A</v>
      </c>
      <c r="DA4479">
        <v>0.11332468572476186</v>
      </c>
      <c r="DB4479" t="str">
        <v/>
      </c>
    </row>
    <row r="4480" spans="83:106" x14ac:dyDescent="0.2">
      <c r="CE4480"/>
      <c r="CF4480"/>
      <c r="CG4480"/>
      <c r="CH4480"/>
      <c r="CI4480"/>
      <c r="CU4480" s="21">
        <v>4475</v>
      </c>
      <c r="CV4480" s="41">
        <v>4</v>
      </c>
      <c r="CW4480" s="41">
        <v>0.11332468572476186</v>
      </c>
      <c r="CX4480" s="41" t="e">
        <v>#N/A</v>
      </c>
      <c r="CY4480" s="41" t="e">
        <v>#N/A</v>
      </c>
      <c r="CZ4480" s="47" t="e">
        <v>#N/A</v>
      </c>
      <c r="DA4480">
        <v>0.11332468572476186</v>
      </c>
      <c r="DB4480" t="str">
        <v/>
      </c>
    </row>
    <row r="4481" spans="83:106" x14ac:dyDescent="0.2">
      <c r="CE4481"/>
      <c r="CF4481"/>
      <c r="CG4481"/>
      <c r="CH4481"/>
      <c r="CI4481"/>
      <c r="CU4481" s="21">
        <v>4476</v>
      </c>
      <c r="CV4481" s="41">
        <v>4</v>
      </c>
      <c r="CW4481" s="41">
        <v>0.11332468572476186</v>
      </c>
      <c r="CX4481" s="41" t="e">
        <v>#N/A</v>
      </c>
      <c r="CY4481" s="41" t="e">
        <v>#N/A</v>
      </c>
      <c r="CZ4481" s="47" t="e">
        <v>#N/A</v>
      </c>
      <c r="DA4481">
        <v>0.11332468572476186</v>
      </c>
      <c r="DB4481" t="str">
        <v/>
      </c>
    </row>
    <row r="4482" spans="83:106" x14ac:dyDescent="0.2">
      <c r="CE4482"/>
      <c r="CF4482"/>
      <c r="CG4482"/>
      <c r="CH4482"/>
      <c r="CI4482"/>
      <c r="CU4482" s="21">
        <v>4477</v>
      </c>
      <c r="CV4482" s="41">
        <v>4</v>
      </c>
      <c r="CW4482" s="41">
        <v>0.11332468572476186</v>
      </c>
      <c r="CX4482" s="41" t="e">
        <v>#N/A</v>
      </c>
      <c r="CY4482" s="41" t="e">
        <v>#N/A</v>
      </c>
      <c r="CZ4482" s="47" t="e">
        <v>#N/A</v>
      </c>
      <c r="DA4482">
        <v>0.11332468572476186</v>
      </c>
      <c r="DB4482" t="str">
        <v/>
      </c>
    </row>
    <row r="4483" spans="83:106" x14ac:dyDescent="0.2">
      <c r="CE4483"/>
      <c r="CF4483"/>
      <c r="CG4483"/>
      <c r="CH4483"/>
      <c r="CI4483"/>
      <c r="CU4483" s="21">
        <v>4478</v>
      </c>
      <c r="CV4483" s="41">
        <v>4</v>
      </c>
      <c r="CW4483" s="41">
        <v>0.11332468572476186</v>
      </c>
      <c r="CX4483" s="41" t="e">
        <v>#N/A</v>
      </c>
      <c r="CY4483" s="41" t="e">
        <v>#N/A</v>
      </c>
      <c r="CZ4483" s="47" t="e">
        <v>#N/A</v>
      </c>
      <c r="DA4483">
        <v>0.11332468572476186</v>
      </c>
      <c r="DB4483" t="str">
        <v/>
      </c>
    </row>
    <row r="4484" spans="83:106" x14ac:dyDescent="0.2">
      <c r="CE4484"/>
      <c r="CF4484"/>
      <c r="CG4484"/>
      <c r="CH4484"/>
      <c r="CI4484"/>
      <c r="CU4484" s="21">
        <v>4479</v>
      </c>
      <c r="CV4484" s="41">
        <v>4</v>
      </c>
      <c r="CW4484" s="41">
        <v>0.11332468572476186</v>
      </c>
      <c r="CX4484" s="41" t="e">
        <v>#N/A</v>
      </c>
      <c r="CY4484" s="41" t="e">
        <v>#N/A</v>
      </c>
      <c r="CZ4484" s="47" t="e">
        <v>#N/A</v>
      </c>
      <c r="DA4484">
        <v>0.11332468572476186</v>
      </c>
      <c r="DB4484" t="str">
        <v/>
      </c>
    </row>
    <row r="4485" spans="83:106" x14ac:dyDescent="0.2">
      <c r="CE4485"/>
      <c r="CF4485"/>
      <c r="CG4485"/>
      <c r="CH4485"/>
      <c r="CI4485"/>
      <c r="CU4485" s="21">
        <v>4480</v>
      </c>
      <c r="CV4485" s="41">
        <v>4</v>
      </c>
      <c r="CW4485" s="41">
        <v>0.11332468572476186</v>
      </c>
      <c r="CX4485" s="41" t="e">
        <v>#N/A</v>
      </c>
      <c r="CY4485" s="41" t="e">
        <v>#N/A</v>
      </c>
      <c r="CZ4485" s="47" t="e">
        <v>#N/A</v>
      </c>
      <c r="DA4485">
        <v>0.11332468572476186</v>
      </c>
      <c r="DB4485" t="str">
        <v/>
      </c>
    </row>
    <row r="4486" spans="83:106" x14ac:dyDescent="0.2">
      <c r="CE4486"/>
      <c r="CF4486"/>
      <c r="CG4486"/>
      <c r="CH4486"/>
      <c r="CI4486"/>
      <c r="CU4486" s="21">
        <v>4481</v>
      </c>
      <c r="CV4486" s="41">
        <v>4</v>
      </c>
      <c r="CW4486" s="41">
        <v>0.11332468572476186</v>
      </c>
      <c r="CX4486" s="41" t="e">
        <v>#N/A</v>
      </c>
      <c r="CY4486" s="41" t="e">
        <v>#N/A</v>
      </c>
      <c r="CZ4486" s="47" t="e">
        <v>#N/A</v>
      </c>
      <c r="DA4486">
        <v>0.11332468572476186</v>
      </c>
      <c r="DB4486" t="str">
        <v/>
      </c>
    </row>
    <row r="4487" spans="83:106" x14ac:dyDescent="0.2">
      <c r="CE4487"/>
      <c r="CF4487"/>
      <c r="CG4487"/>
      <c r="CH4487"/>
      <c r="CI4487"/>
      <c r="CU4487" s="21">
        <v>4482</v>
      </c>
      <c r="CV4487" s="41">
        <v>4</v>
      </c>
      <c r="CW4487" s="41">
        <v>0.11332468572476186</v>
      </c>
      <c r="CX4487" s="41" t="e">
        <v>#N/A</v>
      </c>
      <c r="CY4487" s="41" t="e">
        <v>#N/A</v>
      </c>
      <c r="CZ4487" s="47" t="e">
        <v>#N/A</v>
      </c>
      <c r="DA4487">
        <v>0.11332468572476186</v>
      </c>
      <c r="DB4487" t="str">
        <v/>
      </c>
    </row>
    <row r="4488" spans="83:106" x14ac:dyDescent="0.2">
      <c r="CE4488"/>
      <c r="CF4488"/>
      <c r="CG4488"/>
      <c r="CH4488"/>
      <c r="CI4488"/>
      <c r="CU4488" s="21">
        <v>4483</v>
      </c>
      <c r="CV4488" s="41">
        <v>4</v>
      </c>
      <c r="CW4488" s="41">
        <v>0.11332468572476186</v>
      </c>
      <c r="CX4488" s="41" t="e">
        <v>#N/A</v>
      </c>
      <c r="CY4488" s="41" t="e">
        <v>#N/A</v>
      </c>
      <c r="CZ4488" s="47" t="e">
        <v>#N/A</v>
      </c>
      <c r="DA4488">
        <v>0.11332468572476186</v>
      </c>
      <c r="DB4488" t="str">
        <v/>
      </c>
    </row>
    <row r="4489" spans="83:106" x14ac:dyDescent="0.2">
      <c r="CE4489"/>
      <c r="CF4489"/>
      <c r="CG4489"/>
      <c r="CH4489"/>
      <c r="CI4489"/>
      <c r="CU4489" s="21">
        <v>4484</v>
      </c>
      <c r="CV4489" s="41">
        <v>4</v>
      </c>
      <c r="CW4489" s="41">
        <v>0.11332468572476186</v>
      </c>
      <c r="CX4489" s="41" t="e">
        <v>#N/A</v>
      </c>
      <c r="CY4489" s="41" t="e">
        <v>#N/A</v>
      </c>
      <c r="CZ4489" s="47" t="e">
        <v>#N/A</v>
      </c>
      <c r="DA4489">
        <v>0.11332468572476186</v>
      </c>
      <c r="DB4489" t="str">
        <v/>
      </c>
    </row>
    <row r="4490" spans="83:106" x14ac:dyDescent="0.2">
      <c r="CE4490"/>
      <c r="CF4490"/>
      <c r="CG4490"/>
      <c r="CH4490"/>
      <c r="CI4490"/>
      <c r="CU4490" s="21">
        <v>4485</v>
      </c>
      <c r="CV4490" s="41">
        <v>4</v>
      </c>
      <c r="CW4490" s="41">
        <v>0.11332468572476186</v>
      </c>
      <c r="CX4490" s="41" t="e">
        <v>#N/A</v>
      </c>
      <c r="CY4490" s="41" t="e">
        <v>#N/A</v>
      </c>
      <c r="CZ4490" s="47" t="e">
        <v>#N/A</v>
      </c>
      <c r="DA4490">
        <v>0.11332468572476186</v>
      </c>
      <c r="DB4490" t="str">
        <v/>
      </c>
    </row>
    <row r="4491" spans="83:106" x14ac:dyDescent="0.2">
      <c r="CE4491"/>
      <c r="CF4491"/>
      <c r="CG4491"/>
      <c r="CH4491"/>
      <c r="CI4491"/>
      <c r="CU4491" s="21">
        <v>4486</v>
      </c>
      <c r="CV4491" s="41">
        <v>4</v>
      </c>
      <c r="CW4491" s="41">
        <v>0.11332468572476186</v>
      </c>
      <c r="CX4491" s="41" t="e">
        <v>#N/A</v>
      </c>
      <c r="CY4491" s="41" t="e">
        <v>#N/A</v>
      </c>
      <c r="CZ4491" s="47" t="e">
        <v>#N/A</v>
      </c>
      <c r="DA4491">
        <v>0.11332468572476186</v>
      </c>
      <c r="DB4491" t="str">
        <v/>
      </c>
    </row>
    <row r="4492" spans="83:106" x14ac:dyDescent="0.2">
      <c r="CE4492"/>
      <c r="CF4492"/>
      <c r="CG4492"/>
      <c r="CH4492"/>
      <c r="CI4492"/>
      <c r="CU4492" s="21">
        <v>4487</v>
      </c>
      <c r="CV4492" s="41">
        <v>4</v>
      </c>
      <c r="CW4492" s="41">
        <v>0.11332468572476186</v>
      </c>
      <c r="CX4492" s="41" t="e">
        <v>#N/A</v>
      </c>
      <c r="CY4492" s="41" t="e">
        <v>#N/A</v>
      </c>
      <c r="CZ4492" s="47" t="e">
        <v>#N/A</v>
      </c>
      <c r="DA4492">
        <v>0.11332468572476186</v>
      </c>
      <c r="DB4492" t="str">
        <v/>
      </c>
    </row>
    <row r="4493" spans="83:106" x14ac:dyDescent="0.2">
      <c r="CE4493"/>
      <c r="CF4493"/>
      <c r="CG4493"/>
      <c r="CH4493"/>
      <c r="CI4493"/>
      <c r="CU4493" s="21">
        <v>4488</v>
      </c>
      <c r="CV4493" s="41">
        <v>4</v>
      </c>
      <c r="CW4493" s="41">
        <v>0.11332468572476186</v>
      </c>
      <c r="CX4493" s="41" t="e">
        <v>#N/A</v>
      </c>
      <c r="CY4493" s="41" t="e">
        <v>#N/A</v>
      </c>
      <c r="CZ4493" s="47" t="e">
        <v>#N/A</v>
      </c>
      <c r="DA4493">
        <v>0.11332468572476186</v>
      </c>
      <c r="DB4493" t="str">
        <v/>
      </c>
    </row>
    <row r="4494" spans="83:106" x14ac:dyDescent="0.2">
      <c r="CE4494"/>
      <c r="CF4494"/>
      <c r="CG4494"/>
      <c r="CH4494"/>
      <c r="CI4494"/>
      <c r="CU4494" s="21">
        <v>4489</v>
      </c>
      <c r="CV4494" s="41">
        <v>4</v>
      </c>
      <c r="CW4494" s="41">
        <v>0.11332468572476186</v>
      </c>
      <c r="CX4494" s="41" t="e">
        <v>#N/A</v>
      </c>
      <c r="CY4494" s="41" t="e">
        <v>#N/A</v>
      </c>
      <c r="CZ4494" s="47" t="e">
        <v>#N/A</v>
      </c>
      <c r="DA4494">
        <v>0.11332468572476186</v>
      </c>
      <c r="DB4494" t="str">
        <v/>
      </c>
    </row>
    <row r="4495" spans="83:106" x14ac:dyDescent="0.2">
      <c r="CE4495"/>
      <c r="CF4495"/>
      <c r="CG4495"/>
      <c r="CH4495"/>
      <c r="CI4495"/>
      <c r="CU4495" s="21">
        <v>4490</v>
      </c>
      <c r="CV4495" s="41">
        <v>4</v>
      </c>
      <c r="CW4495" s="41">
        <v>0.11332468572476186</v>
      </c>
      <c r="CX4495" s="41" t="e">
        <v>#N/A</v>
      </c>
      <c r="CY4495" s="41" t="e">
        <v>#N/A</v>
      </c>
      <c r="CZ4495" s="47" t="e">
        <v>#N/A</v>
      </c>
      <c r="DA4495">
        <v>0.11332468572476186</v>
      </c>
      <c r="DB4495" t="str">
        <v/>
      </c>
    </row>
    <row r="4496" spans="83:106" x14ac:dyDescent="0.2">
      <c r="CE4496"/>
      <c r="CF4496"/>
      <c r="CG4496"/>
      <c r="CH4496"/>
      <c r="CI4496"/>
      <c r="CU4496" s="21">
        <v>4491</v>
      </c>
      <c r="CV4496" s="41">
        <v>4</v>
      </c>
      <c r="CW4496" s="41">
        <v>0.11332468572476186</v>
      </c>
      <c r="CX4496" s="41" t="e">
        <v>#N/A</v>
      </c>
      <c r="CY4496" s="41" t="e">
        <v>#N/A</v>
      </c>
      <c r="CZ4496" s="47" t="e">
        <v>#N/A</v>
      </c>
      <c r="DA4496">
        <v>0.11332468572476186</v>
      </c>
      <c r="DB4496" t="str">
        <v/>
      </c>
    </row>
    <row r="4497" spans="83:106" x14ac:dyDescent="0.2">
      <c r="CE4497"/>
      <c r="CF4497"/>
      <c r="CG4497"/>
      <c r="CH4497"/>
      <c r="CI4497"/>
      <c r="CU4497" s="21">
        <v>4492</v>
      </c>
      <c r="CV4497" s="41">
        <v>4</v>
      </c>
      <c r="CW4497" s="41">
        <v>0.11332468572476186</v>
      </c>
      <c r="CX4497" s="41" t="e">
        <v>#N/A</v>
      </c>
      <c r="CY4497" s="41" t="e">
        <v>#N/A</v>
      </c>
      <c r="CZ4497" s="47" t="e">
        <v>#N/A</v>
      </c>
      <c r="DA4497">
        <v>0.11332468572476186</v>
      </c>
      <c r="DB4497" t="str">
        <v/>
      </c>
    </row>
    <row r="4498" spans="83:106" x14ac:dyDescent="0.2">
      <c r="CE4498"/>
      <c r="CF4498"/>
      <c r="CG4498"/>
      <c r="CH4498"/>
      <c r="CI4498"/>
      <c r="CU4498" s="21">
        <v>4493</v>
      </c>
      <c r="CV4498" s="41">
        <v>4</v>
      </c>
      <c r="CW4498" s="41">
        <v>0.11332468572476186</v>
      </c>
      <c r="CX4498" s="41" t="e">
        <v>#N/A</v>
      </c>
      <c r="CY4498" s="41" t="e">
        <v>#N/A</v>
      </c>
      <c r="CZ4498" s="47" t="e">
        <v>#N/A</v>
      </c>
      <c r="DA4498">
        <v>0.11332468572476186</v>
      </c>
      <c r="DB4498" t="str">
        <v/>
      </c>
    </row>
    <row r="4499" spans="83:106" x14ac:dyDescent="0.2">
      <c r="CE4499"/>
      <c r="CF4499"/>
      <c r="CG4499"/>
      <c r="CH4499"/>
      <c r="CI4499"/>
      <c r="CU4499" s="21">
        <v>4494</v>
      </c>
      <c r="CV4499" s="41">
        <v>4</v>
      </c>
      <c r="CW4499" s="41">
        <v>0.11332468572476186</v>
      </c>
      <c r="CX4499" s="41" t="e">
        <v>#N/A</v>
      </c>
      <c r="CY4499" s="41" t="e">
        <v>#N/A</v>
      </c>
      <c r="CZ4499" s="47" t="e">
        <v>#N/A</v>
      </c>
      <c r="DA4499">
        <v>0.11332468572476186</v>
      </c>
      <c r="DB4499" t="str">
        <v/>
      </c>
    </row>
    <row r="4500" spans="83:106" x14ac:dyDescent="0.2">
      <c r="CE4500"/>
      <c r="CF4500"/>
      <c r="CG4500"/>
      <c r="CH4500"/>
      <c r="CI4500"/>
      <c r="CU4500" s="21">
        <v>4495</v>
      </c>
      <c r="CV4500" s="41">
        <v>4</v>
      </c>
      <c r="CW4500" s="41">
        <v>0.11332468572476186</v>
      </c>
      <c r="CX4500" s="41" t="e">
        <v>#N/A</v>
      </c>
      <c r="CY4500" s="41" t="e">
        <v>#N/A</v>
      </c>
      <c r="CZ4500" s="47" t="e">
        <v>#N/A</v>
      </c>
      <c r="DA4500">
        <v>0.11332468572476186</v>
      </c>
      <c r="DB4500" t="str">
        <v/>
      </c>
    </row>
    <row r="4501" spans="83:106" x14ac:dyDescent="0.2">
      <c r="CE4501"/>
      <c r="CF4501"/>
      <c r="CG4501"/>
      <c r="CH4501"/>
      <c r="CI4501"/>
      <c r="CU4501" s="21">
        <v>4496</v>
      </c>
      <c r="CV4501" s="41">
        <v>4</v>
      </c>
      <c r="CW4501" s="41">
        <v>0.11332468572476186</v>
      </c>
      <c r="CX4501" s="41" t="e">
        <v>#N/A</v>
      </c>
      <c r="CY4501" s="41" t="e">
        <v>#N/A</v>
      </c>
      <c r="CZ4501" s="47" t="e">
        <v>#N/A</v>
      </c>
      <c r="DA4501">
        <v>0.11332468572476186</v>
      </c>
      <c r="DB4501" t="str">
        <v/>
      </c>
    </row>
    <row r="4502" spans="83:106" x14ac:dyDescent="0.2">
      <c r="CE4502"/>
      <c r="CF4502"/>
      <c r="CG4502"/>
      <c r="CH4502"/>
      <c r="CI4502"/>
      <c r="CU4502" s="21">
        <v>4497</v>
      </c>
      <c r="CV4502" s="41">
        <v>4</v>
      </c>
      <c r="CW4502" s="41">
        <v>0.11332468572476186</v>
      </c>
      <c r="CX4502" s="41" t="e">
        <v>#N/A</v>
      </c>
      <c r="CY4502" s="41" t="e">
        <v>#N/A</v>
      </c>
      <c r="CZ4502" s="47" t="e">
        <v>#N/A</v>
      </c>
      <c r="DA4502">
        <v>0.11332468572476186</v>
      </c>
      <c r="DB4502" t="str">
        <v/>
      </c>
    </row>
    <row r="4503" spans="83:106" x14ac:dyDescent="0.2">
      <c r="CE4503"/>
      <c r="CF4503"/>
      <c r="CG4503"/>
      <c r="CH4503"/>
      <c r="CI4503"/>
      <c r="CU4503" s="21">
        <v>4498</v>
      </c>
      <c r="CV4503" s="41">
        <v>4</v>
      </c>
      <c r="CW4503" s="41">
        <v>0.11332468572476186</v>
      </c>
      <c r="CX4503" s="41" t="e">
        <v>#N/A</v>
      </c>
      <c r="CY4503" s="41" t="e">
        <v>#N/A</v>
      </c>
      <c r="CZ4503" s="47" t="e">
        <v>#N/A</v>
      </c>
      <c r="DA4503">
        <v>0.11332468572476186</v>
      </c>
      <c r="DB4503" t="str">
        <v/>
      </c>
    </row>
    <row r="4504" spans="83:106" x14ac:dyDescent="0.2">
      <c r="CE4504"/>
      <c r="CF4504"/>
      <c r="CG4504"/>
      <c r="CH4504"/>
      <c r="CI4504"/>
      <c r="CU4504" s="21">
        <v>4499</v>
      </c>
      <c r="CV4504" s="41">
        <v>4</v>
      </c>
      <c r="CW4504" s="41">
        <v>0.11332468572476186</v>
      </c>
      <c r="CX4504" s="41" t="e">
        <v>#N/A</v>
      </c>
      <c r="CY4504" s="41" t="e">
        <v>#N/A</v>
      </c>
      <c r="CZ4504" s="47" t="e">
        <v>#N/A</v>
      </c>
      <c r="DA4504">
        <v>0.11332468572476186</v>
      </c>
      <c r="DB4504" t="str">
        <v/>
      </c>
    </row>
    <row r="4505" spans="83:106" x14ac:dyDescent="0.2">
      <c r="CE4505"/>
      <c r="CF4505"/>
      <c r="CG4505"/>
      <c r="CH4505"/>
      <c r="CI4505"/>
      <c r="CU4505" s="21">
        <v>4500</v>
      </c>
      <c r="CV4505" s="41">
        <v>4</v>
      </c>
      <c r="CW4505" s="41">
        <v>0.11332468572476186</v>
      </c>
      <c r="CX4505" s="41" t="e">
        <v>#N/A</v>
      </c>
      <c r="CY4505" s="41" t="e">
        <v>#N/A</v>
      </c>
      <c r="CZ4505" s="47" t="e">
        <v>#N/A</v>
      </c>
      <c r="DA4505">
        <v>0.11332468572476186</v>
      </c>
      <c r="DB4505" t="str">
        <v/>
      </c>
    </row>
    <row r="4506" spans="83:106" x14ac:dyDescent="0.2">
      <c r="CE4506"/>
      <c r="CF4506"/>
      <c r="CG4506"/>
      <c r="CH4506"/>
      <c r="CI4506"/>
      <c r="CU4506" s="21">
        <v>4501</v>
      </c>
      <c r="CV4506" s="41">
        <v>4</v>
      </c>
      <c r="CW4506" s="41">
        <v>0.11332468572476186</v>
      </c>
      <c r="CX4506" s="41" t="e">
        <v>#N/A</v>
      </c>
      <c r="CY4506" s="41" t="e">
        <v>#N/A</v>
      </c>
      <c r="CZ4506" s="47" t="e">
        <v>#N/A</v>
      </c>
      <c r="DA4506">
        <v>0.11332468572476186</v>
      </c>
      <c r="DB4506" t="str">
        <v/>
      </c>
    </row>
    <row r="4507" spans="83:106" x14ac:dyDescent="0.2">
      <c r="CE4507"/>
      <c r="CF4507"/>
      <c r="CG4507"/>
      <c r="CH4507"/>
      <c r="CI4507"/>
      <c r="CU4507" s="21">
        <v>4502</v>
      </c>
      <c r="CV4507" s="41">
        <v>4</v>
      </c>
      <c r="CW4507" s="41">
        <v>0.11332468572476186</v>
      </c>
      <c r="CX4507" s="41" t="e">
        <v>#N/A</v>
      </c>
      <c r="CY4507" s="41" t="e">
        <v>#N/A</v>
      </c>
      <c r="CZ4507" s="47" t="e">
        <v>#N/A</v>
      </c>
      <c r="DA4507">
        <v>0.11332468572476186</v>
      </c>
      <c r="DB4507" t="str">
        <v/>
      </c>
    </row>
    <row r="4508" spans="83:106" x14ac:dyDescent="0.2">
      <c r="CE4508"/>
      <c r="CF4508"/>
      <c r="CG4508"/>
      <c r="CH4508"/>
      <c r="CI4508"/>
      <c r="CU4508" s="21">
        <v>4503</v>
      </c>
      <c r="CV4508" s="41">
        <v>4</v>
      </c>
      <c r="CW4508" s="41">
        <v>0.11332468572476186</v>
      </c>
      <c r="CX4508" s="41" t="e">
        <v>#N/A</v>
      </c>
      <c r="CY4508" s="41" t="e">
        <v>#N/A</v>
      </c>
      <c r="CZ4508" s="47" t="e">
        <v>#N/A</v>
      </c>
      <c r="DA4508">
        <v>0.11332468572476186</v>
      </c>
      <c r="DB4508" t="str">
        <v/>
      </c>
    </row>
    <row r="4509" spans="83:106" x14ac:dyDescent="0.2">
      <c r="CE4509"/>
      <c r="CF4509"/>
      <c r="CG4509"/>
      <c r="CH4509"/>
      <c r="CI4509"/>
      <c r="CU4509" s="21">
        <v>4504</v>
      </c>
      <c r="CV4509" s="41">
        <v>4</v>
      </c>
      <c r="CW4509" s="41">
        <v>0.11332468572476186</v>
      </c>
      <c r="CX4509" s="41" t="e">
        <v>#N/A</v>
      </c>
      <c r="CY4509" s="41" t="e">
        <v>#N/A</v>
      </c>
      <c r="CZ4509" s="47" t="e">
        <v>#N/A</v>
      </c>
      <c r="DA4509">
        <v>0.11332468572476186</v>
      </c>
      <c r="DB4509" t="str">
        <v/>
      </c>
    </row>
    <row r="4510" spans="83:106" x14ac:dyDescent="0.2">
      <c r="CE4510"/>
      <c r="CF4510"/>
      <c r="CG4510"/>
      <c r="CH4510"/>
      <c r="CI4510"/>
      <c r="CU4510" s="21">
        <v>4505</v>
      </c>
      <c r="CV4510" s="41">
        <v>4</v>
      </c>
      <c r="CW4510" s="41">
        <v>0.11332468572476186</v>
      </c>
      <c r="CX4510" s="41" t="e">
        <v>#N/A</v>
      </c>
      <c r="CY4510" s="41" t="e">
        <v>#N/A</v>
      </c>
      <c r="CZ4510" s="47" t="e">
        <v>#N/A</v>
      </c>
      <c r="DA4510">
        <v>0.11332468572476186</v>
      </c>
      <c r="DB4510" t="str">
        <v/>
      </c>
    </row>
    <row r="4511" spans="83:106" x14ac:dyDescent="0.2">
      <c r="CE4511"/>
      <c r="CF4511"/>
      <c r="CG4511"/>
      <c r="CH4511"/>
      <c r="CI4511"/>
      <c r="CU4511" s="21">
        <v>4506</v>
      </c>
      <c r="CV4511" s="41">
        <v>4</v>
      </c>
      <c r="CW4511" s="41">
        <v>0.11332468572476186</v>
      </c>
      <c r="CX4511" s="41" t="e">
        <v>#N/A</v>
      </c>
      <c r="CY4511" s="41" t="e">
        <v>#N/A</v>
      </c>
      <c r="CZ4511" s="47" t="e">
        <v>#N/A</v>
      </c>
      <c r="DA4511">
        <v>0.11332468572476186</v>
      </c>
      <c r="DB4511" t="str">
        <v/>
      </c>
    </row>
    <row r="4512" spans="83:106" x14ac:dyDescent="0.2">
      <c r="CE4512"/>
      <c r="CF4512"/>
      <c r="CG4512"/>
      <c r="CH4512"/>
      <c r="CI4512"/>
      <c r="CU4512" s="21">
        <v>4507</v>
      </c>
      <c r="CV4512" s="41">
        <v>4</v>
      </c>
      <c r="CW4512" s="41">
        <v>0.11332468572476186</v>
      </c>
      <c r="CX4512" s="41" t="e">
        <v>#N/A</v>
      </c>
      <c r="CY4512" s="41" t="e">
        <v>#N/A</v>
      </c>
      <c r="CZ4512" s="47" t="e">
        <v>#N/A</v>
      </c>
      <c r="DA4512">
        <v>0.11332468572476186</v>
      </c>
      <c r="DB4512" t="str">
        <v/>
      </c>
    </row>
    <row r="4513" spans="83:106" x14ac:dyDescent="0.2">
      <c r="CE4513"/>
      <c r="CF4513"/>
      <c r="CG4513"/>
      <c r="CH4513"/>
      <c r="CI4513"/>
      <c r="CU4513" s="21">
        <v>4508</v>
      </c>
      <c r="CV4513" s="41">
        <v>4</v>
      </c>
      <c r="CW4513" s="41">
        <v>0.11332468572476186</v>
      </c>
      <c r="CX4513" s="41" t="e">
        <v>#N/A</v>
      </c>
      <c r="CY4513" s="41" t="e">
        <v>#N/A</v>
      </c>
      <c r="CZ4513" s="47" t="e">
        <v>#N/A</v>
      </c>
      <c r="DA4513">
        <v>0.11332468572476186</v>
      </c>
      <c r="DB4513" t="str">
        <v/>
      </c>
    </row>
    <row r="4514" spans="83:106" x14ac:dyDescent="0.2">
      <c r="CE4514"/>
      <c r="CF4514"/>
      <c r="CG4514"/>
      <c r="CH4514"/>
      <c r="CI4514"/>
      <c r="CU4514" s="21">
        <v>4509</v>
      </c>
      <c r="CV4514" s="41">
        <v>4</v>
      </c>
      <c r="CW4514" s="41">
        <v>0.11332468572476186</v>
      </c>
      <c r="CX4514" s="41" t="e">
        <v>#N/A</v>
      </c>
      <c r="CY4514" s="41" t="e">
        <v>#N/A</v>
      </c>
      <c r="CZ4514" s="47" t="e">
        <v>#N/A</v>
      </c>
      <c r="DA4514">
        <v>0.11332468572476186</v>
      </c>
      <c r="DB4514" t="str">
        <v/>
      </c>
    </row>
    <row r="4515" spans="83:106" x14ac:dyDescent="0.2">
      <c r="CE4515"/>
      <c r="CF4515"/>
      <c r="CG4515"/>
      <c r="CH4515"/>
      <c r="CI4515"/>
      <c r="CU4515" s="21">
        <v>4510</v>
      </c>
      <c r="CV4515" s="41">
        <v>4</v>
      </c>
      <c r="CW4515" s="41">
        <v>0.11332468572476186</v>
      </c>
      <c r="CX4515" s="41" t="e">
        <v>#N/A</v>
      </c>
      <c r="CY4515" s="41" t="e">
        <v>#N/A</v>
      </c>
      <c r="CZ4515" s="47" t="e">
        <v>#N/A</v>
      </c>
      <c r="DA4515">
        <v>0.11332468572476186</v>
      </c>
      <c r="DB4515" t="str">
        <v/>
      </c>
    </row>
    <row r="4516" spans="83:106" x14ac:dyDescent="0.2">
      <c r="CE4516"/>
      <c r="CF4516"/>
      <c r="CG4516"/>
      <c r="CH4516"/>
      <c r="CI4516"/>
      <c r="CU4516" s="21">
        <v>4511</v>
      </c>
      <c r="CV4516" s="41">
        <v>4</v>
      </c>
      <c r="CW4516" s="41">
        <v>0.11332468572476186</v>
      </c>
      <c r="CX4516" s="41" t="e">
        <v>#N/A</v>
      </c>
      <c r="CY4516" s="41" t="e">
        <v>#N/A</v>
      </c>
      <c r="CZ4516" s="47" t="e">
        <v>#N/A</v>
      </c>
      <c r="DA4516">
        <v>0.11332468572476186</v>
      </c>
      <c r="DB4516" t="str">
        <v/>
      </c>
    </row>
    <row r="4517" spans="83:106" x14ac:dyDescent="0.2">
      <c r="CE4517"/>
      <c r="CF4517"/>
      <c r="CG4517"/>
      <c r="CH4517"/>
      <c r="CI4517"/>
      <c r="CU4517" s="21">
        <v>4512</v>
      </c>
      <c r="CV4517" s="41">
        <v>4</v>
      </c>
      <c r="CW4517" s="41">
        <v>0.11332468572476186</v>
      </c>
      <c r="CX4517" s="41" t="e">
        <v>#N/A</v>
      </c>
      <c r="CY4517" s="41" t="e">
        <v>#N/A</v>
      </c>
      <c r="CZ4517" s="47" t="e">
        <v>#N/A</v>
      </c>
      <c r="DA4517">
        <v>0.11332468572476186</v>
      </c>
      <c r="DB4517" t="str">
        <v/>
      </c>
    </row>
    <row r="4518" spans="83:106" x14ac:dyDescent="0.2">
      <c r="CE4518"/>
      <c r="CF4518"/>
      <c r="CG4518"/>
      <c r="CH4518"/>
      <c r="CI4518"/>
      <c r="CU4518" s="21">
        <v>4513</v>
      </c>
      <c r="CV4518" s="41">
        <v>4</v>
      </c>
      <c r="CW4518" s="41">
        <v>0.11332468572476186</v>
      </c>
      <c r="CX4518" s="41" t="e">
        <v>#N/A</v>
      </c>
      <c r="CY4518" s="41" t="e">
        <v>#N/A</v>
      </c>
      <c r="CZ4518" s="47" t="e">
        <v>#N/A</v>
      </c>
      <c r="DA4518">
        <v>0.11332468572476186</v>
      </c>
      <c r="DB4518" t="str">
        <v/>
      </c>
    </row>
    <row r="4519" spans="83:106" x14ac:dyDescent="0.2">
      <c r="CE4519"/>
      <c r="CF4519"/>
      <c r="CG4519"/>
      <c r="CH4519"/>
      <c r="CI4519"/>
      <c r="CU4519" s="21">
        <v>4514</v>
      </c>
      <c r="CV4519" s="41">
        <v>4</v>
      </c>
      <c r="CW4519" s="41">
        <v>0.11332468572476186</v>
      </c>
      <c r="CX4519" s="41" t="e">
        <v>#N/A</v>
      </c>
      <c r="CY4519" s="41" t="e">
        <v>#N/A</v>
      </c>
      <c r="CZ4519" s="47" t="e">
        <v>#N/A</v>
      </c>
      <c r="DA4519">
        <v>0.11332468572476186</v>
      </c>
      <c r="DB4519" t="str">
        <v/>
      </c>
    </row>
    <row r="4520" spans="83:106" x14ac:dyDescent="0.2">
      <c r="CE4520"/>
      <c r="CF4520"/>
      <c r="CG4520"/>
      <c r="CH4520"/>
      <c r="CI4520"/>
      <c r="CU4520" s="21">
        <v>4515</v>
      </c>
      <c r="CV4520" s="41">
        <v>4</v>
      </c>
      <c r="CW4520" s="41">
        <v>0.11332468572476186</v>
      </c>
      <c r="CX4520" s="41" t="e">
        <v>#N/A</v>
      </c>
      <c r="CY4520" s="41" t="e">
        <v>#N/A</v>
      </c>
      <c r="CZ4520" s="47" t="e">
        <v>#N/A</v>
      </c>
      <c r="DA4520">
        <v>0.11332468572476186</v>
      </c>
      <c r="DB4520" t="str">
        <v/>
      </c>
    </row>
    <row r="4521" spans="83:106" x14ac:dyDescent="0.2">
      <c r="CE4521"/>
      <c r="CF4521"/>
      <c r="CG4521"/>
      <c r="CH4521"/>
      <c r="CI4521"/>
      <c r="CU4521" s="21">
        <v>4516</v>
      </c>
      <c r="CV4521" s="41">
        <v>4</v>
      </c>
      <c r="CW4521" s="41">
        <v>0.11332468572476186</v>
      </c>
      <c r="CX4521" s="41" t="e">
        <v>#N/A</v>
      </c>
      <c r="CY4521" s="41" t="e">
        <v>#N/A</v>
      </c>
      <c r="CZ4521" s="47" t="e">
        <v>#N/A</v>
      </c>
      <c r="DA4521">
        <v>0.11332468572476186</v>
      </c>
      <c r="DB4521" t="str">
        <v/>
      </c>
    </row>
    <row r="4522" spans="83:106" x14ac:dyDescent="0.2">
      <c r="CE4522"/>
      <c r="CF4522"/>
      <c r="CG4522"/>
      <c r="CH4522"/>
      <c r="CI4522"/>
      <c r="CU4522" s="21">
        <v>4517</v>
      </c>
      <c r="CV4522" s="41">
        <v>4</v>
      </c>
      <c r="CW4522" s="41">
        <v>0.11332468572476186</v>
      </c>
      <c r="CX4522" s="41" t="e">
        <v>#N/A</v>
      </c>
      <c r="CY4522" s="41" t="e">
        <v>#N/A</v>
      </c>
      <c r="CZ4522" s="47" t="e">
        <v>#N/A</v>
      </c>
      <c r="DA4522">
        <v>0.11332468572476186</v>
      </c>
      <c r="DB4522" t="str">
        <v/>
      </c>
    </row>
    <row r="4523" spans="83:106" x14ac:dyDescent="0.2">
      <c r="CE4523"/>
      <c r="CF4523"/>
      <c r="CG4523"/>
      <c r="CH4523"/>
      <c r="CI4523"/>
      <c r="CU4523" s="21">
        <v>4518</v>
      </c>
      <c r="CV4523" s="41">
        <v>4</v>
      </c>
      <c r="CW4523" s="41">
        <v>0.11332468572476186</v>
      </c>
      <c r="CX4523" s="41" t="e">
        <v>#N/A</v>
      </c>
      <c r="CY4523" s="41" t="e">
        <v>#N/A</v>
      </c>
      <c r="CZ4523" s="47" t="e">
        <v>#N/A</v>
      </c>
      <c r="DA4523">
        <v>0.11332468572476186</v>
      </c>
      <c r="DB4523" t="str">
        <v/>
      </c>
    </row>
    <row r="4524" spans="83:106" x14ac:dyDescent="0.2">
      <c r="CE4524"/>
      <c r="CF4524"/>
      <c r="CG4524"/>
      <c r="CH4524"/>
      <c r="CI4524"/>
      <c r="CU4524" s="21">
        <v>4519</v>
      </c>
      <c r="CV4524" s="41">
        <v>4</v>
      </c>
      <c r="CW4524" s="41">
        <v>0.11332468572476186</v>
      </c>
      <c r="CX4524" s="41" t="e">
        <v>#N/A</v>
      </c>
      <c r="CY4524" s="41" t="e">
        <v>#N/A</v>
      </c>
      <c r="CZ4524" s="47" t="e">
        <v>#N/A</v>
      </c>
      <c r="DA4524">
        <v>0.11332468572476186</v>
      </c>
      <c r="DB4524" t="str">
        <v/>
      </c>
    </row>
    <row r="4525" spans="83:106" x14ac:dyDescent="0.2">
      <c r="CE4525"/>
      <c r="CF4525"/>
      <c r="CG4525"/>
      <c r="CH4525"/>
      <c r="CI4525"/>
      <c r="CU4525" s="21">
        <v>4520</v>
      </c>
      <c r="CV4525" s="41">
        <v>4</v>
      </c>
      <c r="CW4525" s="41">
        <v>0.11332468572476186</v>
      </c>
      <c r="CX4525" s="41" t="e">
        <v>#N/A</v>
      </c>
      <c r="CY4525" s="41" t="e">
        <v>#N/A</v>
      </c>
      <c r="CZ4525" s="47" t="e">
        <v>#N/A</v>
      </c>
      <c r="DA4525">
        <v>0.11332468572476186</v>
      </c>
      <c r="DB4525" t="str">
        <v/>
      </c>
    </row>
    <row r="4526" spans="83:106" x14ac:dyDescent="0.2">
      <c r="CE4526"/>
      <c r="CF4526"/>
      <c r="CG4526"/>
      <c r="CH4526"/>
      <c r="CI4526"/>
      <c r="CU4526" s="21">
        <v>4521</v>
      </c>
      <c r="CV4526" s="41">
        <v>4</v>
      </c>
      <c r="CW4526" s="41">
        <v>0.11332468572476186</v>
      </c>
      <c r="CX4526" s="41" t="e">
        <v>#N/A</v>
      </c>
      <c r="CY4526" s="41" t="e">
        <v>#N/A</v>
      </c>
      <c r="CZ4526" s="47" t="e">
        <v>#N/A</v>
      </c>
      <c r="DA4526">
        <v>0.11332468572476186</v>
      </c>
      <c r="DB4526" t="str">
        <v/>
      </c>
    </row>
    <row r="4527" spans="83:106" x14ac:dyDescent="0.2">
      <c r="CE4527"/>
      <c r="CF4527"/>
      <c r="CG4527"/>
      <c r="CH4527"/>
      <c r="CI4527"/>
      <c r="CU4527" s="21">
        <v>4522</v>
      </c>
      <c r="CV4527" s="41">
        <v>4</v>
      </c>
      <c r="CW4527" s="41">
        <v>0.11332468572476186</v>
      </c>
      <c r="CX4527" s="41" t="e">
        <v>#N/A</v>
      </c>
      <c r="CY4527" s="41" t="e">
        <v>#N/A</v>
      </c>
      <c r="CZ4527" s="47" t="e">
        <v>#N/A</v>
      </c>
      <c r="DA4527">
        <v>0.11332468572476186</v>
      </c>
      <c r="DB4527" t="str">
        <v/>
      </c>
    </row>
    <row r="4528" spans="83:106" x14ac:dyDescent="0.2">
      <c r="CE4528"/>
      <c r="CF4528"/>
      <c r="CG4528"/>
      <c r="CH4528"/>
      <c r="CI4528"/>
      <c r="CU4528" s="21">
        <v>4523</v>
      </c>
      <c r="CV4528" s="41">
        <v>4</v>
      </c>
      <c r="CW4528" s="41">
        <v>0.11332468572476186</v>
      </c>
      <c r="CX4528" s="41" t="e">
        <v>#N/A</v>
      </c>
      <c r="CY4528" s="41" t="e">
        <v>#N/A</v>
      </c>
      <c r="CZ4528" s="47" t="e">
        <v>#N/A</v>
      </c>
      <c r="DA4528">
        <v>0.11332468572476186</v>
      </c>
      <c r="DB4528" t="str">
        <v/>
      </c>
    </row>
    <row r="4529" spans="83:106" x14ac:dyDescent="0.2">
      <c r="CE4529"/>
      <c r="CF4529"/>
      <c r="CG4529"/>
      <c r="CH4529"/>
      <c r="CI4529"/>
      <c r="CU4529" s="21">
        <v>4524</v>
      </c>
      <c r="CV4529" s="41">
        <v>4</v>
      </c>
      <c r="CW4529" s="41">
        <v>0.11332468572476186</v>
      </c>
      <c r="CX4529" s="41" t="e">
        <v>#N/A</v>
      </c>
      <c r="CY4529" s="41" t="e">
        <v>#N/A</v>
      </c>
      <c r="CZ4529" s="47" t="e">
        <v>#N/A</v>
      </c>
      <c r="DA4529">
        <v>0.11332468572476186</v>
      </c>
      <c r="DB4529" t="str">
        <v/>
      </c>
    </row>
    <row r="4530" spans="83:106" x14ac:dyDescent="0.2">
      <c r="CE4530"/>
      <c r="CF4530"/>
      <c r="CG4530"/>
      <c r="CH4530"/>
      <c r="CI4530"/>
      <c r="CU4530" s="21">
        <v>4525</v>
      </c>
      <c r="CV4530" s="41">
        <v>4</v>
      </c>
      <c r="CW4530" s="41">
        <v>0.11332468572476186</v>
      </c>
      <c r="CX4530" s="41" t="e">
        <v>#N/A</v>
      </c>
      <c r="CY4530" s="41" t="e">
        <v>#N/A</v>
      </c>
      <c r="CZ4530" s="47" t="e">
        <v>#N/A</v>
      </c>
      <c r="DA4530">
        <v>0.11332468572476186</v>
      </c>
      <c r="DB4530" t="str">
        <v/>
      </c>
    </row>
    <row r="4531" spans="83:106" x14ac:dyDescent="0.2">
      <c r="CE4531"/>
      <c r="CF4531"/>
      <c r="CG4531"/>
      <c r="CH4531"/>
      <c r="CI4531"/>
      <c r="CU4531" s="21">
        <v>4526</v>
      </c>
      <c r="CV4531" s="41">
        <v>4</v>
      </c>
      <c r="CW4531" s="41">
        <v>0.11332468572476186</v>
      </c>
      <c r="CX4531" s="41" t="e">
        <v>#N/A</v>
      </c>
      <c r="CY4531" s="41" t="e">
        <v>#N/A</v>
      </c>
      <c r="CZ4531" s="47" t="e">
        <v>#N/A</v>
      </c>
      <c r="DA4531">
        <v>0.11332468572476186</v>
      </c>
      <c r="DB4531" t="str">
        <v/>
      </c>
    </row>
    <row r="4532" spans="83:106" x14ac:dyDescent="0.2">
      <c r="CE4532"/>
      <c r="CF4532"/>
      <c r="CG4532"/>
      <c r="CH4532"/>
      <c r="CI4532"/>
      <c r="CU4532" s="21">
        <v>4527</v>
      </c>
      <c r="CV4532" s="41">
        <v>4</v>
      </c>
      <c r="CW4532" s="41">
        <v>0.11332468572476186</v>
      </c>
      <c r="CX4532" s="41" t="e">
        <v>#N/A</v>
      </c>
      <c r="CY4532" s="41" t="e">
        <v>#N/A</v>
      </c>
      <c r="CZ4532" s="47" t="e">
        <v>#N/A</v>
      </c>
      <c r="DA4532">
        <v>0.11332468572476186</v>
      </c>
      <c r="DB4532" t="str">
        <v/>
      </c>
    </row>
    <row r="4533" spans="83:106" x14ac:dyDescent="0.2">
      <c r="CE4533"/>
      <c r="CF4533"/>
      <c r="CG4533"/>
      <c r="CH4533"/>
      <c r="CI4533"/>
      <c r="CU4533" s="21">
        <v>4528</v>
      </c>
      <c r="CV4533" s="41">
        <v>4</v>
      </c>
      <c r="CW4533" s="41">
        <v>0.11332468572476186</v>
      </c>
      <c r="CX4533" s="41" t="e">
        <v>#N/A</v>
      </c>
      <c r="CY4533" s="41" t="e">
        <v>#N/A</v>
      </c>
      <c r="CZ4533" s="47" t="e">
        <v>#N/A</v>
      </c>
      <c r="DA4533">
        <v>0.11332468572476186</v>
      </c>
      <c r="DB4533" t="str">
        <v/>
      </c>
    </row>
    <row r="4534" spans="83:106" x14ac:dyDescent="0.2">
      <c r="CE4534"/>
      <c r="CF4534"/>
      <c r="CG4534"/>
      <c r="CH4534"/>
      <c r="CI4534"/>
      <c r="CU4534" s="21">
        <v>4529</v>
      </c>
      <c r="CV4534" s="41">
        <v>4</v>
      </c>
      <c r="CW4534" s="41">
        <v>0.11332468572476186</v>
      </c>
      <c r="CX4534" s="41" t="e">
        <v>#N/A</v>
      </c>
      <c r="CY4534" s="41" t="e">
        <v>#N/A</v>
      </c>
      <c r="CZ4534" s="47" t="e">
        <v>#N/A</v>
      </c>
      <c r="DA4534">
        <v>0.11332468572476186</v>
      </c>
      <c r="DB4534" t="str">
        <v/>
      </c>
    </row>
    <row r="4535" spans="83:106" x14ac:dyDescent="0.2">
      <c r="CE4535"/>
      <c r="CF4535"/>
      <c r="CG4535"/>
      <c r="CH4535"/>
      <c r="CI4535"/>
      <c r="CU4535" s="21">
        <v>4530</v>
      </c>
      <c r="CV4535" s="41">
        <v>4</v>
      </c>
      <c r="CW4535" s="41">
        <v>0.11332468572476186</v>
      </c>
      <c r="CX4535" s="41" t="e">
        <v>#N/A</v>
      </c>
      <c r="CY4535" s="41" t="e">
        <v>#N/A</v>
      </c>
      <c r="CZ4535" s="47" t="e">
        <v>#N/A</v>
      </c>
      <c r="DA4535">
        <v>0.11332468572476186</v>
      </c>
      <c r="DB4535" t="str">
        <v/>
      </c>
    </row>
    <row r="4536" spans="83:106" x14ac:dyDescent="0.2">
      <c r="CE4536"/>
      <c r="CF4536"/>
      <c r="CG4536"/>
      <c r="CH4536"/>
      <c r="CI4536"/>
      <c r="CU4536" s="21">
        <v>4531</v>
      </c>
      <c r="CV4536" s="41">
        <v>4</v>
      </c>
      <c r="CW4536" s="41">
        <v>0.11332468572476186</v>
      </c>
      <c r="CX4536" s="41" t="e">
        <v>#N/A</v>
      </c>
      <c r="CY4536" s="41" t="e">
        <v>#N/A</v>
      </c>
      <c r="CZ4536" s="47" t="e">
        <v>#N/A</v>
      </c>
      <c r="DA4536">
        <v>0.11332468572476186</v>
      </c>
      <c r="DB4536" t="str">
        <v/>
      </c>
    </row>
    <row r="4537" spans="83:106" x14ac:dyDescent="0.2">
      <c r="CE4537"/>
      <c r="CF4537"/>
      <c r="CG4537"/>
      <c r="CH4537"/>
      <c r="CI4537"/>
      <c r="CU4537" s="21">
        <v>4532</v>
      </c>
      <c r="CV4537" s="41">
        <v>4</v>
      </c>
      <c r="CW4537" s="41">
        <v>0.11332468572476186</v>
      </c>
      <c r="CX4537" s="41" t="e">
        <v>#N/A</v>
      </c>
      <c r="CY4537" s="41" t="e">
        <v>#N/A</v>
      </c>
      <c r="CZ4537" s="47" t="e">
        <v>#N/A</v>
      </c>
      <c r="DA4537">
        <v>0.11332468572476186</v>
      </c>
      <c r="DB4537" t="str">
        <v/>
      </c>
    </row>
    <row r="4538" spans="83:106" x14ac:dyDescent="0.2">
      <c r="CE4538"/>
      <c r="CF4538"/>
      <c r="CG4538"/>
      <c r="CH4538"/>
      <c r="CI4538"/>
      <c r="CU4538" s="21">
        <v>4533</v>
      </c>
      <c r="CV4538" s="41">
        <v>4</v>
      </c>
      <c r="CW4538" s="41">
        <v>0.11332468572476186</v>
      </c>
      <c r="CX4538" s="41" t="e">
        <v>#N/A</v>
      </c>
      <c r="CY4538" s="41" t="e">
        <v>#N/A</v>
      </c>
      <c r="CZ4538" s="47" t="e">
        <v>#N/A</v>
      </c>
      <c r="DA4538">
        <v>0.11332468572476186</v>
      </c>
      <c r="DB4538" t="str">
        <v/>
      </c>
    </row>
    <row r="4539" spans="83:106" x14ac:dyDescent="0.2">
      <c r="CE4539"/>
      <c r="CF4539"/>
      <c r="CG4539"/>
      <c r="CH4539"/>
      <c r="CI4539"/>
      <c r="CU4539" s="21">
        <v>4534</v>
      </c>
      <c r="CV4539" s="41">
        <v>4</v>
      </c>
      <c r="CW4539" s="41">
        <v>0.11332468572476186</v>
      </c>
      <c r="CX4539" s="41" t="e">
        <v>#N/A</v>
      </c>
      <c r="CY4539" s="41" t="e">
        <v>#N/A</v>
      </c>
      <c r="CZ4539" s="47" t="e">
        <v>#N/A</v>
      </c>
      <c r="DA4539">
        <v>0.11332468572476186</v>
      </c>
      <c r="DB4539" t="str">
        <v/>
      </c>
    </row>
    <row r="4540" spans="83:106" x14ac:dyDescent="0.2">
      <c r="CE4540"/>
      <c r="CF4540"/>
      <c r="CG4540"/>
      <c r="CH4540"/>
      <c r="CI4540"/>
      <c r="CU4540" s="21">
        <v>4535</v>
      </c>
      <c r="CV4540" s="41">
        <v>4</v>
      </c>
      <c r="CW4540" s="41">
        <v>0.11332468572476186</v>
      </c>
      <c r="CX4540" s="41" t="e">
        <v>#N/A</v>
      </c>
      <c r="CY4540" s="41" t="e">
        <v>#N/A</v>
      </c>
      <c r="CZ4540" s="47" t="e">
        <v>#N/A</v>
      </c>
      <c r="DA4540">
        <v>0.11332468572476186</v>
      </c>
      <c r="DB4540" t="str">
        <v/>
      </c>
    </row>
    <row r="4541" spans="83:106" x14ac:dyDescent="0.2">
      <c r="CE4541"/>
      <c r="CF4541"/>
      <c r="CG4541"/>
      <c r="CH4541"/>
      <c r="CI4541"/>
      <c r="CU4541" s="21">
        <v>4536</v>
      </c>
      <c r="CV4541" s="41">
        <v>4</v>
      </c>
      <c r="CW4541" s="41">
        <v>0.11332468572476186</v>
      </c>
      <c r="CX4541" s="41" t="e">
        <v>#N/A</v>
      </c>
      <c r="CY4541" s="41" t="e">
        <v>#N/A</v>
      </c>
      <c r="CZ4541" s="47" t="e">
        <v>#N/A</v>
      </c>
      <c r="DA4541">
        <v>0.11332468572476186</v>
      </c>
      <c r="DB4541" t="str">
        <v/>
      </c>
    </row>
    <row r="4542" spans="83:106" x14ac:dyDescent="0.2">
      <c r="CE4542"/>
      <c r="CF4542"/>
      <c r="CG4542"/>
      <c r="CH4542"/>
      <c r="CI4542"/>
      <c r="CU4542" s="21">
        <v>4537</v>
      </c>
      <c r="CV4542" s="41">
        <v>4</v>
      </c>
      <c r="CW4542" s="41">
        <v>0.11332468572476186</v>
      </c>
      <c r="CX4542" s="41" t="e">
        <v>#N/A</v>
      </c>
      <c r="CY4542" s="41" t="e">
        <v>#N/A</v>
      </c>
      <c r="CZ4542" s="47" t="e">
        <v>#N/A</v>
      </c>
      <c r="DA4542">
        <v>0.11332468572476186</v>
      </c>
      <c r="DB4542" t="str">
        <v/>
      </c>
    </row>
    <row r="4543" spans="83:106" x14ac:dyDescent="0.2">
      <c r="CE4543"/>
      <c r="CF4543"/>
      <c r="CG4543"/>
      <c r="CH4543"/>
      <c r="CI4543"/>
      <c r="CU4543" s="21">
        <v>4538</v>
      </c>
      <c r="CV4543" s="41">
        <v>4</v>
      </c>
      <c r="CW4543" s="41">
        <v>0.11332468572476186</v>
      </c>
      <c r="CX4543" s="41" t="e">
        <v>#N/A</v>
      </c>
      <c r="CY4543" s="41" t="e">
        <v>#N/A</v>
      </c>
      <c r="CZ4543" s="47" t="e">
        <v>#N/A</v>
      </c>
      <c r="DA4543">
        <v>0.11332468572476186</v>
      </c>
      <c r="DB4543" t="str">
        <v/>
      </c>
    </row>
    <row r="4544" spans="83:106" x14ac:dyDescent="0.2">
      <c r="CE4544"/>
      <c r="CF4544"/>
      <c r="CG4544"/>
      <c r="CH4544"/>
      <c r="CI4544"/>
      <c r="CU4544" s="21">
        <v>4539</v>
      </c>
      <c r="CV4544" s="41">
        <v>4</v>
      </c>
      <c r="CW4544" s="41">
        <v>0.11332468572476186</v>
      </c>
      <c r="CX4544" s="41" t="e">
        <v>#N/A</v>
      </c>
      <c r="CY4544" s="41" t="e">
        <v>#N/A</v>
      </c>
      <c r="CZ4544" s="47" t="e">
        <v>#N/A</v>
      </c>
      <c r="DA4544">
        <v>0.11332468572476186</v>
      </c>
      <c r="DB4544" t="str">
        <v/>
      </c>
    </row>
    <row r="4545" spans="83:106" x14ac:dyDescent="0.2">
      <c r="CE4545"/>
      <c r="CF4545"/>
      <c r="CG4545"/>
      <c r="CH4545"/>
      <c r="CI4545"/>
      <c r="CU4545" s="21">
        <v>4540</v>
      </c>
      <c r="CV4545" s="41">
        <v>4</v>
      </c>
      <c r="CW4545" s="41">
        <v>0.11332468572476186</v>
      </c>
      <c r="CX4545" s="41" t="e">
        <v>#N/A</v>
      </c>
      <c r="CY4545" s="41" t="e">
        <v>#N/A</v>
      </c>
      <c r="CZ4545" s="47" t="e">
        <v>#N/A</v>
      </c>
      <c r="DA4545">
        <v>0.11332468572476186</v>
      </c>
      <c r="DB4545" t="str">
        <v/>
      </c>
    </row>
    <row r="4546" spans="83:106" x14ac:dyDescent="0.2">
      <c r="CE4546"/>
      <c r="CF4546"/>
      <c r="CG4546"/>
      <c r="CH4546"/>
      <c r="CI4546"/>
      <c r="CU4546" s="21">
        <v>4541</v>
      </c>
      <c r="CV4546" s="41">
        <v>4</v>
      </c>
      <c r="CW4546" s="41">
        <v>0.11332468572476186</v>
      </c>
      <c r="CX4546" s="41" t="e">
        <v>#N/A</v>
      </c>
      <c r="CY4546" s="41" t="e">
        <v>#N/A</v>
      </c>
      <c r="CZ4546" s="47" t="e">
        <v>#N/A</v>
      </c>
      <c r="DA4546">
        <v>0.11332468572476186</v>
      </c>
      <c r="DB4546" t="str">
        <v/>
      </c>
    </row>
    <row r="4547" spans="83:106" x14ac:dyDescent="0.2">
      <c r="CE4547"/>
      <c r="CF4547"/>
      <c r="CG4547"/>
      <c r="CH4547"/>
      <c r="CI4547"/>
      <c r="CU4547" s="21">
        <v>4542</v>
      </c>
      <c r="CV4547" s="41">
        <v>4</v>
      </c>
      <c r="CW4547" s="41">
        <v>0.11332468572476186</v>
      </c>
      <c r="CX4547" s="41" t="e">
        <v>#N/A</v>
      </c>
      <c r="CY4547" s="41" t="e">
        <v>#N/A</v>
      </c>
      <c r="CZ4547" s="47" t="e">
        <v>#N/A</v>
      </c>
      <c r="DA4547">
        <v>0.11332468572476186</v>
      </c>
      <c r="DB4547" t="str">
        <v/>
      </c>
    </row>
    <row r="4548" spans="83:106" x14ac:dyDescent="0.2">
      <c r="CE4548"/>
      <c r="CF4548"/>
      <c r="CG4548"/>
      <c r="CH4548"/>
      <c r="CI4548"/>
      <c r="CU4548" s="21">
        <v>4543</v>
      </c>
      <c r="CV4548" s="41">
        <v>4</v>
      </c>
      <c r="CW4548" s="41">
        <v>0.11332468572476186</v>
      </c>
      <c r="CX4548" s="41" t="e">
        <v>#N/A</v>
      </c>
      <c r="CY4548" s="41" t="e">
        <v>#N/A</v>
      </c>
      <c r="CZ4548" s="47" t="e">
        <v>#N/A</v>
      </c>
      <c r="DA4548">
        <v>0.11332468572476186</v>
      </c>
      <c r="DB4548" t="str">
        <v/>
      </c>
    </row>
    <row r="4549" spans="83:106" x14ac:dyDescent="0.2">
      <c r="CE4549"/>
      <c r="CF4549"/>
      <c r="CG4549"/>
      <c r="CH4549"/>
      <c r="CI4549"/>
      <c r="CU4549" s="21">
        <v>4544</v>
      </c>
      <c r="CV4549" s="41">
        <v>4</v>
      </c>
      <c r="CW4549" s="41">
        <v>0.11332468572476186</v>
      </c>
      <c r="CX4549" s="41" t="e">
        <v>#N/A</v>
      </c>
      <c r="CY4549" s="41" t="e">
        <v>#N/A</v>
      </c>
      <c r="CZ4549" s="47" t="e">
        <v>#N/A</v>
      </c>
      <c r="DA4549">
        <v>0.11332468572476186</v>
      </c>
      <c r="DB4549" t="str">
        <v/>
      </c>
    </row>
    <row r="4550" spans="83:106" x14ac:dyDescent="0.2">
      <c r="CE4550"/>
      <c r="CF4550"/>
      <c r="CG4550"/>
      <c r="CH4550"/>
      <c r="CI4550"/>
      <c r="CU4550" s="21">
        <v>4545</v>
      </c>
      <c r="CV4550" s="41">
        <v>4</v>
      </c>
      <c r="CW4550" s="41">
        <v>0.11332468572476186</v>
      </c>
      <c r="CX4550" s="41" t="e">
        <v>#N/A</v>
      </c>
      <c r="CY4550" s="41" t="e">
        <v>#N/A</v>
      </c>
      <c r="CZ4550" s="47" t="e">
        <v>#N/A</v>
      </c>
      <c r="DA4550">
        <v>0.11332468572476186</v>
      </c>
      <c r="DB4550" t="str">
        <v/>
      </c>
    </row>
    <row r="4551" spans="83:106" x14ac:dyDescent="0.2">
      <c r="CE4551"/>
      <c r="CF4551"/>
      <c r="CG4551"/>
      <c r="CH4551"/>
      <c r="CI4551"/>
      <c r="CU4551" s="21">
        <v>4546</v>
      </c>
      <c r="CV4551" s="41">
        <v>4</v>
      </c>
      <c r="CW4551" s="41">
        <v>0.11332468572476186</v>
      </c>
      <c r="CX4551" s="41" t="e">
        <v>#N/A</v>
      </c>
      <c r="CY4551" s="41" t="e">
        <v>#N/A</v>
      </c>
      <c r="CZ4551" s="47" t="e">
        <v>#N/A</v>
      </c>
      <c r="DA4551">
        <v>0.11332468572476186</v>
      </c>
      <c r="DB4551" t="str">
        <v/>
      </c>
    </row>
    <row r="4552" spans="83:106" x14ac:dyDescent="0.2">
      <c r="CE4552"/>
      <c r="CF4552"/>
      <c r="CG4552"/>
      <c r="CH4552"/>
      <c r="CI4552"/>
      <c r="CU4552" s="21">
        <v>4547</v>
      </c>
      <c r="CV4552" s="41">
        <v>4</v>
      </c>
      <c r="CW4552" s="41">
        <v>0.11332468572476186</v>
      </c>
      <c r="CX4552" s="41" t="e">
        <v>#N/A</v>
      </c>
      <c r="CY4552" s="41" t="e">
        <v>#N/A</v>
      </c>
      <c r="CZ4552" s="47" t="e">
        <v>#N/A</v>
      </c>
      <c r="DA4552">
        <v>0.11332468572476186</v>
      </c>
      <c r="DB4552" t="str">
        <v/>
      </c>
    </row>
    <row r="4553" spans="83:106" x14ac:dyDescent="0.2">
      <c r="CE4553"/>
      <c r="CF4553"/>
      <c r="CG4553"/>
      <c r="CH4553"/>
      <c r="CI4553"/>
      <c r="CU4553" s="21">
        <v>4548</v>
      </c>
      <c r="CV4553" s="41">
        <v>4</v>
      </c>
      <c r="CW4553" s="41">
        <v>0.11332468572476186</v>
      </c>
      <c r="CX4553" s="41" t="e">
        <v>#N/A</v>
      </c>
      <c r="CY4553" s="41" t="e">
        <v>#N/A</v>
      </c>
      <c r="CZ4553" s="47" t="e">
        <v>#N/A</v>
      </c>
      <c r="DA4553">
        <v>0.11332468572476186</v>
      </c>
      <c r="DB4553" t="str">
        <v/>
      </c>
    </row>
    <row r="4554" spans="83:106" x14ac:dyDescent="0.2">
      <c r="CE4554"/>
      <c r="CF4554"/>
      <c r="CG4554"/>
      <c r="CH4554"/>
      <c r="CI4554"/>
      <c r="CU4554" s="21">
        <v>4549</v>
      </c>
      <c r="CV4554" s="41">
        <v>4</v>
      </c>
      <c r="CW4554" s="41">
        <v>0.11332468572476186</v>
      </c>
      <c r="CX4554" s="41" t="e">
        <v>#N/A</v>
      </c>
      <c r="CY4554" s="41" t="e">
        <v>#N/A</v>
      </c>
      <c r="CZ4554" s="47" t="e">
        <v>#N/A</v>
      </c>
      <c r="DA4554">
        <v>0.11332468572476186</v>
      </c>
      <c r="DB4554" t="str">
        <v/>
      </c>
    </row>
    <row r="4555" spans="83:106" x14ac:dyDescent="0.2">
      <c r="CE4555"/>
      <c r="CF4555"/>
      <c r="CG4555"/>
      <c r="CH4555"/>
      <c r="CI4555"/>
      <c r="CU4555" s="21">
        <v>4550</v>
      </c>
      <c r="CV4555" s="41">
        <v>4</v>
      </c>
      <c r="CW4555" s="41">
        <v>0.11332468572476186</v>
      </c>
      <c r="CX4555" s="41" t="e">
        <v>#N/A</v>
      </c>
      <c r="CY4555" s="41" t="e">
        <v>#N/A</v>
      </c>
      <c r="CZ4555" s="47" t="e">
        <v>#N/A</v>
      </c>
      <c r="DA4555">
        <v>0.11332468572476186</v>
      </c>
      <c r="DB4555" t="str">
        <v/>
      </c>
    </row>
    <row r="4556" spans="83:106" x14ac:dyDescent="0.2">
      <c r="CE4556"/>
      <c r="CF4556"/>
      <c r="CG4556"/>
      <c r="CH4556"/>
      <c r="CI4556"/>
      <c r="CU4556" s="21">
        <v>4551</v>
      </c>
      <c r="CV4556" s="41">
        <v>4</v>
      </c>
      <c r="CW4556" s="41">
        <v>0.11332468572476186</v>
      </c>
      <c r="CX4556" s="41" t="e">
        <v>#N/A</v>
      </c>
      <c r="CY4556" s="41" t="e">
        <v>#N/A</v>
      </c>
      <c r="CZ4556" s="47" t="e">
        <v>#N/A</v>
      </c>
      <c r="DA4556">
        <v>0.11332468572476186</v>
      </c>
      <c r="DB4556" t="str">
        <v/>
      </c>
    </row>
    <row r="4557" spans="83:106" x14ac:dyDescent="0.2">
      <c r="CE4557"/>
      <c r="CF4557"/>
      <c r="CG4557"/>
      <c r="CH4557"/>
      <c r="CI4557"/>
      <c r="CU4557" s="21">
        <v>4552</v>
      </c>
      <c r="CV4557" s="41">
        <v>4</v>
      </c>
      <c r="CW4557" s="41">
        <v>0.11332468572476186</v>
      </c>
      <c r="CX4557" s="41" t="e">
        <v>#N/A</v>
      </c>
      <c r="CY4557" s="41" t="e">
        <v>#N/A</v>
      </c>
      <c r="CZ4557" s="47" t="e">
        <v>#N/A</v>
      </c>
      <c r="DA4557">
        <v>0.11332468572476186</v>
      </c>
      <c r="DB4557" t="str">
        <v/>
      </c>
    </row>
    <row r="4558" spans="83:106" x14ac:dyDescent="0.2">
      <c r="CE4558"/>
      <c r="CF4558"/>
      <c r="CG4558"/>
      <c r="CH4558"/>
      <c r="CI4558"/>
      <c r="CU4558" s="21">
        <v>4553</v>
      </c>
      <c r="CV4558" s="41">
        <v>4</v>
      </c>
      <c r="CW4558" s="41">
        <v>0.11332468572476186</v>
      </c>
      <c r="CX4558" s="41" t="e">
        <v>#N/A</v>
      </c>
      <c r="CY4558" s="41" t="e">
        <v>#N/A</v>
      </c>
      <c r="CZ4558" s="47" t="e">
        <v>#N/A</v>
      </c>
      <c r="DA4558">
        <v>0.11332468572476186</v>
      </c>
      <c r="DB4558" t="str">
        <v/>
      </c>
    </row>
    <row r="4559" spans="83:106" x14ac:dyDescent="0.2">
      <c r="CE4559"/>
      <c r="CF4559"/>
      <c r="CG4559"/>
      <c r="CH4559"/>
      <c r="CI4559"/>
      <c r="CU4559" s="21">
        <v>4554</v>
      </c>
      <c r="CV4559" s="41">
        <v>4</v>
      </c>
      <c r="CW4559" s="41">
        <v>0.11332468572476186</v>
      </c>
      <c r="CX4559" s="41" t="e">
        <v>#N/A</v>
      </c>
      <c r="CY4559" s="41" t="e">
        <v>#N/A</v>
      </c>
      <c r="CZ4559" s="47" t="e">
        <v>#N/A</v>
      </c>
      <c r="DA4559">
        <v>0.11332468572476186</v>
      </c>
      <c r="DB4559" t="str">
        <v/>
      </c>
    </row>
    <row r="4560" spans="83:106" x14ac:dyDescent="0.2">
      <c r="CE4560"/>
      <c r="CF4560"/>
      <c r="CG4560"/>
      <c r="CH4560"/>
      <c r="CI4560"/>
      <c r="CU4560" s="21">
        <v>4555</v>
      </c>
      <c r="CV4560" s="41">
        <v>4</v>
      </c>
      <c r="CW4560" s="41">
        <v>0.11332468572476186</v>
      </c>
      <c r="CX4560" s="41" t="e">
        <v>#N/A</v>
      </c>
      <c r="CY4560" s="41" t="e">
        <v>#N/A</v>
      </c>
      <c r="CZ4560" s="47" t="e">
        <v>#N/A</v>
      </c>
      <c r="DA4560">
        <v>0.11332468572476186</v>
      </c>
      <c r="DB4560" t="str">
        <v/>
      </c>
    </row>
    <row r="4561" spans="83:106" x14ac:dyDescent="0.2">
      <c r="CE4561"/>
      <c r="CF4561"/>
      <c r="CG4561"/>
      <c r="CH4561"/>
      <c r="CI4561"/>
      <c r="CU4561" s="21">
        <v>4556</v>
      </c>
      <c r="CV4561" s="41">
        <v>4</v>
      </c>
      <c r="CW4561" s="41">
        <v>0.11332468572476186</v>
      </c>
      <c r="CX4561" s="41" t="e">
        <v>#N/A</v>
      </c>
      <c r="CY4561" s="41" t="e">
        <v>#N/A</v>
      </c>
      <c r="CZ4561" s="47" t="e">
        <v>#N/A</v>
      </c>
      <c r="DA4561">
        <v>0.11332468572476186</v>
      </c>
      <c r="DB4561" t="str">
        <v/>
      </c>
    </row>
    <row r="4562" spans="83:106" x14ac:dyDescent="0.2">
      <c r="CE4562"/>
      <c r="CF4562"/>
      <c r="CG4562"/>
      <c r="CH4562"/>
      <c r="CI4562"/>
      <c r="CU4562" s="21">
        <v>4557</v>
      </c>
      <c r="CV4562" s="41">
        <v>4</v>
      </c>
      <c r="CW4562" s="41">
        <v>0.11332468572476186</v>
      </c>
      <c r="CX4562" s="41" t="e">
        <v>#N/A</v>
      </c>
      <c r="CY4562" s="41" t="e">
        <v>#N/A</v>
      </c>
      <c r="CZ4562" s="47" t="e">
        <v>#N/A</v>
      </c>
      <c r="DA4562">
        <v>0.11332468572476186</v>
      </c>
      <c r="DB4562" t="str">
        <v/>
      </c>
    </row>
    <row r="4563" spans="83:106" x14ac:dyDescent="0.2">
      <c r="CE4563"/>
      <c r="CF4563"/>
      <c r="CG4563"/>
      <c r="CH4563"/>
      <c r="CI4563"/>
      <c r="CU4563" s="21">
        <v>4558</v>
      </c>
      <c r="CV4563" s="41">
        <v>4</v>
      </c>
      <c r="CW4563" s="41">
        <v>0.11332468572476186</v>
      </c>
      <c r="CX4563" s="41" t="e">
        <v>#N/A</v>
      </c>
      <c r="CY4563" s="41" t="e">
        <v>#N/A</v>
      </c>
      <c r="CZ4563" s="47" t="e">
        <v>#N/A</v>
      </c>
      <c r="DA4563">
        <v>0.11332468572476186</v>
      </c>
      <c r="DB4563" t="str">
        <v/>
      </c>
    </row>
    <row r="4564" spans="83:106" x14ac:dyDescent="0.2">
      <c r="CE4564"/>
      <c r="CF4564"/>
      <c r="CG4564"/>
      <c r="CH4564"/>
      <c r="CI4564"/>
      <c r="CU4564" s="21">
        <v>4559</v>
      </c>
      <c r="CV4564" s="41">
        <v>4</v>
      </c>
      <c r="CW4564" s="41">
        <v>0.11332468572476186</v>
      </c>
      <c r="CX4564" s="41" t="e">
        <v>#N/A</v>
      </c>
      <c r="CY4564" s="41" t="e">
        <v>#N/A</v>
      </c>
      <c r="CZ4564" s="47" t="e">
        <v>#N/A</v>
      </c>
      <c r="DA4564">
        <v>0.11332468572476186</v>
      </c>
      <c r="DB4564" t="str">
        <v/>
      </c>
    </row>
    <row r="4565" spans="83:106" x14ac:dyDescent="0.2">
      <c r="CE4565"/>
      <c r="CF4565"/>
      <c r="CG4565"/>
      <c r="CH4565"/>
      <c r="CI4565"/>
      <c r="CU4565" s="21">
        <v>4560</v>
      </c>
      <c r="CV4565" s="41">
        <v>4</v>
      </c>
      <c r="CW4565" s="41">
        <v>0.11332468572476186</v>
      </c>
      <c r="CX4565" s="41" t="e">
        <v>#N/A</v>
      </c>
      <c r="CY4565" s="41" t="e">
        <v>#N/A</v>
      </c>
      <c r="CZ4565" s="47" t="e">
        <v>#N/A</v>
      </c>
      <c r="DA4565">
        <v>0.11332468572476186</v>
      </c>
      <c r="DB4565" t="str">
        <v/>
      </c>
    </row>
    <row r="4566" spans="83:106" x14ac:dyDescent="0.2">
      <c r="CE4566"/>
      <c r="CF4566"/>
      <c r="CG4566"/>
      <c r="CH4566"/>
      <c r="CI4566"/>
      <c r="CU4566" s="21">
        <v>4561</v>
      </c>
      <c r="CV4566" s="41">
        <v>4</v>
      </c>
      <c r="CW4566" s="41">
        <v>0.11332468572476186</v>
      </c>
      <c r="CX4566" s="41" t="e">
        <v>#N/A</v>
      </c>
      <c r="CY4566" s="41" t="e">
        <v>#N/A</v>
      </c>
      <c r="CZ4566" s="47" t="e">
        <v>#N/A</v>
      </c>
      <c r="DA4566">
        <v>0.11332468572476186</v>
      </c>
      <c r="DB4566" t="str">
        <v/>
      </c>
    </row>
    <row r="4567" spans="83:106" x14ac:dyDescent="0.2">
      <c r="CE4567"/>
      <c r="CF4567"/>
      <c r="CG4567"/>
      <c r="CH4567"/>
      <c r="CI4567"/>
      <c r="CU4567" s="21">
        <v>4562</v>
      </c>
      <c r="CV4567" s="41">
        <v>4</v>
      </c>
      <c r="CW4567" s="41">
        <v>0.11332468572476186</v>
      </c>
      <c r="CX4567" s="41" t="e">
        <v>#N/A</v>
      </c>
      <c r="CY4567" s="41" t="e">
        <v>#N/A</v>
      </c>
      <c r="CZ4567" s="47" t="e">
        <v>#N/A</v>
      </c>
      <c r="DA4567">
        <v>0.11332468572476186</v>
      </c>
      <c r="DB4567" t="str">
        <v/>
      </c>
    </row>
    <row r="4568" spans="83:106" x14ac:dyDescent="0.2">
      <c r="CE4568"/>
      <c r="CF4568"/>
      <c r="CG4568"/>
      <c r="CH4568"/>
      <c r="CI4568"/>
      <c r="CU4568" s="21">
        <v>4563</v>
      </c>
      <c r="CV4568" s="41">
        <v>4</v>
      </c>
      <c r="CW4568" s="41">
        <v>0.11332468572476186</v>
      </c>
      <c r="CX4568" s="41" t="e">
        <v>#N/A</v>
      </c>
      <c r="CY4568" s="41" t="e">
        <v>#N/A</v>
      </c>
      <c r="CZ4568" s="47" t="e">
        <v>#N/A</v>
      </c>
      <c r="DA4568">
        <v>0.11332468572476186</v>
      </c>
      <c r="DB4568" t="str">
        <v/>
      </c>
    </row>
    <row r="4569" spans="83:106" x14ac:dyDescent="0.2">
      <c r="CE4569"/>
      <c r="CF4569"/>
      <c r="CG4569"/>
      <c r="CH4569"/>
      <c r="CI4569"/>
      <c r="CU4569" s="21">
        <v>4564</v>
      </c>
      <c r="CV4569" s="41">
        <v>4</v>
      </c>
      <c r="CW4569" s="41">
        <v>0.11332468572476186</v>
      </c>
      <c r="CX4569" s="41" t="e">
        <v>#N/A</v>
      </c>
      <c r="CY4569" s="41" t="e">
        <v>#N/A</v>
      </c>
      <c r="CZ4569" s="47" t="e">
        <v>#N/A</v>
      </c>
      <c r="DA4569">
        <v>0.11332468572476186</v>
      </c>
      <c r="DB4569" t="str">
        <v/>
      </c>
    </row>
    <row r="4570" spans="83:106" x14ac:dyDescent="0.2">
      <c r="CE4570"/>
      <c r="CF4570"/>
      <c r="CG4570"/>
      <c r="CH4570"/>
      <c r="CI4570"/>
      <c r="CU4570" s="21">
        <v>4565</v>
      </c>
      <c r="CV4570" s="41">
        <v>4</v>
      </c>
      <c r="CW4570" s="41">
        <v>0.11332468572476186</v>
      </c>
      <c r="CX4570" s="41" t="e">
        <v>#N/A</v>
      </c>
      <c r="CY4570" s="41" t="e">
        <v>#N/A</v>
      </c>
      <c r="CZ4570" s="47" t="e">
        <v>#N/A</v>
      </c>
      <c r="DA4570">
        <v>0.11332468572476186</v>
      </c>
      <c r="DB4570" t="str">
        <v/>
      </c>
    </row>
    <row r="4571" spans="83:106" x14ac:dyDescent="0.2">
      <c r="CE4571"/>
      <c r="CF4571"/>
      <c r="CG4571"/>
      <c r="CH4571"/>
      <c r="CI4571"/>
      <c r="CU4571" s="21">
        <v>4566</v>
      </c>
      <c r="CV4571" s="41">
        <v>4</v>
      </c>
      <c r="CW4571" s="41">
        <v>0.11332468572476186</v>
      </c>
      <c r="CX4571" s="41" t="e">
        <v>#N/A</v>
      </c>
      <c r="CY4571" s="41" t="e">
        <v>#N/A</v>
      </c>
      <c r="CZ4571" s="47" t="e">
        <v>#N/A</v>
      </c>
      <c r="DA4571">
        <v>0.11332468572476186</v>
      </c>
      <c r="DB4571" t="str">
        <v/>
      </c>
    </row>
    <row r="4572" spans="83:106" x14ac:dyDescent="0.2">
      <c r="CE4572"/>
      <c r="CF4572"/>
      <c r="CG4572"/>
      <c r="CH4572"/>
      <c r="CI4572"/>
      <c r="CU4572" s="21">
        <v>4567</v>
      </c>
      <c r="CV4572" s="41">
        <v>4</v>
      </c>
      <c r="CW4572" s="41">
        <v>0.11332468572476186</v>
      </c>
      <c r="CX4572" s="41" t="e">
        <v>#N/A</v>
      </c>
      <c r="CY4572" s="41" t="e">
        <v>#N/A</v>
      </c>
      <c r="CZ4572" s="47" t="e">
        <v>#N/A</v>
      </c>
      <c r="DA4572">
        <v>0.11332468572476186</v>
      </c>
      <c r="DB4572" t="str">
        <v/>
      </c>
    </row>
    <row r="4573" spans="83:106" x14ac:dyDescent="0.2">
      <c r="CE4573"/>
      <c r="CF4573"/>
      <c r="CG4573"/>
      <c r="CH4573"/>
      <c r="CI4573"/>
      <c r="CU4573" s="21">
        <v>4568</v>
      </c>
      <c r="CV4573" s="41">
        <v>4</v>
      </c>
      <c r="CW4573" s="41">
        <v>0.11332468572476186</v>
      </c>
      <c r="CX4573" s="41" t="e">
        <v>#N/A</v>
      </c>
      <c r="CY4573" s="41" t="e">
        <v>#N/A</v>
      </c>
      <c r="CZ4573" s="47" t="e">
        <v>#N/A</v>
      </c>
      <c r="DA4573">
        <v>0.11332468572476186</v>
      </c>
      <c r="DB4573" t="str">
        <v/>
      </c>
    </row>
    <row r="4574" spans="83:106" x14ac:dyDescent="0.2">
      <c r="CE4574"/>
      <c r="CF4574"/>
      <c r="CG4574"/>
      <c r="CH4574"/>
      <c r="CI4574"/>
      <c r="CU4574" s="21">
        <v>4569</v>
      </c>
      <c r="CV4574" s="41">
        <v>4</v>
      </c>
      <c r="CW4574" s="41">
        <v>0.11332468572476186</v>
      </c>
      <c r="CX4574" s="41" t="e">
        <v>#N/A</v>
      </c>
      <c r="CY4574" s="41" t="e">
        <v>#N/A</v>
      </c>
      <c r="CZ4574" s="47" t="e">
        <v>#N/A</v>
      </c>
      <c r="DA4574">
        <v>0.11332468572476186</v>
      </c>
      <c r="DB4574" t="str">
        <v/>
      </c>
    </row>
    <row r="4575" spans="83:106" x14ac:dyDescent="0.2">
      <c r="CE4575"/>
      <c r="CF4575"/>
      <c r="CG4575"/>
      <c r="CH4575"/>
      <c r="CI4575"/>
      <c r="CU4575" s="21">
        <v>4570</v>
      </c>
      <c r="CV4575" s="41">
        <v>4</v>
      </c>
      <c r="CW4575" s="41">
        <v>0.11332468572476186</v>
      </c>
      <c r="CX4575" s="41" t="e">
        <v>#N/A</v>
      </c>
      <c r="CY4575" s="41" t="e">
        <v>#N/A</v>
      </c>
      <c r="CZ4575" s="47" t="e">
        <v>#N/A</v>
      </c>
      <c r="DA4575">
        <v>0.11332468572476186</v>
      </c>
      <c r="DB4575" t="str">
        <v/>
      </c>
    </row>
    <row r="4576" spans="83:106" x14ac:dyDescent="0.2">
      <c r="CE4576"/>
      <c r="CF4576"/>
      <c r="CG4576"/>
      <c r="CH4576"/>
      <c r="CI4576"/>
      <c r="CU4576" s="21">
        <v>4571</v>
      </c>
      <c r="CV4576" s="41">
        <v>4</v>
      </c>
      <c r="CW4576" s="41">
        <v>0.11332468572476186</v>
      </c>
      <c r="CX4576" s="41" t="e">
        <v>#N/A</v>
      </c>
      <c r="CY4576" s="41" t="e">
        <v>#N/A</v>
      </c>
      <c r="CZ4576" s="47" t="e">
        <v>#N/A</v>
      </c>
      <c r="DA4576">
        <v>0.11332468572476186</v>
      </c>
      <c r="DB4576" t="str">
        <v/>
      </c>
    </row>
    <row r="4577" spans="83:106" x14ac:dyDescent="0.2">
      <c r="CE4577"/>
      <c r="CF4577"/>
      <c r="CG4577"/>
      <c r="CH4577"/>
      <c r="CI4577"/>
      <c r="CU4577" s="21">
        <v>4572</v>
      </c>
      <c r="CV4577" s="41">
        <v>4</v>
      </c>
      <c r="CW4577" s="41">
        <v>0.11332468572476186</v>
      </c>
      <c r="CX4577" s="41" t="e">
        <v>#N/A</v>
      </c>
      <c r="CY4577" s="41" t="e">
        <v>#N/A</v>
      </c>
      <c r="CZ4577" s="47" t="e">
        <v>#N/A</v>
      </c>
      <c r="DA4577">
        <v>0.11332468572476186</v>
      </c>
      <c r="DB4577" t="str">
        <v/>
      </c>
    </row>
    <row r="4578" spans="83:106" x14ac:dyDescent="0.2">
      <c r="CE4578"/>
      <c r="CF4578"/>
      <c r="CG4578"/>
      <c r="CH4578"/>
      <c r="CI4578"/>
      <c r="CU4578" s="21">
        <v>4573</v>
      </c>
      <c r="CV4578" s="41">
        <v>4</v>
      </c>
      <c r="CW4578" s="41">
        <v>0.11332468572476186</v>
      </c>
      <c r="CX4578" s="41" t="e">
        <v>#N/A</v>
      </c>
      <c r="CY4578" s="41" t="e">
        <v>#N/A</v>
      </c>
      <c r="CZ4578" s="47" t="e">
        <v>#N/A</v>
      </c>
      <c r="DA4578">
        <v>0.11332468572476186</v>
      </c>
      <c r="DB4578" t="str">
        <v/>
      </c>
    </row>
    <row r="4579" spans="83:106" x14ac:dyDescent="0.2">
      <c r="CE4579"/>
      <c r="CF4579"/>
      <c r="CG4579"/>
      <c r="CH4579"/>
      <c r="CI4579"/>
      <c r="CU4579" s="21">
        <v>4574</v>
      </c>
      <c r="CV4579" s="41">
        <v>4</v>
      </c>
      <c r="CW4579" s="41">
        <v>0.11332468572476186</v>
      </c>
      <c r="CX4579" s="41" t="e">
        <v>#N/A</v>
      </c>
      <c r="CY4579" s="41" t="e">
        <v>#N/A</v>
      </c>
      <c r="CZ4579" s="47" t="e">
        <v>#N/A</v>
      </c>
      <c r="DA4579">
        <v>0.11332468572476186</v>
      </c>
      <c r="DB4579" t="str">
        <v/>
      </c>
    </row>
    <row r="4580" spans="83:106" x14ac:dyDescent="0.2">
      <c r="CE4580"/>
      <c r="CF4580"/>
      <c r="CG4580"/>
      <c r="CH4580"/>
      <c r="CI4580"/>
      <c r="CU4580" s="21">
        <v>4575</v>
      </c>
      <c r="CV4580" s="41">
        <v>4</v>
      </c>
      <c r="CW4580" s="41">
        <v>0.11332468572476186</v>
      </c>
      <c r="CX4580" s="41" t="e">
        <v>#N/A</v>
      </c>
      <c r="CY4580" s="41" t="e">
        <v>#N/A</v>
      </c>
      <c r="CZ4580" s="47" t="e">
        <v>#N/A</v>
      </c>
      <c r="DA4580">
        <v>0.11332468572476186</v>
      </c>
      <c r="DB4580" t="str">
        <v/>
      </c>
    </row>
    <row r="4581" spans="83:106" x14ac:dyDescent="0.2">
      <c r="CE4581"/>
      <c r="CF4581"/>
      <c r="CG4581"/>
      <c r="CH4581"/>
      <c r="CI4581"/>
      <c r="CU4581" s="21">
        <v>4576</v>
      </c>
      <c r="CV4581" s="41">
        <v>4</v>
      </c>
      <c r="CW4581" s="41">
        <v>0.11332468572476186</v>
      </c>
      <c r="CX4581" s="41" t="e">
        <v>#N/A</v>
      </c>
      <c r="CY4581" s="41" t="e">
        <v>#N/A</v>
      </c>
      <c r="CZ4581" s="47" t="e">
        <v>#N/A</v>
      </c>
      <c r="DA4581">
        <v>0.11332468572476186</v>
      </c>
      <c r="DB4581" t="str">
        <v/>
      </c>
    </row>
    <row r="4582" spans="83:106" x14ac:dyDescent="0.2">
      <c r="CE4582"/>
      <c r="CF4582"/>
      <c r="CG4582"/>
      <c r="CH4582"/>
      <c r="CI4582"/>
      <c r="CU4582" s="21">
        <v>4577</v>
      </c>
      <c r="CV4582" s="41">
        <v>4</v>
      </c>
      <c r="CW4582" s="41">
        <v>0.11332468572476186</v>
      </c>
      <c r="CX4582" s="41" t="e">
        <v>#N/A</v>
      </c>
      <c r="CY4582" s="41" t="e">
        <v>#N/A</v>
      </c>
      <c r="CZ4582" s="47" t="e">
        <v>#N/A</v>
      </c>
      <c r="DA4582">
        <v>0.11332468572476186</v>
      </c>
      <c r="DB4582" t="str">
        <v/>
      </c>
    </row>
    <row r="4583" spans="83:106" x14ac:dyDescent="0.2">
      <c r="CE4583"/>
      <c r="CF4583"/>
      <c r="CG4583"/>
      <c r="CH4583"/>
      <c r="CI4583"/>
      <c r="CU4583" s="21">
        <v>4578</v>
      </c>
      <c r="CV4583" s="41">
        <v>4</v>
      </c>
      <c r="CW4583" s="41">
        <v>0.11332468572476186</v>
      </c>
      <c r="CX4583" s="41" t="e">
        <v>#N/A</v>
      </c>
      <c r="CY4583" s="41" t="e">
        <v>#N/A</v>
      </c>
      <c r="CZ4583" s="47" t="e">
        <v>#N/A</v>
      </c>
      <c r="DA4583">
        <v>0.11332468572476186</v>
      </c>
      <c r="DB4583" t="str">
        <v/>
      </c>
    </row>
    <row r="4584" spans="83:106" x14ac:dyDescent="0.2">
      <c r="CE4584"/>
      <c r="CF4584"/>
      <c r="CG4584"/>
      <c r="CH4584"/>
      <c r="CI4584"/>
      <c r="CU4584" s="21">
        <v>4579</v>
      </c>
      <c r="CV4584" s="41">
        <v>4</v>
      </c>
      <c r="CW4584" s="41">
        <v>0.11332468572476186</v>
      </c>
      <c r="CX4584" s="41" t="e">
        <v>#N/A</v>
      </c>
      <c r="CY4584" s="41" t="e">
        <v>#N/A</v>
      </c>
      <c r="CZ4584" s="47" t="e">
        <v>#N/A</v>
      </c>
      <c r="DA4584">
        <v>0.11332468572476186</v>
      </c>
      <c r="DB4584" t="str">
        <v/>
      </c>
    </row>
    <row r="4585" spans="83:106" x14ac:dyDescent="0.2">
      <c r="CE4585"/>
      <c r="CF4585"/>
      <c r="CG4585"/>
      <c r="CH4585"/>
      <c r="CI4585"/>
      <c r="CU4585" s="21">
        <v>4580</v>
      </c>
      <c r="CV4585" s="41">
        <v>4</v>
      </c>
      <c r="CW4585" s="41">
        <v>0.11332468572476186</v>
      </c>
      <c r="CX4585" s="41" t="e">
        <v>#N/A</v>
      </c>
      <c r="CY4585" s="41" t="e">
        <v>#N/A</v>
      </c>
      <c r="CZ4585" s="47" t="e">
        <v>#N/A</v>
      </c>
      <c r="DA4585">
        <v>0.11332468572476186</v>
      </c>
      <c r="DB4585" t="str">
        <v/>
      </c>
    </row>
    <row r="4586" spans="83:106" x14ac:dyDescent="0.2">
      <c r="CE4586"/>
      <c r="CF4586"/>
      <c r="CG4586"/>
      <c r="CH4586"/>
      <c r="CI4586"/>
      <c r="CU4586" s="21">
        <v>4581</v>
      </c>
      <c r="CV4586" s="41">
        <v>4</v>
      </c>
      <c r="CW4586" s="41">
        <v>0.11332468572476186</v>
      </c>
      <c r="CX4586" s="41" t="e">
        <v>#N/A</v>
      </c>
      <c r="CY4586" s="41" t="e">
        <v>#N/A</v>
      </c>
      <c r="CZ4586" s="47" t="e">
        <v>#N/A</v>
      </c>
      <c r="DA4586">
        <v>0.11332468572476186</v>
      </c>
      <c r="DB4586" t="str">
        <v/>
      </c>
    </row>
    <row r="4587" spans="83:106" x14ac:dyDescent="0.2">
      <c r="CE4587"/>
      <c r="CF4587"/>
      <c r="CG4587"/>
      <c r="CH4587"/>
      <c r="CI4587"/>
      <c r="CU4587" s="21">
        <v>4582</v>
      </c>
      <c r="CV4587" s="41">
        <v>4</v>
      </c>
      <c r="CW4587" s="41">
        <v>0.11332468572476186</v>
      </c>
      <c r="CX4587" s="41" t="e">
        <v>#N/A</v>
      </c>
      <c r="CY4587" s="41" t="e">
        <v>#N/A</v>
      </c>
      <c r="CZ4587" s="47" t="e">
        <v>#N/A</v>
      </c>
      <c r="DA4587">
        <v>0.11332468572476186</v>
      </c>
      <c r="DB4587" t="str">
        <v/>
      </c>
    </row>
    <row r="4588" spans="83:106" x14ac:dyDescent="0.2">
      <c r="CE4588"/>
      <c r="CF4588"/>
      <c r="CG4588"/>
      <c r="CH4588"/>
      <c r="CI4588"/>
      <c r="CU4588" s="21">
        <v>4583</v>
      </c>
      <c r="CV4588" s="41">
        <v>4</v>
      </c>
      <c r="CW4588" s="41">
        <v>0.11332468572476186</v>
      </c>
      <c r="CX4588" s="41" t="e">
        <v>#N/A</v>
      </c>
      <c r="CY4588" s="41" t="e">
        <v>#N/A</v>
      </c>
      <c r="CZ4588" s="47" t="e">
        <v>#N/A</v>
      </c>
      <c r="DA4588">
        <v>0.11332468572476186</v>
      </c>
      <c r="DB4588" t="str">
        <v/>
      </c>
    </row>
    <row r="4589" spans="83:106" x14ac:dyDescent="0.2">
      <c r="CE4589"/>
      <c r="CF4589"/>
      <c r="CG4589"/>
      <c r="CH4589"/>
      <c r="CI4589"/>
      <c r="CU4589" s="21">
        <v>4584</v>
      </c>
      <c r="CV4589" s="41">
        <v>4</v>
      </c>
      <c r="CW4589" s="41">
        <v>0.11332468572476186</v>
      </c>
      <c r="CX4589" s="41" t="e">
        <v>#N/A</v>
      </c>
      <c r="CY4589" s="41" t="e">
        <v>#N/A</v>
      </c>
      <c r="CZ4589" s="47" t="e">
        <v>#N/A</v>
      </c>
      <c r="DA4589">
        <v>0.11332468572476186</v>
      </c>
      <c r="DB4589" t="str">
        <v/>
      </c>
    </row>
    <row r="4590" spans="83:106" x14ac:dyDescent="0.2">
      <c r="CE4590"/>
      <c r="CF4590"/>
      <c r="CG4590"/>
      <c r="CH4590"/>
      <c r="CI4590"/>
      <c r="CU4590" s="21">
        <v>4585</v>
      </c>
      <c r="CV4590" s="41">
        <v>4</v>
      </c>
      <c r="CW4590" s="41">
        <v>0.11332468572476186</v>
      </c>
      <c r="CX4590" s="41" t="e">
        <v>#N/A</v>
      </c>
      <c r="CY4590" s="41" t="e">
        <v>#N/A</v>
      </c>
      <c r="CZ4590" s="47" t="e">
        <v>#N/A</v>
      </c>
      <c r="DA4590">
        <v>0.11332468572476186</v>
      </c>
      <c r="DB4590" t="str">
        <v/>
      </c>
    </row>
    <row r="4591" spans="83:106" x14ac:dyDescent="0.2">
      <c r="CE4591"/>
      <c r="CF4591"/>
      <c r="CG4591"/>
      <c r="CH4591"/>
      <c r="CI4591"/>
      <c r="CU4591" s="21">
        <v>4586</v>
      </c>
      <c r="CV4591" s="41">
        <v>4</v>
      </c>
      <c r="CW4591" s="41">
        <v>0.11332468572476186</v>
      </c>
      <c r="CX4591" s="41" t="e">
        <v>#N/A</v>
      </c>
      <c r="CY4591" s="41" t="e">
        <v>#N/A</v>
      </c>
      <c r="CZ4591" s="47" t="e">
        <v>#N/A</v>
      </c>
      <c r="DA4591">
        <v>0.11332468572476186</v>
      </c>
      <c r="DB4591" t="str">
        <v/>
      </c>
    </row>
    <row r="4592" spans="83:106" x14ac:dyDescent="0.2">
      <c r="CE4592"/>
      <c r="CF4592"/>
      <c r="CG4592"/>
      <c r="CH4592"/>
      <c r="CI4592"/>
      <c r="CU4592" s="21">
        <v>4587</v>
      </c>
      <c r="CV4592" s="41">
        <v>4</v>
      </c>
      <c r="CW4592" s="41">
        <v>0.11332468572476186</v>
      </c>
      <c r="CX4592" s="41" t="e">
        <v>#N/A</v>
      </c>
      <c r="CY4592" s="41" t="e">
        <v>#N/A</v>
      </c>
      <c r="CZ4592" s="47" t="e">
        <v>#N/A</v>
      </c>
      <c r="DA4592">
        <v>0.11332468572476186</v>
      </c>
      <c r="DB4592" t="str">
        <v/>
      </c>
    </row>
    <row r="4593" spans="83:106" x14ac:dyDescent="0.2">
      <c r="CE4593"/>
      <c r="CF4593"/>
      <c r="CG4593"/>
      <c r="CH4593"/>
      <c r="CI4593"/>
      <c r="CU4593" s="21">
        <v>4588</v>
      </c>
      <c r="CV4593" s="41">
        <v>4</v>
      </c>
      <c r="CW4593" s="41">
        <v>0.11332468572476186</v>
      </c>
      <c r="CX4593" s="41" t="e">
        <v>#N/A</v>
      </c>
      <c r="CY4593" s="41" t="e">
        <v>#N/A</v>
      </c>
      <c r="CZ4593" s="47" t="e">
        <v>#N/A</v>
      </c>
      <c r="DA4593">
        <v>0.11332468572476186</v>
      </c>
      <c r="DB4593" t="str">
        <v/>
      </c>
    </row>
    <row r="4594" spans="83:106" x14ac:dyDescent="0.2">
      <c r="CE4594"/>
      <c r="CF4594"/>
      <c r="CG4594"/>
      <c r="CH4594"/>
      <c r="CI4594"/>
      <c r="CU4594" s="21">
        <v>4589</v>
      </c>
      <c r="CV4594" s="41">
        <v>4</v>
      </c>
      <c r="CW4594" s="41">
        <v>0.11332468572476186</v>
      </c>
      <c r="CX4594" s="41" t="e">
        <v>#N/A</v>
      </c>
      <c r="CY4594" s="41" t="e">
        <v>#N/A</v>
      </c>
      <c r="CZ4594" s="47" t="e">
        <v>#N/A</v>
      </c>
      <c r="DA4594">
        <v>0.11332468572476186</v>
      </c>
      <c r="DB4594" t="str">
        <v/>
      </c>
    </row>
    <row r="4595" spans="83:106" x14ac:dyDescent="0.2">
      <c r="CE4595"/>
      <c r="CF4595"/>
      <c r="CG4595"/>
      <c r="CH4595"/>
      <c r="CI4595"/>
      <c r="CU4595" s="21">
        <v>4590</v>
      </c>
      <c r="CV4595" s="41">
        <v>4</v>
      </c>
      <c r="CW4595" s="41">
        <v>0.11332468572476186</v>
      </c>
      <c r="CX4595" s="41" t="e">
        <v>#N/A</v>
      </c>
      <c r="CY4595" s="41" t="e">
        <v>#N/A</v>
      </c>
      <c r="CZ4595" s="47" t="e">
        <v>#N/A</v>
      </c>
      <c r="DA4595">
        <v>0.11332468572476186</v>
      </c>
      <c r="DB4595" t="str">
        <v/>
      </c>
    </row>
    <row r="4596" spans="83:106" x14ac:dyDescent="0.2">
      <c r="CE4596"/>
      <c r="CF4596"/>
      <c r="CG4596"/>
      <c r="CH4596"/>
      <c r="CI4596"/>
      <c r="CU4596" s="21">
        <v>4591</v>
      </c>
      <c r="CV4596" s="41">
        <v>4</v>
      </c>
      <c r="CW4596" s="41">
        <v>0.11332468572476186</v>
      </c>
      <c r="CX4596" s="41" t="e">
        <v>#N/A</v>
      </c>
      <c r="CY4596" s="41" t="e">
        <v>#N/A</v>
      </c>
      <c r="CZ4596" s="47" t="e">
        <v>#N/A</v>
      </c>
      <c r="DA4596">
        <v>0.11332468572476186</v>
      </c>
      <c r="DB4596" t="str">
        <v/>
      </c>
    </row>
    <row r="4597" spans="83:106" x14ac:dyDescent="0.2">
      <c r="CE4597"/>
      <c r="CF4597"/>
      <c r="CG4597"/>
      <c r="CH4597"/>
      <c r="CI4597"/>
      <c r="CU4597" s="21">
        <v>4592</v>
      </c>
      <c r="CV4597" s="41">
        <v>4</v>
      </c>
      <c r="CW4597" s="41">
        <v>0.11332468572476186</v>
      </c>
      <c r="CX4597" s="41" t="e">
        <v>#N/A</v>
      </c>
      <c r="CY4597" s="41" t="e">
        <v>#N/A</v>
      </c>
      <c r="CZ4597" s="47" t="e">
        <v>#N/A</v>
      </c>
      <c r="DA4597">
        <v>0.11332468572476186</v>
      </c>
      <c r="DB4597" t="str">
        <v/>
      </c>
    </row>
    <row r="4598" spans="83:106" x14ac:dyDescent="0.2">
      <c r="CE4598"/>
      <c r="CF4598"/>
      <c r="CG4598"/>
      <c r="CH4598"/>
      <c r="CI4598"/>
      <c r="CU4598" s="21">
        <v>4593</v>
      </c>
      <c r="CV4598" s="41">
        <v>4</v>
      </c>
      <c r="CW4598" s="41">
        <v>0.11332468572476186</v>
      </c>
      <c r="CX4598" s="41" t="e">
        <v>#N/A</v>
      </c>
      <c r="CY4598" s="41" t="e">
        <v>#N/A</v>
      </c>
      <c r="CZ4598" s="47" t="e">
        <v>#N/A</v>
      </c>
      <c r="DA4598">
        <v>0.11332468572476186</v>
      </c>
      <c r="DB4598" t="str">
        <v/>
      </c>
    </row>
    <row r="4599" spans="83:106" x14ac:dyDescent="0.2">
      <c r="CE4599"/>
      <c r="CF4599"/>
      <c r="CG4599"/>
      <c r="CH4599"/>
      <c r="CI4599"/>
      <c r="CU4599" s="21">
        <v>4594</v>
      </c>
      <c r="CV4599" s="41">
        <v>4</v>
      </c>
      <c r="CW4599" s="41">
        <v>0.11332468572476186</v>
      </c>
      <c r="CX4599" s="41" t="e">
        <v>#N/A</v>
      </c>
      <c r="CY4599" s="41" t="e">
        <v>#N/A</v>
      </c>
      <c r="CZ4599" s="47" t="e">
        <v>#N/A</v>
      </c>
      <c r="DA4599">
        <v>0.11332468572476186</v>
      </c>
      <c r="DB4599" t="str">
        <v/>
      </c>
    </row>
    <row r="4600" spans="83:106" x14ac:dyDescent="0.2">
      <c r="CE4600"/>
      <c r="CF4600"/>
      <c r="CG4600"/>
      <c r="CH4600"/>
      <c r="CI4600"/>
      <c r="CU4600" s="21">
        <v>4595</v>
      </c>
      <c r="CV4600" s="41">
        <v>4</v>
      </c>
      <c r="CW4600" s="41">
        <v>0.11332468572476186</v>
      </c>
      <c r="CX4600" s="41" t="e">
        <v>#N/A</v>
      </c>
      <c r="CY4600" s="41" t="e">
        <v>#N/A</v>
      </c>
      <c r="CZ4600" s="47" t="e">
        <v>#N/A</v>
      </c>
      <c r="DA4600">
        <v>0.11332468572476186</v>
      </c>
      <c r="DB4600" t="str">
        <v/>
      </c>
    </row>
    <row r="4601" spans="83:106" x14ac:dyDescent="0.2">
      <c r="CE4601"/>
      <c r="CF4601"/>
      <c r="CG4601"/>
      <c r="CH4601"/>
      <c r="CI4601"/>
      <c r="CU4601" s="21">
        <v>4596</v>
      </c>
      <c r="CV4601" s="41">
        <v>4</v>
      </c>
      <c r="CW4601" s="41">
        <v>0.11332468572476186</v>
      </c>
      <c r="CX4601" s="41" t="e">
        <v>#N/A</v>
      </c>
      <c r="CY4601" s="41" t="e">
        <v>#N/A</v>
      </c>
      <c r="CZ4601" s="47" t="e">
        <v>#N/A</v>
      </c>
      <c r="DA4601">
        <v>0.11332468572476186</v>
      </c>
      <c r="DB4601" t="str">
        <v/>
      </c>
    </row>
    <row r="4602" spans="83:106" x14ac:dyDescent="0.2">
      <c r="CE4602"/>
      <c r="CF4602"/>
      <c r="CG4602"/>
      <c r="CH4602"/>
      <c r="CI4602"/>
      <c r="CU4602" s="21">
        <v>4597</v>
      </c>
      <c r="CV4602" s="41">
        <v>4</v>
      </c>
      <c r="CW4602" s="41">
        <v>0.11332468572476186</v>
      </c>
      <c r="CX4602" s="41" t="e">
        <v>#N/A</v>
      </c>
      <c r="CY4602" s="41" t="e">
        <v>#N/A</v>
      </c>
      <c r="CZ4602" s="47" t="e">
        <v>#N/A</v>
      </c>
      <c r="DA4602">
        <v>0.11332468572476186</v>
      </c>
      <c r="DB4602" t="str">
        <v/>
      </c>
    </row>
    <row r="4603" spans="83:106" x14ac:dyDescent="0.2">
      <c r="CE4603"/>
      <c r="CF4603"/>
      <c r="CG4603"/>
      <c r="CH4603"/>
      <c r="CI4603"/>
      <c r="CU4603" s="21">
        <v>4598</v>
      </c>
      <c r="CV4603" s="41">
        <v>4</v>
      </c>
      <c r="CW4603" s="41">
        <v>0.11332468572476186</v>
      </c>
      <c r="CX4603" s="41" t="e">
        <v>#N/A</v>
      </c>
      <c r="CY4603" s="41" t="e">
        <v>#N/A</v>
      </c>
      <c r="CZ4603" s="47" t="e">
        <v>#N/A</v>
      </c>
      <c r="DA4603">
        <v>0.11332468572476186</v>
      </c>
      <c r="DB4603" t="str">
        <v/>
      </c>
    </row>
    <row r="4604" spans="83:106" x14ac:dyDescent="0.2">
      <c r="CE4604"/>
      <c r="CF4604"/>
      <c r="CG4604"/>
      <c r="CH4604"/>
      <c r="CI4604"/>
      <c r="CU4604" s="21">
        <v>4599</v>
      </c>
      <c r="CV4604" s="41">
        <v>4</v>
      </c>
      <c r="CW4604" s="41">
        <v>0.11332468572476186</v>
      </c>
      <c r="CX4604" s="41" t="e">
        <v>#N/A</v>
      </c>
      <c r="CY4604" s="41" t="e">
        <v>#N/A</v>
      </c>
      <c r="CZ4604" s="47" t="e">
        <v>#N/A</v>
      </c>
      <c r="DA4604">
        <v>0.11332468572476186</v>
      </c>
      <c r="DB4604" t="str">
        <v/>
      </c>
    </row>
    <row r="4605" spans="83:106" x14ac:dyDescent="0.2">
      <c r="CE4605"/>
      <c r="CF4605"/>
      <c r="CG4605"/>
      <c r="CH4605"/>
      <c r="CI4605"/>
      <c r="CU4605" s="21">
        <v>4600</v>
      </c>
      <c r="CV4605" s="41">
        <v>4</v>
      </c>
      <c r="CW4605" s="41">
        <v>0.11332468572476186</v>
      </c>
      <c r="CX4605" s="41" t="e">
        <v>#N/A</v>
      </c>
      <c r="CY4605" s="41" t="e">
        <v>#N/A</v>
      </c>
      <c r="CZ4605" s="47" t="e">
        <v>#N/A</v>
      </c>
      <c r="DA4605">
        <v>0.11332468572476186</v>
      </c>
      <c r="DB4605" t="str">
        <v/>
      </c>
    </row>
    <row r="4606" spans="83:106" x14ac:dyDescent="0.2">
      <c r="CE4606"/>
      <c r="CF4606"/>
      <c r="CG4606"/>
      <c r="CH4606"/>
      <c r="CI4606"/>
      <c r="CU4606" s="21">
        <v>4601</v>
      </c>
      <c r="CV4606" s="41">
        <v>4</v>
      </c>
      <c r="CW4606" s="41">
        <v>0.11332468572476186</v>
      </c>
      <c r="CX4606" s="41" t="e">
        <v>#N/A</v>
      </c>
      <c r="CY4606" s="41" t="e">
        <v>#N/A</v>
      </c>
      <c r="CZ4606" s="47" t="e">
        <v>#N/A</v>
      </c>
      <c r="DA4606">
        <v>0.11332468572476186</v>
      </c>
      <c r="DB4606" t="str">
        <v/>
      </c>
    </row>
    <row r="4607" spans="83:106" x14ac:dyDescent="0.2">
      <c r="CE4607"/>
      <c r="CF4607"/>
      <c r="CG4607"/>
      <c r="CH4607"/>
      <c r="CI4607"/>
      <c r="CU4607" s="21">
        <v>4602</v>
      </c>
      <c r="CV4607" s="41">
        <v>4</v>
      </c>
      <c r="CW4607" s="41">
        <v>0.11332468572476186</v>
      </c>
      <c r="CX4607" s="41" t="e">
        <v>#N/A</v>
      </c>
      <c r="CY4607" s="41" t="e">
        <v>#N/A</v>
      </c>
      <c r="CZ4607" s="47" t="e">
        <v>#N/A</v>
      </c>
      <c r="DA4607">
        <v>0.11332468572476186</v>
      </c>
      <c r="DB4607" t="str">
        <v/>
      </c>
    </row>
    <row r="4608" spans="83:106" x14ac:dyDescent="0.2">
      <c r="CE4608"/>
      <c r="CF4608"/>
      <c r="CG4608"/>
      <c r="CH4608"/>
      <c r="CI4608"/>
      <c r="CU4608" s="21">
        <v>4603</v>
      </c>
      <c r="CV4608" s="41">
        <v>4</v>
      </c>
      <c r="CW4608" s="41">
        <v>0.11332468572476186</v>
      </c>
      <c r="CX4608" s="41" t="e">
        <v>#N/A</v>
      </c>
      <c r="CY4608" s="41" t="e">
        <v>#N/A</v>
      </c>
      <c r="CZ4608" s="47" t="e">
        <v>#N/A</v>
      </c>
      <c r="DA4608">
        <v>0.11332468572476186</v>
      </c>
      <c r="DB4608" t="str">
        <v/>
      </c>
    </row>
    <row r="4609" spans="83:106" x14ac:dyDescent="0.2">
      <c r="CE4609"/>
      <c r="CF4609"/>
      <c r="CG4609"/>
      <c r="CH4609"/>
      <c r="CI4609"/>
      <c r="CU4609" s="21">
        <v>4604</v>
      </c>
      <c r="CV4609" s="41">
        <v>4</v>
      </c>
      <c r="CW4609" s="41">
        <v>0.11332468572476186</v>
      </c>
      <c r="CX4609" s="41" t="e">
        <v>#N/A</v>
      </c>
      <c r="CY4609" s="41" t="e">
        <v>#N/A</v>
      </c>
      <c r="CZ4609" s="47" t="e">
        <v>#N/A</v>
      </c>
      <c r="DA4609">
        <v>0.11332468572476186</v>
      </c>
      <c r="DB4609" t="str">
        <v/>
      </c>
    </row>
    <row r="4610" spans="83:106" x14ac:dyDescent="0.2">
      <c r="CE4610"/>
      <c r="CF4610"/>
      <c r="CG4610"/>
      <c r="CH4610"/>
      <c r="CI4610"/>
      <c r="CU4610" s="21">
        <v>4605</v>
      </c>
      <c r="CV4610" s="41">
        <v>4</v>
      </c>
      <c r="CW4610" s="41">
        <v>0.11332468572476186</v>
      </c>
      <c r="CX4610" s="41" t="e">
        <v>#N/A</v>
      </c>
      <c r="CY4610" s="41" t="e">
        <v>#N/A</v>
      </c>
      <c r="CZ4610" s="47" t="e">
        <v>#N/A</v>
      </c>
      <c r="DA4610">
        <v>0.11332468572476186</v>
      </c>
      <c r="DB4610" t="str">
        <v/>
      </c>
    </row>
    <row r="4611" spans="83:106" x14ac:dyDescent="0.2">
      <c r="CE4611"/>
      <c r="CF4611"/>
      <c r="CG4611"/>
      <c r="CH4611"/>
      <c r="CI4611"/>
      <c r="CU4611" s="21">
        <v>4606</v>
      </c>
      <c r="CV4611" s="41">
        <v>4</v>
      </c>
      <c r="CW4611" s="41">
        <v>0.11332468572476186</v>
      </c>
      <c r="CX4611" s="41" t="e">
        <v>#N/A</v>
      </c>
      <c r="CY4611" s="41" t="e">
        <v>#N/A</v>
      </c>
      <c r="CZ4611" s="47" t="e">
        <v>#N/A</v>
      </c>
      <c r="DA4611">
        <v>0.11332468572476186</v>
      </c>
      <c r="DB4611" t="str">
        <v/>
      </c>
    </row>
    <row r="4612" spans="83:106" x14ac:dyDescent="0.2">
      <c r="CE4612"/>
      <c r="CF4612"/>
      <c r="CG4612"/>
      <c r="CH4612"/>
      <c r="CI4612"/>
      <c r="CU4612" s="21">
        <v>4607</v>
      </c>
      <c r="CV4612" s="41">
        <v>4</v>
      </c>
      <c r="CW4612" s="41">
        <v>0.11332468572476186</v>
      </c>
      <c r="CX4612" s="41" t="e">
        <v>#N/A</v>
      </c>
      <c r="CY4612" s="41" t="e">
        <v>#N/A</v>
      </c>
      <c r="CZ4612" s="47" t="e">
        <v>#N/A</v>
      </c>
      <c r="DA4612">
        <v>0.11332468572476186</v>
      </c>
      <c r="DB4612" t="str">
        <v/>
      </c>
    </row>
    <row r="4613" spans="83:106" x14ac:dyDescent="0.2">
      <c r="CE4613"/>
      <c r="CF4613"/>
      <c r="CG4613"/>
      <c r="CH4613"/>
      <c r="CI4613"/>
      <c r="CU4613" s="21">
        <v>4608</v>
      </c>
      <c r="CV4613" s="41">
        <v>4</v>
      </c>
      <c r="CW4613" s="41">
        <v>0.11332468572476186</v>
      </c>
      <c r="CX4613" s="41" t="e">
        <v>#N/A</v>
      </c>
      <c r="CY4613" s="41" t="e">
        <v>#N/A</v>
      </c>
      <c r="CZ4613" s="47" t="e">
        <v>#N/A</v>
      </c>
      <c r="DA4613">
        <v>0.11332468572476186</v>
      </c>
      <c r="DB4613" t="str">
        <v/>
      </c>
    </row>
    <row r="4614" spans="83:106" x14ac:dyDescent="0.2">
      <c r="CE4614"/>
      <c r="CF4614"/>
      <c r="CG4614"/>
      <c r="CH4614"/>
      <c r="CI4614"/>
      <c r="CU4614" s="21">
        <v>4609</v>
      </c>
      <c r="CV4614" s="41">
        <v>4</v>
      </c>
      <c r="CW4614" s="41">
        <v>0.11332468572476186</v>
      </c>
      <c r="CX4614" s="41" t="e">
        <v>#N/A</v>
      </c>
      <c r="CY4614" s="41" t="e">
        <v>#N/A</v>
      </c>
      <c r="CZ4614" s="47" t="e">
        <v>#N/A</v>
      </c>
      <c r="DA4614">
        <v>0.11332468572476186</v>
      </c>
      <c r="DB4614" t="str">
        <v/>
      </c>
    </row>
    <row r="4615" spans="83:106" x14ac:dyDescent="0.2">
      <c r="CE4615"/>
      <c r="CF4615"/>
      <c r="CG4615"/>
      <c r="CH4615"/>
      <c r="CI4615"/>
      <c r="CU4615" s="21">
        <v>4610</v>
      </c>
      <c r="CV4615" s="41">
        <v>4</v>
      </c>
      <c r="CW4615" s="41">
        <v>0.11332468572476186</v>
      </c>
      <c r="CX4615" s="41" t="e">
        <v>#N/A</v>
      </c>
      <c r="CY4615" s="41" t="e">
        <v>#N/A</v>
      </c>
      <c r="CZ4615" s="47" t="e">
        <v>#N/A</v>
      </c>
      <c r="DA4615">
        <v>0.11332468572476186</v>
      </c>
      <c r="DB4615" t="str">
        <v/>
      </c>
    </row>
    <row r="4616" spans="83:106" x14ac:dyDescent="0.2">
      <c r="CE4616"/>
      <c r="CF4616"/>
      <c r="CG4616"/>
      <c r="CH4616"/>
      <c r="CI4616"/>
      <c r="CU4616" s="21">
        <v>4611</v>
      </c>
      <c r="CV4616" s="41">
        <v>4</v>
      </c>
      <c r="CW4616" s="41">
        <v>0.11332468572476186</v>
      </c>
      <c r="CX4616" s="41" t="e">
        <v>#N/A</v>
      </c>
      <c r="CY4616" s="41" t="e">
        <v>#N/A</v>
      </c>
      <c r="CZ4616" s="47" t="e">
        <v>#N/A</v>
      </c>
      <c r="DA4616">
        <v>0.11332468572476186</v>
      </c>
      <c r="DB4616" t="str">
        <v/>
      </c>
    </row>
    <row r="4617" spans="83:106" x14ac:dyDescent="0.2">
      <c r="CE4617"/>
      <c r="CF4617"/>
      <c r="CG4617"/>
      <c r="CH4617"/>
      <c r="CI4617"/>
      <c r="CU4617" s="21">
        <v>4612</v>
      </c>
      <c r="CV4617" s="41">
        <v>4</v>
      </c>
      <c r="CW4617" s="41">
        <v>0.11332468572476186</v>
      </c>
      <c r="CX4617" s="41" t="e">
        <v>#N/A</v>
      </c>
      <c r="CY4617" s="41" t="e">
        <v>#N/A</v>
      </c>
      <c r="CZ4617" s="47" t="e">
        <v>#N/A</v>
      </c>
      <c r="DA4617">
        <v>0.11332468572476186</v>
      </c>
      <c r="DB4617" t="str">
        <v/>
      </c>
    </row>
    <row r="4618" spans="83:106" x14ac:dyDescent="0.2">
      <c r="CE4618"/>
      <c r="CF4618"/>
      <c r="CG4618"/>
      <c r="CH4618"/>
      <c r="CI4618"/>
      <c r="CU4618" s="21">
        <v>4613</v>
      </c>
      <c r="CV4618" s="41">
        <v>4</v>
      </c>
      <c r="CW4618" s="41">
        <v>0.11332468572476186</v>
      </c>
      <c r="CX4618" s="41" t="e">
        <v>#N/A</v>
      </c>
      <c r="CY4618" s="41" t="e">
        <v>#N/A</v>
      </c>
      <c r="CZ4618" s="47" t="e">
        <v>#N/A</v>
      </c>
      <c r="DA4618">
        <v>0.11332468572476186</v>
      </c>
      <c r="DB4618" t="str">
        <v/>
      </c>
    </row>
    <row r="4619" spans="83:106" x14ac:dyDescent="0.2">
      <c r="CE4619"/>
      <c r="CF4619"/>
      <c r="CG4619"/>
      <c r="CH4619"/>
      <c r="CI4619"/>
      <c r="CU4619" s="21">
        <v>4614</v>
      </c>
      <c r="CV4619" s="41">
        <v>4</v>
      </c>
      <c r="CW4619" s="41">
        <v>0.11332468572476186</v>
      </c>
      <c r="CX4619" s="41" t="e">
        <v>#N/A</v>
      </c>
      <c r="CY4619" s="41" t="e">
        <v>#N/A</v>
      </c>
      <c r="CZ4619" s="47" t="e">
        <v>#N/A</v>
      </c>
      <c r="DA4619">
        <v>0.11332468572476186</v>
      </c>
      <c r="DB4619" t="str">
        <v/>
      </c>
    </row>
    <row r="4620" spans="83:106" x14ac:dyDescent="0.2">
      <c r="CE4620"/>
      <c r="CF4620"/>
      <c r="CG4620"/>
      <c r="CH4620"/>
      <c r="CI4620"/>
      <c r="CU4620" s="21">
        <v>4615</v>
      </c>
      <c r="CV4620" s="41">
        <v>4</v>
      </c>
      <c r="CW4620" s="41">
        <v>0.11332468572476186</v>
      </c>
      <c r="CX4620" s="41" t="e">
        <v>#N/A</v>
      </c>
      <c r="CY4620" s="41" t="e">
        <v>#N/A</v>
      </c>
      <c r="CZ4620" s="47" t="e">
        <v>#N/A</v>
      </c>
      <c r="DA4620">
        <v>0.11332468572476186</v>
      </c>
      <c r="DB4620" t="str">
        <v/>
      </c>
    </row>
    <row r="4621" spans="83:106" x14ac:dyDescent="0.2">
      <c r="CE4621"/>
      <c r="CF4621"/>
      <c r="CG4621"/>
      <c r="CH4621"/>
      <c r="CI4621"/>
      <c r="CU4621" s="21">
        <v>4616</v>
      </c>
      <c r="CV4621" s="41">
        <v>4</v>
      </c>
      <c r="CW4621" s="41">
        <v>0.11332468572476186</v>
      </c>
      <c r="CX4621" s="41" t="e">
        <v>#N/A</v>
      </c>
      <c r="CY4621" s="41" t="e">
        <v>#N/A</v>
      </c>
      <c r="CZ4621" s="47" t="e">
        <v>#N/A</v>
      </c>
      <c r="DA4621">
        <v>0.11332468572476186</v>
      </c>
      <c r="DB4621" t="str">
        <v/>
      </c>
    </row>
    <row r="4622" spans="83:106" x14ac:dyDescent="0.2">
      <c r="CE4622"/>
      <c r="CF4622"/>
      <c r="CG4622"/>
      <c r="CH4622"/>
      <c r="CI4622"/>
      <c r="CU4622" s="21">
        <v>4617</v>
      </c>
      <c r="CV4622" s="41">
        <v>4</v>
      </c>
      <c r="CW4622" s="41">
        <v>0.11332468572476186</v>
      </c>
      <c r="CX4622" s="41" t="e">
        <v>#N/A</v>
      </c>
      <c r="CY4622" s="41" t="e">
        <v>#N/A</v>
      </c>
      <c r="CZ4622" s="47" t="e">
        <v>#N/A</v>
      </c>
      <c r="DA4622">
        <v>0.11332468572476186</v>
      </c>
      <c r="DB4622" t="str">
        <v/>
      </c>
    </row>
    <row r="4623" spans="83:106" x14ac:dyDescent="0.2">
      <c r="CE4623"/>
      <c r="CF4623"/>
      <c r="CG4623"/>
      <c r="CH4623"/>
      <c r="CI4623"/>
      <c r="CU4623" s="21">
        <v>4618</v>
      </c>
      <c r="CV4623" s="41">
        <v>4</v>
      </c>
      <c r="CW4623" s="41">
        <v>0.11332468572476186</v>
      </c>
      <c r="CX4623" s="41" t="e">
        <v>#N/A</v>
      </c>
      <c r="CY4623" s="41" t="e">
        <v>#N/A</v>
      </c>
      <c r="CZ4623" s="47" t="e">
        <v>#N/A</v>
      </c>
      <c r="DA4623">
        <v>0.11332468572476186</v>
      </c>
      <c r="DB4623" t="str">
        <v/>
      </c>
    </row>
    <row r="4624" spans="83:106" x14ac:dyDescent="0.2">
      <c r="CE4624"/>
      <c r="CF4624"/>
      <c r="CG4624"/>
      <c r="CH4624"/>
      <c r="CI4624"/>
      <c r="CU4624" s="21">
        <v>4619</v>
      </c>
      <c r="CV4624" s="41">
        <v>4</v>
      </c>
      <c r="CW4624" s="41">
        <v>0.11332468572476186</v>
      </c>
      <c r="CX4624" s="41" t="e">
        <v>#N/A</v>
      </c>
      <c r="CY4624" s="41" t="e">
        <v>#N/A</v>
      </c>
      <c r="CZ4624" s="47" t="e">
        <v>#N/A</v>
      </c>
      <c r="DA4624">
        <v>0.11332468572476186</v>
      </c>
      <c r="DB4624" t="str">
        <v/>
      </c>
    </row>
    <row r="4625" spans="83:106" x14ac:dyDescent="0.2">
      <c r="CE4625"/>
      <c r="CF4625"/>
      <c r="CG4625"/>
      <c r="CH4625"/>
      <c r="CI4625"/>
      <c r="CU4625" s="21">
        <v>4620</v>
      </c>
      <c r="CV4625" s="41">
        <v>4</v>
      </c>
      <c r="CW4625" s="41">
        <v>0.11332468572476186</v>
      </c>
      <c r="CX4625" s="41" t="e">
        <v>#N/A</v>
      </c>
      <c r="CY4625" s="41" t="e">
        <v>#N/A</v>
      </c>
      <c r="CZ4625" s="47" t="e">
        <v>#N/A</v>
      </c>
      <c r="DA4625">
        <v>0.11332468572476186</v>
      </c>
      <c r="DB4625" t="str">
        <v/>
      </c>
    </row>
    <row r="4626" spans="83:106" x14ac:dyDescent="0.2">
      <c r="CE4626"/>
      <c r="CF4626"/>
      <c r="CG4626"/>
      <c r="CH4626"/>
      <c r="CI4626"/>
      <c r="CU4626" s="21">
        <v>4621</v>
      </c>
      <c r="CV4626" s="41">
        <v>4</v>
      </c>
      <c r="CW4626" s="41">
        <v>0.11332468572476186</v>
      </c>
      <c r="CX4626" s="41" t="e">
        <v>#N/A</v>
      </c>
      <c r="CY4626" s="41" t="e">
        <v>#N/A</v>
      </c>
      <c r="CZ4626" s="47" t="e">
        <v>#N/A</v>
      </c>
      <c r="DA4626">
        <v>0.11332468572476186</v>
      </c>
      <c r="DB4626" t="str">
        <v/>
      </c>
    </row>
    <row r="4627" spans="83:106" x14ac:dyDescent="0.2">
      <c r="CE4627"/>
      <c r="CF4627"/>
      <c r="CG4627"/>
      <c r="CH4627"/>
      <c r="CI4627"/>
      <c r="CU4627" s="21">
        <v>4622</v>
      </c>
      <c r="CV4627" s="41">
        <v>4</v>
      </c>
      <c r="CW4627" s="41">
        <v>0.11332468572476186</v>
      </c>
      <c r="CX4627" s="41" t="e">
        <v>#N/A</v>
      </c>
      <c r="CY4627" s="41" t="e">
        <v>#N/A</v>
      </c>
      <c r="CZ4627" s="47" t="e">
        <v>#N/A</v>
      </c>
      <c r="DA4627">
        <v>0.11332468572476186</v>
      </c>
      <c r="DB4627" t="str">
        <v/>
      </c>
    </row>
    <row r="4628" spans="83:106" x14ac:dyDescent="0.2">
      <c r="CE4628"/>
      <c r="CF4628"/>
      <c r="CG4628"/>
      <c r="CH4628"/>
      <c r="CI4628"/>
      <c r="CU4628" s="21">
        <v>4623</v>
      </c>
      <c r="CV4628" s="21">
        <v>4</v>
      </c>
      <c r="CW4628" s="21">
        <v>0.11332468572476186</v>
      </c>
      <c r="CX4628" s="21" t="e">
        <v>#N/A</v>
      </c>
      <c r="CY4628" s="21" t="e">
        <v>#N/A</v>
      </c>
      <c r="CZ4628" s="21" t="e">
        <v>#N/A</v>
      </c>
      <c r="DA4628">
        <v>0.11332468572476186</v>
      </c>
      <c r="DB4628" t="str">
        <v/>
      </c>
    </row>
    <row r="4629" spans="83:106" x14ac:dyDescent="0.2">
      <c r="CE4629"/>
      <c r="CF4629"/>
      <c r="CG4629"/>
      <c r="CH4629"/>
      <c r="CI4629"/>
      <c r="CU4629" s="21">
        <v>4624</v>
      </c>
      <c r="CV4629" s="21">
        <v>4</v>
      </c>
      <c r="CW4629" s="21">
        <v>0.11332468572476186</v>
      </c>
      <c r="CX4629" s="21" t="e">
        <v>#N/A</v>
      </c>
      <c r="CY4629" s="21" t="e">
        <v>#N/A</v>
      </c>
      <c r="CZ4629" s="21" t="e">
        <v>#N/A</v>
      </c>
      <c r="DA4629">
        <v>0.11332468572476186</v>
      </c>
      <c r="DB4629" t="str">
        <v/>
      </c>
    </row>
    <row r="4630" spans="83:106" x14ac:dyDescent="0.2">
      <c r="CE4630"/>
      <c r="CF4630"/>
      <c r="CG4630"/>
      <c r="CH4630"/>
      <c r="CI4630"/>
      <c r="CU4630" s="21">
        <v>4625</v>
      </c>
      <c r="CV4630" s="21">
        <v>4</v>
      </c>
      <c r="CW4630" s="21">
        <v>0.11332468572476186</v>
      </c>
      <c r="CX4630" s="21" t="e">
        <v>#N/A</v>
      </c>
      <c r="CY4630" s="21" t="e">
        <v>#N/A</v>
      </c>
      <c r="CZ4630" s="21" t="e">
        <v>#N/A</v>
      </c>
      <c r="DA4630">
        <v>0.11332468572476186</v>
      </c>
      <c r="DB4630" t="str">
        <v/>
      </c>
    </row>
    <row r="4631" spans="83:106" x14ac:dyDescent="0.2">
      <c r="CE4631"/>
      <c r="CF4631"/>
      <c r="CG4631"/>
      <c r="CH4631"/>
      <c r="CI4631"/>
      <c r="CU4631" s="21">
        <v>4626</v>
      </c>
      <c r="CV4631" s="21">
        <v>4</v>
      </c>
      <c r="CW4631" s="21">
        <v>0.11332468572476186</v>
      </c>
      <c r="CX4631" s="21" t="e">
        <v>#N/A</v>
      </c>
      <c r="CY4631" s="21" t="e">
        <v>#N/A</v>
      </c>
      <c r="CZ4631" s="21" t="e">
        <v>#N/A</v>
      </c>
      <c r="DA4631">
        <v>0.11332468572476186</v>
      </c>
      <c r="DB4631" t="str">
        <v/>
      </c>
    </row>
    <row r="4632" spans="83:106" x14ac:dyDescent="0.2">
      <c r="CE4632"/>
      <c r="CF4632"/>
      <c r="CG4632"/>
      <c r="CH4632"/>
      <c r="CI4632"/>
      <c r="CU4632" s="21">
        <v>4627</v>
      </c>
      <c r="CV4632" s="21">
        <v>4</v>
      </c>
      <c r="CW4632" s="21">
        <v>0.11332468572476186</v>
      </c>
      <c r="CX4632" s="21" t="e">
        <v>#N/A</v>
      </c>
      <c r="CY4632" s="21" t="e">
        <v>#N/A</v>
      </c>
      <c r="CZ4632" s="21" t="e">
        <v>#N/A</v>
      </c>
      <c r="DA4632">
        <v>0.11332468572476186</v>
      </c>
      <c r="DB4632" t="str">
        <v/>
      </c>
    </row>
    <row r="4633" spans="83:106" x14ac:dyDescent="0.2">
      <c r="CE4633"/>
      <c r="CF4633"/>
      <c r="CG4633"/>
      <c r="CH4633"/>
      <c r="CI4633"/>
      <c r="CU4633" s="21">
        <v>4628</v>
      </c>
      <c r="CV4633" s="21">
        <v>4</v>
      </c>
      <c r="CW4633" s="21">
        <v>0.11332468572476186</v>
      </c>
      <c r="CX4633" s="21" t="e">
        <v>#N/A</v>
      </c>
      <c r="CY4633" s="21" t="e">
        <v>#N/A</v>
      </c>
      <c r="CZ4633" s="21" t="e">
        <v>#N/A</v>
      </c>
      <c r="DA4633">
        <v>0.11332468572476186</v>
      </c>
      <c r="DB4633" t="str">
        <v/>
      </c>
    </row>
    <row r="4634" spans="83:106" x14ac:dyDescent="0.2">
      <c r="CE4634"/>
      <c r="CF4634"/>
      <c r="CG4634"/>
      <c r="CH4634"/>
      <c r="CI4634"/>
      <c r="CU4634" s="21">
        <v>4629</v>
      </c>
      <c r="CV4634" s="21">
        <v>4</v>
      </c>
      <c r="CW4634" s="21">
        <v>0.11332468572476186</v>
      </c>
      <c r="CX4634" s="21" t="e">
        <v>#N/A</v>
      </c>
      <c r="CY4634" s="21" t="e">
        <v>#N/A</v>
      </c>
      <c r="CZ4634" s="21" t="e">
        <v>#N/A</v>
      </c>
      <c r="DA4634">
        <v>0.11332468572476186</v>
      </c>
      <c r="DB4634" t="str">
        <v/>
      </c>
    </row>
    <row r="4635" spans="83:106" x14ac:dyDescent="0.2">
      <c r="CE4635"/>
      <c r="CF4635"/>
      <c r="CG4635"/>
      <c r="CH4635"/>
      <c r="CI4635"/>
      <c r="CU4635" s="21">
        <v>4630</v>
      </c>
      <c r="CV4635" s="21">
        <v>4</v>
      </c>
      <c r="CW4635" s="21">
        <v>0.11332468572476186</v>
      </c>
      <c r="CX4635" s="21" t="e">
        <v>#N/A</v>
      </c>
      <c r="CY4635" s="21" t="e">
        <v>#N/A</v>
      </c>
      <c r="CZ4635" s="21" t="e">
        <v>#N/A</v>
      </c>
      <c r="DA4635">
        <v>0.11332468572476186</v>
      </c>
      <c r="DB4635" t="str">
        <v/>
      </c>
    </row>
    <row r="4636" spans="83:106" x14ac:dyDescent="0.2">
      <c r="CE4636"/>
      <c r="CF4636"/>
      <c r="CG4636"/>
      <c r="CH4636"/>
      <c r="CI4636"/>
      <c r="CU4636" s="21">
        <v>4631</v>
      </c>
      <c r="CV4636" s="21">
        <v>4</v>
      </c>
      <c r="CW4636" s="21">
        <v>0.11332468572476186</v>
      </c>
      <c r="CX4636" s="21" t="e">
        <v>#N/A</v>
      </c>
      <c r="CY4636" s="21" t="e">
        <v>#N/A</v>
      </c>
      <c r="CZ4636" s="21" t="e">
        <v>#N/A</v>
      </c>
      <c r="DA4636">
        <v>0.11332468572476186</v>
      </c>
      <c r="DB4636" t="str">
        <v/>
      </c>
    </row>
    <row r="4637" spans="83:106" x14ac:dyDescent="0.2">
      <c r="CE4637"/>
      <c r="CF4637"/>
      <c r="CG4637"/>
      <c r="CH4637"/>
      <c r="CI4637"/>
      <c r="CU4637" s="21">
        <v>4632</v>
      </c>
      <c r="CV4637" s="21">
        <v>4</v>
      </c>
      <c r="CW4637" s="21">
        <v>0.11332468572476186</v>
      </c>
      <c r="CX4637" s="21" t="e">
        <v>#N/A</v>
      </c>
      <c r="CY4637" s="21" t="e">
        <v>#N/A</v>
      </c>
      <c r="CZ4637" s="21" t="e">
        <v>#N/A</v>
      </c>
      <c r="DA4637">
        <v>0.11332468572476186</v>
      </c>
      <c r="DB4637" t="str">
        <v/>
      </c>
    </row>
    <row r="4638" spans="83:106" x14ac:dyDescent="0.2">
      <c r="CE4638"/>
      <c r="CF4638"/>
      <c r="CG4638"/>
      <c r="CH4638"/>
      <c r="CI4638"/>
      <c r="CU4638" s="21">
        <v>4633</v>
      </c>
      <c r="CV4638" s="21">
        <v>4</v>
      </c>
      <c r="CW4638" s="21">
        <v>0.11332468572476186</v>
      </c>
      <c r="CX4638" s="21" t="e">
        <v>#N/A</v>
      </c>
      <c r="CY4638" s="21" t="e">
        <v>#N/A</v>
      </c>
      <c r="CZ4638" s="21" t="e">
        <v>#N/A</v>
      </c>
      <c r="DA4638">
        <v>0.11332468572476186</v>
      </c>
      <c r="DB4638" t="str">
        <v/>
      </c>
    </row>
    <row r="4639" spans="83:106" x14ac:dyDescent="0.2">
      <c r="CE4639"/>
      <c r="CF4639"/>
      <c r="CG4639"/>
      <c r="CH4639"/>
      <c r="CI4639"/>
      <c r="CU4639" s="21">
        <v>4634</v>
      </c>
      <c r="CV4639" s="21">
        <v>4</v>
      </c>
      <c r="CW4639" s="21">
        <v>0.11332468572476186</v>
      </c>
      <c r="CX4639" s="21" t="e">
        <v>#N/A</v>
      </c>
      <c r="CY4639" s="21" t="e">
        <v>#N/A</v>
      </c>
      <c r="CZ4639" s="21" t="e">
        <v>#N/A</v>
      </c>
      <c r="DA4639">
        <v>0.11332468572476186</v>
      </c>
      <c r="DB4639" t="str">
        <v/>
      </c>
    </row>
    <row r="4640" spans="83:106" x14ac:dyDescent="0.2">
      <c r="CE4640"/>
      <c r="CF4640"/>
      <c r="CG4640"/>
      <c r="CH4640"/>
      <c r="CI4640"/>
      <c r="CU4640" s="21">
        <v>4635</v>
      </c>
      <c r="CV4640" s="21">
        <v>4</v>
      </c>
      <c r="CW4640" s="21">
        <v>0.11332468572476186</v>
      </c>
      <c r="CX4640" s="21" t="e">
        <v>#N/A</v>
      </c>
      <c r="CY4640" s="21" t="e">
        <v>#N/A</v>
      </c>
      <c r="CZ4640" s="21" t="e">
        <v>#N/A</v>
      </c>
      <c r="DA4640">
        <v>0.11332468572476186</v>
      </c>
      <c r="DB4640" t="str">
        <v/>
      </c>
    </row>
    <row r="4641" spans="83:106" x14ac:dyDescent="0.2">
      <c r="CE4641"/>
      <c r="CF4641"/>
      <c r="CG4641"/>
      <c r="CH4641"/>
      <c r="CI4641"/>
      <c r="CU4641" s="21">
        <v>4636</v>
      </c>
      <c r="CV4641" s="21">
        <v>4</v>
      </c>
      <c r="CW4641" s="21">
        <v>0.11332468572476186</v>
      </c>
      <c r="CX4641" s="21" t="e">
        <v>#N/A</v>
      </c>
      <c r="CY4641" s="21" t="e">
        <v>#N/A</v>
      </c>
      <c r="CZ4641" s="21" t="e">
        <v>#N/A</v>
      </c>
      <c r="DA4641">
        <v>0.11332468572476186</v>
      </c>
      <c r="DB4641" t="str">
        <v/>
      </c>
    </row>
    <row r="4642" spans="83:106" x14ac:dyDescent="0.2">
      <c r="CE4642"/>
      <c r="CF4642"/>
      <c r="CG4642"/>
      <c r="CH4642"/>
      <c r="CI4642"/>
      <c r="CU4642" s="21">
        <v>4637</v>
      </c>
      <c r="CV4642" s="21">
        <v>4</v>
      </c>
      <c r="CW4642" s="21">
        <v>0.11332468572476186</v>
      </c>
      <c r="CX4642" s="21" t="e">
        <v>#N/A</v>
      </c>
      <c r="CY4642" s="21" t="e">
        <v>#N/A</v>
      </c>
      <c r="CZ4642" s="21" t="e">
        <v>#N/A</v>
      </c>
      <c r="DA4642">
        <v>0.11332468572476186</v>
      </c>
      <c r="DB4642" t="str">
        <v/>
      </c>
    </row>
    <row r="4643" spans="83:106" x14ac:dyDescent="0.2">
      <c r="CE4643"/>
      <c r="CF4643"/>
      <c r="CG4643"/>
      <c r="CH4643"/>
      <c r="CI4643"/>
      <c r="CU4643" s="21">
        <v>4638</v>
      </c>
      <c r="CV4643" s="21">
        <v>4</v>
      </c>
      <c r="CW4643" s="21">
        <v>0.11332468572476186</v>
      </c>
      <c r="CX4643" s="21" t="e">
        <v>#N/A</v>
      </c>
      <c r="CY4643" s="21" t="e">
        <v>#N/A</v>
      </c>
      <c r="CZ4643" s="21" t="e">
        <v>#N/A</v>
      </c>
      <c r="DA4643">
        <v>0.11332468572476186</v>
      </c>
      <c r="DB4643" t="str">
        <v/>
      </c>
    </row>
    <row r="4644" spans="83:106" x14ac:dyDescent="0.2">
      <c r="CE4644"/>
      <c r="CF4644"/>
      <c r="CG4644"/>
      <c r="CH4644"/>
      <c r="CI4644"/>
      <c r="CU4644" s="21">
        <v>4639</v>
      </c>
      <c r="CV4644" s="21">
        <v>4</v>
      </c>
      <c r="CW4644" s="21">
        <v>0.11332468572476186</v>
      </c>
      <c r="CX4644" s="21" t="e">
        <v>#N/A</v>
      </c>
      <c r="CY4644" s="21" t="e">
        <v>#N/A</v>
      </c>
      <c r="CZ4644" s="21" t="e">
        <v>#N/A</v>
      </c>
      <c r="DA4644">
        <v>0.11332468572476186</v>
      </c>
      <c r="DB4644" t="str">
        <v/>
      </c>
    </row>
    <row r="4645" spans="83:106" x14ac:dyDescent="0.2">
      <c r="CE4645"/>
      <c r="CF4645"/>
      <c r="CG4645"/>
      <c r="CH4645"/>
      <c r="CI4645"/>
      <c r="CU4645" s="21">
        <v>4640</v>
      </c>
      <c r="CV4645" s="21">
        <v>4</v>
      </c>
      <c r="CW4645" s="21">
        <v>0.11332468572476186</v>
      </c>
      <c r="CX4645" s="21" t="e">
        <v>#N/A</v>
      </c>
      <c r="CY4645" s="21" t="e">
        <v>#N/A</v>
      </c>
      <c r="CZ4645" s="21" t="e">
        <v>#N/A</v>
      </c>
      <c r="DA4645">
        <v>0.11332468572476186</v>
      </c>
      <c r="DB4645" t="str">
        <v/>
      </c>
    </row>
    <row r="4646" spans="83:106" x14ac:dyDescent="0.2">
      <c r="CE4646"/>
      <c r="CF4646"/>
      <c r="CG4646"/>
      <c r="CH4646"/>
      <c r="CI4646"/>
      <c r="CU4646" s="21">
        <v>4641</v>
      </c>
      <c r="CV4646" s="21">
        <v>4</v>
      </c>
      <c r="CW4646" s="21">
        <v>0.11332468572476186</v>
      </c>
      <c r="CX4646" s="21" t="e">
        <v>#N/A</v>
      </c>
      <c r="CY4646" s="21" t="e">
        <v>#N/A</v>
      </c>
      <c r="CZ4646" s="21" t="e">
        <v>#N/A</v>
      </c>
      <c r="DA4646">
        <v>0.11332468572476186</v>
      </c>
      <c r="DB4646" t="str">
        <v/>
      </c>
    </row>
    <row r="4647" spans="83:106" x14ac:dyDescent="0.2">
      <c r="CE4647"/>
      <c r="CF4647"/>
      <c r="CG4647"/>
      <c r="CH4647"/>
      <c r="CI4647"/>
      <c r="CU4647" s="21">
        <v>4642</v>
      </c>
      <c r="CV4647" s="21">
        <v>4</v>
      </c>
      <c r="CW4647" s="21">
        <v>0.11332468572476186</v>
      </c>
      <c r="CX4647" s="21" t="e">
        <v>#N/A</v>
      </c>
      <c r="CY4647" s="21" t="e">
        <v>#N/A</v>
      </c>
      <c r="CZ4647" s="21" t="e">
        <v>#N/A</v>
      </c>
      <c r="DA4647">
        <v>0.11332468572476186</v>
      </c>
      <c r="DB4647" t="str">
        <v/>
      </c>
    </row>
    <row r="4648" spans="83:106" x14ac:dyDescent="0.2">
      <c r="CE4648"/>
      <c r="CF4648"/>
      <c r="CG4648"/>
      <c r="CH4648"/>
      <c r="CI4648"/>
      <c r="CU4648" s="21">
        <v>4643</v>
      </c>
      <c r="CV4648" s="21">
        <v>4</v>
      </c>
      <c r="CW4648" s="21">
        <v>0.11332468572476186</v>
      </c>
      <c r="CX4648" s="21" t="e">
        <v>#N/A</v>
      </c>
      <c r="CY4648" s="21" t="e">
        <v>#N/A</v>
      </c>
      <c r="CZ4648" s="21" t="e">
        <v>#N/A</v>
      </c>
      <c r="DA4648">
        <v>0.11332468572476186</v>
      </c>
      <c r="DB4648" t="str">
        <v/>
      </c>
    </row>
    <row r="4649" spans="83:106" x14ac:dyDescent="0.2">
      <c r="CE4649"/>
      <c r="CF4649"/>
      <c r="CG4649"/>
      <c r="CH4649"/>
      <c r="CI4649"/>
      <c r="CU4649" s="21">
        <v>4644</v>
      </c>
      <c r="CV4649" s="21">
        <v>4</v>
      </c>
      <c r="CW4649" s="21">
        <v>0.11332468572476186</v>
      </c>
      <c r="CX4649" s="21" t="e">
        <v>#N/A</v>
      </c>
      <c r="CY4649" s="21" t="e">
        <v>#N/A</v>
      </c>
      <c r="CZ4649" s="21" t="e">
        <v>#N/A</v>
      </c>
      <c r="DA4649">
        <v>0.11332468572476186</v>
      </c>
      <c r="DB4649" t="str">
        <v/>
      </c>
    </row>
    <row r="4650" spans="83:106" x14ac:dyDescent="0.2">
      <c r="CE4650"/>
      <c r="CF4650"/>
      <c r="CG4650"/>
      <c r="CH4650"/>
      <c r="CI4650"/>
      <c r="CU4650" s="21">
        <v>4645</v>
      </c>
      <c r="CV4650" s="21">
        <v>4</v>
      </c>
      <c r="CW4650" s="21">
        <v>0.11332468572476186</v>
      </c>
      <c r="CX4650" s="21" t="e">
        <v>#N/A</v>
      </c>
      <c r="CY4650" s="21" t="e">
        <v>#N/A</v>
      </c>
      <c r="CZ4650" s="21" t="e">
        <v>#N/A</v>
      </c>
      <c r="DA4650">
        <v>0.11332468572476186</v>
      </c>
      <c r="DB4650" t="str">
        <v/>
      </c>
    </row>
    <row r="4651" spans="83:106" x14ac:dyDescent="0.2">
      <c r="CE4651"/>
      <c r="CF4651"/>
      <c r="CG4651"/>
      <c r="CH4651"/>
      <c r="CI4651"/>
      <c r="CU4651" s="21">
        <v>4646</v>
      </c>
      <c r="CV4651" s="21">
        <v>4</v>
      </c>
      <c r="CW4651" s="21">
        <v>0.11332468572476186</v>
      </c>
      <c r="CX4651" s="21" t="e">
        <v>#N/A</v>
      </c>
      <c r="CY4651" s="21" t="e">
        <v>#N/A</v>
      </c>
      <c r="CZ4651" s="21" t="e">
        <v>#N/A</v>
      </c>
      <c r="DA4651">
        <v>0.11332468572476186</v>
      </c>
      <c r="DB4651" t="str">
        <v/>
      </c>
    </row>
    <row r="4652" spans="83:106" x14ac:dyDescent="0.2">
      <c r="CE4652"/>
      <c r="CF4652"/>
      <c r="CG4652"/>
      <c r="CH4652"/>
      <c r="CI4652"/>
      <c r="CU4652" s="21">
        <v>4647</v>
      </c>
      <c r="CV4652" s="21">
        <v>4</v>
      </c>
      <c r="CW4652" s="21">
        <v>0.11332468572476186</v>
      </c>
      <c r="CX4652" s="21" t="e">
        <v>#N/A</v>
      </c>
      <c r="CY4652" s="21" t="e">
        <v>#N/A</v>
      </c>
      <c r="CZ4652" s="21" t="e">
        <v>#N/A</v>
      </c>
      <c r="DA4652">
        <v>0.11332468572476186</v>
      </c>
      <c r="DB4652" t="str">
        <v/>
      </c>
    </row>
    <row r="4653" spans="83:106" x14ac:dyDescent="0.2">
      <c r="CE4653"/>
      <c r="CF4653"/>
      <c r="CG4653"/>
      <c r="CH4653"/>
      <c r="CI4653"/>
      <c r="CU4653" s="21">
        <v>4648</v>
      </c>
      <c r="CV4653" s="21">
        <v>4</v>
      </c>
      <c r="CW4653" s="21">
        <v>0.11332468572476186</v>
      </c>
      <c r="CX4653" s="21" t="e">
        <v>#N/A</v>
      </c>
      <c r="CY4653" s="21" t="e">
        <v>#N/A</v>
      </c>
      <c r="CZ4653" s="21" t="e">
        <v>#N/A</v>
      </c>
      <c r="DA4653">
        <v>0.11332468572476186</v>
      </c>
      <c r="DB4653" t="str">
        <v/>
      </c>
    </row>
    <row r="4654" spans="83:106" x14ac:dyDescent="0.2">
      <c r="CE4654"/>
      <c r="CF4654"/>
      <c r="CG4654"/>
      <c r="CH4654"/>
      <c r="CI4654"/>
      <c r="CU4654" s="21">
        <v>4649</v>
      </c>
      <c r="CV4654" s="21">
        <v>4</v>
      </c>
      <c r="CW4654" s="21">
        <v>0.11332468572476186</v>
      </c>
      <c r="CX4654" s="21" t="e">
        <v>#N/A</v>
      </c>
      <c r="CY4654" s="21" t="e">
        <v>#N/A</v>
      </c>
      <c r="CZ4654" s="21" t="e">
        <v>#N/A</v>
      </c>
      <c r="DA4654">
        <v>0.11332468572476186</v>
      </c>
      <c r="DB4654" t="str">
        <v/>
      </c>
    </row>
    <row r="4655" spans="83:106" x14ac:dyDescent="0.2">
      <c r="CE4655"/>
      <c r="CF4655"/>
      <c r="CG4655"/>
      <c r="CH4655"/>
      <c r="CI4655"/>
      <c r="CU4655" s="21">
        <v>4650</v>
      </c>
      <c r="CV4655" s="21">
        <v>4</v>
      </c>
      <c r="CW4655" s="21">
        <v>0.11332468572476186</v>
      </c>
      <c r="CX4655" s="21" t="e">
        <v>#N/A</v>
      </c>
      <c r="CY4655" s="21" t="e">
        <v>#N/A</v>
      </c>
      <c r="CZ4655" s="21" t="e">
        <v>#N/A</v>
      </c>
      <c r="DA4655">
        <v>0.11332468572476186</v>
      </c>
      <c r="DB4655" t="str">
        <v/>
      </c>
    </row>
    <row r="4656" spans="83:106" x14ac:dyDescent="0.2">
      <c r="CE4656"/>
      <c r="CF4656"/>
      <c r="CG4656"/>
      <c r="CH4656"/>
      <c r="CI4656"/>
      <c r="CU4656" s="21">
        <v>4651</v>
      </c>
      <c r="CV4656" s="21">
        <v>4</v>
      </c>
      <c r="CW4656" s="21">
        <v>0.11332468572476186</v>
      </c>
      <c r="CX4656" s="21" t="e">
        <v>#N/A</v>
      </c>
      <c r="CY4656" s="21" t="e">
        <v>#N/A</v>
      </c>
      <c r="CZ4656" s="21" t="e">
        <v>#N/A</v>
      </c>
      <c r="DA4656">
        <v>0.11332468572476186</v>
      </c>
      <c r="DB4656" t="str">
        <v/>
      </c>
    </row>
    <row r="4657" spans="83:106" x14ac:dyDescent="0.2">
      <c r="CE4657"/>
      <c r="CF4657"/>
      <c r="CG4657"/>
      <c r="CH4657"/>
      <c r="CI4657"/>
      <c r="CU4657" s="21">
        <v>4652</v>
      </c>
      <c r="CV4657" s="21">
        <v>4</v>
      </c>
      <c r="CW4657" s="21">
        <v>0.11332468572476186</v>
      </c>
      <c r="CX4657" s="21" t="e">
        <v>#N/A</v>
      </c>
      <c r="CY4657" s="21" t="e">
        <v>#N/A</v>
      </c>
      <c r="CZ4657" s="21" t="e">
        <v>#N/A</v>
      </c>
      <c r="DA4657">
        <v>0.11332468572476186</v>
      </c>
      <c r="DB4657" t="str">
        <v/>
      </c>
    </row>
    <row r="4658" spans="83:106" x14ac:dyDescent="0.2">
      <c r="CE4658"/>
      <c r="CF4658"/>
      <c r="CG4658"/>
      <c r="CH4658"/>
      <c r="CI4658"/>
      <c r="CU4658" s="21">
        <v>4653</v>
      </c>
      <c r="CV4658" s="21">
        <v>4</v>
      </c>
      <c r="CW4658" s="21">
        <v>0.11332468572476186</v>
      </c>
      <c r="CX4658" s="21" t="e">
        <v>#N/A</v>
      </c>
      <c r="CY4658" s="21" t="e">
        <v>#N/A</v>
      </c>
      <c r="CZ4658" s="21" t="e">
        <v>#N/A</v>
      </c>
      <c r="DA4658">
        <v>0.11332468572476186</v>
      </c>
      <c r="DB4658" t="str">
        <v/>
      </c>
    </row>
    <row r="4659" spans="83:106" x14ac:dyDescent="0.2">
      <c r="CE4659"/>
      <c r="CF4659"/>
      <c r="CG4659"/>
      <c r="CH4659"/>
      <c r="CI4659"/>
      <c r="CU4659" s="21">
        <v>4654</v>
      </c>
      <c r="CV4659" s="21">
        <v>4</v>
      </c>
      <c r="CW4659" s="21">
        <v>0.11332468572476186</v>
      </c>
      <c r="CX4659" s="21" t="e">
        <v>#N/A</v>
      </c>
      <c r="CY4659" s="21" t="e">
        <v>#N/A</v>
      </c>
      <c r="CZ4659" s="21" t="e">
        <v>#N/A</v>
      </c>
      <c r="DA4659">
        <v>0.11332468572476186</v>
      </c>
      <c r="DB4659" t="str">
        <v/>
      </c>
    </row>
    <row r="4660" spans="83:106" x14ac:dyDescent="0.2">
      <c r="CE4660"/>
      <c r="CF4660"/>
      <c r="CG4660"/>
      <c r="CH4660"/>
      <c r="CI4660"/>
      <c r="CU4660" s="21">
        <v>4655</v>
      </c>
      <c r="CV4660" s="21">
        <v>4</v>
      </c>
      <c r="CW4660" s="21">
        <v>0.11332468572476186</v>
      </c>
      <c r="CX4660" s="21" t="e">
        <v>#N/A</v>
      </c>
      <c r="CY4660" s="21" t="e">
        <v>#N/A</v>
      </c>
      <c r="CZ4660" s="21" t="e">
        <v>#N/A</v>
      </c>
      <c r="DA4660">
        <v>0.11332468572476186</v>
      </c>
      <c r="DB4660" t="str">
        <v/>
      </c>
    </row>
    <row r="4661" spans="83:106" x14ac:dyDescent="0.2">
      <c r="CE4661"/>
      <c r="CF4661"/>
      <c r="CG4661"/>
      <c r="CH4661"/>
      <c r="CI4661"/>
      <c r="CU4661" s="21">
        <v>4656</v>
      </c>
      <c r="CV4661" s="21">
        <v>4</v>
      </c>
      <c r="CW4661" s="21">
        <v>0.11332468572476186</v>
      </c>
      <c r="CX4661" s="21" t="e">
        <v>#N/A</v>
      </c>
      <c r="CY4661" s="21" t="e">
        <v>#N/A</v>
      </c>
      <c r="CZ4661" s="21" t="e">
        <v>#N/A</v>
      </c>
      <c r="DA4661">
        <v>0.11332468572476186</v>
      </c>
      <c r="DB4661" t="str">
        <v/>
      </c>
    </row>
    <row r="4662" spans="83:106" x14ac:dyDescent="0.2">
      <c r="CE4662"/>
      <c r="CF4662"/>
      <c r="CG4662"/>
      <c r="CH4662"/>
      <c r="CI4662"/>
      <c r="CU4662" s="21">
        <v>4657</v>
      </c>
      <c r="CV4662" s="21">
        <v>4</v>
      </c>
      <c r="CW4662" s="21">
        <v>0.11332468572476186</v>
      </c>
      <c r="CX4662" s="21" t="e">
        <v>#N/A</v>
      </c>
      <c r="CY4662" s="21" t="e">
        <v>#N/A</v>
      </c>
      <c r="CZ4662" s="21" t="e">
        <v>#N/A</v>
      </c>
      <c r="DA4662">
        <v>0.11332468572476186</v>
      </c>
      <c r="DB4662" t="str">
        <v/>
      </c>
    </row>
    <row r="4663" spans="83:106" x14ac:dyDescent="0.2">
      <c r="CE4663"/>
      <c r="CF4663"/>
      <c r="CG4663"/>
      <c r="CH4663"/>
      <c r="CI4663"/>
      <c r="CU4663" s="21">
        <v>4658</v>
      </c>
      <c r="CV4663" s="21">
        <v>4</v>
      </c>
      <c r="CW4663" s="21">
        <v>0.11332468572476186</v>
      </c>
      <c r="CX4663" s="21" t="e">
        <v>#N/A</v>
      </c>
      <c r="CY4663" s="21" t="e">
        <v>#N/A</v>
      </c>
      <c r="CZ4663" s="21" t="e">
        <v>#N/A</v>
      </c>
      <c r="DA4663">
        <v>0.11332468572476186</v>
      </c>
      <c r="DB4663" t="str">
        <v/>
      </c>
    </row>
    <row r="4664" spans="83:106" x14ac:dyDescent="0.2">
      <c r="CE4664"/>
      <c r="CF4664"/>
      <c r="CG4664"/>
      <c r="CH4664"/>
      <c r="CI4664"/>
      <c r="CU4664" s="21">
        <v>4659</v>
      </c>
      <c r="CV4664" s="21">
        <v>4</v>
      </c>
      <c r="CW4664" s="21">
        <v>0.11332468572476186</v>
      </c>
      <c r="CX4664" s="21" t="e">
        <v>#N/A</v>
      </c>
      <c r="CY4664" s="21" t="e">
        <v>#N/A</v>
      </c>
      <c r="CZ4664" s="21" t="e">
        <v>#N/A</v>
      </c>
      <c r="DA4664">
        <v>0.11332468572476186</v>
      </c>
      <c r="DB4664" t="str">
        <v/>
      </c>
    </row>
    <row r="4665" spans="83:106" x14ac:dyDescent="0.2">
      <c r="CE4665"/>
      <c r="CF4665"/>
      <c r="CG4665"/>
      <c r="CH4665"/>
      <c r="CI4665"/>
      <c r="CU4665" s="21">
        <v>4660</v>
      </c>
      <c r="CV4665" s="21">
        <v>4</v>
      </c>
      <c r="CW4665" s="21">
        <v>0.11332468572476186</v>
      </c>
      <c r="CX4665" s="21" t="e">
        <v>#N/A</v>
      </c>
      <c r="CY4665" s="21" t="e">
        <v>#N/A</v>
      </c>
      <c r="CZ4665" s="21" t="e">
        <v>#N/A</v>
      </c>
      <c r="DA4665">
        <v>0.11332468572476186</v>
      </c>
      <c r="DB4665" t="str">
        <v/>
      </c>
    </row>
    <row r="4666" spans="83:106" x14ac:dyDescent="0.2">
      <c r="CE4666"/>
      <c r="CF4666"/>
      <c r="CG4666"/>
      <c r="CH4666"/>
      <c r="CI4666"/>
      <c r="CU4666" s="21">
        <v>4661</v>
      </c>
      <c r="CV4666" s="21">
        <v>4</v>
      </c>
      <c r="CW4666" s="21">
        <v>0.11332468572476186</v>
      </c>
      <c r="CX4666" s="21" t="e">
        <v>#N/A</v>
      </c>
      <c r="CY4666" s="21" t="e">
        <v>#N/A</v>
      </c>
      <c r="CZ4666" s="21" t="e">
        <v>#N/A</v>
      </c>
      <c r="DA4666">
        <v>0.11332468572476186</v>
      </c>
      <c r="DB4666" t="str">
        <v/>
      </c>
    </row>
    <row r="4667" spans="83:106" x14ac:dyDescent="0.2">
      <c r="CE4667"/>
      <c r="CF4667"/>
      <c r="CG4667"/>
      <c r="CH4667"/>
      <c r="CI4667"/>
      <c r="CU4667" s="21">
        <v>4662</v>
      </c>
      <c r="CV4667" s="21">
        <v>4</v>
      </c>
      <c r="CW4667" s="21">
        <v>0.11332468572476186</v>
      </c>
      <c r="CX4667" s="21" t="e">
        <v>#N/A</v>
      </c>
      <c r="CY4667" s="21" t="e">
        <v>#N/A</v>
      </c>
      <c r="CZ4667" s="21" t="e">
        <v>#N/A</v>
      </c>
      <c r="DA4667">
        <v>0.11332468572476186</v>
      </c>
      <c r="DB4667" t="str">
        <v/>
      </c>
    </row>
    <row r="4668" spans="83:106" x14ac:dyDescent="0.2">
      <c r="CE4668"/>
      <c r="CF4668"/>
      <c r="CG4668"/>
      <c r="CH4668"/>
      <c r="CI4668"/>
      <c r="CU4668" s="21">
        <v>4663</v>
      </c>
      <c r="CV4668" s="21">
        <v>4</v>
      </c>
      <c r="CW4668" s="21">
        <v>0.11332468572476186</v>
      </c>
      <c r="CX4668" s="21" t="e">
        <v>#N/A</v>
      </c>
      <c r="CY4668" s="21" t="e">
        <v>#N/A</v>
      </c>
      <c r="CZ4668" s="21" t="e">
        <v>#N/A</v>
      </c>
      <c r="DA4668">
        <v>0.11332468572476186</v>
      </c>
      <c r="DB4668" t="str">
        <v/>
      </c>
    </row>
    <row r="4669" spans="83:106" x14ac:dyDescent="0.2">
      <c r="CE4669"/>
      <c r="CF4669"/>
      <c r="CG4669"/>
      <c r="CH4669"/>
      <c r="CI4669"/>
      <c r="CU4669" s="21">
        <v>4664</v>
      </c>
      <c r="CV4669" s="21">
        <v>4</v>
      </c>
      <c r="CW4669" s="21">
        <v>0.11332468572476186</v>
      </c>
      <c r="CX4669" s="21" t="e">
        <v>#N/A</v>
      </c>
      <c r="CY4669" s="21" t="e">
        <v>#N/A</v>
      </c>
      <c r="CZ4669" s="21" t="e">
        <v>#N/A</v>
      </c>
      <c r="DA4669">
        <v>0.11332468572476186</v>
      </c>
      <c r="DB4669" t="str">
        <v/>
      </c>
    </row>
    <row r="4670" spans="83:106" x14ac:dyDescent="0.2">
      <c r="CE4670"/>
      <c r="CF4670"/>
      <c r="CG4670"/>
      <c r="CH4670"/>
      <c r="CI4670"/>
      <c r="CU4670" s="21">
        <v>4665</v>
      </c>
      <c r="CV4670" s="21">
        <v>4</v>
      </c>
      <c r="CW4670" s="21">
        <v>0.11332468572476186</v>
      </c>
      <c r="CX4670" s="21" t="e">
        <v>#N/A</v>
      </c>
      <c r="CY4670" s="21" t="e">
        <v>#N/A</v>
      </c>
      <c r="CZ4670" s="21" t="e">
        <v>#N/A</v>
      </c>
      <c r="DA4670">
        <v>0.11332468572476186</v>
      </c>
      <c r="DB4670" t="str">
        <v/>
      </c>
    </row>
    <row r="4671" spans="83:106" x14ac:dyDescent="0.2">
      <c r="CE4671"/>
      <c r="CF4671"/>
      <c r="CG4671"/>
      <c r="CH4671"/>
      <c r="CI4671"/>
      <c r="CU4671" s="21">
        <v>4666</v>
      </c>
      <c r="CV4671" s="21">
        <v>4</v>
      </c>
      <c r="CW4671" s="21">
        <v>0.11332468572476186</v>
      </c>
      <c r="CX4671" s="21" t="e">
        <v>#N/A</v>
      </c>
      <c r="CY4671" s="21" t="e">
        <v>#N/A</v>
      </c>
      <c r="CZ4671" s="21" t="e">
        <v>#N/A</v>
      </c>
      <c r="DA4671">
        <v>0.11332468572476186</v>
      </c>
      <c r="DB4671" t="str">
        <v/>
      </c>
    </row>
    <row r="4672" spans="83:106" x14ac:dyDescent="0.2">
      <c r="CE4672"/>
      <c r="CF4672"/>
      <c r="CG4672"/>
      <c r="CH4672"/>
      <c r="CI4672"/>
      <c r="CU4672" s="21">
        <v>4667</v>
      </c>
      <c r="CV4672" s="21">
        <v>4</v>
      </c>
      <c r="CW4672" s="21">
        <v>0.11332468572476186</v>
      </c>
      <c r="CX4672" s="21" t="e">
        <v>#N/A</v>
      </c>
      <c r="CY4672" s="21" t="e">
        <v>#N/A</v>
      </c>
      <c r="CZ4672" s="21" t="e">
        <v>#N/A</v>
      </c>
      <c r="DA4672">
        <v>0.11332468572476186</v>
      </c>
      <c r="DB4672" t="str">
        <v/>
      </c>
    </row>
    <row r="4673" spans="83:106" x14ac:dyDescent="0.2">
      <c r="CE4673"/>
      <c r="CF4673"/>
      <c r="CG4673"/>
      <c r="CH4673"/>
      <c r="CI4673"/>
      <c r="CU4673" s="21">
        <v>4668</v>
      </c>
      <c r="CV4673" s="21">
        <v>4</v>
      </c>
      <c r="CW4673" s="21">
        <v>0.11332468572476186</v>
      </c>
      <c r="CX4673" s="21" t="e">
        <v>#N/A</v>
      </c>
      <c r="CY4673" s="21" t="e">
        <v>#N/A</v>
      </c>
      <c r="CZ4673" s="21" t="e">
        <v>#N/A</v>
      </c>
      <c r="DA4673">
        <v>0.11332468572476186</v>
      </c>
      <c r="DB4673" t="str">
        <v/>
      </c>
    </row>
    <row r="4674" spans="83:106" x14ac:dyDescent="0.2">
      <c r="CE4674"/>
      <c r="CF4674"/>
      <c r="CG4674"/>
      <c r="CH4674"/>
      <c r="CI4674"/>
      <c r="CU4674" s="21">
        <v>4669</v>
      </c>
      <c r="CV4674" s="21">
        <v>4</v>
      </c>
      <c r="CW4674" s="21">
        <v>0.11332468572476186</v>
      </c>
      <c r="CX4674" s="21" t="e">
        <v>#N/A</v>
      </c>
      <c r="CY4674" s="21" t="e">
        <v>#N/A</v>
      </c>
      <c r="CZ4674" s="21" t="e">
        <v>#N/A</v>
      </c>
      <c r="DA4674">
        <v>0.11332468572476186</v>
      </c>
      <c r="DB4674" t="str">
        <v/>
      </c>
    </row>
    <row r="4675" spans="83:106" x14ac:dyDescent="0.2">
      <c r="CE4675"/>
      <c r="CF4675"/>
      <c r="CG4675"/>
      <c r="CH4675"/>
      <c r="CI4675"/>
      <c r="CU4675" s="21">
        <v>4670</v>
      </c>
      <c r="CV4675" s="21">
        <v>4</v>
      </c>
      <c r="CW4675" s="21">
        <v>0.11332468572476186</v>
      </c>
      <c r="CX4675" s="21" t="e">
        <v>#N/A</v>
      </c>
      <c r="CY4675" s="21" t="e">
        <v>#N/A</v>
      </c>
      <c r="CZ4675" s="21" t="e">
        <v>#N/A</v>
      </c>
      <c r="DA4675">
        <v>0.11332468572476186</v>
      </c>
      <c r="DB4675" t="str">
        <v/>
      </c>
    </row>
    <row r="4676" spans="83:106" x14ac:dyDescent="0.2">
      <c r="CE4676"/>
      <c r="CF4676"/>
      <c r="CG4676"/>
      <c r="CH4676"/>
      <c r="CI4676"/>
      <c r="CU4676" s="21">
        <v>4671</v>
      </c>
      <c r="CV4676" s="21">
        <v>4</v>
      </c>
      <c r="CW4676" s="21">
        <v>0.11332468572476186</v>
      </c>
      <c r="CX4676" s="21" t="e">
        <v>#N/A</v>
      </c>
      <c r="CY4676" s="21" t="e">
        <v>#N/A</v>
      </c>
      <c r="CZ4676" s="21" t="e">
        <v>#N/A</v>
      </c>
      <c r="DA4676">
        <v>0.11332468572476186</v>
      </c>
      <c r="DB4676" t="str">
        <v/>
      </c>
    </row>
    <row r="4677" spans="83:106" x14ac:dyDescent="0.2">
      <c r="CE4677"/>
      <c r="CF4677"/>
      <c r="CG4677"/>
      <c r="CH4677"/>
      <c r="CI4677"/>
      <c r="CU4677" s="21">
        <v>4672</v>
      </c>
      <c r="CV4677" s="21">
        <v>4</v>
      </c>
      <c r="CW4677" s="21">
        <v>0.11332468572476186</v>
      </c>
      <c r="CX4677" s="21" t="e">
        <v>#N/A</v>
      </c>
      <c r="CY4677" s="21" t="e">
        <v>#N/A</v>
      </c>
      <c r="CZ4677" s="21" t="e">
        <v>#N/A</v>
      </c>
      <c r="DA4677">
        <v>0.11332468572476186</v>
      </c>
      <c r="DB4677" t="str">
        <v/>
      </c>
    </row>
    <row r="4678" spans="83:106" x14ac:dyDescent="0.2">
      <c r="CE4678"/>
      <c r="CF4678"/>
      <c r="CG4678"/>
      <c r="CH4678"/>
      <c r="CI4678"/>
      <c r="CU4678" s="21">
        <v>4673</v>
      </c>
      <c r="CV4678" s="21">
        <v>4</v>
      </c>
      <c r="CW4678" s="21">
        <v>0.11332468572476186</v>
      </c>
      <c r="CX4678" s="21" t="e">
        <v>#N/A</v>
      </c>
      <c r="CY4678" s="21" t="e">
        <v>#N/A</v>
      </c>
      <c r="CZ4678" s="21" t="e">
        <v>#N/A</v>
      </c>
      <c r="DA4678">
        <v>0.11332468572476186</v>
      </c>
      <c r="DB4678" t="str">
        <v/>
      </c>
    </row>
    <row r="4679" spans="83:106" x14ac:dyDescent="0.2">
      <c r="CE4679"/>
      <c r="CF4679"/>
      <c r="CG4679"/>
      <c r="CH4679"/>
      <c r="CI4679"/>
      <c r="CU4679" s="21">
        <v>4674</v>
      </c>
      <c r="CV4679" s="21">
        <v>4</v>
      </c>
      <c r="CW4679" s="21">
        <v>0.11332468572476186</v>
      </c>
      <c r="CX4679" s="21" t="e">
        <v>#N/A</v>
      </c>
      <c r="CY4679" s="21" t="e">
        <v>#N/A</v>
      </c>
      <c r="CZ4679" s="21" t="e">
        <v>#N/A</v>
      </c>
      <c r="DA4679">
        <v>0.11332468572476186</v>
      </c>
      <c r="DB4679" t="str">
        <v/>
      </c>
    </row>
    <row r="4680" spans="83:106" x14ac:dyDescent="0.2">
      <c r="CE4680"/>
      <c r="CF4680"/>
      <c r="CG4680"/>
      <c r="CH4680"/>
      <c r="CI4680"/>
      <c r="CU4680" s="21">
        <v>4675</v>
      </c>
      <c r="CV4680" s="21">
        <v>4</v>
      </c>
      <c r="CW4680" s="21">
        <v>0.11332468572476186</v>
      </c>
      <c r="CX4680" s="21" t="e">
        <v>#N/A</v>
      </c>
      <c r="CY4680" s="21" t="e">
        <v>#N/A</v>
      </c>
      <c r="CZ4680" s="21" t="e">
        <v>#N/A</v>
      </c>
      <c r="DA4680">
        <v>0.11332468572476186</v>
      </c>
      <c r="DB4680" t="str">
        <v/>
      </c>
    </row>
    <row r="4681" spans="83:106" x14ac:dyDescent="0.2">
      <c r="CE4681"/>
      <c r="CF4681"/>
      <c r="CG4681"/>
      <c r="CH4681"/>
      <c r="CI4681"/>
      <c r="CU4681" s="21">
        <v>4676</v>
      </c>
      <c r="CV4681" s="21">
        <v>4</v>
      </c>
      <c r="CW4681" s="21">
        <v>0.11332468572476186</v>
      </c>
      <c r="CX4681" s="21" t="e">
        <v>#N/A</v>
      </c>
      <c r="CY4681" s="21" t="e">
        <v>#N/A</v>
      </c>
      <c r="CZ4681" s="21" t="e">
        <v>#N/A</v>
      </c>
      <c r="DA4681">
        <v>0.11332468572476186</v>
      </c>
      <c r="DB4681" t="str">
        <v/>
      </c>
    </row>
    <row r="4682" spans="83:106" x14ac:dyDescent="0.2">
      <c r="CE4682"/>
      <c r="CF4682"/>
      <c r="CG4682"/>
      <c r="CH4682"/>
      <c r="CI4682"/>
      <c r="CU4682" s="21">
        <v>4677</v>
      </c>
      <c r="CV4682" s="21">
        <v>4</v>
      </c>
      <c r="CW4682" s="21">
        <v>0.11332468572476186</v>
      </c>
      <c r="CX4682" s="21" t="e">
        <v>#N/A</v>
      </c>
      <c r="CY4682" s="21" t="e">
        <v>#N/A</v>
      </c>
      <c r="CZ4682" s="21" t="e">
        <v>#N/A</v>
      </c>
      <c r="DA4682">
        <v>0.11332468572476186</v>
      </c>
      <c r="DB4682" t="str">
        <v/>
      </c>
    </row>
    <row r="4683" spans="83:106" x14ac:dyDescent="0.2">
      <c r="CE4683"/>
      <c r="CF4683"/>
      <c r="CG4683"/>
      <c r="CH4683"/>
      <c r="CI4683"/>
      <c r="CU4683" s="21">
        <v>4678</v>
      </c>
      <c r="CV4683" s="21">
        <v>4</v>
      </c>
      <c r="CW4683" s="21">
        <v>0.11332468572476186</v>
      </c>
      <c r="CX4683" s="21" t="e">
        <v>#N/A</v>
      </c>
      <c r="CY4683" s="21" t="e">
        <v>#N/A</v>
      </c>
      <c r="CZ4683" s="21" t="e">
        <v>#N/A</v>
      </c>
      <c r="DA4683">
        <v>0.11332468572476186</v>
      </c>
      <c r="DB4683" t="str">
        <v/>
      </c>
    </row>
    <row r="4684" spans="83:106" x14ac:dyDescent="0.2">
      <c r="CE4684"/>
      <c r="CF4684"/>
      <c r="CG4684"/>
      <c r="CH4684"/>
      <c r="CI4684"/>
      <c r="CU4684" s="21">
        <v>4679</v>
      </c>
      <c r="CV4684" s="21">
        <v>4</v>
      </c>
      <c r="CW4684" s="21">
        <v>0.11332468572476186</v>
      </c>
      <c r="CX4684" s="21" t="e">
        <v>#N/A</v>
      </c>
      <c r="CY4684" s="21" t="e">
        <v>#N/A</v>
      </c>
      <c r="CZ4684" s="21" t="e">
        <v>#N/A</v>
      </c>
      <c r="DA4684">
        <v>0.11332468572476186</v>
      </c>
      <c r="DB4684" t="str">
        <v/>
      </c>
    </row>
    <row r="4685" spans="83:106" x14ac:dyDescent="0.2">
      <c r="CE4685"/>
      <c r="CF4685"/>
      <c r="CG4685"/>
      <c r="CH4685"/>
      <c r="CI4685"/>
      <c r="CU4685" s="21">
        <v>4680</v>
      </c>
      <c r="CV4685" s="21">
        <v>4</v>
      </c>
      <c r="CW4685" s="21">
        <v>0.11332468572476186</v>
      </c>
      <c r="CX4685" s="21" t="e">
        <v>#N/A</v>
      </c>
      <c r="CY4685" s="21" t="e">
        <v>#N/A</v>
      </c>
      <c r="CZ4685" s="21" t="e">
        <v>#N/A</v>
      </c>
      <c r="DA4685">
        <v>0.11332468572476186</v>
      </c>
      <c r="DB4685" t="str">
        <v/>
      </c>
    </row>
    <row r="4686" spans="83:106" x14ac:dyDescent="0.2">
      <c r="CE4686"/>
      <c r="CF4686"/>
      <c r="CG4686"/>
      <c r="CH4686"/>
      <c r="CI4686"/>
      <c r="CU4686" s="21">
        <v>4681</v>
      </c>
      <c r="CV4686" s="21">
        <v>4</v>
      </c>
      <c r="CW4686" s="21">
        <v>0.11332468572476186</v>
      </c>
      <c r="CX4686" s="21" t="e">
        <v>#N/A</v>
      </c>
      <c r="CY4686" s="21" t="e">
        <v>#N/A</v>
      </c>
      <c r="CZ4686" s="21" t="e">
        <v>#N/A</v>
      </c>
      <c r="DA4686">
        <v>0.11332468572476186</v>
      </c>
      <c r="DB4686" t="str">
        <v/>
      </c>
    </row>
    <row r="4687" spans="83:106" x14ac:dyDescent="0.2">
      <c r="CE4687"/>
      <c r="CF4687"/>
      <c r="CG4687"/>
      <c r="CH4687"/>
      <c r="CI4687"/>
      <c r="CU4687" s="21">
        <v>4682</v>
      </c>
      <c r="CV4687" s="21">
        <v>4</v>
      </c>
      <c r="CW4687" s="21">
        <v>0.11332468572476186</v>
      </c>
      <c r="CX4687" s="21" t="e">
        <v>#N/A</v>
      </c>
      <c r="CY4687" s="21" t="e">
        <v>#N/A</v>
      </c>
      <c r="CZ4687" s="21" t="e">
        <v>#N/A</v>
      </c>
      <c r="DA4687">
        <v>0.11332468572476186</v>
      </c>
      <c r="DB4687" t="str">
        <v/>
      </c>
    </row>
    <row r="4688" spans="83:106" x14ac:dyDescent="0.2">
      <c r="CE4688"/>
      <c r="CF4688"/>
      <c r="CG4688"/>
      <c r="CH4688"/>
      <c r="CI4688"/>
      <c r="CU4688" s="21">
        <v>4683</v>
      </c>
      <c r="CV4688" s="21">
        <v>4</v>
      </c>
      <c r="CW4688" s="21">
        <v>0.11332468572476186</v>
      </c>
      <c r="CX4688" s="21" t="e">
        <v>#N/A</v>
      </c>
      <c r="CY4688" s="21" t="e">
        <v>#N/A</v>
      </c>
      <c r="CZ4688" s="21" t="e">
        <v>#N/A</v>
      </c>
      <c r="DA4688">
        <v>0.11332468572476186</v>
      </c>
      <c r="DB4688" t="str">
        <v/>
      </c>
    </row>
    <row r="4689" spans="83:106" x14ac:dyDescent="0.2">
      <c r="CE4689"/>
      <c r="CF4689"/>
      <c r="CG4689"/>
      <c r="CH4689"/>
      <c r="CI4689"/>
      <c r="CU4689" s="21">
        <v>4684</v>
      </c>
      <c r="CV4689" s="21">
        <v>4</v>
      </c>
      <c r="CW4689" s="21">
        <v>0.11332468572476186</v>
      </c>
      <c r="CX4689" s="21" t="e">
        <v>#N/A</v>
      </c>
      <c r="CY4689" s="21" t="e">
        <v>#N/A</v>
      </c>
      <c r="CZ4689" s="21" t="e">
        <v>#N/A</v>
      </c>
      <c r="DA4689">
        <v>0.11332468572476186</v>
      </c>
      <c r="DB4689" t="str">
        <v/>
      </c>
    </row>
    <row r="4690" spans="83:106" x14ac:dyDescent="0.2">
      <c r="CE4690"/>
      <c r="CF4690"/>
      <c r="CG4690"/>
      <c r="CH4690"/>
      <c r="CI4690"/>
      <c r="CU4690" s="21">
        <v>4685</v>
      </c>
      <c r="CV4690" s="21">
        <v>4</v>
      </c>
      <c r="CW4690" s="21">
        <v>0.11332468572476186</v>
      </c>
      <c r="CX4690" s="21" t="e">
        <v>#N/A</v>
      </c>
      <c r="CY4690" s="21" t="e">
        <v>#N/A</v>
      </c>
      <c r="CZ4690" s="21" t="e">
        <v>#N/A</v>
      </c>
      <c r="DA4690">
        <v>0.11332468572476186</v>
      </c>
      <c r="DB4690" t="str">
        <v/>
      </c>
    </row>
    <row r="4691" spans="83:106" x14ac:dyDescent="0.2">
      <c r="CE4691"/>
      <c r="CF4691"/>
      <c r="CG4691"/>
      <c r="CH4691"/>
      <c r="CI4691"/>
      <c r="CU4691" s="21">
        <v>4686</v>
      </c>
      <c r="CV4691" s="21">
        <v>4</v>
      </c>
      <c r="CW4691" s="21">
        <v>0.11332468572476186</v>
      </c>
      <c r="CX4691" s="21" t="e">
        <v>#N/A</v>
      </c>
      <c r="CY4691" s="21" t="e">
        <v>#N/A</v>
      </c>
      <c r="CZ4691" s="21" t="e">
        <v>#N/A</v>
      </c>
      <c r="DA4691">
        <v>0.11332468572476186</v>
      </c>
      <c r="DB4691" t="str">
        <v/>
      </c>
    </row>
    <row r="4692" spans="83:106" x14ac:dyDescent="0.2">
      <c r="CE4692"/>
      <c r="CF4692"/>
      <c r="CG4692"/>
      <c r="CH4692"/>
      <c r="CI4692"/>
      <c r="CU4692" s="21">
        <v>4687</v>
      </c>
      <c r="CV4692" s="21">
        <v>4</v>
      </c>
      <c r="CW4692" s="21">
        <v>0.11332468572476186</v>
      </c>
      <c r="CX4692" s="21" t="e">
        <v>#N/A</v>
      </c>
      <c r="CY4692" s="21" t="e">
        <v>#N/A</v>
      </c>
      <c r="CZ4692" s="21" t="e">
        <v>#N/A</v>
      </c>
      <c r="DA4692">
        <v>0.11332468572476186</v>
      </c>
      <c r="DB4692" t="str">
        <v/>
      </c>
    </row>
    <row r="4693" spans="83:106" x14ac:dyDescent="0.2">
      <c r="CE4693"/>
      <c r="CF4693"/>
      <c r="CG4693"/>
      <c r="CH4693"/>
      <c r="CI4693"/>
      <c r="CU4693" s="21">
        <v>4688</v>
      </c>
      <c r="CV4693" s="21">
        <v>4</v>
      </c>
      <c r="CW4693" s="21">
        <v>0.11332468572476186</v>
      </c>
      <c r="CX4693" s="21" t="e">
        <v>#N/A</v>
      </c>
      <c r="CY4693" s="21" t="e">
        <v>#N/A</v>
      </c>
      <c r="CZ4693" s="21" t="e">
        <v>#N/A</v>
      </c>
      <c r="DA4693">
        <v>0.11332468572476186</v>
      </c>
      <c r="DB4693" t="str">
        <v/>
      </c>
    </row>
    <row r="4694" spans="83:106" x14ac:dyDescent="0.2">
      <c r="CE4694"/>
      <c r="CF4694"/>
      <c r="CG4694"/>
      <c r="CH4694"/>
      <c r="CI4694"/>
      <c r="CU4694" s="21">
        <v>4689</v>
      </c>
      <c r="CV4694" s="21">
        <v>4</v>
      </c>
      <c r="CW4694" s="21">
        <v>0.11332468572476186</v>
      </c>
      <c r="CX4694" s="21" t="e">
        <v>#N/A</v>
      </c>
      <c r="CY4694" s="21" t="e">
        <v>#N/A</v>
      </c>
      <c r="CZ4694" s="21" t="e">
        <v>#N/A</v>
      </c>
      <c r="DA4694">
        <v>0.11332468572476186</v>
      </c>
      <c r="DB4694" t="str">
        <v/>
      </c>
    </row>
    <row r="4695" spans="83:106" x14ac:dyDescent="0.2">
      <c r="CE4695"/>
      <c r="CF4695"/>
      <c r="CG4695"/>
      <c r="CH4695"/>
      <c r="CI4695"/>
      <c r="CU4695" s="21">
        <v>4690</v>
      </c>
      <c r="CV4695" s="21">
        <v>4</v>
      </c>
      <c r="CW4695" s="21">
        <v>0.11332468572476186</v>
      </c>
      <c r="CX4695" s="21" t="e">
        <v>#N/A</v>
      </c>
      <c r="CY4695" s="21" t="e">
        <v>#N/A</v>
      </c>
      <c r="CZ4695" s="21" t="e">
        <v>#N/A</v>
      </c>
      <c r="DA4695">
        <v>0.11332468572476186</v>
      </c>
      <c r="DB4695" t="str">
        <v/>
      </c>
    </row>
    <row r="4696" spans="83:106" x14ac:dyDescent="0.2">
      <c r="CE4696"/>
      <c r="CF4696"/>
      <c r="CG4696"/>
      <c r="CH4696"/>
      <c r="CI4696"/>
      <c r="CU4696" s="21">
        <v>4691</v>
      </c>
      <c r="CV4696" s="21">
        <v>4</v>
      </c>
      <c r="CW4696" s="21">
        <v>0.11332468572476186</v>
      </c>
      <c r="CX4696" s="21" t="e">
        <v>#N/A</v>
      </c>
      <c r="CY4696" s="21" t="e">
        <v>#N/A</v>
      </c>
      <c r="CZ4696" s="21" t="e">
        <v>#N/A</v>
      </c>
      <c r="DA4696">
        <v>0.11332468572476186</v>
      </c>
      <c r="DB4696" t="str">
        <v/>
      </c>
    </row>
    <row r="4697" spans="83:106" x14ac:dyDescent="0.2">
      <c r="CE4697"/>
      <c r="CF4697"/>
      <c r="CG4697"/>
      <c r="CH4697"/>
      <c r="CI4697"/>
      <c r="CU4697" s="21">
        <v>4692</v>
      </c>
      <c r="CV4697" s="21">
        <v>4</v>
      </c>
      <c r="CW4697" s="21">
        <v>0.11332468572476186</v>
      </c>
      <c r="CX4697" s="21" t="e">
        <v>#N/A</v>
      </c>
      <c r="CY4697" s="21" t="e">
        <v>#N/A</v>
      </c>
      <c r="CZ4697" s="21" t="e">
        <v>#N/A</v>
      </c>
      <c r="DA4697">
        <v>0.11332468572476186</v>
      </c>
      <c r="DB4697" t="str">
        <v/>
      </c>
    </row>
    <row r="4698" spans="83:106" x14ac:dyDescent="0.2">
      <c r="CE4698"/>
      <c r="CF4698"/>
      <c r="CG4698"/>
      <c r="CH4698"/>
      <c r="CI4698"/>
      <c r="CU4698" s="21">
        <v>4693</v>
      </c>
      <c r="CV4698" s="21">
        <v>4</v>
      </c>
      <c r="CW4698" s="21">
        <v>0.11332468572476186</v>
      </c>
      <c r="CX4698" s="21" t="e">
        <v>#N/A</v>
      </c>
      <c r="CY4698" s="21" t="e">
        <v>#N/A</v>
      </c>
      <c r="CZ4698" s="21" t="e">
        <v>#N/A</v>
      </c>
      <c r="DA4698">
        <v>0.11332468572476186</v>
      </c>
      <c r="DB4698" t="str">
        <v/>
      </c>
    </row>
    <row r="4699" spans="83:106" x14ac:dyDescent="0.2">
      <c r="CE4699"/>
      <c r="CF4699"/>
      <c r="CG4699"/>
      <c r="CH4699"/>
      <c r="CI4699"/>
      <c r="CU4699" s="21">
        <v>4694</v>
      </c>
      <c r="CV4699" s="21">
        <v>4</v>
      </c>
      <c r="CW4699" s="21">
        <v>0.11332468572476186</v>
      </c>
      <c r="CX4699" s="21" t="e">
        <v>#N/A</v>
      </c>
      <c r="CY4699" s="21" t="e">
        <v>#N/A</v>
      </c>
      <c r="CZ4699" s="21" t="e">
        <v>#N/A</v>
      </c>
      <c r="DA4699">
        <v>0.11332468572476186</v>
      </c>
      <c r="DB4699" t="str">
        <v/>
      </c>
    </row>
    <row r="4700" spans="83:106" x14ac:dyDescent="0.2">
      <c r="CE4700"/>
      <c r="CF4700"/>
      <c r="CG4700"/>
      <c r="CH4700"/>
      <c r="CI4700"/>
      <c r="CU4700" s="21">
        <v>4695</v>
      </c>
      <c r="CV4700" s="21">
        <v>4</v>
      </c>
      <c r="CW4700" s="21">
        <v>0.11332468572476186</v>
      </c>
      <c r="CX4700" s="21" t="e">
        <v>#N/A</v>
      </c>
      <c r="CY4700" s="21" t="e">
        <v>#N/A</v>
      </c>
      <c r="CZ4700" s="21" t="e">
        <v>#N/A</v>
      </c>
      <c r="DA4700">
        <v>0.11332468572476186</v>
      </c>
      <c r="DB4700" t="str">
        <v/>
      </c>
    </row>
    <row r="4701" spans="83:106" x14ac:dyDescent="0.2">
      <c r="CE4701"/>
      <c r="CF4701"/>
      <c r="CG4701"/>
      <c r="CH4701"/>
      <c r="CI4701"/>
      <c r="CU4701" s="21">
        <v>4696</v>
      </c>
      <c r="CV4701" s="21">
        <v>4</v>
      </c>
      <c r="CW4701" s="21">
        <v>0.11332468572476186</v>
      </c>
      <c r="CX4701" s="21" t="e">
        <v>#N/A</v>
      </c>
      <c r="CY4701" s="21" t="e">
        <v>#N/A</v>
      </c>
      <c r="CZ4701" s="21" t="e">
        <v>#N/A</v>
      </c>
      <c r="DA4701">
        <v>0.11332468572476186</v>
      </c>
      <c r="DB4701" t="str">
        <v/>
      </c>
    </row>
    <row r="4702" spans="83:106" x14ac:dyDescent="0.2">
      <c r="CE4702"/>
      <c r="CF4702"/>
      <c r="CG4702"/>
      <c r="CH4702"/>
      <c r="CI4702"/>
      <c r="CU4702" s="21">
        <v>4697</v>
      </c>
      <c r="CV4702" s="21">
        <v>4</v>
      </c>
      <c r="CW4702" s="21">
        <v>0.11332468572476186</v>
      </c>
      <c r="CX4702" s="21" t="e">
        <v>#N/A</v>
      </c>
      <c r="CY4702" s="21" t="e">
        <v>#N/A</v>
      </c>
      <c r="CZ4702" s="21" t="e">
        <v>#N/A</v>
      </c>
      <c r="DA4702">
        <v>0.11332468572476186</v>
      </c>
      <c r="DB4702" t="str">
        <v/>
      </c>
    </row>
    <row r="4703" spans="83:106" x14ac:dyDescent="0.2">
      <c r="CE4703"/>
      <c r="CF4703"/>
      <c r="CG4703"/>
      <c r="CH4703"/>
      <c r="CI4703"/>
      <c r="CU4703" s="21">
        <v>4698</v>
      </c>
      <c r="CV4703" s="21">
        <v>4</v>
      </c>
      <c r="CW4703" s="21">
        <v>0.11332468572476186</v>
      </c>
      <c r="CX4703" s="21" t="e">
        <v>#N/A</v>
      </c>
      <c r="CY4703" s="21" t="e">
        <v>#N/A</v>
      </c>
      <c r="CZ4703" s="21" t="e">
        <v>#N/A</v>
      </c>
      <c r="DA4703">
        <v>0.11332468572476186</v>
      </c>
      <c r="DB4703" t="str">
        <v/>
      </c>
    </row>
    <row r="4704" spans="83:106" x14ac:dyDescent="0.2">
      <c r="CE4704"/>
      <c r="CF4704"/>
      <c r="CG4704"/>
      <c r="CH4704"/>
      <c r="CI4704"/>
      <c r="CU4704" s="21">
        <v>4699</v>
      </c>
      <c r="CV4704" s="21">
        <v>4</v>
      </c>
      <c r="CW4704" s="21">
        <v>0.11332468572476186</v>
      </c>
      <c r="CX4704" s="21" t="e">
        <v>#N/A</v>
      </c>
      <c r="CY4704" s="21" t="e">
        <v>#N/A</v>
      </c>
      <c r="CZ4704" s="21" t="e">
        <v>#N/A</v>
      </c>
      <c r="DA4704">
        <v>0.11332468572476186</v>
      </c>
      <c r="DB4704" t="str">
        <v/>
      </c>
    </row>
    <row r="4705" spans="83:106" x14ac:dyDescent="0.2">
      <c r="CE4705"/>
      <c r="CF4705"/>
      <c r="CG4705"/>
      <c r="CH4705"/>
      <c r="CI4705"/>
      <c r="CU4705" s="21">
        <v>4700</v>
      </c>
      <c r="CV4705" s="21">
        <v>4</v>
      </c>
      <c r="CW4705" s="21">
        <v>0.11332468572476186</v>
      </c>
      <c r="CX4705" s="21" t="e">
        <v>#N/A</v>
      </c>
      <c r="CY4705" s="21" t="e">
        <v>#N/A</v>
      </c>
      <c r="CZ4705" s="21" t="e">
        <v>#N/A</v>
      </c>
      <c r="DA4705">
        <v>0.11332468572476186</v>
      </c>
      <c r="DB4705" t="str">
        <v/>
      </c>
    </row>
    <row r="4706" spans="83:106" x14ac:dyDescent="0.2">
      <c r="CE4706"/>
      <c r="CF4706"/>
      <c r="CG4706"/>
      <c r="CH4706"/>
      <c r="CI4706"/>
      <c r="CU4706" s="21">
        <v>4701</v>
      </c>
      <c r="CV4706" s="21">
        <v>4</v>
      </c>
      <c r="CW4706" s="21">
        <v>0.11332468572476186</v>
      </c>
      <c r="CX4706" s="21" t="e">
        <v>#N/A</v>
      </c>
      <c r="CY4706" s="21" t="e">
        <v>#N/A</v>
      </c>
      <c r="CZ4706" s="21" t="e">
        <v>#N/A</v>
      </c>
      <c r="DA4706">
        <v>0.11332468572476186</v>
      </c>
      <c r="DB4706" t="str">
        <v/>
      </c>
    </row>
    <row r="4707" spans="83:106" x14ac:dyDescent="0.2">
      <c r="CE4707"/>
      <c r="CF4707"/>
      <c r="CG4707"/>
      <c r="CH4707"/>
      <c r="CI4707"/>
      <c r="CU4707" s="21">
        <v>4702</v>
      </c>
      <c r="CV4707" s="21">
        <v>4</v>
      </c>
      <c r="CW4707" s="21">
        <v>0.11332468572476186</v>
      </c>
      <c r="CX4707" s="21" t="e">
        <v>#N/A</v>
      </c>
      <c r="CY4707" s="21" t="e">
        <v>#N/A</v>
      </c>
      <c r="CZ4707" s="21" t="e">
        <v>#N/A</v>
      </c>
      <c r="DA4707">
        <v>0.11332468572476186</v>
      </c>
      <c r="DB4707" t="str">
        <v/>
      </c>
    </row>
    <row r="4708" spans="83:106" x14ac:dyDescent="0.2">
      <c r="CE4708"/>
      <c r="CF4708"/>
      <c r="CG4708"/>
      <c r="CH4708"/>
      <c r="CI4708"/>
      <c r="CU4708" s="21">
        <v>4703</v>
      </c>
      <c r="CV4708" s="21">
        <v>4</v>
      </c>
      <c r="CW4708" s="21">
        <v>0.11332468572476186</v>
      </c>
      <c r="CX4708" s="21" t="e">
        <v>#N/A</v>
      </c>
      <c r="CY4708" s="21" t="e">
        <v>#N/A</v>
      </c>
      <c r="CZ4708" s="21" t="e">
        <v>#N/A</v>
      </c>
      <c r="DA4708">
        <v>0.11332468572476186</v>
      </c>
      <c r="DB4708" t="str">
        <v/>
      </c>
    </row>
    <row r="4709" spans="83:106" x14ac:dyDescent="0.2">
      <c r="CE4709"/>
      <c r="CF4709"/>
      <c r="CG4709"/>
      <c r="CH4709"/>
      <c r="CI4709"/>
      <c r="CU4709" s="21">
        <v>4704</v>
      </c>
      <c r="CV4709" s="21">
        <v>4</v>
      </c>
      <c r="CW4709" s="21">
        <v>0.11332468572476186</v>
      </c>
      <c r="CX4709" s="21" t="e">
        <v>#N/A</v>
      </c>
      <c r="CY4709" s="21" t="e">
        <v>#N/A</v>
      </c>
      <c r="CZ4709" s="21" t="e">
        <v>#N/A</v>
      </c>
      <c r="DA4709">
        <v>0.11332468572476186</v>
      </c>
      <c r="DB4709" t="str">
        <v/>
      </c>
    </row>
    <row r="4710" spans="83:106" x14ac:dyDescent="0.2">
      <c r="CE4710"/>
      <c r="CF4710"/>
      <c r="CG4710"/>
      <c r="CH4710"/>
      <c r="CI4710"/>
      <c r="CU4710" s="21">
        <v>4705</v>
      </c>
      <c r="CV4710" s="21">
        <v>4</v>
      </c>
      <c r="CW4710" s="21">
        <v>0.11332468572476186</v>
      </c>
      <c r="CX4710" s="21" t="e">
        <v>#N/A</v>
      </c>
      <c r="CY4710" s="21" t="e">
        <v>#N/A</v>
      </c>
      <c r="CZ4710" s="21" t="e">
        <v>#N/A</v>
      </c>
      <c r="DA4710">
        <v>0.11332468572476186</v>
      </c>
      <c r="DB4710" t="str">
        <v/>
      </c>
    </row>
    <row r="4711" spans="83:106" x14ac:dyDescent="0.2">
      <c r="CE4711"/>
      <c r="CF4711"/>
      <c r="CG4711"/>
      <c r="CH4711"/>
      <c r="CI4711"/>
      <c r="CU4711" s="21">
        <v>4706</v>
      </c>
      <c r="CV4711" s="21">
        <v>4</v>
      </c>
      <c r="CW4711" s="21">
        <v>0.11332468572476186</v>
      </c>
      <c r="CX4711" s="21" t="e">
        <v>#N/A</v>
      </c>
      <c r="CY4711" s="21" t="e">
        <v>#N/A</v>
      </c>
      <c r="CZ4711" s="21" t="e">
        <v>#N/A</v>
      </c>
      <c r="DA4711">
        <v>0.11332468572476186</v>
      </c>
      <c r="DB4711" t="str">
        <v/>
      </c>
    </row>
    <row r="4712" spans="83:106" x14ac:dyDescent="0.2">
      <c r="CE4712"/>
      <c r="CF4712"/>
      <c r="CG4712"/>
      <c r="CH4712"/>
      <c r="CI4712"/>
      <c r="CU4712" s="21">
        <v>4707</v>
      </c>
      <c r="CV4712" s="21">
        <v>4</v>
      </c>
      <c r="CW4712" s="21">
        <v>0.11332468572476186</v>
      </c>
      <c r="CX4712" s="21" t="e">
        <v>#N/A</v>
      </c>
      <c r="CY4712" s="21" t="e">
        <v>#N/A</v>
      </c>
      <c r="CZ4712" s="21" t="e">
        <v>#N/A</v>
      </c>
      <c r="DA4712">
        <v>0.11332468572476186</v>
      </c>
      <c r="DB4712" t="str">
        <v/>
      </c>
    </row>
    <row r="4713" spans="83:106" x14ac:dyDescent="0.2">
      <c r="CE4713"/>
      <c r="CF4713"/>
      <c r="CG4713"/>
      <c r="CH4713"/>
      <c r="CI4713"/>
      <c r="CU4713" s="21">
        <v>4708</v>
      </c>
      <c r="CV4713" s="21">
        <v>4</v>
      </c>
      <c r="CW4713" s="21">
        <v>0.11332468572476186</v>
      </c>
      <c r="CX4713" s="21" t="e">
        <v>#N/A</v>
      </c>
      <c r="CY4713" s="21" t="e">
        <v>#N/A</v>
      </c>
      <c r="CZ4713" s="21" t="e">
        <v>#N/A</v>
      </c>
      <c r="DA4713">
        <v>0.11332468572476186</v>
      </c>
      <c r="DB4713" t="str">
        <v/>
      </c>
    </row>
    <row r="4714" spans="83:106" x14ac:dyDescent="0.2">
      <c r="CE4714"/>
      <c r="CF4714"/>
      <c r="CG4714"/>
      <c r="CH4714"/>
      <c r="CI4714"/>
      <c r="CU4714" s="21">
        <v>4709</v>
      </c>
      <c r="CV4714" s="21">
        <v>4</v>
      </c>
      <c r="CW4714" s="21">
        <v>0.11332468572476186</v>
      </c>
      <c r="CX4714" s="21" t="e">
        <v>#N/A</v>
      </c>
      <c r="CY4714" s="21" t="e">
        <v>#N/A</v>
      </c>
      <c r="CZ4714" s="21" t="e">
        <v>#N/A</v>
      </c>
      <c r="DA4714">
        <v>0.11332468572476186</v>
      </c>
      <c r="DB4714" t="str">
        <v/>
      </c>
    </row>
    <row r="4715" spans="83:106" x14ac:dyDescent="0.2">
      <c r="CE4715"/>
      <c r="CF4715"/>
      <c r="CG4715"/>
      <c r="CH4715"/>
      <c r="CI4715"/>
      <c r="CU4715" s="21">
        <v>4710</v>
      </c>
      <c r="CV4715" s="21">
        <v>4</v>
      </c>
      <c r="CW4715" s="21">
        <v>0.11332468572476186</v>
      </c>
      <c r="CX4715" s="21" t="e">
        <v>#N/A</v>
      </c>
      <c r="CY4715" s="21" t="e">
        <v>#N/A</v>
      </c>
      <c r="CZ4715" s="21" t="e">
        <v>#N/A</v>
      </c>
      <c r="DA4715">
        <v>0.11332468572476186</v>
      </c>
      <c r="DB4715" t="str">
        <v/>
      </c>
    </row>
    <row r="4716" spans="83:106" x14ac:dyDescent="0.2">
      <c r="CE4716"/>
      <c r="CF4716"/>
      <c r="CG4716"/>
      <c r="CH4716"/>
      <c r="CI4716"/>
      <c r="CU4716" s="21">
        <v>4711</v>
      </c>
      <c r="CV4716" s="21">
        <v>4</v>
      </c>
      <c r="CW4716" s="21">
        <v>0.11332468572476186</v>
      </c>
      <c r="CX4716" s="21" t="e">
        <v>#N/A</v>
      </c>
      <c r="CY4716" s="21" t="e">
        <v>#N/A</v>
      </c>
      <c r="CZ4716" s="21" t="e">
        <v>#N/A</v>
      </c>
      <c r="DA4716">
        <v>0.11332468572476186</v>
      </c>
      <c r="DB4716" t="str">
        <v/>
      </c>
    </row>
    <row r="4717" spans="83:106" x14ac:dyDescent="0.2">
      <c r="CE4717"/>
      <c r="CF4717"/>
      <c r="CG4717"/>
      <c r="CH4717"/>
      <c r="CI4717"/>
      <c r="CU4717" s="21">
        <v>4712</v>
      </c>
      <c r="CV4717" s="21">
        <v>4</v>
      </c>
      <c r="CW4717" s="21">
        <v>0.11332468572476186</v>
      </c>
      <c r="CX4717" s="21" t="e">
        <v>#N/A</v>
      </c>
      <c r="CY4717" s="21" t="e">
        <v>#N/A</v>
      </c>
      <c r="CZ4717" s="21" t="e">
        <v>#N/A</v>
      </c>
      <c r="DA4717">
        <v>0.11332468572476186</v>
      </c>
      <c r="DB4717" t="str">
        <v/>
      </c>
    </row>
    <row r="4718" spans="83:106" x14ac:dyDescent="0.2">
      <c r="CE4718"/>
      <c r="CF4718"/>
      <c r="CG4718"/>
      <c r="CH4718"/>
      <c r="CI4718"/>
      <c r="CU4718" s="21">
        <v>4713</v>
      </c>
      <c r="CV4718" s="21">
        <v>4</v>
      </c>
      <c r="CW4718" s="21">
        <v>0.11332468572476186</v>
      </c>
      <c r="CX4718" s="21" t="e">
        <v>#N/A</v>
      </c>
      <c r="CY4718" s="21" t="e">
        <v>#N/A</v>
      </c>
      <c r="CZ4718" s="21" t="e">
        <v>#N/A</v>
      </c>
      <c r="DA4718">
        <v>0.11332468572476186</v>
      </c>
      <c r="DB4718" t="str">
        <v/>
      </c>
    </row>
    <row r="4719" spans="83:106" x14ac:dyDescent="0.2">
      <c r="CE4719"/>
      <c r="CF4719"/>
      <c r="CG4719"/>
      <c r="CH4719"/>
      <c r="CI4719"/>
      <c r="CU4719" s="21">
        <v>4714</v>
      </c>
      <c r="CV4719" s="21">
        <v>4</v>
      </c>
      <c r="CW4719" s="21">
        <v>0.11332468572476186</v>
      </c>
      <c r="CX4719" s="21" t="e">
        <v>#N/A</v>
      </c>
      <c r="CY4719" s="21" t="e">
        <v>#N/A</v>
      </c>
      <c r="CZ4719" s="21" t="e">
        <v>#N/A</v>
      </c>
      <c r="DA4719">
        <v>0.11332468572476186</v>
      </c>
      <c r="DB4719" t="str">
        <v/>
      </c>
    </row>
    <row r="4720" spans="83:106" x14ac:dyDescent="0.2">
      <c r="CE4720"/>
      <c r="CF4720"/>
      <c r="CG4720"/>
      <c r="CH4720"/>
      <c r="CI4720"/>
      <c r="CU4720" s="21">
        <v>4715</v>
      </c>
      <c r="CV4720" s="21">
        <v>4</v>
      </c>
      <c r="CW4720" s="21">
        <v>0.11332468572476186</v>
      </c>
      <c r="CX4720" s="21" t="e">
        <v>#N/A</v>
      </c>
      <c r="CY4720" s="21" t="e">
        <v>#N/A</v>
      </c>
      <c r="CZ4720" s="21" t="e">
        <v>#N/A</v>
      </c>
      <c r="DA4720">
        <v>0.11332468572476186</v>
      </c>
      <c r="DB4720" t="str">
        <v/>
      </c>
    </row>
    <row r="4721" spans="83:106" x14ac:dyDescent="0.2">
      <c r="CE4721"/>
      <c r="CF4721"/>
      <c r="CG4721"/>
      <c r="CH4721"/>
      <c r="CI4721"/>
      <c r="CU4721" s="21">
        <v>4716</v>
      </c>
      <c r="CV4721" s="21">
        <v>4</v>
      </c>
      <c r="CW4721" s="21">
        <v>0.11332468572476186</v>
      </c>
      <c r="CX4721" s="21" t="e">
        <v>#N/A</v>
      </c>
      <c r="CY4721" s="21" t="e">
        <v>#N/A</v>
      </c>
      <c r="CZ4721" s="21" t="e">
        <v>#N/A</v>
      </c>
      <c r="DA4721">
        <v>0.11332468572476186</v>
      </c>
      <c r="DB4721" t="str">
        <v/>
      </c>
    </row>
    <row r="4722" spans="83:106" x14ac:dyDescent="0.2">
      <c r="CE4722"/>
      <c r="CF4722"/>
      <c r="CG4722"/>
      <c r="CH4722"/>
      <c r="CI4722"/>
      <c r="CU4722" s="21">
        <v>4717</v>
      </c>
      <c r="CV4722" s="21">
        <v>4</v>
      </c>
      <c r="CW4722" s="21">
        <v>0.11332468572476186</v>
      </c>
      <c r="CX4722" s="21" t="e">
        <v>#N/A</v>
      </c>
      <c r="CY4722" s="21" t="e">
        <v>#N/A</v>
      </c>
      <c r="CZ4722" s="21" t="e">
        <v>#N/A</v>
      </c>
      <c r="DA4722">
        <v>0.11332468572476186</v>
      </c>
      <c r="DB4722" t="str">
        <v/>
      </c>
    </row>
    <row r="4723" spans="83:106" x14ac:dyDescent="0.2">
      <c r="CE4723"/>
      <c r="CF4723"/>
      <c r="CG4723"/>
      <c r="CH4723"/>
      <c r="CI4723"/>
      <c r="CU4723" s="21">
        <v>4718</v>
      </c>
      <c r="CV4723" s="21">
        <v>4</v>
      </c>
      <c r="CW4723" s="21">
        <v>0.11332468572476186</v>
      </c>
      <c r="CX4723" s="21" t="e">
        <v>#N/A</v>
      </c>
      <c r="CY4723" s="21" t="e">
        <v>#N/A</v>
      </c>
      <c r="CZ4723" s="21" t="e">
        <v>#N/A</v>
      </c>
      <c r="DA4723">
        <v>0.11332468572476186</v>
      </c>
      <c r="DB4723" t="str">
        <v/>
      </c>
    </row>
    <row r="4724" spans="83:106" x14ac:dyDescent="0.2">
      <c r="CE4724"/>
      <c r="CF4724"/>
      <c r="CG4724"/>
      <c r="CH4724"/>
      <c r="CI4724"/>
      <c r="CU4724" s="21">
        <v>4719</v>
      </c>
      <c r="CV4724" s="21">
        <v>4</v>
      </c>
      <c r="CW4724" s="21">
        <v>0.11332468572476186</v>
      </c>
      <c r="CX4724" s="21" t="e">
        <v>#N/A</v>
      </c>
      <c r="CY4724" s="21" t="e">
        <v>#N/A</v>
      </c>
      <c r="CZ4724" s="21" t="e">
        <v>#N/A</v>
      </c>
      <c r="DA4724">
        <v>0.11332468572476186</v>
      </c>
      <c r="DB4724" t="str">
        <v/>
      </c>
    </row>
    <row r="4725" spans="83:106" x14ac:dyDescent="0.2">
      <c r="CE4725"/>
      <c r="CF4725"/>
      <c r="CG4725"/>
      <c r="CH4725"/>
      <c r="CI4725"/>
      <c r="CU4725" s="21">
        <v>4720</v>
      </c>
      <c r="CV4725" s="21">
        <v>4</v>
      </c>
      <c r="CW4725" s="21">
        <v>0.11332468572476186</v>
      </c>
      <c r="CX4725" s="21" t="e">
        <v>#N/A</v>
      </c>
      <c r="CY4725" s="21" t="e">
        <v>#N/A</v>
      </c>
      <c r="CZ4725" s="21" t="e">
        <v>#N/A</v>
      </c>
      <c r="DA4725">
        <v>0.11332468572476186</v>
      </c>
      <c r="DB4725" t="str">
        <v/>
      </c>
    </row>
    <row r="4726" spans="83:106" x14ac:dyDescent="0.2">
      <c r="CE4726"/>
      <c r="CF4726"/>
      <c r="CG4726"/>
      <c r="CH4726"/>
      <c r="CI4726"/>
      <c r="CU4726" s="21">
        <v>4721</v>
      </c>
      <c r="CV4726" s="21">
        <v>4</v>
      </c>
      <c r="CW4726" s="21">
        <v>0.11332468572476186</v>
      </c>
      <c r="CX4726" s="21" t="e">
        <v>#N/A</v>
      </c>
      <c r="CY4726" s="21" t="e">
        <v>#N/A</v>
      </c>
      <c r="CZ4726" s="21" t="e">
        <v>#N/A</v>
      </c>
      <c r="DA4726">
        <v>0.11332468572476186</v>
      </c>
      <c r="DB4726" t="str">
        <v/>
      </c>
    </row>
    <row r="4727" spans="83:106" x14ac:dyDescent="0.2">
      <c r="CE4727"/>
      <c r="CF4727"/>
      <c r="CG4727"/>
      <c r="CH4727"/>
      <c r="CI4727"/>
      <c r="CU4727" s="21">
        <v>4722</v>
      </c>
      <c r="CV4727" s="21">
        <v>4</v>
      </c>
      <c r="CW4727" s="21">
        <v>0.11332468572476186</v>
      </c>
      <c r="CX4727" s="21" t="e">
        <v>#N/A</v>
      </c>
      <c r="CY4727" s="21" t="e">
        <v>#N/A</v>
      </c>
      <c r="CZ4727" s="21" t="e">
        <v>#N/A</v>
      </c>
      <c r="DA4727">
        <v>0.11332468572476186</v>
      </c>
      <c r="DB4727" t="str">
        <v/>
      </c>
    </row>
    <row r="4728" spans="83:106" x14ac:dyDescent="0.2">
      <c r="CE4728"/>
      <c r="CF4728"/>
      <c r="CG4728"/>
      <c r="CH4728"/>
      <c r="CI4728"/>
      <c r="CU4728" s="21">
        <v>4723</v>
      </c>
      <c r="CV4728" s="21">
        <v>4</v>
      </c>
      <c r="CW4728" s="21">
        <v>0.11332468572476186</v>
      </c>
      <c r="CX4728" s="21" t="e">
        <v>#N/A</v>
      </c>
      <c r="CY4728" s="21" t="e">
        <v>#N/A</v>
      </c>
      <c r="CZ4728" s="21" t="e">
        <v>#N/A</v>
      </c>
      <c r="DA4728">
        <v>0.11332468572476186</v>
      </c>
      <c r="DB4728" t="str">
        <v/>
      </c>
    </row>
    <row r="4729" spans="83:106" x14ac:dyDescent="0.2">
      <c r="CE4729"/>
      <c r="CF4729"/>
      <c r="CG4729"/>
      <c r="CH4729"/>
      <c r="CI4729"/>
      <c r="CU4729" s="21">
        <v>4724</v>
      </c>
      <c r="CV4729" s="21">
        <v>4</v>
      </c>
      <c r="CW4729" s="21">
        <v>0.11332468572476186</v>
      </c>
      <c r="CX4729" s="21" t="e">
        <v>#N/A</v>
      </c>
      <c r="CY4729" s="21" t="e">
        <v>#N/A</v>
      </c>
      <c r="CZ4729" s="21" t="e">
        <v>#N/A</v>
      </c>
      <c r="DA4729">
        <v>0.11332468572476186</v>
      </c>
      <c r="DB4729" t="str">
        <v/>
      </c>
    </row>
    <row r="4730" spans="83:106" x14ac:dyDescent="0.2">
      <c r="CE4730"/>
      <c r="CF4730"/>
      <c r="CG4730"/>
      <c r="CH4730"/>
      <c r="CI4730"/>
      <c r="CU4730" s="21">
        <v>4725</v>
      </c>
      <c r="CV4730" s="21">
        <v>4</v>
      </c>
      <c r="CW4730" s="21">
        <v>0.11332468572476186</v>
      </c>
      <c r="CX4730" s="21" t="e">
        <v>#N/A</v>
      </c>
      <c r="CY4730" s="21" t="e">
        <v>#N/A</v>
      </c>
      <c r="CZ4730" s="21" t="e">
        <v>#N/A</v>
      </c>
      <c r="DA4730">
        <v>0.11332468572476186</v>
      </c>
      <c r="DB4730" t="str">
        <v/>
      </c>
    </row>
    <row r="4731" spans="83:106" x14ac:dyDescent="0.2">
      <c r="CE4731"/>
      <c r="CF4731"/>
      <c r="CG4731"/>
      <c r="CH4731"/>
      <c r="CI4731"/>
      <c r="CU4731" s="21">
        <v>4726</v>
      </c>
      <c r="CV4731" s="21">
        <v>4</v>
      </c>
      <c r="CW4731" s="21">
        <v>0.11332468572476186</v>
      </c>
      <c r="CX4731" s="21" t="e">
        <v>#N/A</v>
      </c>
      <c r="CY4731" s="21" t="e">
        <v>#N/A</v>
      </c>
      <c r="CZ4731" s="21" t="e">
        <v>#N/A</v>
      </c>
      <c r="DA4731">
        <v>0.11332468572476186</v>
      </c>
      <c r="DB4731" t="str">
        <v/>
      </c>
    </row>
    <row r="4732" spans="83:106" x14ac:dyDescent="0.2">
      <c r="CE4732"/>
      <c r="CF4732"/>
      <c r="CG4732"/>
      <c r="CH4732"/>
      <c r="CI4732"/>
      <c r="CU4732" s="21">
        <v>4727</v>
      </c>
      <c r="CV4732" s="21">
        <v>4</v>
      </c>
      <c r="CW4732" s="21">
        <v>0.11332468572476186</v>
      </c>
      <c r="CX4732" s="21" t="e">
        <v>#N/A</v>
      </c>
      <c r="CY4732" s="21" t="e">
        <v>#N/A</v>
      </c>
      <c r="CZ4732" s="21" t="e">
        <v>#N/A</v>
      </c>
      <c r="DA4732">
        <v>0.11332468572476186</v>
      </c>
      <c r="DB4732" t="str">
        <v/>
      </c>
    </row>
    <row r="4733" spans="83:106" x14ac:dyDescent="0.2">
      <c r="CE4733"/>
      <c r="CF4733"/>
      <c r="CG4733"/>
      <c r="CH4733"/>
      <c r="CI4733"/>
      <c r="CU4733" s="21">
        <v>4728</v>
      </c>
      <c r="CV4733" s="21">
        <v>4</v>
      </c>
      <c r="CW4733" s="21">
        <v>0.11332468572476186</v>
      </c>
      <c r="CX4733" s="21" t="e">
        <v>#N/A</v>
      </c>
      <c r="CY4733" s="21" t="e">
        <v>#N/A</v>
      </c>
      <c r="CZ4733" s="21" t="e">
        <v>#N/A</v>
      </c>
      <c r="DA4733">
        <v>0.11332468572476186</v>
      </c>
      <c r="DB4733" t="str">
        <v/>
      </c>
    </row>
    <row r="4734" spans="83:106" x14ac:dyDescent="0.2">
      <c r="CE4734"/>
      <c r="CF4734"/>
      <c r="CG4734"/>
      <c r="CH4734"/>
      <c r="CI4734"/>
      <c r="CU4734" s="21">
        <v>4729</v>
      </c>
      <c r="CV4734" s="21">
        <v>4</v>
      </c>
      <c r="CW4734" s="21">
        <v>0.11332468572476186</v>
      </c>
      <c r="CX4734" s="21" t="e">
        <v>#N/A</v>
      </c>
      <c r="CY4734" s="21" t="e">
        <v>#N/A</v>
      </c>
      <c r="CZ4734" s="21" t="e">
        <v>#N/A</v>
      </c>
      <c r="DA4734">
        <v>0.11332468572476186</v>
      </c>
      <c r="DB4734" t="str">
        <v/>
      </c>
    </row>
    <row r="4735" spans="83:106" x14ac:dyDescent="0.2">
      <c r="CE4735"/>
      <c r="CF4735"/>
      <c r="CG4735"/>
      <c r="CH4735"/>
      <c r="CI4735"/>
      <c r="CU4735" s="21">
        <v>4730</v>
      </c>
      <c r="CV4735" s="21">
        <v>4</v>
      </c>
      <c r="CW4735" s="21">
        <v>0.11332468572476186</v>
      </c>
      <c r="CX4735" s="21" t="e">
        <v>#N/A</v>
      </c>
      <c r="CY4735" s="21" t="e">
        <v>#N/A</v>
      </c>
      <c r="CZ4735" s="21" t="e">
        <v>#N/A</v>
      </c>
      <c r="DA4735">
        <v>0.11332468572476186</v>
      </c>
      <c r="DB4735" t="str">
        <v/>
      </c>
    </row>
    <row r="4736" spans="83:106" x14ac:dyDescent="0.2">
      <c r="CE4736"/>
      <c r="CF4736"/>
      <c r="CG4736"/>
      <c r="CH4736"/>
      <c r="CI4736"/>
      <c r="CU4736" s="21">
        <v>4731</v>
      </c>
      <c r="CV4736" s="21">
        <v>4</v>
      </c>
      <c r="CW4736" s="21">
        <v>0.11332468572476186</v>
      </c>
      <c r="CX4736" s="21" t="e">
        <v>#N/A</v>
      </c>
      <c r="CY4736" s="21" t="e">
        <v>#N/A</v>
      </c>
      <c r="CZ4736" s="21" t="e">
        <v>#N/A</v>
      </c>
      <c r="DA4736">
        <v>0.11332468572476186</v>
      </c>
      <c r="DB4736" t="str">
        <v/>
      </c>
    </row>
    <row r="4737" spans="83:106" x14ac:dyDescent="0.2">
      <c r="CE4737"/>
      <c r="CF4737"/>
      <c r="CG4737"/>
      <c r="CH4737"/>
      <c r="CI4737"/>
      <c r="CU4737" s="21">
        <v>4732</v>
      </c>
      <c r="CV4737" s="21">
        <v>4</v>
      </c>
      <c r="CW4737" s="21">
        <v>0.11332468572476186</v>
      </c>
      <c r="CX4737" s="21" t="e">
        <v>#N/A</v>
      </c>
      <c r="CY4737" s="21" t="e">
        <v>#N/A</v>
      </c>
      <c r="CZ4737" s="21" t="e">
        <v>#N/A</v>
      </c>
      <c r="DA4737">
        <v>0.11332468572476186</v>
      </c>
      <c r="DB4737" t="str">
        <v/>
      </c>
    </row>
    <row r="4738" spans="83:106" x14ac:dyDescent="0.2">
      <c r="CE4738"/>
      <c r="CF4738"/>
      <c r="CG4738"/>
      <c r="CH4738"/>
      <c r="CI4738"/>
      <c r="CU4738" s="21">
        <v>4733</v>
      </c>
      <c r="CV4738" s="21">
        <v>4</v>
      </c>
      <c r="CW4738" s="21">
        <v>0.11332468572476186</v>
      </c>
      <c r="CX4738" s="21" t="e">
        <v>#N/A</v>
      </c>
      <c r="CY4738" s="21" t="e">
        <v>#N/A</v>
      </c>
      <c r="CZ4738" s="21" t="e">
        <v>#N/A</v>
      </c>
      <c r="DA4738">
        <v>0.11332468572476186</v>
      </c>
      <c r="DB4738" t="str">
        <v/>
      </c>
    </row>
    <row r="4739" spans="83:106" x14ac:dyDescent="0.2">
      <c r="CE4739"/>
      <c r="CF4739"/>
      <c r="CG4739"/>
      <c r="CH4739"/>
      <c r="CI4739"/>
      <c r="CU4739" s="21">
        <v>4734</v>
      </c>
      <c r="CV4739" s="21">
        <v>4</v>
      </c>
      <c r="CW4739" s="21">
        <v>0.11332468572476186</v>
      </c>
      <c r="CX4739" s="21" t="e">
        <v>#N/A</v>
      </c>
      <c r="CY4739" s="21" t="e">
        <v>#N/A</v>
      </c>
      <c r="CZ4739" s="21" t="e">
        <v>#N/A</v>
      </c>
      <c r="DA4739">
        <v>0.11332468572476186</v>
      </c>
      <c r="DB4739" t="str">
        <v/>
      </c>
    </row>
    <row r="4740" spans="83:106" x14ac:dyDescent="0.2">
      <c r="CE4740"/>
      <c r="CF4740"/>
      <c r="CG4740"/>
      <c r="CH4740"/>
      <c r="CI4740"/>
      <c r="CU4740" s="21">
        <v>4735</v>
      </c>
      <c r="CV4740" s="21">
        <v>4</v>
      </c>
      <c r="CW4740" s="21">
        <v>0.11332468572476186</v>
      </c>
      <c r="CX4740" s="21" t="e">
        <v>#N/A</v>
      </c>
      <c r="CY4740" s="21" t="e">
        <v>#N/A</v>
      </c>
      <c r="CZ4740" s="21" t="e">
        <v>#N/A</v>
      </c>
      <c r="DA4740">
        <v>0.11332468572476186</v>
      </c>
      <c r="DB4740" t="str">
        <v/>
      </c>
    </row>
    <row r="4741" spans="83:106" x14ac:dyDescent="0.2">
      <c r="CE4741"/>
      <c r="CF4741"/>
      <c r="CG4741"/>
      <c r="CH4741"/>
      <c r="CI4741"/>
      <c r="CU4741" s="21">
        <v>4736</v>
      </c>
      <c r="CV4741" s="21">
        <v>4</v>
      </c>
      <c r="CW4741" s="21">
        <v>0.11332468572476186</v>
      </c>
      <c r="CX4741" s="21" t="e">
        <v>#N/A</v>
      </c>
      <c r="CY4741" s="21" t="e">
        <v>#N/A</v>
      </c>
      <c r="CZ4741" s="21" t="e">
        <v>#N/A</v>
      </c>
      <c r="DA4741">
        <v>0.11332468572476186</v>
      </c>
      <c r="DB4741" t="str">
        <v/>
      </c>
    </row>
    <row r="4742" spans="83:106" x14ac:dyDescent="0.2">
      <c r="CE4742"/>
      <c r="CF4742"/>
      <c r="CG4742"/>
      <c r="CH4742"/>
      <c r="CI4742"/>
      <c r="CU4742" s="21">
        <v>4737</v>
      </c>
      <c r="CV4742" s="21">
        <v>4</v>
      </c>
      <c r="CW4742" s="21">
        <v>0.11332468572476186</v>
      </c>
      <c r="CX4742" s="21" t="e">
        <v>#N/A</v>
      </c>
      <c r="CY4742" s="21" t="e">
        <v>#N/A</v>
      </c>
      <c r="CZ4742" s="21" t="e">
        <v>#N/A</v>
      </c>
      <c r="DA4742">
        <v>0.11332468572476186</v>
      </c>
      <c r="DB4742" t="str">
        <v/>
      </c>
    </row>
    <row r="4743" spans="83:106" x14ac:dyDescent="0.2">
      <c r="CE4743"/>
      <c r="CF4743"/>
      <c r="CG4743"/>
      <c r="CH4743"/>
      <c r="CI4743"/>
      <c r="CU4743" s="21">
        <v>4738</v>
      </c>
      <c r="CV4743" s="21">
        <v>4</v>
      </c>
      <c r="CW4743" s="21">
        <v>0.11332468572476186</v>
      </c>
      <c r="CX4743" s="21" t="e">
        <v>#N/A</v>
      </c>
      <c r="CY4743" s="21" t="e">
        <v>#N/A</v>
      </c>
      <c r="CZ4743" s="21" t="e">
        <v>#N/A</v>
      </c>
      <c r="DA4743">
        <v>0.11332468572476186</v>
      </c>
      <c r="DB4743" t="str">
        <v/>
      </c>
    </row>
    <row r="4744" spans="83:106" x14ac:dyDescent="0.2">
      <c r="CE4744"/>
      <c r="CF4744"/>
      <c r="CG4744"/>
      <c r="CH4744"/>
      <c r="CI4744"/>
      <c r="CU4744" s="21">
        <v>4739</v>
      </c>
      <c r="CV4744" s="21">
        <v>4</v>
      </c>
      <c r="CW4744" s="21">
        <v>0.11332468572476186</v>
      </c>
      <c r="CX4744" s="21" t="e">
        <v>#N/A</v>
      </c>
      <c r="CY4744" s="21" t="e">
        <v>#N/A</v>
      </c>
      <c r="CZ4744" s="21" t="e">
        <v>#N/A</v>
      </c>
      <c r="DA4744">
        <v>0.11332468572476186</v>
      </c>
      <c r="DB4744" t="str">
        <v/>
      </c>
    </row>
    <row r="4745" spans="83:106" x14ac:dyDescent="0.2">
      <c r="CE4745"/>
      <c r="CF4745"/>
      <c r="CG4745"/>
      <c r="CH4745"/>
      <c r="CI4745"/>
      <c r="CU4745" s="21">
        <v>4740</v>
      </c>
      <c r="CV4745" s="21">
        <v>4</v>
      </c>
      <c r="CW4745" s="21">
        <v>0.11332468572476186</v>
      </c>
      <c r="CX4745" s="21" t="e">
        <v>#N/A</v>
      </c>
      <c r="CY4745" s="21" t="e">
        <v>#N/A</v>
      </c>
      <c r="CZ4745" s="21" t="e">
        <v>#N/A</v>
      </c>
      <c r="DA4745">
        <v>0.11332468572476186</v>
      </c>
      <c r="DB4745" t="str">
        <v/>
      </c>
    </row>
    <row r="4746" spans="83:106" x14ac:dyDescent="0.2">
      <c r="CE4746"/>
      <c r="CF4746"/>
      <c r="CG4746"/>
      <c r="CH4746"/>
      <c r="CI4746"/>
      <c r="CU4746" s="21">
        <v>4741</v>
      </c>
      <c r="CV4746" s="21">
        <v>4</v>
      </c>
      <c r="CW4746" s="21">
        <v>0.11332468572476186</v>
      </c>
      <c r="CX4746" s="21" t="e">
        <v>#N/A</v>
      </c>
      <c r="CY4746" s="21" t="e">
        <v>#N/A</v>
      </c>
      <c r="CZ4746" s="21" t="e">
        <v>#N/A</v>
      </c>
      <c r="DA4746">
        <v>0.11332468572476186</v>
      </c>
      <c r="DB4746" t="str">
        <v/>
      </c>
    </row>
    <row r="4747" spans="83:106" x14ac:dyDescent="0.2">
      <c r="CE4747"/>
      <c r="CF4747"/>
      <c r="CG4747"/>
      <c r="CH4747"/>
      <c r="CI4747"/>
      <c r="CU4747" s="21">
        <v>4742</v>
      </c>
      <c r="CV4747" s="21">
        <v>4</v>
      </c>
      <c r="CW4747" s="21">
        <v>0.11332468572476186</v>
      </c>
      <c r="CX4747" s="21" t="e">
        <v>#N/A</v>
      </c>
      <c r="CY4747" s="21" t="e">
        <v>#N/A</v>
      </c>
      <c r="CZ4747" s="21" t="e">
        <v>#N/A</v>
      </c>
      <c r="DA4747">
        <v>0.11332468572476186</v>
      </c>
      <c r="DB4747" t="str">
        <v/>
      </c>
    </row>
    <row r="4748" spans="83:106" x14ac:dyDescent="0.2">
      <c r="CE4748"/>
      <c r="CF4748"/>
      <c r="CG4748"/>
      <c r="CH4748"/>
      <c r="CI4748"/>
      <c r="CU4748" s="21">
        <v>4743</v>
      </c>
      <c r="CV4748" s="21">
        <v>4</v>
      </c>
      <c r="CW4748" s="21">
        <v>0.11332468572476186</v>
      </c>
      <c r="CX4748" s="21" t="e">
        <v>#N/A</v>
      </c>
      <c r="CY4748" s="21" t="e">
        <v>#N/A</v>
      </c>
      <c r="CZ4748" s="21" t="e">
        <v>#N/A</v>
      </c>
      <c r="DA4748">
        <v>0.11332468572476186</v>
      </c>
      <c r="DB4748" t="str">
        <v/>
      </c>
    </row>
    <row r="4749" spans="83:106" x14ac:dyDescent="0.2">
      <c r="CE4749"/>
      <c r="CF4749"/>
      <c r="CG4749"/>
      <c r="CH4749"/>
      <c r="CI4749"/>
      <c r="CU4749" s="21">
        <v>4744</v>
      </c>
      <c r="CV4749" s="21">
        <v>4</v>
      </c>
      <c r="CW4749" s="21">
        <v>0.11332468572476186</v>
      </c>
      <c r="CX4749" s="21" t="e">
        <v>#N/A</v>
      </c>
      <c r="CY4749" s="21" t="e">
        <v>#N/A</v>
      </c>
      <c r="CZ4749" s="21" t="e">
        <v>#N/A</v>
      </c>
      <c r="DA4749">
        <v>0.11332468572476186</v>
      </c>
      <c r="DB4749" t="str">
        <v/>
      </c>
    </row>
    <row r="4750" spans="83:106" x14ac:dyDescent="0.2">
      <c r="CE4750"/>
      <c r="CF4750"/>
      <c r="CG4750"/>
      <c r="CH4750"/>
      <c r="CI4750"/>
      <c r="CU4750" s="21">
        <v>4745</v>
      </c>
      <c r="CV4750" s="21">
        <v>4</v>
      </c>
      <c r="CW4750" s="21">
        <v>0.11332468572476186</v>
      </c>
      <c r="CX4750" s="21" t="e">
        <v>#N/A</v>
      </c>
      <c r="CY4750" s="21" t="e">
        <v>#N/A</v>
      </c>
      <c r="CZ4750" s="21" t="e">
        <v>#N/A</v>
      </c>
      <c r="DA4750">
        <v>0.11332468572476186</v>
      </c>
      <c r="DB4750" t="str">
        <v/>
      </c>
    </row>
    <row r="4751" spans="83:106" x14ac:dyDescent="0.2">
      <c r="CE4751"/>
      <c r="CF4751"/>
      <c r="CG4751"/>
      <c r="CH4751"/>
      <c r="CI4751"/>
      <c r="CU4751" s="21">
        <v>4746</v>
      </c>
      <c r="CV4751" s="21">
        <v>4</v>
      </c>
      <c r="CW4751" s="21">
        <v>0.11332468572476186</v>
      </c>
      <c r="CX4751" s="21" t="e">
        <v>#N/A</v>
      </c>
      <c r="CY4751" s="21" t="e">
        <v>#N/A</v>
      </c>
      <c r="CZ4751" s="21" t="e">
        <v>#N/A</v>
      </c>
      <c r="DA4751">
        <v>0.11332468572476186</v>
      </c>
      <c r="DB4751" t="str">
        <v/>
      </c>
    </row>
    <row r="4752" spans="83:106" x14ac:dyDescent="0.2">
      <c r="CE4752"/>
      <c r="CF4752"/>
      <c r="CG4752"/>
      <c r="CH4752"/>
      <c r="CI4752"/>
      <c r="CU4752" s="21">
        <v>4747</v>
      </c>
      <c r="CV4752" s="21">
        <v>4</v>
      </c>
      <c r="CW4752" s="21">
        <v>0.11332468572476186</v>
      </c>
      <c r="CX4752" s="21" t="e">
        <v>#N/A</v>
      </c>
      <c r="CY4752" s="21" t="e">
        <v>#N/A</v>
      </c>
      <c r="CZ4752" s="21" t="e">
        <v>#N/A</v>
      </c>
      <c r="DA4752">
        <v>0.11332468572476186</v>
      </c>
      <c r="DB4752" t="str">
        <v/>
      </c>
    </row>
    <row r="4753" spans="83:106" x14ac:dyDescent="0.2">
      <c r="CE4753"/>
      <c r="CF4753"/>
      <c r="CG4753"/>
      <c r="CH4753"/>
      <c r="CI4753"/>
      <c r="CU4753" s="21">
        <v>4748</v>
      </c>
      <c r="CV4753" s="21">
        <v>4</v>
      </c>
      <c r="CW4753" s="21">
        <v>0.11332468572476186</v>
      </c>
      <c r="CX4753" s="21" t="e">
        <v>#N/A</v>
      </c>
      <c r="CY4753" s="21" t="e">
        <v>#N/A</v>
      </c>
      <c r="CZ4753" s="21" t="e">
        <v>#N/A</v>
      </c>
      <c r="DA4753">
        <v>0.11332468572476186</v>
      </c>
      <c r="DB4753" t="str">
        <v/>
      </c>
    </row>
    <row r="4754" spans="83:106" x14ac:dyDescent="0.2">
      <c r="CE4754"/>
      <c r="CF4754"/>
      <c r="CG4754"/>
      <c r="CH4754"/>
      <c r="CI4754"/>
      <c r="CU4754" s="21">
        <v>4749</v>
      </c>
      <c r="CV4754" s="21">
        <v>4</v>
      </c>
      <c r="CW4754" s="21">
        <v>0.11332468572476186</v>
      </c>
      <c r="CX4754" s="21" t="e">
        <v>#N/A</v>
      </c>
      <c r="CY4754" s="21" t="e">
        <v>#N/A</v>
      </c>
      <c r="CZ4754" s="21" t="e">
        <v>#N/A</v>
      </c>
      <c r="DA4754">
        <v>0.11332468572476186</v>
      </c>
      <c r="DB4754" t="str">
        <v/>
      </c>
    </row>
    <row r="4755" spans="83:106" x14ac:dyDescent="0.2">
      <c r="CE4755"/>
      <c r="CF4755"/>
      <c r="CG4755"/>
      <c r="CH4755"/>
      <c r="CI4755"/>
      <c r="CU4755" s="21">
        <v>4750</v>
      </c>
      <c r="CV4755" s="21">
        <v>4</v>
      </c>
      <c r="CW4755" s="21">
        <v>0.11332468572476186</v>
      </c>
      <c r="CX4755" s="21" t="e">
        <v>#N/A</v>
      </c>
      <c r="CY4755" s="21" t="e">
        <v>#N/A</v>
      </c>
      <c r="CZ4755" s="21" t="e">
        <v>#N/A</v>
      </c>
      <c r="DA4755">
        <v>0.11332468572476186</v>
      </c>
      <c r="DB4755" t="str">
        <v/>
      </c>
    </row>
    <row r="4756" spans="83:106" x14ac:dyDescent="0.2">
      <c r="CE4756"/>
      <c r="CF4756"/>
      <c r="CG4756"/>
      <c r="CH4756"/>
      <c r="CI4756"/>
      <c r="CU4756" s="21">
        <v>4751</v>
      </c>
      <c r="CV4756" s="21">
        <v>4</v>
      </c>
      <c r="CW4756" s="21">
        <v>0.11332468572476186</v>
      </c>
      <c r="CX4756" s="21" t="e">
        <v>#N/A</v>
      </c>
      <c r="CY4756" s="21" t="e">
        <v>#N/A</v>
      </c>
      <c r="CZ4756" s="21" t="e">
        <v>#N/A</v>
      </c>
      <c r="DA4756">
        <v>0.11332468572476186</v>
      </c>
      <c r="DB4756" t="str">
        <v/>
      </c>
    </row>
    <row r="4757" spans="83:106" x14ac:dyDescent="0.2">
      <c r="CE4757"/>
      <c r="CF4757"/>
      <c r="CG4757"/>
      <c r="CH4757"/>
      <c r="CI4757"/>
      <c r="CU4757" s="21">
        <v>4752</v>
      </c>
      <c r="CV4757" s="21">
        <v>4</v>
      </c>
      <c r="CW4757" s="21">
        <v>0.11332468572476186</v>
      </c>
      <c r="CX4757" s="21" t="e">
        <v>#N/A</v>
      </c>
      <c r="CY4757" s="21" t="e">
        <v>#N/A</v>
      </c>
      <c r="CZ4757" s="21" t="e">
        <v>#N/A</v>
      </c>
      <c r="DA4757">
        <v>0.11332468572476186</v>
      </c>
      <c r="DB4757" t="str">
        <v/>
      </c>
    </row>
    <row r="4758" spans="83:106" x14ac:dyDescent="0.2">
      <c r="CE4758"/>
      <c r="CF4758"/>
      <c r="CG4758"/>
      <c r="CH4758"/>
      <c r="CI4758"/>
      <c r="CU4758" s="21">
        <v>4753</v>
      </c>
      <c r="CV4758" s="21">
        <v>4</v>
      </c>
      <c r="CW4758" s="21">
        <v>0.11332468572476186</v>
      </c>
      <c r="CX4758" s="21" t="e">
        <v>#N/A</v>
      </c>
      <c r="CY4758" s="21" t="e">
        <v>#N/A</v>
      </c>
      <c r="CZ4758" s="21" t="e">
        <v>#N/A</v>
      </c>
      <c r="DA4758">
        <v>0.11332468572476186</v>
      </c>
      <c r="DB4758" t="str">
        <v/>
      </c>
    </row>
    <row r="4759" spans="83:106" x14ac:dyDescent="0.2">
      <c r="CE4759"/>
      <c r="CF4759"/>
      <c r="CG4759"/>
      <c r="CH4759"/>
      <c r="CI4759"/>
      <c r="CU4759" s="21">
        <v>4754</v>
      </c>
      <c r="CV4759" s="21">
        <v>4</v>
      </c>
      <c r="CW4759" s="21">
        <v>0.11332468572476186</v>
      </c>
      <c r="CX4759" s="21" t="e">
        <v>#N/A</v>
      </c>
      <c r="CY4759" s="21" t="e">
        <v>#N/A</v>
      </c>
      <c r="CZ4759" s="21" t="e">
        <v>#N/A</v>
      </c>
      <c r="DA4759">
        <v>0.11332468572476186</v>
      </c>
      <c r="DB4759" t="str">
        <v/>
      </c>
    </row>
    <row r="4760" spans="83:106" x14ac:dyDescent="0.2">
      <c r="CE4760"/>
      <c r="CF4760"/>
      <c r="CG4760"/>
      <c r="CH4760"/>
      <c r="CI4760"/>
      <c r="CU4760" s="21">
        <v>4755</v>
      </c>
      <c r="CV4760" s="21">
        <v>4</v>
      </c>
      <c r="CW4760" s="21">
        <v>0.11332468572476186</v>
      </c>
      <c r="CX4760" s="21" t="e">
        <v>#N/A</v>
      </c>
      <c r="CY4760" s="21" t="e">
        <v>#N/A</v>
      </c>
      <c r="CZ4760" s="21" t="e">
        <v>#N/A</v>
      </c>
      <c r="DA4760">
        <v>0.11332468572476186</v>
      </c>
      <c r="DB4760" t="str">
        <v/>
      </c>
    </row>
    <row r="4761" spans="83:106" x14ac:dyDescent="0.2">
      <c r="CE4761"/>
      <c r="CF4761"/>
      <c r="CG4761"/>
      <c r="CH4761"/>
      <c r="CI4761"/>
      <c r="CU4761" s="21">
        <v>4756</v>
      </c>
      <c r="CV4761" s="21">
        <v>4</v>
      </c>
      <c r="CW4761" s="21">
        <v>0.11332468572476186</v>
      </c>
      <c r="CX4761" s="21" t="e">
        <v>#N/A</v>
      </c>
      <c r="CY4761" s="21" t="e">
        <v>#N/A</v>
      </c>
      <c r="CZ4761" s="21" t="e">
        <v>#N/A</v>
      </c>
      <c r="DA4761">
        <v>0.11332468572476186</v>
      </c>
      <c r="DB4761" t="str">
        <v/>
      </c>
    </row>
    <row r="4762" spans="83:106" x14ac:dyDescent="0.2">
      <c r="CE4762"/>
      <c r="CF4762"/>
      <c r="CG4762"/>
      <c r="CH4762"/>
      <c r="CI4762"/>
      <c r="CU4762" s="21">
        <v>4757</v>
      </c>
      <c r="CV4762" s="21">
        <v>4</v>
      </c>
      <c r="CW4762" s="21">
        <v>0.11332468572476186</v>
      </c>
      <c r="CX4762" s="21" t="e">
        <v>#N/A</v>
      </c>
      <c r="CY4762" s="21" t="e">
        <v>#N/A</v>
      </c>
      <c r="CZ4762" s="21" t="e">
        <v>#N/A</v>
      </c>
      <c r="DA4762">
        <v>0.11332468572476186</v>
      </c>
      <c r="DB4762" t="str">
        <v/>
      </c>
    </row>
    <row r="4763" spans="83:106" x14ac:dyDescent="0.2">
      <c r="CE4763"/>
      <c r="CF4763"/>
      <c r="CG4763"/>
      <c r="CH4763"/>
      <c r="CI4763"/>
      <c r="CU4763" s="21">
        <v>4758</v>
      </c>
      <c r="CV4763" s="21">
        <v>4</v>
      </c>
      <c r="CW4763" s="21">
        <v>0.11332468572476186</v>
      </c>
      <c r="CX4763" s="21" t="e">
        <v>#N/A</v>
      </c>
      <c r="CY4763" s="21" t="e">
        <v>#N/A</v>
      </c>
      <c r="CZ4763" s="21" t="e">
        <v>#N/A</v>
      </c>
      <c r="DA4763">
        <v>0.11332468572476186</v>
      </c>
      <c r="DB4763" t="str">
        <v/>
      </c>
    </row>
    <row r="4764" spans="83:106" x14ac:dyDescent="0.2">
      <c r="CE4764"/>
      <c r="CF4764"/>
      <c r="CG4764"/>
      <c r="CH4764"/>
      <c r="CI4764"/>
      <c r="CU4764" s="21">
        <v>4759</v>
      </c>
      <c r="CV4764" s="21">
        <v>4</v>
      </c>
      <c r="CW4764" s="21">
        <v>0.11332468572476186</v>
      </c>
      <c r="CX4764" s="21" t="e">
        <v>#N/A</v>
      </c>
      <c r="CY4764" s="21" t="e">
        <v>#N/A</v>
      </c>
      <c r="CZ4764" s="21" t="e">
        <v>#N/A</v>
      </c>
      <c r="DA4764">
        <v>0.11332468572476186</v>
      </c>
      <c r="DB4764" t="str">
        <v/>
      </c>
    </row>
    <row r="4765" spans="83:106" x14ac:dyDescent="0.2">
      <c r="CE4765"/>
      <c r="CF4765"/>
      <c r="CG4765"/>
      <c r="CH4765"/>
      <c r="CI4765"/>
      <c r="CU4765" s="21">
        <v>4760</v>
      </c>
      <c r="CV4765" s="21">
        <v>4</v>
      </c>
      <c r="CW4765" s="21">
        <v>0.11332468572476186</v>
      </c>
      <c r="CX4765" s="21" t="e">
        <v>#N/A</v>
      </c>
      <c r="CY4765" s="21" t="e">
        <v>#N/A</v>
      </c>
      <c r="CZ4765" s="21" t="e">
        <v>#N/A</v>
      </c>
      <c r="DA4765">
        <v>0.11332468572476186</v>
      </c>
      <c r="DB4765" t="str">
        <v/>
      </c>
    </row>
    <row r="4766" spans="83:106" x14ac:dyDescent="0.2">
      <c r="CE4766"/>
      <c r="CF4766"/>
      <c r="CG4766"/>
      <c r="CH4766"/>
      <c r="CI4766"/>
      <c r="CU4766" s="21">
        <v>4761</v>
      </c>
      <c r="CV4766" s="21">
        <v>4</v>
      </c>
      <c r="CW4766" s="21">
        <v>0.11332468572476186</v>
      </c>
      <c r="CX4766" s="21" t="e">
        <v>#N/A</v>
      </c>
      <c r="CY4766" s="21" t="e">
        <v>#N/A</v>
      </c>
      <c r="CZ4766" s="21" t="e">
        <v>#N/A</v>
      </c>
      <c r="DA4766">
        <v>0.11332468572476186</v>
      </c>
      <c r="DB4766" t="str">
        <v/>
      </c>
    </row>
    <row r="4767" spans="83:106" x14ac:dyDescent="0.2">
      <c r="CE4767"/>
      <c r="CF4767"/>
      <c r="CG4767"/>
      <c r="CH4767"/>
      <c r="CI4767"/>
      <c r="CU4767" s="21">
        <v>4762</v>
      </c>
      <c r="CV4767" s="21">
        <v>4</v>
      </c>
      <c r="CW4767" s="21">
        <v>0.11332468572476186</v>
      </c>
      <c r="CX4767" s="21" t="e">
        <v>#N/A</v>
      </c>
      <c r="CY4767" s="21" t="e">
        <v>#N/A</v>
      </c>
      <c r="CZ4767" s="21" t="e">
        <v>#N/A</v>
      </c>
      <c r="DA4767">
        <v>0.11332468572476186</v>
      </c>
      <c r="DB4767" t="str">
        <v/>
      </c>
    </row>
    <row r="4768" spans="83:106" x14ac:dyDescent="0.2">
      <c r="CE4768"/>
      <c r="CF4768"/>
      <c r="CG4768"/>
      <c r="CH4768"/>
      <c r="CI4768"/>
      <c r="CU4768" s="21">
        <v>4763</v>
      </c>
      <c r="CV4768" s="21">
        <v>4</v>
      </c>
      <c r="CW4768" s="21">
        <v>0.11332468572476186</v>
      </c>
      <c r="CX4768" s="21" t="e">
        <v>#N/A</v>
      </c>
      <c r="CY4768" s="21" t="e">
        <v>#N/A</v>
      </c>
      <c r="CZ4768" s="21" t="e">
        <v>#N/A</v>
      </c>
      <c r="DA4768">
        <v>0.11332468572476186</v>
      </c>
      <c r="DB4768" t="str">
        <v/>
      </c>
    </row>
    <row r="4769" spans="83:106" x14ac:dyDescent="0.2">
      <c r="CE4769"/>
      <c r="CF4769"/>
      <c r="CG4769"/>
      <c r="CH4769"/>
      <c r="CI4769"/>
      <c r="CU4769" s="21">
        <v>4764</v>
      </c>
      <c r="CV4769" s="21">
        <v>4</v>
      </c>
      <c r="CW4769" s="21">
        <v>0.11332468572476186</v>
      </c>
      <c r="CX4769" s="21" t="e">
        <v>#N/A</v>
      </c>
      <c r="CY4769" s="21" t="e">
        <v>#N/A</v>
      </c>
      <c r="CZ4769" s="21" t="e">
        <v>#N/A</v>
      </c>
      <c r="DA4769">
        <v>0.11332468572476186</v>
      </c>
      <c r="DB4769" t="str">
        <v/>
      </c>
    </row>
    <row r="4770" spans="83:106" x14ac:dyDescent="0.2">
      <c r="CE4770"/>
      <c r="CF4770"/>
      <c r="CG4770"/>
      <c r="CH4770"/>
      <c r="CI4770"/>
      <c r="CU4770" s="21">
        <v>4765</v>
      </c>
      <c r="CV4770" s="21">
        <v>4</v>
      </c>
      <c r="CW4770" s="21">
        <v>0.11332468572476186</v>
      </c>
      <c r="CX4770" s="21" t="e">
        <v>#N/A</v>
      </c>
      <c r="CY4770" s="21" t="e">
        <v>#N/A</v>
      </c>
      <c r="CZ4770" s="21" t="e">
        <v>#N/A</v>
      </c>
      <c r="DA4770">
        <v>0.11332468572476186</v>
      </c>
      <c r="DB4770" t="str">
        <v/>
      </c>
    </row>
    <row r="4771" spans="83:106" x14ac:dyDescent="0.2">
      <c r="CE4771"/>
      <c r="CF4771"/>
      <c r="CG4771"/>
      <c r="CH4771"/>
      <c r="CI4771"/>
      <c r="CU4771" s="21">
        <v>4766</v>
      </c>
      <c r="CV4771" s="21">
        <v>4</v>
      </c>
      <c r="CW4771" s="21">
        <v>0.11332468572476186</v>
      </c>
      <c r="CX4771" s="21" t="e">
        <v>#N/A</v>
      </c>
      <c r="CY4771" s="21" t="e">
        <v>#N/A</v>
      </c>
      <c r="CZ4771" s="21" t="e">
        <v>#N/A</v>
      </c>
      <c r="DA4771">
        <v>0.11332468572476186</v>
      </c>
      <c r="DB4771" t="str">
        <v/>
      </c>
    </row>
    <row r="4772" spans="83:106" x14ac:dyDescent="0.2">
      <c r="CE4772"/>
      <c r="CF4772"/>
      <c r="CG4772"/>
      <c r="CH4772"/>
      <c r="CI4772"/>
      <c r="CU4772" s="21">
        <v>4767</v>
      </c>
      <c r="CV4772" s="21">
        <v>4</v>
      </c>
      <c r="CW4772" s="21">
        <v>0.11332468572476186</v>
      </c>
      <c r="CX4772" s="21" t="e">
        <v>#N/A</v>
      </c>
      <c r="CY4772" s="21" t="e">
        <v>#N/A</v>
      </c>
      <c r="CZ4772" s="21" t="e">
        <v>#N/A</v>
      </c>
      <c r="DA4772">
        <v>0.11332468572476186</v>
      </c>
      <c r="DB4772" t="str">
        <v/>
      </c>
    </row>
    <row r="4773" spans="83:106" x14ac:dyDescent="0.2">
      <c r="CE4773"/>
      <c r="CF4773"/>
      <c r="CG4773"/>
      <c r="CH4773"/>
      <c r="CI4773"/>
      <c r="CU4773" s="21">
        <v>4768</v>
      </c>
      <c r="CV4773" s="21">
        <v>4</v>
      </c>
      <c r="CW4773" s="21">
        <v>0.11332468572476186</v>
      </c>
      <c r="CX4773" s="21" t="e">
        <v>#N/A</v>
      </c>
      <c r="CY4773" s="21" t="e">
        <v>#N/A</v>
      </c>
      <c r="CZ4773" s="21" t="e">
        <v>#N/A</v>
      </c>
      <c r="DA4773">
        <v>0.11332468572476186</v>
      </c>
      <c r="DB4773" t="str">
        <v/>
      </c>
    </row>
    <row r="4774" spans="83:106" x14ac:dyDescent="0.2">
      <c r="CE4774"/>
      <c r="CF4774"/>
      <c r="CG4774"/>
      <c r="CH4774"/>
      <c r="CI4774"/>
      <c r="CU4774" s="21">
        <v>4769</v>
      </c>
      <c r="CV4774" s="21">
        <v>4</v>
      </c>
      <c r="CW4774" s="21">
        <v>0.11332468572476186</v>
      </c>
      <c r="CX4774" s="21" t="e">
        <v>#N/A</v>
      </c>
      <c r="CY4774" s="21" t="e">
        <v>#N/A</v>
      </c>
      <c r="CZ4774" s="21" t="e">
        <v>#N/A</v>
      </c>
      <c r="DA4774">
        <v>0.11332468572476186</v>
      </c>
      <c r="DB4774" t="str">
        <v/>
      </c>
    </row>
    <row r="4775" spans="83:106" x14ac:dyDescent="0.2">
      <c r="CE4775"/>
      <c r="CF4775"/>
      <c r="CG4775"/>
      <c r="CH4775"/>
      <c r="CI4775"/>
      <c r="CU4775" s="21">
        <v>4770</v>
      </c>
      <c r="CV4775" s="21">
        <v>4</v>
      </c>
      <c r="CW4775" s="21">
        <v>0.11332468572476186</v>
      </c>
      <c r="CX4775" s="21" t="e">
        <v>#N/A</v>
      </c>
      <c r="CY4775" s="21" t="e">
        <v>#N/A</v>
      </c>
      <c r="CZ4775" s="21" t="e">
        <v>#N/A</v>
      </c>
      <c r="DA4775">
        <v>0.11332468572476186</v>
      </c>
      <c r="DB4775" t="str">
        <v/>
      </c>
    </row>
    <row r="4776" spans="83:106" x14ac:dyDescent="0.2">
      <c r="CE4776"/>
      <c r="CF4776"/>
      <c r="CG4776"/>
      <c r="CH4776"/>
      <c r="CI4776"/>
      <c r="CU4776" s="21">
        <v>4771</v>
      </c>
      <c r="CV4776" s="21">
        <v>4</v>
      </c>
      <c r="CW4776" s="21">
        <v>0.11332468572476186</v>
      </c>
      <c r="CX4776" s="21" t="e">
        <v>#N/A</v>
      </c>
      <c r="CY4776" s="21" t="e">
        <v>#N/A</v>
      </c>
      <c r="CZ4776" s="21" t="e">
        <v>#N/A</v>
      </c>
      <c r="DA4776">
        <v>0.11332468572476186</v>
      </c>
      <c r="DB4776" t="str">
        <v/>
      </c>
    </row>
    <row r="4777" spans="83:106" x14ac:dyDescent="0.2">
      <c r="CE4777"/>
      <c r="CF4777"/>
      <c r="CG4777"/>
      <c r="CH4777"/>
      <c r="CI4777"/>
      <c r="CU4777" s="21">
        <v>4772</v>
      </c>
      <c r="CV4777" s="21">
        <v>4</v>
      </c>
      <c r="CW4777" s="21">
        <v>0.11332468572476186</v>
      </c>
      <c r="CX4777" s="21" t="e">
        <v>#N/A</v>
      </c>
      <c r="CY4777" s="21" t="e">
        <v>#N/A</v>
      </c>
      <c r="CZ4777" s="21" t="e">
        <v>#N/A</v>
      </c>
      <c r="DA4777">
        <v>0.11332468572476186</v>
      </c>
      <c r="DB4777" t="str">
        <v/>
      </c>
    </row>
    <row r="4778" spans="83:106" x14ac:dyDescent="0.2">
      <c r="CE4778"/>
      <c r="CF4778"/>
      <c r="CG4778"/>
      <c r="CH4778"/>
      <c r="CI4778"/>
      <c r="CU4778" s="21">
        <v>4773</v>
      </c>
      <c r="CV4778" s="21">
        <v>4</v>
      </c>
      <c r="CW4778" s="21">
        <v>0.11332468572476186</v>
      </c>
      <c r="CX4778" s="21" t="e">
        <v>#N/A</v>
      </c>
      <c r="CY4778" s="21" t="e">
        <v>#N/A</v>
      </c>
      <c r="CZ4778" s="21" t="e">
        <v>#N/A</v>
      </c>
      <c r="DA4778">
        <v>0.11332468572476186</v>
      </c>
      <c r="DB4778" t="str">
        <v/>
      </c>
    </row>
    <row r="4779" spans="83:106" x14ac:dyDescent="0.2">
      <c r="CE4779"/>
      <c r="CF4779"/>
      <c r="CG4779"/>
      <c r="CH4779"/>
      <c r="CI4779"/>
      <c r="CU4779" s="21">
        <v>4774</v>
      </c>
      <c r="CV4779" s="21">
        <v>4</v>
      </c>
      <c r="CW4779" s="21">
        <v>0.11332468572476186</v>
      </c>
      <c r="CX4779" s="21" t="e">
        <v>#N/A</v>
      </c>
      <c r="CY4779" s="21" t="e">
        <v>#N/A</v>
      </c>
      <c r="CZ4779" s="21" t="e">
        <v>#N/A</v>
      </c>
      <c r="DA4779">
        <v>0.11332468572476186</v>
      </c>
      <c r="DB4779" t="str">
        <v/>
      </c>
    </row>
    <row r="4780" spans="83:106" x14ac:dyDescent="0.2">
      <c r="CE4780"/>
      <c r="CF4780"/>
      <c r="CG4780"/>
      <c r="CH4780"/>
      <c r="CI4780"/>
      <c r="CU4780" s="21">
        <v>4775</v>
      </c>
      <c r="CV4780" s="21">
        <v>4</v>
      </c>
      <c r="CW4780" s="21">
        <v>0.11332468572476186</v>
      </c>
      <c r="CX4780" s="21" t="e">
        <v>#N/A</v>
      </c>
      <c r="CY4780" s="21" t="e">
        <v>#N/A</v>
      </c>
      <c r="CZ4780" s="21" t="e">
        <v>#N/A</v>
      </c>
      <c r="DA4780">
        <v>0.11332468572476186</v>
      </c>
      <c r="DB4780" t="str">
        <v/>
      </c>
    </row>
    <row r="4781" spans="83:106" x14ac:dyDescent="0.2">
      <c r="CE4781"/>
      <c r="CF4781"/>
      <c r="CG4781"/>
      <c r="CH4781"/>
      <c r="CI4781"/>
      <c r="CU4781" s="21">
        <v>4776</v>
      </c>
      <c r="CV4781" s="21">
        <v>4</v>
      </c>
      <c r="CW4781" s="21">
        <v>0.11332468572476186</v>
      </c>
      <c r="CX4781" s="21" t="e">
        <v>#N/A</v>
      </c>
      <c r="CY4781" s="21" t="e">
        <v>#N/A</v>
      </c>
      <c r="CZ4781" s="21" t="e">
        <v>#N/A</v>
      </c>
      <c r="DA4781">
        <v>0.11332468572476186</v>
      </c>
      <c r="DB4781" t="str">
        <v/>
      </c>
    </row>
    <row r="4782" spans="83:106" x14ac:dyDescent="0.2">
      <c r="CE4782"/>
      <c r="CF4782"/>
      <c r="CG4782"/>
      <c r="CH4782"/>
      <c r="CI4782"/>
      <c r="CU4782" s="21">
        <v>4777</v>
      </c>
      <c r="CV4782" s="21">
        <v>4</v>
      </c>
      <c r="CW4782" s="21">
        <v>0.11332468572476186</v>
      </c>
      <c r="CX4782" s="21" t="e">
        <v>#N/A</v>
      </c>
      <c r="CY4782" s="21" t="e">
        <v>#N/A</v>
      </c>
      <c r="CZ4782" s="21" t="e">
        <v>#N/A</v>
      </c>
      <c r="DA4782">
        <v>0.11332468572476186</v>
      </c>
      <c r="DB4782" t="str">
        <v/>
      </c>
    </row>
    <row r="4783" spans="83:106" x14ac:dyDescent="0.2">
      <c r="CE4783"/>
      <c r="CF4783"/>
      <c r="CG4783"/>
      <c r="CH4783"/>
      <c r="CI4783"/>
      <c r="CU4783" s="21">
        <v>4778</v>
      </c>
      <c r="CV4783" s="21">
        <v>4</v>
      </c>
      <c r="CW4783" s="21">
        <v>0.11332468572476186</v>
      </c>
      <c r="CX4783" s="21" t="e">
        <v>#N/A</v>
      </c>
      <c r="CY4783" s="21" t="e">
        <v>#N/A</v>
      </c>
      <c r="CZ4783" s="21" t="e">
        <v>#N/A</v>
      </c>
      <c r="DA4783">
        <v>0.11332468572476186</v>
      </c>
      <c r="DB4783" t="str">
        <v/>
      </c>
    </row>
    <row r="4784" spans="83:106" x14ac:dyDescent="0.2">
      <c r="CE4784"/>
      <c r="CF4784"/>
      <c r="CG4784"/>
      <c r="CH4784"/>
      <c r="CI4784"/>
      <c r="CU4784" s="21">
        <v>4779</v>
      </c>
      <c r="CV4784" s="21">
        <v>4</v>
      </c>
      <c r="CW4784" s="21">
        <v>0.11332468572476186</v>
      </c>
      <c r="CX4784" s="21" t="e">
        <v>#N/A</v>
      </c>
      <c r="CY4784" s="21" t="e">
        <v>#N/A</v>
      </c>
      <c r="CZ4784" s="21" t="e">
        <v>#N/A</v>
      </c>
      <c r="DA4784">
        <v>0.11332468572476186</v>
      </c>
      <c r="DB4784" t="str">
        <v/>
      </c>
    </row>
    <row r="4785" spans="83:106" x14ac:dyDescent="0.2">
      <c r="CE4785"/>
      <c r="CF4785"/>
      <c r="CG4785"/>
      <c r="CH4785"/>
      <c r="CI4785"/>
      <c r="CU4785" s="21">
        <v>4780</v>
      </c>
      <c r="CV4785" s="21">
        <v>4</v>
      </c>
      <c r="CW4785" s="21">
        <v>0.11332468572476186</v>
      </c>
      <c r="CX4785" s="21" t="e">
        <v>#N/A</v>
      </c>
      <c r="CY4785" s="21" t="e">
        <v>#N/A</v>
      </c>
      <c r="CZ4785" s="21" t="e">
        <v>#N/A</v>
      </c>
      <c r="DA4785">
        <v>0.11332468572476186</v>
      </c>
      <c r="DB4785" t="str">
        <v/>
      </c>
    </row>
    <row r="4786" spans="83:106" x14ac:dyDescent="0.2">
      <c r="CE4786"/>
      <c r="CF4786"/>
      <c r="CG4786"/>
      <c r="CH4786"/>
      <c r="CI4786"/>
      <c r="CU4786" s="21">
        <v>4781</v>
      </c>
      <c r="CV4786" s="21">
        <v>4</v>
      </c>
      <c r="CW4786" s="21">
        <v>0.11332468572476186</v>
      </c>
      <c r="CX4786" s="21" t="e">
        <v>#N/A</v>
      </c>
      <c r="CY4786" s="21" t="e">
        <v>#N/A</v>
      </c>
      <c r="CZ4786" s="21" t="e">
        <v>#N/A</v>
      </c>
      <c r="DA4786">
        <v>0.11332468572476186</v>
      </c>
      <c r="DB4786" t="str">
        <v/>
      </c>
    </row>
    <row r="4787" spans="83:106" x14ac:dyDescent="0.2">
      <c r="CE4787"/>
      <c r="CF4787"/>
      <c r="CG4787"/>
      <c r="CH4787"/>
      <c r="CI4787"/>
      <c r="CU4787" s="21">
        <v>4782</v>
      </c>
      <c r="CV4787" s="21">
        <v>4</v>
      </c>
      <c r="CW4787" s="21">
        <v>0.11332468572476186</v>
      </c>
      <c r="CX4787" s="21" t="e">
        <v>#N/A</v>
      </c>
      <c r="CY4787" s="21" t="e">
        <v>#N/A</v>
      </c>
      <c r="CZ4787" s="21" t="e">
        <v>#N/A</v>
      </c>
      <c r="DA4787">
        <v>0.11332468572476186</v>
      </c>
      <c r="DB4787" t="str">
        <v/>
      </c>
    </row>
    <row r="4788" spans="83:106" x14ac:dyDescent="0.2">
      <c r="CE4788"/>
      <c r="CF4788"/>
      <c r="CG4788"/>
      <c r="CH4788"/>
      <c r="CI4788"/>
      <c r="CU4788" s="21">
        <v>4783</v>
      </c>
      <c r="CV4788" s="21">
        <v>4</v>
      </c>
      <c r="CW4788" s="21">
        <v>0.11332468572476186</v>
      </c>
      <c r="CX4788" s="21" t="e">
        <v>#N/A</v>
      </c>
      <c r="CY4788" s="21" t="e">
        <v>#N/A</v>
      </c>
      <c r="CZ4788" s="21" t="e">
        <v>#N/A</v>
      </c>
      <c r="DA4788">
        <v>0.11332468572476186</v>
      </c>
      <c r="DB4788" t="str">
        <v/>
      </c>
    </row>
    <row r="4789" spans="83:106" x14ac:dyDescent="0.2">
      <c r="CE4789"/>
      <c r="CF4789"/>
      <c r="CG4789"/>
      <c r="CH4789"/>
      <c r="CI4789"/>
      <c r="CU4789" s="21">
        <v>4784</v>
      </c>
      <c r="CV4789" s="21">
        <v>4</v>
      </c>
      <c r="CW4789" s="21">
        <v>0.11332468572476186</v>
      </c>
      <c r="CX4789" s="21" t="e">
        <v>#N/A</v>
      </c>
      <c r="CY4789" s="21" t="e">
        <v>#N/A</v>
      </c>
      <c r="CZ4789" s="21" t="e">
        <v>#N/A</v>
      </c>
      <c r="DA4789">
        <v>0.11332468572476186</v>
      </c>
      <c r="DB4789" t="str">
        <v/>
      </c>
    </row>
    <row r="4790" spans="83:106" x14ac:dyDescent="0.2">
      <c r="CE4790"/>
      <c r="CF4790"/>
      <c r="CG4790"/>
      <c r="CH4790"/>
      <c r="CI4790"/>
      <c r="CU4790" s="21">
        <v>4785</v>
      </c>
      <c r="CV4790" s="21">
        <v>4</v>
      </c>
      <c r="CW4790" s="21">
        <v>0.11332468572476186</v>
      </c>
      <c r="CX4790" s="21" t="e">
        <v>#N/A</v>
      </c>
      <c r="CY4790" s="21" t="e">
        <v>#N/A</v>
      </c>
      <c r="CZ4790" s="21" t="e">
        <v>#N/A</v>
      </c>
      <c r="DA4790">
        <v>0.11332468572476186</v>
      </c>
      <c r="DB4790" t="str">
        <v/>
      </c>
    </row>
    <row r="4791" spans="83:106" x14ac:dyDescent="0.2">
      <c r="CE4791"/>
      <c r="CF4791"/>
      <c r="CG4791"/>
      <c r="CH4791"/>
      <c r="CI4791"/>
      <c r="CU4791" s="21">
        <v>4786</v>
      </c>
      <c r="CV4791" s="21">
        <v>4</v>
      </c>
      <c r="CW4791" s="21">
        <v>0.11332468572476186</v>
      </c>
      <c r="CX4791" s="21" t="e">
        <v>#N/A</v>
      </c>
      <c r="CY4791" s="21" t="e">
        <v>#N/A</v>
      </c>
      <c r="CZ4791" s="21" t="e">
        <v>#N/A</v>
      </c>
      <c r="DA4791">
        <v>0.11332468572476186</v>
      </c>
      <c r="DB4791" t="str">
        <v/>
      </c>
    </row>
    <row r="4792" spans="83:106" x14ac:dyDescent="0.2">
      <c r="CE4792"/>
      <c r="CF4792"/>
      <c r="CG4792"/>
      <c r="CH4792"/>
      <c r="CI4792"/>
      <c r="CU4792" s="21">
        <v>4787</v>
      </c>
      <c r="CV4792" s="21">
        <v>4</v>
      </c>
      <c r="CW4792" s="21">
        <v>0.11332468572476186</v>
      </c>
      <c r="CX4792" s="21" t="e">
        <v>#N/A</v>
      </c>
      <c r="CY4792" s="21" t="e">
        <v>#N/A</v>
      </c>
      <c r="CZ4792" s="21" t="e">
        <v>#N/A</v>
      </c>
      <c r="DA4792">
        <v>0.11332468572476186</v>
      </c>
      <c r="DB4792" t="str">
        <v/>
      </c>
    </row>
    <row r="4793" spans="83:106" x14ac:dyDescent="0.2">
      <c r="CE4793"/>
      <c r="CF4793"/>
      <c r="CG4793"/>
      <c r="CH4793"/>
      <c r="CI4793"/>
      <c r="CU4793" s="21">
        <v>4788</v>
      </c>
      <c r="CV4793" s="21">
        <v>4</v>
      </c>
      <c r="CW4793" s="21">
        <v>0.11332468572476186</v>
      </c>
      <c r="CX4793" s="21" t="e">
        <v>#N/A</v>
      </c>
      <c r="CY4793" s="21" t="e">
        <v>#N/A</v>
      </c>
      <c r="CZ4793" s="21" t="e">
        <v>#N/A</v>
      </c>
      <c r="DA4793">
        <v>0.11332468572476186</v>
      </c>
      <c r="DB4793" t="str">
        <v/>
      </c>
    </row>
    <row r="4794" spans="83:106" x14ac:dyDescent="0.2">
      <c r="CE4794"/>
      <c r="CF4794"/>
      <c r="CG4794"/>
      <c r="CH4794"/>
      <c r="CI4794"/>
      <c r="CU4794" s="21">
        <v>4789</v>
      </c>
      <c r="CV4794" s="21">
        <v>4</v>
      </c>
      <c r="CW4794" s="21">
        <v>0.11332468572476186</v>
      </c>
      <c r="CX4794" s="21" t="e">
        <v>#N/A</v>
      </c>
      <c r="CY4794" s="21" t="e">
        <v>#N/A</v>
      </c>
      <c r="CZ4794" s="21" t="e">
        <v>#N/A</v>
      </c>
      <c r="DA4794">
        <v>0.11332468572476186</v>
      </c>
      <c r="DB4794" t="str">
        <v/>
      </c>
    </row>
    <row r="4795" spans="83:106" x14ac:dyDescent="0.2">
      <c r="CE4795"/>
      <c r="CF4795"/>
      <c r="CG4795"/>
      <c r="CH4795"/>
      <c r="CI4795"/>
      <c r="CU4795" s="21">
        <v>4790</v>
      </c>
      <c r="CV4795" s="21">
        <v>4</v>
      </c>
      <c r="CW4795" s="21">
        <v>0.11332468572476186</v>
      </c>
      <c r="CX4795" s="21" t="e">
        <v>#N/A</v>
      </c>
      <c r="CY4795" s="21" t="e">
        <v>#N/A</v>
      </c>
      <c r="CZ4795" s="21" t="e">
        <v>#N/A</v>
      </c>
      <c r="DA4795">
        <v>0.11332468572476186</v>
      </c>
      <c r="DB4795" t="str">
        <v/>
      </c>
    </row>
    <row r="4796" spans="83:106" x14ac:dyDescent="0.2">
      <c r="CE4796"/>
      <c r="CF4796"/>
      <c r="CG4796"/>
      <c r="CH4796"/>
      <c r="CI4796"/>
      <c r="CU4796" s="21">
        <v>4791</v>
      </c>
      <c r="CV4796" s="21">
        <v>4</v>
      </c>
      <c r="CW4796" s="21">
        <v>0.11332468572476186</v>
      </c>
      <c r="CX4796" s="21" t="e">
        <v>#N/A</v>
      </c>
      <c r="CY4796" s="21" t="e">
        <v>#N/A</v>
      </c>
      <c r="CZ4796" s="21" t="e">
        <v>#N/A</v>
      </c>
      <c r="DA4796">
        <v>0.11332468572476186</v>
      </c>
      <c r="DB4796" t="str">
        <v/>
      </c>
    </row>
    <row r="4797" spans="83:106" x14ac:dyDescent="0.2">
      <c r="CE4797"/>
      <c r="CF4797"/>
      <c r="CG4797"/>
      <c r="CH4797"/>
      <c r="CI4797"/>
      <c r="CU4797" s="21">
        <v>4792</v>
      </c>
      <c r="CV4797" s="21">
        <v>4</v>
      </c>
      <c r="CW4797" s="21">
        <v>0.11332468572476186</v>
      </c>
      <c r="CX4797" s="21" t="e">
        <v>#N/A</v>
      </c>
      <c r="CY4797" s="21" t="e">
        <v>#N/A</v>
      </c>
      <c r="CZ4797" s="21" t="e">
        <v>#N/A</v>
      </c>
      <c r="DA4797">
        <v>0.11332468572476186</v>
      </c>
      <c r="DB4797" t="str">
        <v/>
      </c>
    </row>
    <row r="4798" spans="83:106" x14ac:dyDescent="0.2">
      <c r="CE4798"/>
      <c r="CF4798"/>
      <c r="CG4798"/>
      <c r="CH4798"/>
      <c r="CI4798"/>
      <c r="CU4798" s="21">
        <v>4793</v>
      </c>
      <c r="CV4798" s="21">
        <v>4</v>
      </c>
      <c r="CW4798" s="21">
        <v>0.11332468572476186</v>
      </c>
      <c r="CX4798" s="21" t="e">
        <v>#N/A</v>
      </c>
      <c r="CY4798" s="21" t="e">
        <v>#N/A</v>
      </c>
      <c r="CZ4798" s="21" t="e">
        <v>#N/A</v>
      </c>
      <c r="DA4798">
        <v>0.11332468572476186</v>
      </c>
      <c r="DB4798" t="str">
        <v/>
      </c>
    </row>
    <row r="4799" spans="83:106" x14ac:dyDescent="0.2">
      <c r="CE4799"/>
      <c r="CF4799"/>
      <c r="CG4799"/>
      <c r="CH4799"/>
      <c r="CI4799"/>
      <c r="CU4799" s="21">
        <v>4794</v>
      </c>
      <c r="CV4799" s="21">
        <v>4</v>
      </c>
      <c r="CW4799" s="21">
        <v>0.11332468572476186</v>
      </c>
      <c r="CX4799" s="21" t="e">
        <v>#N/A</v>
      </c>
      <c r="CY4799" s="21" t="e">
        <v>#N/A</v>
      </c>
      <c r="CZ4799" s="21" t="e">
        <v>#N/A</v>
      </c>
      <c r="DA4799">
        <v>0.11332468572476186</v>
      </c>
      <c r="DB4799" t="str">
        <v/>
      </c>
    </row>
    <row r="4800" spans="83:106" x14ac:dyDescent="0.2">
      <c r="CE4800"/>
      <c r="CF4800"/>
      <c r="CG4800"/>
      <c r="CH4800"/>
      <c r="CI4800"/>
      <c r="CU4800" s="21">
        <v>4795</v>
      </c>
      <c r="CV4800" s="21">
        <v>4</v>
      </c>
      <c r="CW4800" s="21">
        <v>0.11332468572476186</v>
      </c>
      <c r="CX4800" s="21" t="e">
        <v>#N/A</v>
      </c>
      <c r="CY4800" s="21" t="e">
        <v>#N/A</v>
      </c>
      <c r="CZ4800" s="21" t="e">
        <v>#N/A</v>
      </c>
      <c r="DA4800">
        <v>0.11332468572476186</v>
      </c>
      <c r="DB4800" t="str">
        <v/>
      </c>
    </row>
    <row r="4801" spans="83:106" x14ac:dyDescent="0.2">
      <c r="CE4801"/>
      <c r="CF4801"/>
      <c r="CG4801"/>
      <c r="CH4801"/>
      <c r="CI4801"/>
      <c r="CU4801" s="21">
        <v>4796</v>
      </c>
      <c r="CV4801" s="21">
        <v>4</v>
      </c>
      <c r="CW4801" s="21">
        <v>0.11332468572476186</v>
      </c>
      <c r="CX4801" s="21" t="e">
        <v>#N/A</v>
      </c>
      <c r="CY4801" s="21" t="e">
        <v>#N/A</v>
      </c>
      <c r="CZ4801" s="21" t="e">
        <v>#N/A</v>
      </c>
      <c r="DA4801">
        <v>0.11332468572476186</v>
      </c>
      <c r="DB4801" t="str">
        <v/>
      </c>
    </row>
    <row r="4802" spans="83:106" x14ac:dyDescent="0.2">
      <c r="CE4802"/>
      <c r="CF4802"/>
      <c r="CG4802"/>
      <c r="CH4802"/>
      <c r="CI4802"/>
      <c r="CU4802" s="21">
        <v>4797</v>
      </c>
      <c r="CV4802" s="21">
        <v>4</v>
      </c>
      <c r="CW4802" s="21">
        <v>0.11332468572476186</v>
      </c>
      <c r="CX4802" s="21" t="e">
        <v>#N/A</v>
      </c>
      <c r="CY4802" s="21" t="e">
        <v>#N/A</v>
      </c>
      <c r="CZ4802" s="21" t="e">
        <v>#N/A</v>
      </c>
      <c r="DA4802">
        <v>0.11332468572476186</v>
      </c>
      <c r="DB4802" t="str">
        <v/>
      </c>
    </row>
    <row r="4803" spans="83:106" x14ac:dyDescent="0.2">
      <c r="CE4803"/>
      <c r="CF4803"/>
      <c r="CG4803"/>
      <c r="CH4803"/>
      <c r="CI4803"/>
      <c r="CU4803" s="21">
        <v>4798</v>
      </c>
      <c r="CV4803" s="21">
        <v>4</v>
      </c>
      <c r="CW4803" s="21">
        <v>0.11332468572476186</v>
      </c>
      <c r="CX4803" s="21" t="e">
        <v>#N/A</v>
      </c>
      <c r="CY4803" s="21" t="e">
        <v>#N/A</v>
      </c>
      <c r="CZ4803" s="21" t="e">
        <v>#N/A</v>
      </c>
      <c r="DA4803">
        <v>0.11332468572476186</v>
      </c>
      <c r="DB4803" t="str">
        <v/>
      </c>
    </row>
    <row r="4804" spans="83:106" x14ac:dyDescent="0.2">
      <c r="CE4804"/>
      <c r="CF4804"/>
      <c r="CG4804"/>
      <c r="CH4804"/>
      <c r="CI4804"/>
      <c r="CU4804" s="21">
        <v>4799</v>
      </c>
      <c r="CV4804" s="21">
        <v>4</v>
      </c>
      <c r="CW4804" s="21">
        <v>0.11332468572476186</v>
      </c>
      <c r="CX4804" s="21" t="e">
        <v>#N/A</v>
      </c>
      <c r="CY4804" s="21" t="e">
        <v>#N/A</v>
      </c>
      <c r="CZ4804" s="21" t="e">
        <v>#N/A</v>
      </c>
      <c r="DA4804">
        <v>0.11332468572476186</v>
      </c>
      <c r="DB4804" t="str">
        <v/>
      </c>
    </row>
    <row r="4805" spans="83:106" x14ac:dyDescent="0.2">
      <c r="CE4805"/>
      <c r="CF4805"/>
      <c r="CG4805"/>
      <c r="CH4805"/>
      <c r="CI4805"/>
      <c r="CU4805" s="21">
        <v>4800</v>
      </c>
      <c r="CV4805" s="21">
        <v>4</v>
      </c>
      <c r="CW4805" s="21">
        <v>0.11332468572476186</v>
      </c>
      <c r="CX4805" s="21" t="e">
        <v>#N/A</v>
      </c>
      <c r="CY4805" s="21" t="e">
        <v>#N/A</v>
      </c>
      <c r="CZ4805" s="21" t="e">
        <v>#N/A</v>
      </c>
      <c r="DA4805">
        <v>0.11332468572476186</v>
      </c>
      <c r="DB4805" t="str">
        <v/>
      </c>
    </row>
    <row r="4806" spans="83:106" x14ac:dyDescent="0.2">
      <c r="CE4806"/>
      <c r="CF4806"/>
      <c r="CG4806"/>
      <c r="CH4806"/>
      <c r="CI4806"/>
      <c r="CU4806" s="21">
        <v>4801</v>
      </c>
      <c r="CV4806" s="21">
        <v>4</v>
      </c>
      <c r="CW4806" s="21">
        <v>0.11332468572476186</v>
      </c>
      <c r="CX4806" s="21" t="e">
        <v>#N/A</v>
      </c>
      <c r="CY4806" s="21" t="e">
        <v>#N/A</v>
      </c>
      <c r="CZ4806" s="21" t="e">
        <v>#N/A</v>
      </c>
      <c r="DA4806">
        <v>0.11332468572476186</v>
      </c>
      <c r="DB4806" t="str">
        <v/>
      </c>
    </row>
    <row r="4807" spans="83:106" x14ac:dyDescent="0.2">
      <c r="CE4807"/>
      <c r="CF4807"/>
      <c r="CG4807"/>
      <c r="CH4807"/>
      <c r="CI4807"/>
      <c r="CU4807" s="21">
        <v>4802</v>
      </c>
      <c r="CV4807" s="21">
        <v>4</v>
      </c>
      <c r="CW4807" s="21">
        <v>0.11332468572476186</v>
      </c>
      <c r="CX4807" s="21" t="e">
        <v>#N/A</v>
      </c>
      <c r="CY4807" s="21" t="e">
        <v>#N/A</v>
      </c>
      <c r="CZ4807" s="21" t="e">
        <v>#N/A</v>
      </c>
      <c r="DA4807">
        <v>0.11332468572476186</v>
      </c>
      <c r="DB4807" t="str">
        <v/>
      </c>
    </row>
    <row r="4808" spans="83:106" x14ac:dyDescent="0.2">
      <c r="CE4808"/>
      <c r="CF4808"/>
      <c r="CG4808"/>
      <c r="CH4808"/>
      <c r="CI4808"/>
      <c r="CU4808" s="21">
        <v>4803</v>
      </c>
      <c r="CV4808" s="21">
        <v>4</v>
      </c>
      <c r="CW4808" s="21">
        <v>0.11332468572476186</v>
      </c>
      <c r="CX4808" s="21" t="e">
        <v>#N/A</v>
      </c>
      <c r="CY4808" s="21" t="e">
        <v>#N/A</v>
      </c>
      <c r="CZ4808" s="21" t="e">
        <v>#N/A</v>
      </c>
      <c r="DA4808">
        <v>0.11332468572476186</v>
      </c>
      <c r="DB4808" t="str">
        <v/>
      </c>
    </row>
    <row r="4809" spans="83:106" x14ac:dyDescent="0.2">
      <c r="CE4809"/>
      <c r="CF4809"/>
      <c r="CG4809"/>
      <c r="CH4809"/>
      <c r="CI4809"/>
      <c r="CU4809" s="21">
        <v>4804</v>
      </c>
      <c r="CV4809" s="21">
        <v>4</v>
      </c>
      <c r="CW4809" s="21">
        <v>0.11332468572476186</v>
      </c>
      <c r="CX4809" s="21" t="e">
        <v>#N/A</v>
      </c>
      <c r="CY4809" s="21" t="e">
        <v>#N/A</v>
      </c>
      <c r="CZ4809" s="21" t="e">
        <v>#N/A</v>
      </c>
      <c r="DA4809">
        <v>0.11332468572476186</v>
      </c>
      <c r="DB4809" t="str">
        <v/>
      </c>
    </row>
    <row r="4810" spans="83:106" x14ac:dyDescent="0.2">
      <c r="CE4810"/>
      <c r="CF4810"/>
      <c r="CG4810"/>
      <c r="CH4810"/>
      <c r="CI4810"/>
      <c r="CU4810" s="21">
        <v>4805</v>
      </c>
      <c r="CV4810" s="21">
        <v>4</v>
      </c>
      <c r="CW4810" s="21">
        <v>0.11332468572476186</v>
      </c>
      <c r="CX4810" s="21" t="e">
        <v>#N/A</v>
      </c>
      <c r="CY4810" s="21" t="e">
        <v>#N/A</v>
      </c>
      <c r="CZ4810" s="21" t="e">
        <v>#N/A</v>
      </c>
      <c r="DA4810">
        <v>0.11332468572476186</v>
      </c>
      <c r="DB4810" t="str">
        <v/>
      </c>
    </row>
    <row r="4811" spans="83:106" x14ac:dyDescent="0.2">
      <c r="CE4811"/>
      <c r="CF4811"/>
      <c r="CG4811"/>
      <c r="CH4811"/>
      <c r="CI4811"/>
      <c r="CU4811" s="21">
        <v>4806</v>
      </c>
      <c r="CV4811" s="21">
        <v>4</v>
      </c>
      <c r="CW4811" s="21">
        <v>0.11332468572476186</v>
      </c>
      <c r="CX4811" s="21" t="e">
        <v>#N/A</v>
      </c>
      <c r="CY4811" s="21" t="e">
        <v>#N/A</v>
      </c>
      <c r="CZ4811" s="21" t="e">
        <v>#N/A</v>
      </c>
      <c r="DA4811">
        <v>0.11332468572476186</v>
      </c>
      <c r="DB4811" t="str">
        <v/>
      </c>
    </row>
    <row r="4812" spans="83:106" x14ac:dyDescent="0.2">
      <c r="CE4812"/>
      <c r="CF4812"/>
      <c r="CG4812"/>
      <c r="CH4812"/>
      <c r="CI4812"/>
      <c r="CU4812" s="21">
        <v>4807</v>
      </c>
      <c r="CV4812" s="21">
        <v>4</v>
      </c>
      <c r="CW4812" s="21">
        <v>0.11332468572476186</v>
      </c>
      <c r="CX4812" s="21" t="e">
        <v>#N/A</v>
      </c>
      <c r="CY4812" s="21" t="e">
        <v>#N/A</v>
      </c>
      <c r="CZ4812" s="21" t="e">
        <v>#N/A</v>
      </c>
      <c r="DA4812">
        <v>0.11332468572476186</v>
      </c>
      <c r="DB4812" t="str">
        <v/>
      </c>
    </row>
    <row r="4813" spans="83:106" x14ac:dyDescent="0.2">
      <c r="CE4813"/>
      <c r="CF4813"/>
      <c r="CG4813"/>
      <c r="CH4813"/>
      <c r="CI4813"/>
      <c r="CU4813" s="21">
        <v>4808</v>
      </c>
      <c r="CV4813" s="21">
        <v>4</v>
      </c>
      <c r="CW4813" s="21">
        <v>0.11332468572476186</v>
      </c>
      <c r="CX4813" s="21" t="e">
        <v>#N/A</v>
      </c>
      <c r="CY4813" s="21" t="e">
        <v>#N/A</v>
      </c>
      <c r="CZ4813" s="21" t="e">
        <v>#N/A</v>
      </c>
      <c r="DA4813">
        <v>0.11332468572476186</v>
      </c>
      <c r="DB4813" t="str">
        <v/>
      </c>
    </row>
    <row r="4814" spans="83:106" x14ac:dyDescent="0.2">
      <c r="CE4814"/>
      <c r="CF4814"/>
      <c r="CG4814"/>
      <c r="CH4814"/>
      <c r="CI4814"/>
      <c r="CU4814" s="21">
        <v>4809</v>
      </c>
      <c r="CV4814" s="21">
        <v>4</v>
      </c>
      <c r="CW4814" s="21">
        <v>0.11332468572476186</v>
      </c>
      <c r="CX4814" s="21" t="e">
        <v>#N/A</v>
      </c>
      <c r="CY4814" s="21" t="e">
        <v>#N/A</v>
      </c>
      <c r="CZ4814" s="21" t="e">
        <v>#N/A</v>
      </c>
      <c r="DA4814">
        <v>0.11332468572476186</v>
      </c>
      <c r="DB4814" t="str">
        <v/>
      </c>
    </row>
    <row r="4815" spans="83:106" x14ac:dyDescent="0.2">
      <c r="CE4815"/>
      <c r="CF4815"/>
      <c r="CG4815"/>
      <c r="CH4815"/>
      <c r="CI4815"/>
      <c r="CU4815" s="21">
        <v>4810</v>
      </c>
      <c r="CV4815" s="21">
        <v>4</v>
      </c>
      <c r="CW4815" s="21">
        <v>0.11332468572476186</v>
      </c>
      <c r="CX4815" s="21" t="e">
        <v>#N/A</v>
      </c>
      <c r="CY4815" s="21" t="e">
        <v>#N/A</v>
      </c>
      <c r="CZ4815" s="21" t="e">
        <v>#N/A</v>
      </c>
      <c r="DA4815">
        <v>0.11332468572476186</v>
      </c>
      <c r="DB4815" t="str">
        <v/>
      </c>
    </row>
    <row r="4816" spans="83:106" x14ac:dyDescent="0.2">
      <c r="CE4816"/>
      <c r="CF4816"/>
      <c r="CG4816"/>
      <c r="CH4816"/>
      <c r="CI4816"/>
      <c r="CU4816" s="21">
        <v>4811</v>
      </c>
      <c r="CV4816" s="21">
        <v>4</v>
      </c>
      <c r="CW4816" s="21">
        <v>0.11332468572476186</v>
      </c>
      <c r="CX4816" s="21" t="e">
        <v>#N/A</v>
      </c>
      <c r="CY4816" s="21" t="e">
        <v>#N/A</v>
      </c>
      <c r="CZ4816" s="21" t="e">
        <v>#N/A</v>
      </c>
      <c r="DA4816">
        <v>0.11332468572476186</v>
      </c>
      <c r="DB4816" t="str">
        <v/>
      </c>
    </row>
    <row r="4817" spans="83:106" x14ac:dyDescent="0.2">
      <c r="CE4817"/>
      <c r="CF4817"/>
      <c r="CG4817"/>
      <c r="CH4817"/>
      <c r="CI4817"/>
      <c r="CU4817" s="21">
        <v>4812</v>
      </c>
      <c r="CV4817" s="21">
        <v>4</v>
      </c>
      <c r="CW4817" s="21">
        <v>0.11332468572476186</v>
      </c>
      <c r="CX4817" s="21" t="e">
        <v>#N/A</v>
      </c>
      <c r="CY4817" s="21" t="e">
        <v>#N/A</v>
      </c>
      <c r="CZ4817" s="21" t="e">
        <v>#N/A</v>
      </c>
      <c r="DA4817">
        <v>0.11332468572476186</v>
      </c>
      <c r="DB4817" t="str">
        <v/>
      </c>
    </row>
    <row r="4818" spans="83:106" x14ac:dyDescent="0.2">
      <c r="CE4818"/>
      <c r="CF4818"/>
      <c r="CG4818"/>
      <c r="CH4818"/>
      <c r="CI4818"/>
      <c r="CU4818" s="21">
        <v>4813</v>
      </c>
      <c r="CV4818" s="21">
        <v>4</v>
      </c>
      <c r="CW4818" s="21">
        <v>0.11332468572476186</v>
      </c>
      <c r="CX4818" s="21" t="e">
        <v>#N/A</v>
      </c>
      <c r="CY4818" s="21" t="e">
        <v>#N/A</v>
      </c>
      <c r="CZ4818" s="21" t="e">
        <v>#N/A</v>
      </c>
      <c r="DA4818">
        <v>0.11332468572476186</v>
      </c>
      <c r="DB4818" t="str">
        <v/>
      </c>
    </row>
    <row r="4819" spans="83:106" x14ac:dyDescent="0.2">
      <c r="CE4819"/>
      <c r="CF4819"/>
      <c r="CG4819"/>
      <c r="CH4819"/>
      <c r="CI4819"/>
      <c r="CU4819" s="21">
        <v>4814</v>
      </c>
      <c r="CV4819" s="21">
        <v>4</v>
      </c>
      <c r="CW4819" s="21">
        <v>0.11332468572476186</v>
      </c>
      <c r="CX4819" s="21" t="e">
        <v>#N/A</v>
      </c>
      <c r="CY4819" s="21" t="e">
        <v>#N/A</v>
      </c>
      <c r="CZ4819" s="21" t="e">
        <v>#N/A</v>
      </c>
      <c r="DA4819">
        <v>0.11332468572476186</v>
      </c>
      <c r="DB4819" t="str">
        <v/>
      </c>
    </row>
    <row r="4820" spans="83:106" x14ac:dyDescent="0.2">
      <c r="CE4820"/>
      <c r="CF4820"/>
      <c r="CG4820"/>
      <c r="CH4820"/>
      <c r="CI4820"/>
      <c r="CU4820" s="21">
        <v>4815</v>
      </c>
      <c r="CV4820" s="21">
        <v>4</v>
      </c>
      <c r="CW4820" s="21">
        <v>0.11332468572476186</v>
      </c>
      <c r="CX4820" s="21" t="e">
        <v>#N/A</v>
      </c>
      <c r="CY4820" s="21" t="e">
        <v>#N/A</v>
      </c>
      <c r="CZ4820" s="21" t="e">
        <v>#N/A</v>
      </c>
      <c r="DA4820">
        <v>0.11332468572476186</v>
      </c>
      <c r="DB4820" t="str">
        <v/>
      </c>
    </row>
    <row r="4821" spans="83:106" x14ac:dyDescent="0.2">
      <c r="CE4821"/>
      <c r="CF4821"/>
      <c r="CG4821"/>
      <c r="CH4821"/>
      <c r="CI4821"/>
      <c r="CU4821" s="21">
        <v>4816</v>
      </c>
      <c r="CV4821" s="21">
        <v>4</v>
      </c>
      <c r="CW4821" s="21">
        <v>0.11332468572476186</v>
      </c>
      <c r="CX4821" s="21" t="e">
        <v>#N/A</v>
      </c>
      <c r="CY4821" s="21" t="e">
        <v>#N/A</v>
      </c>
      <c r="CZ4821" s="21" t="e">
        <v>#N/A</v>
      </c>
      <c r="DA4821">
        <v>0.11332468572476186</v>
      </c>
      <c r="DB4821" t="str">
        <v/>
      </c>
    </row>
    <row r="4822" spans="83:106" x14ac:dyDescent="0.2">
      <c r="CE4822"/>
      <c r="CF4822"/>
      <c r="CG4822"/>
      <c r="CH4822"/>
      <c r="CI4822"/>
      <c r="CU4822" s="21">
        <v>4817</v>
      </c>
      <c r="CV4822" s="21">
        <v>4</v>
      </c>
      <c r="CW4822" s="21">
        <v>0.11332468572476186</v>
      </c>
      <c r="CX4822" s="21" t="e">
        <v>#N/A</v>
      </c>
      <c r="CY4822" s="21" t="e">
        <v>#N/A</v>
      </c>
      <c r="CZ4822" s="21" t="e">
        <v>#N/A</v>
      </c>
      <c r="DA4822">
        <v>0.11332468572476186</v>
      </c>
      <c r="DB4822" t="str">
        <v/>
      </c>
    </row>
    <row r="4823" spans="83:106" x14ac:dyDescent="0.2">
      <c r="CE4823"/>
      <c r="CF4823"/>
      <c r="CG4823"/>
      <c r="CH4823"/>
      <c r="CI4823"/>
      <c r="CU4823" s="21">
        <v>4818</v>
      </c>
      <c r="CV4823" s="21">
        <v>4</v>
      </c>
      <c r="CW4823" s="21">
        <v>0.11332468572476186</v>
      </c>
      <c r="CX4823" s="21" t="e">
        <v>#N/A</v>
      </c>
      <c r="CY4823" s="21" t="e">
        <v>#N/A</v>
      </c>
      <c r="CZ4823" s="21" t="e">
        <v>#N/A</v>
      </c>
      <c r="DA4823">
        <v>0.11332468572476186</v>
      </c>
      <c r="DB4823" t="str">
        <v/>
      </c>
    </row>
    <row r="4824" spans="83:106" x14ac:dyDescent="0.2">
      <c r="CE4824"/>
      <c r="CF4824"/>
      <c r="CG4824"/>
      <c r="CH4824"/>
      <c r="CI4824"/>
      <c r="CU4824" s="21">
        <v>4819</v>
      </c>
      <c r="CV4824" s="21">
        <v>4</v>
      </c>
      <c r="CW4824" s="21">
        <v>0.11332468572476186</v>
      </c>
      <c r="CX4824" s="21" t="e">
        <v>#N/A</v>
      </c>
      <c r="CY4824" s="21" t="e">
        <v>#N/A</v>
      </c>
      <c r="CZ4824" s="21" t="e">
        <v>#N/A</v>
      </c>
      <c r="DA4824">
        <v>0.11332468572476186</v>
      </c>
      <c r="DB4824" t="str">
        <v/>
      </c>
    </row>
    <row r="4825" spans="83:106" x14ac:dyDescent="0.2">
      <c r="CE4825"/>
      <c r="CF4825"/>
      <c r="CG4825"/>
      <c r="CH4825"/>
      <c r="CI4825"/>
      <c r="CU4825" s="21">
        <v>4820</v>
      </c>
      <c r="CV4825" s="21">
        <v>4</v>
      </c>
      <c r="CW4825" s="21">
        <v>0.11332468572476186</v>
      </c>
      <c r="CX4825" s="21" t="e">
        <v>#N/A</v>
      </c>
      <c r="CY4825" s="21" t="e">
        <v>#N/A</v>
      </c>
      <c r="CZ4825" s="21" t="e">
        <v>#N/A</v>
      </c>
      <c r="DA4825">
        <v>0.11332468572476186</v>
      </c>
      <c r="DB4825" t="str">
        <v/>
      </c>
    </row>
    <row r="4826" spans="83:106" x14ac:dyDescent="0.2">
      <c r="CE4826"/>
      <c r="CF4826"/>
      <c r="CG4826"/>
      <c r="CH4826"/>
      <c r="CI4826"/>
      <c r="CU4826" s="21">
        <v>4821</v>
      </c>
      <c r="CV4826" s="21">
        <v>4</v>
      </c>
      <c r="CW4826" s="21">
        <v>0.11332468572476186</v>
      </c>
      <c r="CX4826" s="21" t="e">
        <v>#N/A</v>
      </c>
      <c r="CY4826" s="21" t="e">
        <v>#N/A</v>
      </c>
      <c r="CZ4826" s="21" t="e">
        <v>#N/A</v>
      </c>
      <c r="DA4826">
        <v>0.11332468572476186</v>
      </c>
      <c r="DB4826" t="str">
        <v/>
      </c>
    </row>
    <row r="4827" spans="83:106" x14ac:dyDescent="0.2">
      <c r="CE4827"/>
      <c r="CF4827"/>
      <c r="CG4827"/>
      <c r="CH4827"/>
      <c r="CI4827"/>
      <c r="CU4827" s="21">
        <v>4822</v>
      </c>
      <c r="CV4827" s="21">
        <v>4</v>
      </c>
      <c r="CW4827" s="21">
        <v>0.11332468572476186</v>
      </c>
      <c r="CX4827" s="21" t="e">
        <v>#N/A</v>
      </c>
      <c r="CY4827" s="21" t="e">
        <v>#N/A</v>
      </c>
      <c r="CZ4827" s="21" t="e">
        <v>#N/A</v>
      </c>
      <c r="DA4827">
        <v>0.11332468572476186</v>
      </c>
      <c r="DB4827" t="str">
        <v/>
      </c>
    </row>
    <row r="4828" spans="83:106" x14ac:dyDescent="0.2">
      <c r="CE4828"/>
      <c r="CF4828"/>
      <c r="CG4828"/>
      <c r="CH4828"/>
      <c r="CI4828"/>
      <c r="CU4828" s="21">
        <v>4823</v>
      </c>
      <c r="CV4828" s="21">
        <v>4</v>
      </c>
      <c r="CW4828" s="21">
        <v>0.11332468572476186</v>
      </c>
      <c r="CX4828" s="21" t="e">
        <v>#N/A</v>
      </c>
      <c r="CY4828" s="21" t="e">
        <v>#N/A</v>
      </c>
      <c r="CZ4828" s="21" t="e">
        <v>#N/A</v>
      </c>
      <c r="DA4828">
        <v>0.11332468572476186</v>
      </c>
      <c r="DB4828" t="str">
        <v/>
      </c>
    </row>
    <row r="4829" spans="83:106" x14ac:dyDescent="0.2">
      <c r="CE4829"/>
      <c r="CF4829"/>
      <c r="CG4829"/>
      <c r="CH4829"/>
      <c r="CI4829"/>
      <c r="CU4829" s="21">
        <v>4824</v>
      </c>
      <c r="CV4829" s="21">
        <v>4</v>
      </c>
      <c r="CW4829" s="21">
        <v>0.11332468572476186</v>
      </c>
      <c r="CX4829" s="21" t="e">
        <v>#N/A</v>
      </c>
      <c r="CY4829" s="21" t="e">
        <v>#N/A</v>
      </c>
      <c r="CZ4829" s="21" t="e">
        <v>#N/A</v>
      </c>
      <c r="DA4829">
        <v>0.11332468572476186</v>
      </c>
      <c r="DB4829" t="str">
        <v/>
      </c>
    </row>
    <row r="4830" spans="83:106" x14ac:dyDescent="0.2">
      <c r="CE4830"/>
      <c r="CF4830"/>
      <c r="CG4830"/>
      <c r="CH4830"/>
      <c r="CI4830"/>
      <c r="CU4830" s="21">
        <v>4825</v>
      </c>
      <c r="CV4830" s="21">
        <v>4</v>
      </c>
      <c r="CW4830" s="21">
        <v>0.11332468572476186</v>
      </c>
      <c r="CX4830" s="21" t="e">
        <v>#N/A</v>
      </c>
      <c r="CY4830" s="21" t="e">
        <v>#N/A</v>
      </c>
      <c r="CZ4830" s="21" t="e">
        <v>#N/A</v>
      </c>
      <c r="DA4830">
        <v>0.11332468572476186</v>
      </c>
      <c r="DB4830" t="str">
        <v/>
      </c>
    </row>
    <row r="4831" spans="83:106" x14ac:dyDescent="0.2">
      <c r="CE4831"/>
      <c r="CF4831"/>
      <c r="CG4831"/>
      <c r="CH4831"/>
      <c r="CI4831"/>
      <c r="CU4831" s="21">
        <v>4826</v>
      </c>
      <c r="CV4831" s="21">
        <v>4</v>
      </c>
      <c r="CW4831" s="21">
        <v>0.11332468572476186</v>
      </c>
      <c r="CX4831" s="21" t="e">
        <v>#N/A</v>
      </c>
      <c r="CY4831" s="21" t="e">
        <v>#N/A</v>
      </c>
      <c r="CZ4831" s="21" t="e">
        <v>#N/A</v>
      </c>
      <c r="DA4831">
        <v>0.11332468572476186</v>
      </c>
      <c r="DB4831" t="str">
        <v/>
      </c>
    </row>
    <row r="4832" spans="83:106" x14ac:dyDescent="0.2">
      <c r="CE4832"/>
      <c r="CF4832"/>
      <c r="CG4832"/>
      <c r="CH4832"/>
      <c r="CI4832"/>
      <c r="CU4832" s="21">
        <v>4827</v>
      </c>
      <c r="CV4832" s="21">
        <v>4</v>
      </c>
      <c r="CW4832" s="21">
        <v>0.11332468572476186</v>
      </c>
      <c r="CX4832" s="21" t="e">
        <v>#N/A</v>
      </c>
      <c r="CY4832" s="21" t="e">
        <v>#N/A</v>
      </c>
      <c r="CZ4832" s="21" t="e">
        <v>#N/A</v>
      </c>
      <c r="DA4832">
        <v>0.11332468572476186</v>
      </c>
      <c r="DB4832" t="str">
        <v/>
      </c>
    </row>
    <row r="4833" spans="83:106" x14ac:dyDescent="0.2">
      <c r="CE4833"/>
      <c r="CF4833"/>
      <c r="CG4833"/>
      <c r="CH4833"/>
      <c r="CI4833"/>
      <c r="CU4833" s="21">
        <v>4828</v>
      </c>
      <c r="CV4833" s="21">
        <v>4</v>
      </c>
      <c r="CW4833" s="21">
        <v>0.11332468572476186</v>
      </c>
      <c r="CX4833" s="21" t="e">
        <v>#N/A</v>
      </c>
      <c r="CY4833" s="21" t="e">
        <v>#N/A</v>
      </c>
      <c r="CZ4833" s="21" t="e">
        <v>#N/A</v>
      </c>
      <c r="DA4833">
        <v>0.11332468572476186</v>
      </c>
      <c r="DB4833" t="str">
        <v/>
      </c>
    </row>
    <row r="4834" spans="83:106" x14ac:dyDescent="0.2">
      <c r="CE4834"/>
      <c r="CF4834"/>
      <c r="CG4834"/>
      <c r="CH4834"/>
      <c r="CI4834"/>
      <c r="CU4834" s="21">
        <v>4829</v>
      </c>
      <c r="CV4834" s="21">
        <v>4</v>
      </c>
      <c r="CW4834" s="21">
        <v>0.11332468572476186</v>
      </c>
      <c r="CX4834" s="21" t="e">
        <v>#N/A</v>
      </c>
      <c r="CY4834" s="21" t="e">
        <v>#N/A</v>
      </c>
      <c r="CZ4834" s="21" t="e">
        <v>#N/A</v>
      </c>
      <c r="DA4834">
        <v>0.11332468572476186</v>
      </c>
      <c r="DB4834" t="str">
        <v/>
      </c>
    </row>
    <row r="4835" spans="83:106" x14ac:dyDescent="0.2">
      <c r="CE4835"/>
      <c r="CF4835"/>
      <c r="CG4835"/>
      <c r="CH4835"/>
      <c r="CI4835"/>
      <c r="CU4835" s="21">
        <v>4830</v>
      </c>
      <c r="CV4835" s="21">
        <v>4</v>
      </c>
      <c r="CW4835" s="21">
        <v>0.11332468572476186</v>
      </c>
      <c r="CX4835" s="21" t="e">
        <v>#N/A</v>
      </c>
      <c r="CY4835" s="21" t="e">
        <v>#N/A</v>
      </c>
      <c r="CZ4835" s="21" t="e">
        <v>#N/A</v>
      </c>
      <c r="DA4835">
        <v>0.11332468572476186</v>
      </c>
      <c r="DB4835" t="str">
        <v/>
      </c>
    </row>
    <row r="4836" spans="83:106" x14ac:dyDescent="0.2">
      <c r="CE4836"/>
      <c r="CF4836"/>
      <c r="CG4836"/>
      <c r="CH4836"/>
      <c r="CI4836"/>
      <c r="CU4836" s="21">
        <v>4831</v>
      </c>
      <c r="CV4836" s="21">
        <v>4</v>
      </c>
      <c r="CW4836" s="21">
        <v>0.11332468572476186</v>
      </c>
      <c r="CX4836" s="21" t="e">
        <v>#N/A</v>
      </c>
      <c r="CY4836" s="21" t="e">
        <v>#N/A</v>
      </c>
      <c r="CZ4836" s="21" t="e">
        <v>#N/A</v>
      </c>
      <c r="DA4836">
        <v>0.11332468572476186</v>
      </c>
      <c r="DB4836" t="str">
        <v/>
      </c>
    </row>
    <row r="4837" spans="83:106" x14ac:dyDescent="0.2">
      <c r="CE4837"/>
      <c r="CF4837"/>
      <c r="CG4837"/>
      <c r="CH4837"/>
      <c r="CI4837"/>
      <c r="CU4837" s="21">
        <v>4832</v>
      </c>
      <c r="CV4837" s="21">
        <v>4</v>
      </c>
      <c r="CW4837" s="21">
        <v>0.11332468572476186</v>
      </c>
      <c r="CX4837" s="21" t="e">
        <v>#N/A</v>
      </c>
      <c r="CY4837" s="21" t="e">
        <v>#N/A</v>
      </c>
      <c r="CZ4837" s="21" t="e">
        <v>#N/A</v>
      </c>
      <c r="DA4837">
        <v>0.11332468572476186</v>
      </c>
      <c r="DB4837" t="str">
        <v/>
      </c>
    </row>
    <row r="4838" spans="83:106" x14ac:dyDescent="0.2">
      <c r="CE4838"/>
      <c r="CF4838"/>
      <c r="CG4838"/>
      <c r="CH4838"/>
      <c r="CI4838"/>
      <c r="CU4838" s="21">
        <v>4833</v>
      </c>
      <c r="CV4838" s="21">
        <v>4</v>
      </c>
      <c r="CW4838" s="21">
        <v>0.11332468572476186</v>
      </c>
      <c r="CX4838" s="21" t="e">
        <v>#N/A</v>
      </c>
      <c r="CY4838" s="21" t="e">
        <v>#N/A</v>
      </c>
      <c r="CZ4838" s="21" t="e">
        <v>#N/A</v>
      </c>
      <c r="DA4838">
        <v>0.11332468572476186</v>
      </c>
      <c r="DB4838" t="str">
        <v/>
      </c>
    </row>
    <row r="4839" spans="83:106" x14ac:dyDescent="0.2">
      <c r="CE4839"/>
      <c r="CF4839"/>
      <c r="CG4839"/>
      <c r="CH4839"/>
      <c r="CI4839"/>
      <c r="CU4839" s="21">
        <v>4834</v>
      </c>
      <c r="CV4839" s="21">
        <v>4</v>
      </c>
      <c r="CW4839" s="21">
        <v>0.11332468572476186</v>
      </c>
      <c r="CX4839" s="21" t="e">
        <v>#N/A</v>
      </c>
      <c r="CY4839" s="21" t="e">
        <v>#N/A</v>
      </c>
      <c r="CZ4839" s="21" t="e">
        <v>#N/A</v>
      </c>
      <c r="DA4839">
        <v>0.11332468572476186</v>
      </c>
      <c r="DB4839" t="str">
        <v/>
      </c>
    </row>
    <row r="4840" spans="83:106" x14ac:dyDescent="0.2">
      <c r="CE4840"/>
      <c r="CF4840"/>
      <c r="CG4840"/>
      <c r="CH4840"/>
      <c r="CI4840"/>
      <c r="CU4840" s="21">
        <v>4835</v>
      </c>
      <c r="CV4840" s="21">
        <v>4</v>
      </c>
      <c r="CW4840" s="21">
        <v>0.11332468572476186</v>
      </c>
      <c r="CX4840" s="21" t="e">
        <v>#N/A</v>
      </c>
      <c r="CY4840" s="21" t="e">
        <v>#N/A</v>
      </c>
      <c r="CZ4840" s="21" t="e">
        <v>#N/A</v>
      </c>
      <c r="DA4840">
        <v>0.11332468572476186</v>
      </c>
      <c r="DB4840" t="str">
        <v/>
      </c>
    </row>
    <row r="4841" spans="83:106" x14ac:dyDescent="0.2">
      <c r="CE4841"/>
      <c r="CF4841"/>
      <c r="CG4841"/>
      <c r="CH4841"/>
      <c r="CI4841"/>
      <c r="CU4841" s="21">
        <v>4836</v>
      </c>
      <c r="CV4841" s="21">
        <v>4</v>
      </c>
      <c r="CW4841" s="21">
        <v>0.11332468572476186</v>
      </c>
      <c r="CX4841" s="21" t="e">
        <v>#N/A</v>
      </c>
      <c r="CY4841" s="21" t="e">
        <v>#N/A</v>
      </c>
      <c r="CZ4841" s="21" t="e">
        <v>#N/A</v>
      </c>
      <c r="DA4841">
        <v>0.11332468572476186</v>
      </c>
      <c r="DB4841" t="str">
        <v/>
      </c>
    </row>
    <row r="4842" spans="83:106" x14ac:dyDescent="0.2">
      <c r="CE4842"/>
      <c r="CF4842"/>
      <c r="CG4842"/>
      <c r="CH4842"/>
      <c r="CI4842"/>
      <c r="CU4842" s="21">
        <v>4837</v>
      </c>
      <c r="CV4842" s="21">
        <v>4</v>
      </c>
      <c r="CW4842" s="21">
        <v>0.11332468572476186</v>
      </c>
      <c r="CX4842" s="21" t="e">
        <v>#N/A</v>
      </c>
      <c r="CY4842" s="21" t="e">
        <v>#N/A</v>
      </c>
      <c r="CZ4842" s="21" t="e">
        <v>#N/A</v>
      </c>
      <c r="DA4842">
        <v>0.11332468572476186</v>
      </c>
      <c r="DB4842" t="str">
        <v/>
      </c>
    </row>
    <row r="4843" spans="83:106" x14ac:dyDescent="0.2">
      <c r="CE4843"/>
      <c r="CF4843"/>
      <c r="CG4843"/>
      <c r="CH4843"/>
      <c r="CI4843"/>
      <c r="CU4843" s="21">
        <v>4838</v>
      </c>
      <c r="CV4843" s="21">
        <v>4</v>
      </c>
      <c r="CW4843" s="21">
        <v>0.11332468572476186</v>
      </c>
      <c r="CX4843" s="21" t="e">
        <v>#N/A</v>
      </c>
      <c r="CY4843" s="21" t="e">
        <v>#N/A</v>
      </c>
      <c r="CZ4843" s="21" t="e">
        <v>#N/A</v>
      </c>
      <c r="DA4843">
        <v>0.11332468572476186</v>
      </c>
      <c r="DB4843" t="str">
        <v/>
      </c>
    </row>
    <row r="4844" spans="83:106" x14ac:dyDescent="0.2">
      <c r="CE4844"/>
      <c r="CF4844"/>
      <c r="CG4844"/>
      <c r="CH4844"/>
      <c r="CI4844"/>
      <c r="CU4844" s="21">
        <v>4839</v>
      </c>
      <c r="CV4844" s="21">
        <v>4</v>
      </c>
      <c r="CW4844" s="21">
        <v>0.11332468572476186</v>
      </c>
      <c r="CX4844" s="21" t="e">
        <v>#N/A</v>
      </c>
      <c r="CY4844" s="21" t="e">
        <v>#N/A</v>
      </c>
      <c r="CZ4844" s="21" t="e">
        <v>#N/A</v>
      </c>
      <c r="DA4844">
        <v>0.11332468572476186</v>
      </c>
      <c r="DB4844" t="str">
        <v/>
      </c>
    </row>
    <row r="4845" spans="83:106" x14ac:dyDescent="0.2">
      <c r="CE4845"/>
      <c r="CF4845"/>
      <c r="CG4845"/>
      <c r="CH4845"/>
      <c r="CI4845"/>
      <c r="CU4845" s="21">
        <v>4840</v>
      </c>
      <c r="CV4845" s="21">
        <v>4</v>
      </c>
      <c r="CW4845" s="21">
        <v>0.11332468572476186</v>
      </c>
      <c r="CX4845" s="21" t="e">
        <v>#N/A</v>
      </c>
      <c r="CY4845" s="21" t="e">
        <v>#N/A</v>
      </c>
      <c r="CZ4845" s="21" t="e">
        <v>#N/A</v>
      </c>
      <c r="DA4845">
        <v>0.11332468572476186</v>
      </c>
      <c r="DB4845" t="str">
        <v/>
      </c>
    </row>
    <row r="4846" spans="83:106" x14ac:dyDescent="0.2">
      <c r="CE4846"/>
      <c r="CF4846"/>
      <c r="CG4846"/>
      <c r="CH4846"/>
      <c r="CI4846"/>
      <c r="CU4846" s="21">
        <v>4841</v>
      </c>
      <c r="CV4846" s="21">
        <v>4</v>
      </c>
      <c r="CW4846" s="21">
        <v>0.11332468572476186</v>
      </c>
      <c r="CX4846" s="21" t="e">
        <v>#N/A</v>
      </c>
      <c r="CY4846" s="21" t="e">
        <v>#N/A</v>
      </c>
      <c r="CZ4846" s="21" t="e">
        <v>#N/A</v>
      </c>
      <c r="DA4846">
        <v>0.11332468572476186</v>
      </c>
      <c r="DB4846" t="str">
        <v/>
      </c>
    </row>
    <row r="4847" spans="83:106" x14ac:dyDescent="0.2">
      <c r="CE4847"/>
      <c r="CF4847"/>
      <c r="CG4847"/>
      <c r="CH4847"/>
      <c r="CI4847"/>
      <c r="CU4847" s="21">
        <v>4842</v>
      </c>
      <c r="CV4847" s="21">
        <v>4</v>
      </c>
      <c r="CW4847" s="21">
        <v>0.11332468572476186</v>
      </c>
      <c r="CX4847" s="21" t="e">
        <v>#N/A</v>
      </c>
      <c r="CY4847" s="21" t="e">
        <v>#N/A</v>
      </c>
      <c r="CZ4847" s="21" t="e">
        <v>#N/A</v>
      </c>
      <c r="DA4847">
        <v>0.11332468572476186</v>
      </c>
      <c r="DB4847" t="str">
        <v/>
      </c>
    </row>
    <row r="4848" spans="83:106" x14ac:dyDescent="0.2">
      <c r="CE4848"/>
      <c r="CF4848"/>
      <c r="CG4848"/>
      <c r="CH4848"/>
      <c r="CI4848"/>
      <c r="CU4848" s="21">
        <v>4843</v>
      </c>
      <c r="CV4848" s="21">
        <v>4</v>
      </c>
      <c r="CW4848" s="21">
        <v>0.11332468572476186</v>
      </c>
      <c r="CX4848" s="21" t="e">
        <v>#N/A</v>
      </c>
      <c r="CY4848" s="21" t="e">
        <v>#N/A</v>
      </c>
      <c r="CZ4848" s="21" t="e">
        <v>#N/A</v>
      </c>
      <c r="DA4848">
        <v>0.11332468572476186</v>
      </c>
      <c r="DB4848" t="str">
        <v/>
      </c>
    </row>
    <row r="4849" spans="83:106" x14ac:dyDescent="0.2">
      <c r="CE4849"/>
      <c r="CF4849"/>
      <c r="CG4849"/>
      <c r="CH4849"/>
      <c r="CI4849"/>
      <c r="CU4849" s="21">
        <v>4844</v>
      </c>
      <c r="CV4849" s="21">
        <v>4</v>
      </c>
      <c r="CW4849" s="21">
        <v>0.11332468572476186</v>
      </c>
      <c r="CX4849" s="21" t="e">
        <v>#N/A</v>
      </c>
      <c r="CY4849" s="21" t="e">
        <v>#N/A</v>
      </c>
      <c r="CZ4849" s="21" t="e">
        <v>#N/A</v>
      </c>
      <c r="DA4849">
        <v>0.11332468572476186</v>
      </c>
      <c r="DB4849" t="str">
        <v/>
      </c>
    </row>
    <row r="4850" spans="83:106" x14ac:dyDescent="0.2">
      <c r="CE4850"/>
      <c r="CF4850"/>
      <c r="CG4850"/>
      <c r="CH4850"/>
      <c r="CI4850"/>
      <c r="CU4850" s="21">
        <v>4845</v>
      </c>
      <c r="CV4850" s="21">
        <v>4</v>
      </c>
      <c r="CW4850" s="21">
        <v>0.11332468572476186</v>
      </c>
      <c r="CX4850" s="21" t="e">
        <v>#N/A</v>
      </c>
      <c r="CY4850" s="21" t="e">
        <v>#N/A</v>
      </c>
      <c r="CZ4850" s="21" t="e">
        <v>#N/A</v>
      </c>
      <c r="DA4850">
        <v>0.11332468572476186</v>
      </c>
      <c r="DB4850" t="str">
        <v/>
      </c>
    </row>
    <row r="4851" spans="83:106" x14ac:dyDescent="0.2">
      <c r="CE4851"/>
      <c r="CF4851"/>
      <c r="CG4851"/>
      <c r="CH4851"/>
      <c r="CI4851"/>
      <c r="CU4851" s="21">
        <v>4846</v>
      </c>
      <c r="CV4851" s="21">
        <v>4</v>
      </c>
      <c r="CW4851" s="21">
        <v>0.11332468572476186</v>
      </c>
      <c r="CX4851" s="21" t="e">
        <v>#N/A</v>
      </c>
      <c r="CY4851" s="21" t="e">
        <v>#N/A</v>
      </c>
      <c r="CZ4851" s="21" t="e">
        <v>#N/A</v>
      </c>
      <c r="DA4851">
        <v>0.11332468572476186</v>
      </c>
      <c r="DB4851" t="str">
        <v/>
      </c>
    </row>
    <row r="4852" spans="83:106" x14ac:dyDescent="0.2">
      <c r="CE4852"/>
      <c r="CF4852"/>
      <c r="CG4852"/>
      <c r="CH4852"/>
      <c r="CI4852"/>
      <c r="CU4852" s="21">
        <v>4847</v>
      </c>
      <c r="CV4852" s="21">
        <v>4</v>
      </c>
      <c r="CW4852" s="21">
        <v>0.11332468572476186</v>
      </c>
      <c r="CX4852" s="21" t="e">
        <v>#N/A</v>
      </c>
      <c r="CY4852" s="21" t="e">
        <v>#N/A</v>
      </c>
      <c r="CZ4852" s="21" t="e">
        <v>#N/A</v>
      </c>
      <c r="DA4852">
        <v>0.11332468572476186</v>
      </c>
      <c r="DB4852" t="str">
        <v/>
      </c>
    </row>
    <row r="4853" spans="83:106" x14ac:dyDescent="0.2">
      <c r="CE4853"/>
      <c r="CF4853"/>
      <c r="CG4853"/>
      <c r="CH4853"/>
      <c r="CI4853"/>
      <c r="CU4853" s="21">
        <v>4848</v>
      </c>
      <c r="CV4853" s="21">
        <v>4</v>
      </c>
      <c r="CW4853" s="21">
        <v>0.11332468572476186</v>
      </c>
      <c r="CX4853" s="21" t="e">
        <v>#N/A</v>
      </c>
      <c r="CY4853" s="21" t="e">
        <v>#N/A</v>
      </c>
      <c r="CZ4853" s="21" t="e">
        <v>#N/A</v>
      </c>
      <c r="DA4853">
        <v>0.11332468572476186</v>
      </c>
      <c r="DB4853" t="str">
        <v/>
      </c>
    </row>
    <row r="4854" spans="83:106" x14ac:dyDescent="0.2">
      <c r="CE4854"/>
      <c r="CF4854"/>
      <c r="CG4854"/>
      <c r="CH4854"/>
      <c r="CI4854"/>
      <c r="CU4854" s="21">
        <v>4849</v>
      </c>
      <c r="CV4854" s="21">
        <v>4</v>
      </c>
      <c r="CW4854" s="21">
        <v>0.11332468572476186</v>
      </c>
      <c r="CX4854" s="21" t="e">
        <v>#N/A</v>
      </c>
      <c r="CY4854" s="21" t="e">
        <v>#N/A</v>
      </c>
      <c r="CZ4854" s="21" t="e">
        <v>#N/A</v>
      </c>
      <c r="DA4854">
        <v>0.11332468572476186</v>
      </c>
      <c r="DB4854" t="str">
        <v/>
      </c>
    </row>
    <row r="4855" spans="83:106" x14ac:dyDescent="0.2">
      <c r="CE4855"/>
      <c r="CF4855"/>
      <c r="CG4855"/>
      <c r="CH4855"/>
      <c r="CI4855"/>
      <c r="CU4855" s="21">
        <v>4850</v>
      </c>
      <c r="CV4855" s="21">
        <v>4</v>
      </c>
      <c r="CW4855" s="21">
        <v>0.11332468572476186</v>
      </c>
      <c r="CX4855" s="21" t="e">
        <v>#N/A</v>
      </c>
      <c r="CY4855" s="21" t="e">
        <v>#N/A</v>
      </c>
      <c r="CZ4855" s="21" t="e">
        <v>#N/A</v>
      </c>
      <c r="DA4855">
        <v>0.11332468572476186</v>
      </c>
      <c r="DB4855" t="str">
        <v/>
      </c>
    </row>
    <row r="4856" spans="83:106" x14ac:dyDescent="0.2">
      <c r="CE4856"/>
      <c r="CF4856"/>
      <c r="CG4856"/>
      <c r="CH4856"/>
      <c r="CI4856"/>
      <c r="CU4856" s="21">
        <v>4851</v>
      </c>
      <c r="CV4856" s="21">
        <v>4</v>
      </c>
      <c r="CW4856" s="21">
        <v>0.11332468572476186</v>
      </c>
      <c r="CX4856" s="21" t="e">
        <v>#N/A</v>
      </c>
      <c r="CY4856" s="21" t="e">
        <v>#N/A</v>
      </c>
      <c r="CZ4856" s="21" t="e">
        <v>#N/A</v>
      </c>
      <c r="DA4856">
        <v>0.11332468572476186</v>
      </c>
      <c r="DB4856" t="str">
        <v/>
      </c>
    </row>
    <row r="4857" spans="83:106" x14ac:dyDescent="0.2">
      <c r="CE4857"/>
      <c r="CF4857"/>
      <c r="CG4857"/>
      <c r="CH4857"/>
      <c r="CI4857"/>
      <c r="CU4857" s="21">
        <v>4852</v>
      </c>
      <c r="CV4857" s="21">
        <v>4</v>
      </c>
      <c r="CW4857" s="21">
        <v>0.11332468572476186</v>
      </c>
      <c r="CX4857" s="21" t="e">
        <v>#N/A</v>
      </c>
      <c r="CY4857" s="21" t="e">
        <v>#N/A</v>
      </c>
      <c r="CZ4857" s="21" t="e">
        <v>#N/A</v>
      </c>
      <c r="DA4857">
        <v>0.11332468572476186</v>
      </c>
      <c r="DB4857" t="str">
        <v/>
      </c>
    </row>
    <row r="4858" spans="83:106" x14ac:dyDescent="0.2">
      <c r="CE4858"/>
      <c r="CF4858"/>
      <c r="CG4858"/>
      <c r="CH4858"/>
      <c r="CI4858"/>
      <c r="CU4858" s="21">
        <v>4853</v>
      </c>
      <c r="CV4858" s="21">
        <v>4</v>
      </c>
      <c r="CW4858" s="21">
        <v>0.11332468572476186</v>
      </c>
      <c r="CX4858" s="21" t="e">
        <v>#N/A</v>
      </c>
      <c r="CY4858" s="21" t="e">
        <v>#N/A</v>
      </c>
      <c r="CZ4858" s="21" t="e">
        <v>#N/A</v>
      </c>
      <c r="DA4858">
        <v>0.11332468572476186</v>
      </c>
      <c r="DB4858" t="str">
        <v/>
      </c>
    </row>
    <row r="4859" spans="83:106" x14ac:dyDescent="0.2">
      <c r="CE4859"/>
      <c r="CF4859"/>
      <c r="CG4859"/>
      <c r="CH4859"/>
      <c r="CI4859"/>
      <c r="CU4859" s="21">
        <v>4854</v>
      </c>
      <c r="CV4859" s="21">
        <v>4</v>
      </c>
      <c r="CW4859" s="21">
        <v>0.11332468572476186</v>
      </c>
      <c r="CX4859" s="21" t="e">
        <v>#N/A</v>
      </c>
      <c r="CY4859" s="21" t="e">
        <v>#N/A</v>
      </c>
      <c r="CZ4859" s="21" t="e">
        <v>#N/A</v>
      </c>
      <c r="DA4859">
        <v>0.11332468572476186</v>
      </c>
      <c r="DB4859" t="str">
        <v/>
      </c>
    </row>
    <row r="4860" spans="83:106" x14ac:dyDescent="0.2">
      <c r="CE4860"/>
      <c r="CF4860"/>
      <c r="CG4860"/>
      <c r="CH4860"/>
      <c r="CI4860"/>
      <c r="CU4860" s="21">
        <v>4855</v>
      </c>
      <c r="CV4860" s="21">
        <v>4</v>
      </c>
      <c r="CW4860" s="21">
        <v>0.11332468572476186</v>
      </c>
      <c r="CX4860" s="21" t="e">
        <v>#N/A</v>
      </c>
      <c r="CY4860" s="21" t="e">
        <v>#N/A</v>
      </c>
      <c r="CZ4860" s="21" t="e">
        <v>#N/A</v>
      </c>
      <c r="DA4860">
        <v>0.11332468572476186</v>
      </c>
      <c r="DB4860" t="str">
        <v/>
      </c>
    </row>
    <row r="4861" spans="83:106" x14ac:dyDescent="0.2">
      <c r="CE4861"/>
      <c r="CF4861"/>
      <c r="CG4861"/>
      <c r="CH4861"/>
      <c r="CI4861"/>
      <c r="CU4861" s="21">
        <v>4856</v>
      </c>
      <c r="CV4861" s="21">
        <v>4</v>
      </c>
      <c r="CW4861" s="21">
        <v>0.11332468572476186</v>
      </c>
      <c r="CX4861" s="21" t="e">
        <v>#N/A</v>
      </c>
      <c r="CY4861" s="21" t="e">
        <v>#N/A</v>
      </c>
      <c r="CZ4861" s="21" t="e">
        <v>#N/A</v>
      </c>
      <c r="DA4861">
        <v>0.11332468572476186</v>
      </c>
      <c r="DB4861" t="str">
        <v/>
      </c>
    </row>
    <row r="4862" spans="83:106" x14ac:dyDescent="0.2">
      <c r="CE4862"/>
      <c r="CF4862"/>
      <c r="CG4862"/>
      <c r="CH4862"/>
      <c r="CI4862"/>
      <c r="CU4862" s="21">
        <v>4857</v>
      </c>
      <c r="CV4862" s="21">
        <v>4</v>
      </c>
      <c r="CW4862" s="21">
        <v>0.11332468572476186</v>
      </c>
      <c r="CX4862" s="21" t="e">
        <v>#N/A</v>
      </c>
      <c r="CY4862" s="21" t="e">
        <v>#N/A</v>
      </c>
      <c r="CZ4862" s="21" t="e">
        <v>#N/A</v>
      </c>
      <c r="DA4862">
        <v>0.11332468572476186</v>
      </c>
      <c r="DB4862" t="str">
        <v/>
      </c>
    </row>
    <row r="4863" spans="83:106" x14ac:dyDescent="0.2">
      <c r="CE4863"/>
      <c r="CF4863"/>
      <c r="CG4863"/>
      <c r="CH4863"/>
      <c r="CI4863"/>
      <c r="CU4863" s="21">
        <v>4858</v>
      </c>
      <c r="CV4863" s="21">
        <v>4</v>
      </c>
      <c r="CW4863" s="21">
        <v>0.11332468572476186</v>
      </c>
      <c r="CX4863" s="21" t="e">
        <v>#N/A</v>
      </c>
      <c r="CY4863" s="21" t="e">
        <v>#N/A</v>
      </c>
      <c r="CZ4863" s="21" t="e">
        <v>#N/A</v>
      </c>
      <c r="DA4863">
        <v>0.11332468572476186</v>
      </c>
      <c r="DB4863" t="str">
        <v/>
      </c>
    </row>
    <row r="4864" spans="83:106" x14ac:dyDescent="0.2">
      <c r="CE4864"/>
      <c r="CF4864"/>
      <c r="CG4864"/>
      <c r="CH4864"/>
      <c r="CI4864"/>
      <c r="CU4864" s="21">
        <v>4859</v>
      </c>
      <c r="CV4864" s="21">
        <v>4</v>
      </c>
      <c r="CW4864" s="21">
        <v>0.11332468572476186</v>
      </c>
      <c r="CX4864" s="21" t="e">
        <v>#N/A</v>
      </c>
      <c r="CY4864" s="21" t="e">
        <v>#N/A</v>
      </c>
      <c r="CZ4864" s="21" t="e">
        <v>#N/A</v>
      </c>
      <c r="DA4864">
        <v>0.11332468572476186</v>
      </c>
      <c r="DB4864" t="str">
        <v/>
      </c>
    </row>
    <row r="4865" spans="83:106" x14ac:dyDescent="0.2">
      <c r="CE4865"/>
      <c r="CF4865"/>
      <c r="CG4865"/>
      <c r="CH4865"/>
      <c r="CI4865"/>
      <c r="CU4865" s="21">
        <v>4860</v>
      </c>
      <c r="CV4865" s="21">
        <v>4</v>
      </c>
      <c r="CW4865" s="21">
        <v>0.11332468572476186</v>
      </c>
      <c r="CX4865" s="21" t="e">
        <v>#N/A</v>
      </c>
      <c r="CY4865" s="21" t="e">
        <v>#N/A</v>
      </c>
      <c r="CZ4865" s="21" t="e">
        <v>#N/A</v>
      </c>
      <c r="DA4865">
        <v>0.11332468572476186</v>
      </c>
      <c r="DB4865" t="str">
        <v/>
      </c>
    </row>
    <row r="4866" spans="83:106" x14ac:dyDescent="0.2">
      <c r="CE4866"/>
      <c r="CF4866"/>
      <c r="CG4866"/>
      <c r="CH4866"/>
      <c r="CI4866"/>
      <c r="CU4866" s="21">
        <v>4861</v>
      </c>
      <c r="CV4866" s="21">
        <v>4</v>
      </c>
      <c r="CW4866" s="21">
        <v>0.11332468572476186</v>
      </c>
      <c r="CX4866" s="21" t="e">
        <v>#N/A</v>
      </c>
      <c r="CY4866" s="21" t="e">
        <v>#N/A</v>
      </c>
      <c r="CZ4866" s="21" t="e">
        <v>#N/A</v>
      </c>
      <c r="DA4866">
        <v>0.11332468572476186</v>
      </c>
      <c r="DB4866" t="str">
        <v/>
      </c>
    </row>
    <row r="4867" spans="83:106" x14ac:dyDescent="0.2">
      <c r="CE4867"/>
      <c r="CF4867"/>
      <c r="CG4867"/>
      <c r="CH4867"/>
      <c r="CI4867"/>
      <c r="CU4867" s="21">
        <v>4862</v>
      </c>
      <c r="CV4867" s="21">
        <v>4</v>
      </c>
      <c r="CW4867" s="21">
        <v>0.11332468572476186</v>
      </c>
      <c r="CX4867" s="21" t="e">
        <v>#N/A</v>
      </c>
      <c r="CY4867" s="21" t="e">
        <v>#N/A</v>
      </c>
      <c r="CZ4867" s="21" t="e">
        <v>#N/A</v>
      </c>
      <c r="DA4867">
        <v>0.11332468572476186</v>
      </c>
      <c r="DB4867" t="str">
        <v/>
      </c>
    </row>
    <row r="4868" spans="83:106" x14ac:dyDescent="0.2">
      <c r="CE4868"/>
      <c r="CF4868"/>
      <c r="CG4868"/>
      <c r="CH4868"/>
      <c r="CI4868"/>
      <c r="CU4868" s="21">
        <v>4863</v>
      </c>
      <c r="CV4868" s="21">
        <v>4</v>
      </c>
      <c r="CW4868" s="21">
        <v>0.11332468572476186</v>
      </c>
      <c r="CX4868" s="21" t="e">
        <v>#N/A</v>
      </c>
      <c r="CY4868" s="21" t="e">
        <v>#N/A</v>
      </c>
      <c r="CZ4868" s="21" t="e">
        <v>#N/A</v>
      </c>
      <c r="DA4868">
        <v>0.11332468572476186</v>
      </c>
      <c r="DB4868" t="str">
        <v/>
      </c>
    </row>
    <row r="4869" spans="83:106" x14ac:dyDescent="0.2">
      <c r="CE4869"/>
      <c r="CF4869"/>
      <c r="CG4869"/>
      <c r="CH4869"/>
      <c r="CI4869"/>
      <c r="CU4869" s="21">
        <v>4864</v>
      </c>
      <c r="CV4869" s="21">
        <v>4</v>
      </c>
      <c r="CW4869" s="21">
        <v>0.11332468572476186</v>
      </c>
      <c r="CX4869" s="21" t="e">
        <v>#N/A</v>
      </c>
      <c r="CY4869" s="21" t="e">
        <v>#N/A</v>
      </c>
      <c r="CZ4869" s="21" t="e">
        <v>#N/A</v>
      </c>
      <c r="DA4869">
        <v>0.11332468572476186</v>
      </c>
      <c r="DB4869" t="str">
        <v/>
      </c>
    </row>
    <row r="4870" spans="83:106" x14ac:dyDescent="0.2">
      <c r="CE4870"/>
      <c r="CF4870"/>
      <c r="CG4870"/>
      <c r="CH4870"/>
      <c r="CI4870"/>
      <c r="CU4870" s="21">
        <v>4865</v>
      </c>
      <c r="CV4870" s="21">
        <v>4</v>
      </c>
      <c r="CW4870" s="21">
        <v>0.11332468572476186</v>
      </c>
      <c r="CX4870" s="21" t="e">
        <v>#N/A</v>
      </c>
      <c r="CY4870" s="21" t="e">
        <v>#N/A</v>
      </c>
      <c r="CZ4870" s="21" t="e">
        <v>#N/A</v>
      </c>
      <c r="DA4870">
        <v>0.11332468572476186</v>
      </c>
      <c r="DB4870" t="str">
        <v/>
      </c>
    </row>
    <row r="4871" spans="83:106" x14ac:dyDescent="0.2">
      <c r="CE4871"/>
      <c r="CF4871"/>
      <c r="CG4871"/>
      <c r="CH4871"/>
      <c r="CI4871"/>
      <c r="CU4871" s="21">
        <v>4866</v>
      </c>
      <c r="CV4871" s="21">
        <v>4</v>
      </c>
      <c r="CW4871" s="21">
        <v>0.11332468572476186</v>
      </c>
      <c r="CX4871" s="21" t="e">
        <v>#N/A</v>
      </c>
      <c r="CY4871" s="21" t="e">
        <v>#N/A</v>
      </c>
      <c r="CZ4871" s="21" t="e">
        <v>#N/A</v>
      </c>
      <c r="DA4871">
        <v>0.11332468572476186</v>
      </c>
      <c r="DB4871" t="str">
        <v/>
      </c>
    </row>
    <row r="4872" spans="83:106" x14ac:dyDescent="0.2">
      <c r="CE4872"/>
      <c r="CF4872"/>
      <c r="CG4872"/>
      <c r="CH4872"/>
      <c r="CI4872"/>
      <c r="CU4872" s="21">
        <v>4867</v>
      </c>
      <c r="CV4872" s="21">
        <v>4</v>
      </c>
      <c r="CW4872" s="21">
        <v>0.11332468572476186</v>
      </c>
      <c r="CX4872" s="21" t="e">
        <v>#N/A</v>
      </c>
      <c r="CY4872" s="21" t="e">
        <v>#N/A</v>
      </c>
      <c r="CZ4872" s="21" t="e">
        <v>#N/A</v>
      </c>
      <c r="DA4872">
        <v>0.11332468572476186</v>
      </c>
      <c r="DB4872" t="str">
        <v/>
      </c>
    </row>
    <row r="4873" spans="83:106" x14ac:dyDescent="0.2">
      <c r="CE4873"/>
      <c r="CF4873"/>
      <c r="CG4873"/>
      <c r="CH4873"/>
      <c r="CI4873"/>
      <c r="CU4873" s="21">
        <v>4868</v>
      </c>
      <c r="CV4873" s="21">
        <v>4</v>
      </c>
      <c r="CW4873" s="21">
        <v>0.11332468572476186</v>
      </c>
      <c r="CX4873" s="21" t="e">
        <v>#N/A</v>
      </c>
      <c r="CY4873" s="21" t="e">
        <v>#N/A</v>
      </c>
      <c r="CZ4873" s="21" t="e">
        <v>#N/A</v>
      </c>
      <c r="DA4873">
        <v>0.11332468572476186</v>
      </c>
      <c r="DB4873" t="str">
        <v/>
      </c>
    </row>
    <row r="4874" spans="83:106" x14ac:dyDescent="0.2">
      <c r="CE4874"/>
      <c r="CF4874"/>
      <c r="CG4874"/>
      <c r="CH4874"/>
      <c r="CI4874"/>
      <c r="CU4874" s="21">
        <v>4869</v>
      </c>
      <c r="CV4874" s="21">
        <v>4</v>
      </c>
      <c r="CW4874" s="21">
        <v>0.11332468572476186</v>
      </c>
      <c r="CX4874" s="21" t="e">
        <v>#N/A</v>
      </c>
      <c r="CY4874" s="21" t="e">
        <v>#N/A</v>
      </c>
      <c r="CZ4874" s="21" t="e">
        <v>#N/A</v>
      </c>
      <c r="DA4874">
        <v>0.11332468572476186</v>
      </c>
      <c r="DB4874" t="str">
        <v/>
      </c>
    </row>
    <row r="4875" spans="83:106" x14ac:dyDescent="0.2">
      <c r="CE4875"/>
      <c r="CF4875"/>
      <c r="CG4875"/>
      <c r="CH4875"/>
      <c r="CI4875"/>
      <c r="CU4875" s="21">
        <v>4870</v>
      </c>
      <c r="CV4875" s="21">
        <v>4</v>
      </c>
      <c r="CW4875" s="21">
        <v>0.11332468572476186</v>
      </c>
      <c r="CX4875" s="21" t="e">
        <v>#N/A</v>
      </c>
      <c r="CY4875" s="21" t="e">
        <v>#N/A</v>
      </c>
      <c r="CZ4875" s="21" t="e">
        <v>#N/A</v>
      </c>
      <c r="DA4875">
        <v>0.11332468572476186</v>
      </c>
      <c r="DB4875" t="str">
        <v/>
      </c>
    </row>
    <row r="4876" spans="83:106" x14ac:dyDescent="0.2">
      <c r="CE4876"/>
      <c r="CF4876"/>
      <c r="CG4876"/>
      <c r="CH4876"/>
      <c r="CI4876"/>
      <c r="CU4876" s="21">
        <v>4871</v>
      </c>
      <c r="CV4876" s="21">
        <v>4</v>
      </c>
      <c r="CW4876" s="21">
        <v>0.11332468572476186</v>
      </c>
      <c r="CX4876" s="21" t="e">
        <v>#N/A</v>
      </c>
      <c r="CY4876" s="21" t="e">
        <v>#N/A</v>
      </c>
      <c r="CZ4876" s="21" t="e">
        <v>#N/A</v>
      </c>
      <c r="DA4876">
        <v>0.11332468572476186</v>
      </c>
      <c r="DB4876" t="str">
        <v/>
      </c>
    </row>
    <row r="4877" spans="83:106" x14ac:dyDescent="0.2">
      <c r="CE4877"/>
      <c r="CF4877"/>
      <c r="CG4877"/>
      <c r="CH4877"/>
      <c r="CI4877"/>
      <c r="CU4877" s="21">
        <v>4872</v>
      </c>
      <c r="CV4877" s="21">
        <v>4</v>
      </c>
      <c r="CW4877" s="21">
        <v>0.11332468572476186</v>
      </c>
      <c r="CX4877" s="21" t="e">
        <v>#N/A</v>
      </c>
      <c r="CY4877" s="21" t="e">
        <v>#N/A</v>
      </c>
      <c r="CZ4877" s="21" t="e">
        <v>#N/A</v>
      </c>
      <c r="DA4877">
        <v>0.11332468572476186</v>
      </c>
      <c r="DB4877" t="str">
        <v/>
      </c>
    </row>
    <row r="4878" spans="83:106" x14ac:dyDescent="0.2">
      <c r="CE4878"/>
      <c r="CF4878"/>
      <c r="CG4878"/>
      <c r="CH4878"/>
      <c r="CI4878"/>
      <c r="CU4878" s="21">
        <v>4873</v>
      </c>
      <c r="CV4878" s="21">
        <v>4</v>
      </c>
      <c r="CW4878" s="21">
        <v>0.11332468572476186</v>
      </c>
      <c r="CX4878" s="21" t="e">
        <v>#N/A</v>
      </c>
      <c r="CY4878" s="21" t="e">
        <v>#N/A</v>
      </c>
      <c r="CZ4878" s="21" t="e">
        <v>#N/A</v>
      </c>
      <c r="DA4878">
        <v>0.11332468572476186</v>
      </c>
      <c r="DB4878" t="str">
        <v/>
      </c>
    </row>
    <row r="4879" spans="83:106" x14ac:dyDescent="0.2">
      <c r="CE4879"/>
      <c r="CF4879"/>
      <c r="CG4879"/>
      <c r="CH4879"/>
      <c r="CI4879"/>
      <c r="CU4879" s="21">
        <v>4874</v>
      </c>
      <c r="CV4879" s="21">
        <v>4</v>
      </c>
      <c r="CW4879" s="21">
        <v>0.11332468572476186</v>
      </c>
      <c r="CX4879" s="21" t="e">
        <v>#N/A</v>
      </c>
      <c r="CY4879" s="21" t="e">
        <v>#N/A</v>
      </c>
      <c r="CZ4879" s="21" t="e">
        <v>#N/A</v>
      </c>
      <c r="DA4879">
        <v>0.11332468572476186</v>
      </c>
      <c r="DB4879" t="str">
        <v/>
      </c>
    </row>
    <row r="4880" spans="83:106" x14ac:dyDescent="0.2">
      <c r="CE4880"/>
      <c r="CF4880"/>
      <c r="CG4880"/>
      <c r="CH4880"/>
      <c r="CI4880"/>
      <c r="CU4880" s="21">
        <v>4875</v>
      </c>
      <c r="CV4880" s="21">
        <v>4</v>
      </c>
      <c r="CW4880" s="21">
        <v>0.11332468572476186</v>
      </c>
      <c r="CX4880" s="21" t="e">
        <v>#N/A</v>
      </c>
      <c r="CY4880" s="21" t="e">
        <v>#N/A</v>
      </c>
      <c r="CZ4880" s="21" t="e">
        <v>#N/A</v>
      </c>
      <c r="DA4880">
        <v>0.11332468572476186</v>
      </c>
      <c r="DB4880" t="str">
        <v/>
      </c>
    </row>
    <row r="4881" spans="83:106" x14ac:dyDescent="0.2">
      <c r="CE4881"/>
      <c r="CF4881"/>
      <c r="CG4881"/>
      <c r="CH4881"/>
      <c r="CI4881"/>
      <c r="CU4881" s="21">
        <v>4876</v>
      </c>
      <c r="CV4881" s="21">
        <v>4</v>
      </c>
      <c r="CW4881" s="21">
        <v>0.11332468572476186</v>
      </c>
      <c r="CX4881" s="21" t="e">
        <v>#N/A</v>
      </c>
      <c r="CY4881" s="21" t="e">
        <v>#N/A</v>
      </c>
      <c r="CZ4881" s="21" t="e">
        <v>#N/A</v>
      </c>
      <c r="DA4881">
        <v>0.11332468572476186</v>
      </c>
      <c r="DB4881" t="str">
        <v/>
      </c>
    </row>
    <row r="4882" spans="83:106" x14ac:dyDescent="0.2">
      <c r="CE4882"/>
      <c r="CF4882"/>
      <c r="CG4882"/>
      <c r="CH4882"/>
      <c r="CI4882"/>
      <c r="CU4882" s="21">
        <v>4877</v>
      </c>
      <c r="CV4882" s="21">
        <v>4</v>
      </c>
      <c r="CW4882" s="21">
        <v>0.11332468572476186</v>
      </c>
      <c r="CX4882" s="21" t="e">
        <v>#N/A</v>
      </c>
      <c r="CY4882" s="21" t="e">
        <v>#N/A</v>
      </c>
      <c r="CZ4882" s="21" t="e">
        <v>#N/A</v>
      </c>
      <c r="DA4882">
        <v>0.11332468572476186</v>
      </c>
      <c r="DB4882" t="str">
        <v/>
      </c>
    </row>
    <row r="4883" spans="83:106" x14ac:dyDescent="0.2">
      <c r="CE4883"/>
      <c r="CF4883"/>
      <c r="CG4883"/>
      <c r="CH4883"/>
      <c r="CI4883"/>
      <c r="CU4883" s="21">
        <v>4878</v>
      </c>
      <c r="CV4883" s="21">
        <v>4</v>
      </c>
      <c r="CW4883" s="21">
        <v>0.11332468572476186</v>
      </c>
      <c r="CX4883" s="21" t="e">
        <v>#N/A</v>
      </c>
      <c r="CY4883" s="21" t="e">
        <v>#N/A</v>
      </c>
      <c r="CZ4883" s="21" t="e">
        <v>#N/A</v>
      </c>
      <c r="DA4883">
        <v>0.11332468572476186</v>
      </c>
      <c r="DB4883" t="str">
        <v/>
      </c>
    </row>
    <row r="4884" spans="83:106" x14ac:dyDescent="0.2">
      <c r="CE4884"/>
      <c r="CF4884"/>
      <c r="CG4884"/>
      <c r="CH4884"/>
      <c r="CI4884"/>
      <c r="CU4884" s="21">
        <v>4879</v>
      </c>
      <c r="CV4884" s="21">
        <v>4</v>
      </c>
      <c r="CW4884" s="21">
        <v>0.11332468572476186</v>
      </c>
      <c r="CX4884" s="21" t="e">
        <v>#N/A</v>
      </c>
      <c r="CY4884" s="21" t="e">
        <v>#N/A</v>
      </c>
      <c r="CZ4884" s="21" t="e">
        <v>#N/A</v>
      </c>
      <c r="DA4884">
        <v>0.11332468572476186</v>
      </c>
      <c r="DB4884" t="str">
        <v/>
      </c>
    </row>
    <row r="4885" spans="83:106" x14ac:dyDescent="0.2">
      <c r="CE4885"/>
      <c r="CF4885"/>
      <c r="CG4885"/>
      <c r="CH4885"/>
      <c r="CI4885"/>
      <c r="CU4885" s="21">
        <v>4880</v>
      </c>
      <c r="CV4885" s="21">
        <v>4</v>
      </c>
      <c r="CW4885" s="21">
        <v>0.11332468572476186</v>
      </c>
      <c r="CX4885" s="21" t="e">
        <v>#N/A</v>
      </c>
      <c r="CY4885" s="21" t="e">
        <v>#N/A</v>
      </c>
      <c r="CZ4885" s="21" t="e">
        <v>#N/A</v>
      </c>
      <c r="DA4885">
        <v>0.11332468572476186</v>
      </c>
      <c r="DB4885" t="str">
        <v/>
      </c>
    </row>
    <row r="4886" spans="83:106" x14ac:dyDescent="0.2">
      <c r="CE4886"/>
      <c r="CF4886"/>
      <c r="CG4886"/>
      <c r="CH4886"/>
      <c r="CI4886"/>
      <c r="CU4886" s="21">
        <v>4881</v>
      </c>
      <c r="CV4886" s="21">
        <v>4</v>
      </c>
      <c r="CW4886" s="21">
        <v>0.11332468572476186</v>
      </c>
      <c r="CX4886" s="21" t="e">
        <v>#N/A</v>
      </c>
      <c r="CY4886" s="21" t="e">
        <v>#N/A</v>
      </c>
      <c r="CZ4886" s="21" t="e">
        <v>#N/A</v>
      </c>
      <c r="DA4886">
        <v>0.11332468572476186</v>
      </c>
      <c r="DB4886" t="str">
        <v/>
      </c>
    </row>
    <row r="4887" spans="83:106" x14ac:dyDescent="0.2">
      <c r="CE4887"/>
      <c r="CF4887"/>
      <c r="CG4887"/>
      <c r="CH4887"/>
      <c r="CI4887"/>
      <c r="CU4887" s="21">
        <v>4882</v>
      </c>
      <c r="CV4887" s="21">
        <v>4</v>
      </c>
      <c r="CW4887" s="21">
        <v>0.11332468572476186</v>
      </c>
      <c r="CX4887" s="21" t="e">
        <v>#N/A</v>
      </c>
      <c r="CY4887" s="21" t="e">
        <v>#N/A</v>
      </c>
      <c r="CZ4887" s="21" t="e">
        <v>#N/A</v>
      </c>
      <c r="DA4887">
        <v>0.11332468572476186</v>
      </c>
      <c r="DB4887" t="str">
        <v/>
      </c>
    </row>
    <row r="4888" spans="83:106" x14ac:dyDescent="0.2">
      <c r="CE4888"/>
      <c r="CF4888"/>
      <c r="CG4888"/>
      <c r="CH4888"/>
      <c r="CI4888"/>
      <c r="CU4888" s="21">
        <v>4883</v>
      </c>
      <c r="CV4888" s="21">
        <v>4</v>
      </c>
      <c r="CW4888" s="21">
        <v>0.11332468572476186</v>
      </c>
      <c r="CX4888" s="21" t="e">
        <v>#N/A</v>
      </c>
      <c r="CY4888" s="21" t="e">
        <v>#N/A</v>
      </c>
      <c r="CZ4888" s="21" t="e">
        <v>#N/A</v>
      </c>
      <c r="DA4888">
        <v>0.11332468572476186</v>
      </c>
      <c r="DB4888" t="str">
        <v/>
      </c>
    </row>
    <row r="4889" spans="83:106" x14ac:dyDescent="0.2">
      <c r="CE4889"/>
      <c r="CF4889"/>
      <c r="CG4889"/>
      <c r="CH4889"/>
      <c r="CI4889"/>
      <c r="CU4889" s="21">
        <v>4884</v>
      </c>
      <c r="CV4889" s="21">
        <v>4</v>
      </c>
      <c r="CW4889" s="21">
        <v>0.11332468572476186</v>
      </c>
      <c r="CX4889" s="21" t="e">
        <v>#N/A</v>
      </c>
      <c r="CY4889" s="21" t="e">
        <v>#N/A</v>
      </c>
      <c r="CZ4889" s="21" t="e">
        <v>#N/A</v>
      </c>
      <c r="DA4889">
        <v>0.11332468572476186</v>
      </c>
      <c r="DB4889" t="str">
        <v/>
      </c>
    </row>
    <row r="4890" spans="83:106" x14ac:dyDescent="0.2">
      <c r="CE4890"/>
      <c r="CF4890"/>
      <c r="CG4890"/>
      <c r="CH4890"/>
      <c r="CI4890"/>
      <c r="CU4890" s="21">
        <v>4885</v>
      </c>
      <c r="CV4890" s="21">
        <v>4</v>
      </c>
      <c r="CW4890" s="21">
        <v>0.11332468572476186</v>
      </c>
      <c r="CX4890" s="21" t="e">
        <v>#N/A</v>
      </c>
      <c r="CY4890" s="21" t="e">
        <v>#N/A</v>
      </c>
      <c r="CZ4890" s="21" t="e">
        <v>#N/A</v>
      </c>
      <c r="DA4890">
        <v>0.11332468572476186</v>
      </c>
      <c r="DB4890" t="str">
        <v/>
      </c>
    </row>
    <row r="4891" spans="83:106" x14ac:dyDescent="0.2">
      <c r="CE4891"/>
      <c r="CF4891"/>
      <c r="CG4891"/>
      <c r="CH4891"/>
      <c r="CI4891"/>
      <c r="CU4891" s="21">
        <v>4886</v>
      </c>
      <c r="CV4891" s="21">
        <v>4</v>
      </c>
      <c r="CW4891" s="21">
        <v>0.11332468572476186</v>
      </c>
      <c r="CX4891" s="21" t="e">
        <v>#N/A</v>
      </c>
      <c r="CY4891" s="21" t="e">
        <v>#N/A</v>
      </c>
      <c r="CZ4891" s="21" t="e">
        <v>#N/A</v>
      </c>
      <c r="DA4891">
        <v>0.11332468572476186</v>
      </c>
      <c r="DB4891" t="str">
        <v/>
      </c>
    </row>
    <row r="4892" spans="83:106" x14ac:dyDescent="0.2">
      <c r="CE4892"/>
      <c r="CF4892"/>
      <c r="CG4892"/>
      <c r="CH4892"/>
      <c r="CI4892"/>
      <c r="CU4892" s="21">
        <v>4887</v>
      </c>
      <c r="CV4892" s="21">
        <v>4</v>
      </c>
      <c r="CW4892" s="21">
        <v>0.11332468572476186</v>
      </c>
      <c r="CX4892" s="21" t="e">
        <v>#N/A</v>
      </c>
      <c r="CY4892" s="21" t="e">
        <v>#N/A</v>
      </c>
      <c r="CZ4892" s="21" t="e">
        <v>#N/A</v>
      </c>
      <c r="DA4892">
        <v>0.11332468572476186</v>
      </c>
      <c r="DB4892" t="str">
        <v/>
      </c>
    </row>
    <row r="4893" spans="83:106" x14ac:dyDescent="0.2">
      <c r="CE4893"/>
      <c r="CF4893"/>
      <c r="CG4893"/>
      <c r="CH4893"/>
      <c r="CI4893"/>
      <c r="CU4893" s="21">
        <v>4888</v>
      </c>
      <c r="CV4893" s="21">
        <v>4</v>
      </c>
      <c r="CW4893" s="21">
        <v>0.11332468572476186</v>
      </c>
      <c r="CX4893" s="21" t="e">
        <v>#N/A</v>
      </c>
      <c r="CY4893" s="21" t="e">
        <v>#N/A</v>
      </c>
      <c r="CZ4893" s="21" t="e">
        <v>#N/A</v>
      </c>
      <c r="DA4893">
        <v>0.11332468572476186</v>
      </c>
      <c r="DB4893" t="str">
        <v/>
      </c>
    </row>
    <row r="4894" spans="83:106" x14ac:dyDescent="0.2">
      <c r="CE4894"/>
      <c r="CF4894"/>
      <c r="CG4894"/>
      <c r="CH4894"/>
      <c r="CI4894"/>
      <c r="CU4894" s="21">
        <v>4889</v>
      </c>
      <c r="CV4894" s="21">
        <v>4</v>
      </c>
      <c r="CW4894" s="21">
        <v>0.11332468572476186</v>
      </c>
      <c r="CX4894" s="21" t="e">
        <v>#N/A</v>
      </c>
      <c r="CY4894" s="21" t="e">
        <v>#N/A</v>
      </c>
      <c r="CZ4894" s="21" t="e">
        <v>#N/A</v>
      </c>
      <c r="DA4894">
        <v>0.11332468572476186</v>
      </c>
      <c r="DB4894" t="str">
        <v/>
      </c>
    </row>
    <row r="4895" spans="83:106" x14ac:dyDescent="0.2">
      <c r="CE4895"/>
      <c r="CF4895"/>
      <c r="CG4895"/>
      <c r="CH4895"/>
      <c r="CI4895"/>
      <c r="CU4895" s="21">
        <v>4890</v>
      </c>
      <c r="CV4895" s="21">
        <v>4</v>
      </c>
      <c r="CW4895" s="21">
        <v>0.11332468572476186</v>
      </c>
      <c r="CX4895" s="21" t="e">
        <v>#N/A</v>
      </c>
      <c r="CY4895" s="21" t="e">
        <v>#N/A</v>
      </c>
      <c r="CZ4895" s="21" t="e">
        <v>#N/A</v>
      </c>
      <c r="DA4895">
        <v>0.11332468572476186</v>
      </c>
      <c r="DB4895" t="str">
        <v/>
      </c>
    </row>
    <row r="4896" spans="83:106" x14ac:dyDescent="0.2">
      <c r="CE4896"/>
      <c r="CF4896"/>
      <c r="CG4896"/>
      <c r="CH4896"/>
      <c r="CI4896"/>
      <c r="CU4896" s="21">
        <v>4891</v>
      </c>
      <c r="CV4896" s="21">
        <v>4</v>
      </c>
      <c r="CW4896" s="21">
        <v>0.11332468572476186</v>
      </c>
      <c r="CX4896" s="21" t="e">
        <v>#N/A</v>
      </c>
      <c r="CY4896" s="21" t="e">
        <v>#N/A</v>
      </c>
      <c r="CZ4896" s="21" t="e">
        <v>#N/A</v>
      </c>
      <c r="DA4896">
        <v>0.11332468572476186</v>
      </c>
      <c r="DB4896" t="str">
        <v/>
      </c>
    </row>
    <row r="4897" spans="83:106" x14ac:dyDescent="0.2">
      <c r="CE4897"/>
      <c r="CF4897"/>
      <c r="CG4897"/>
      <c r="CH4897"/>
      <c r="CI4897"/>
      <c r="CU4897" s="21">
        <v>4892</v>
      </c>
      <c r="CV4897" s="21">
        <v>4</v>
      </c>
      <c r="CW4897" s="21">
        <v>0.11332468572476186</v>
      </c>
      <c r="CX4897" s="21" t="e">
        <v>#N/A</v>
      </c>
      <c r="CY4897" s="21" t="e">
        <v>#N/A</v>
      </c>
      <c r="CZ4897" s="21" t="e">
        <v>#N/A</v>
      </c>
      <c r="DA4897">
        <v>0.11332468572476186</v>
      </c>
      <c r="DB4897" t="str">
        <v/>
      </c>
    </row>
    <row r="4898" spans="83:106" x14ac:dyDescent="0.2">
      <c r="CE4898"/>
      <c r="CF4898"/>
      <c r="CG4898"/>
      <c r="CH4898"/>
      <c r="CI4898"/>
      <c r="CU4898" s="21">
        <v>4893</v>
      </c>
      <c r="CV4898" s="21">
        <v>4</v>
      </c>
      <c r="CW4898" s="21">
        <v>0.11332468572476186</v>
      </c>
      <c r="CX4898" s="21" t="e">
        <v>#N/A</v>
      </c>
      <c r="CY4898" s="21" t="e">
        <v>#N/A</v>
      </c>
      <c r="CZ4898" s="21" t="e">
        <v>#N/A</v>
      </c>
      <c r="DA4898">
        <v>0.11332468572476186</v>
      </c>
      <c r="DB4898" t="str">
        <v/>
      </c>
    </row>
    <row r="4899" spans="83:106" x14ac:dyDescent="0.2">
      <c r="CE4899"/>
      <c r="CF4899"/>
      <c r="CG4899"/>
      <c r="CH4899"/>
      <c r="CI4899"/>
      <c r="CU4899" s="21">
        <v>4894</v>
      </c>
      <c r="CV4899" s="21">
        <v>4</v>
      </c>
      <c r="CW4899" s="21">
        <v>0.11332468572476186</v>
      </c>
      <c r="CX4899" s="21" t="e">
        <v>#N/A</v>
      </c>
      <c r="CY4899" s="21" t="e">
        <v>#N/A</v>
      </c>
      <c r="CZ4899" s="21" t="e">
        <v>#N/A</v>
      </c>
      <c r="DA4899">
        <v>0.11332468572476186</v>
      </c>
      <c r="DB4899" t="str">
        <v/>
      </c>
    </row>
    <row r="4900" spans="83:106" x14ac:dyDescent="0.2">
      <c r="CE4900"/>
      <c r="CF4900"/>
      <c r="CG4900"/>
      <c r="CH4900"/>
      <c r="CI4900"/>
      <c r="CU4900" s="21">
        <v>4895</v>
      </c>
      <c r="CV4900" s="21">
        <v>4</v>
      </c>
      <c r="CW4900" s="21">
        <v>0.11332468572476186</v>
      </c>
      <c r="CX4900" s="21" t="e">
        <v>#N/A</v>
      </c>
      <c r="CY4900" s="21" t="e">
        <v>#N/A</v>
      </c>
      <c r="CZ4900" s="21" t="e">
        <v>#N/A</v>
      </c>
      <c r="DA4900">
        <v>0.11332468572476186</v>
      </c>
      <c r="DB4900" t="str">
        <v/>
      </c>
    </row>
    <row r="4901" spans="83:106" x14ac:dyDescent="0.2">
      <c r="CE4901"/>
      <c r="CF4901"/>
      <c r="CG4901"/>
      <c r="CH4901"/>
      <c r="CI4901"/>
      <c r="CU4901" s="21">
        <v>4896</v>
      </c>
      <c r="CV4901" s="21">
        <v>4</v>
      </c>
      <c r="CW4901" s="21">
        <v>0.11332468572476186</v>
      </c>
      <c r="CX4901" s="21" t="e">
        <v>#N/A</v>
      </c>
      <c r="CY4901" s="21" t="e">
        <v>#N/A</v>
      </c>
      <c r="CZ4901" s="21" t="e">
        <v>#N/A</v>
      </c>
      <c r="DA4901">
        <v>0.11332468572476186</v>
      </c>
      <c r="DB4901" t="str">
        <v/>
      </c>
    </row>
    <row r="4902" spans="83:106" x14ac:dyDescent="0.2">
      <c r="CE4902"/>
      <c r="CF4902"/>
      <c r="CG4902"/>
      <c r="CH4902"/>
      <c r="CI4902"/>
      <c r="CU4902" s="21">
        <v>4897</v>
      </c>
      <c r="CV4902" s="21">
        <v>4</v>
      </c>
      <c r="CW4902" s="21">
        <v>0.11332468572476186</v>
      </c>
      <c r="CX4902" s="21" t="e">
        <v>#N/A</v>
      </c>
      <c r="CY4902" s="21" t="e">
        <v>#N/A</v>
      </c>
      <c r="CZ4902" s="21" t="e">
        <v>#N/A</v>
      </c>
      <c r="DA4902">
        <v>0.11332468572476186</v>
      </c>
      <c r="DB4902" t="str">
        <v/>
      </c>
    </row>
    <row r="4903" spans="83:106" x14ac:dyDescent="0.2">
      <c r="CE4903"/>
      <c r="CF4903"/>
      <c r="CG4903"/>
      <c r="CH4903"/>
      <c r="CI4903"/>
      <c r="CU4903" s="21">
        <v>4898</v>
      </c>
      <c r="CV4903" s="21">
        <v>4</v>
      </c>
      <c r="CW4903" s="21">
        <v>0.11332468572476186</v>
      </c>
      <c r="CX4903" s="21" t="e">
        <v>#N/A</v>
      </c>
      <c r="CY4903" s="21" t="e">
        <v>#N/A</v>
      </c>
      <c r="CZ4903" s="21" t="e">
        <v>#N/A</v>
      </c>
      <c r="DA4903">
        <v>0.11332468572476186</v>
      </c>
      <c r="DB4903" t="str">
        <v/>
      </c>
    </row>
    <row r="4904" spans="83:106" x14ac:dyDescent="0.2">
      <c r="CE4904"/>
      <c r="CF4904"/>
      <c r="CG4904"/>
      <c r="CH4904"/>
      <c r="CI4904"/>
      <c r="CU4904" s="21">
        <v>4899</v>
      </c>
      <c r="CV4904" s="21">
        <v>4</v>
      </c>
      <c r="CW4904" s="21">
        <v>0.11332468572476186</v>
      </c>
      <c r="CX4904" s="21" t="e">
        <v>#N/A</v>
      </c>
      <c r="CY4904" s="21" t="e">
        <v>#N/A</v>
      </c>
      <c r="CZ4904" s="21" t="e">
        <v>#N/A</v>
      </c>
      <c r="DA4904">
        <v>0.11332468572476186</v>
      </c>
      <c r="DB4904" t="str">
        <v/>
      </c>
    </row>
    <row r="4905" spans="83:106" x14ac:dyDescent="0.2">
      <c r="CE4905"/>
      <c r="CF4905"/>
      <c r="CG4905"/>
      <c r="CH4905"/>
      <c r="CI4905"/>
      <c r="CU4905" s="21">
        <v>4900</v>
      </c>
      <c r="CV4905" s="21">
        <v>4</v>
      </c>
      <c r="CW4905" s="21">
        <v>0.11332468572476186</v>
      </c>
      <c r="CX4905" s="21" t="e">
        <v>#N/A</v>
      </c>
      <c r="CY4905" s="21" t="e">
        <v>#N/A</v>
      </c>
      <c r="CZ4905" s="21" t="e">
        <v>#N/A</v>
      </c>
      <c r="DA4905">
        <v>0.11332468572476186</v>
      </c>
      <c r="DB4905" t="str">
        <v/>
      </c>
    </row>
    <row r="4906" spans="83:106" x14ac:dyDescent="0.2">
      <c r="CE4906"/>
      <c r="CF4906"/>
      <c r="CG4906"/>
      <c r="CH4906"/>
      <c r="CI4906"/>
      <c r="CU4906" s="21">
        <v>4901</v>
      </c>
      <c r="CV4906" s="21">
        <v>4</v>
      </c>
      <c r="CW4906" s="21">
        <v>0.11332468572476186</v>
      </c>
      <c r="CX4906" s="21" t="e">
        <v>#N/A</v>
      </c>
      <c r="CY4906" s="21" t="e">
        <v>#N/A</v>
      </c>
      <c r="CZ4906" s="21" t="e">
        <v>#N/A</v>
      </c>
      <c r="DA4906">
        <v>0.11332468572476186</v>
      </c>
      <c r="DB4906" t="str">
        <v/>
      </c>
    </row>
    <row r="4907" spans="83:106" x14ac:dyDescent="0.2">
      <c r="CE4907"/>
      <c r="CF4907"/>
      <c r="CG4907"/>
      <c r="CH4907"/>
      <c r="CI4907"/>
      <c r="CU4907" s="21">
        <v>4902</v>
      </c>
      <c r="CV4907" s="21">
        <v>4</v>
      </c>
      <c r="CW4907" s="21">
        <v>0.11332468572476186</v>
      </c>
      <c r="CX4907" s="21" t="e">
        <v>#N/A</v>
      </c>
      <c r="CY4907" s="21" t="e">
        <v>#N/A</v>
      </c>
      <c r="CZ4907" s="21" t="e">
        <v>#N/A</v>
      </c>
      <c r="DA4907">
        <v>0.11332468572476186</v>
      </c>
      <c r="DB4907" t="str">
        <v/>
      </c>
    </row>
    <row r="4908" spans="83:106" x14ac:dyDescent="0.2">
      <c r="CE4908"/>
      <c r="CF4908"/>
      <c r="CG4908"/>
      <c r="CH4908"/>
      <c r="CI4908"/>
      <c r="CU4908" s="21">
        <v>4903</v>
      </c>
      <c r="CV4908" s="21">
        <v>4</v>
      </c>
      <c r="CW4908" s="21">
        <v>0.11332468572476186</v>
      </c>
      <c r="CX4908" s="21" t="e">
        <v>#N/A</v>
      </c>
      <c r="CY4908" s="21" t="e">
        <v>#N/A</v>
      </c>
      <c r="CZ4908" s="21" t="e">
        <v>#N/A</v>
      </c>
      <c r="DA4908">
        <v>0.11332468572476186</v>
      </c>
      <c r="DB4908" t="str">
        <v/>
      </c>
    </row>
    <row r="4909" spans="83:106" x14ac:dyDescent="0.2">
      <c r="CE4909"/>
      <c r="CF4909"/>
      <c r="CG4909"/>
      <c r="CH4909"/>
      <c r="CI4909"/>
      <c r="CU4909" s="21">
        <v>4904</v>
      </c>
      <c r="CV4909" s="21">
        <v>4</v>
      </c>
      <c r="CW4909" s="21">
        <v>0.11332468572476186</v>
      </c>
      <c r="CX4909" s="21" t="e">
        <v>#N/A</v>
      </c>
      <c r="CY4909" s="21" t="e">
        <v>#N/A</v>
      </c>
      <c r="CZ4909" s="21" t="e">
        <v>#N/A</v>
      </c>
      <c r="DA4909">
        <v>0.11332468572476186</v>
      </c>
      <c r="DB4909" t="str">
        <v/>
      </c>
    </row>
    <row r="4910" spans="83:106" x14ac:dyDescent="0.2">
      <c r="CE4910"/>
      <c r="CF4910"/>
      <c r="CG4910"/>
      <c r="CH4910"/>
      <c r="CI4910"/>
      <c r="CU4910" s="21">
        <v>4905</v>
      </c>
      <c r="CV4910" s="21">
        <v>4</v>
      </c>
      <c r="CW4910" s="21">
        <v>0.11332468572476186</v>
      </c>
      <c r="CX4910" s="21" t="e">
        <v>#N/A</v>
      </c>
      <c r="CY4910" s="21" t="e">
        <v>#N/A</v>
      </c>
      <c r="CZ4910" s="21" t="e">
        <v>#N/A</v>
      </c>
      <c r="DA4910">
        <v>0.11332468572476186</v>
      </c>
      <c r="DB4910" t="str">
        <v/>
      </c>
    </row>
    <row r="4911" spans="83:106" x14ac:dyDescent="0.2">
      <c r="CE4911"/>
      <c r="CF4911"/>
      <c r="CG4911"/>
      <c r="CH4911"/>
      <c r="CI4911"/>
      <c r="CU4911" s="21">
        <v>4906</v>
      </c>
      <c r="CV4911" s="21">
        <v>4</v>
      </c>
      <c r="CW4911" s="21">
        <v>0.11332468572476186</v>
      </c>
      <c r="CX4911" s="21" t="e">
        <v>#N/A</v>
      </c>
      <c r="CY4911" s="21" t="e">
        <v>#N/A</v>
      </c>
      <c r="CZ4911" s="21" t="e">
        <v>#N/A</v>
      </c>
      <c r="DA4911">
        <v>0.11332468572476186</v>
      </c>
      <c r="DB4911" t="str">
        <v/>
      </c>
    </row>
    <row r="4912" spans="83:106" x14ac:dyDescent="0.2">
      <c r="CE4912"/>
      <c r="CF4912"/>
      <c r="CG4912"/>
      <c r="CH4912"/>
      <c r="CI4912"/>
      <c r="CU4912" s="21">
        <v>4907</v>
      </c>
      <c r="CV4912" s="21">
        <v>4</v>
      </c>
      <c r="CW4912" s="21">
        <v>0.11332468572476186</v>
      </c>
      <c r="CX4912" s="21" t="e">
        <v>#N/A</v>
      </c>
      <c r="CY4912" s="21" t="e">
        <v>#N/A</v>
      </c>
      <c r="CZ4912" s="21" t="e">
        <v>#N/A</v>
      </c>
      <c r="DA4912">
        <v>0.11332468572476186</v>
      </c>
      <c r="DB4912" t="str">
        <v/>
      </c>
    </row>
    <row r="4913" spans="83:106" x14ac:dyDescent="0.2">
      <c r="CE4913"/>
      <c r="CF4913"/>
      <c r="CG4913"/>
      <c r="CH4913"/>
      <c r="CI4913"/>
      <c r="CU4913" s="21">
        <v>4908</v>
      </c>
      <c r="CV4913" s="21">
        <v>4</v>
      </c>
      <c r="CW4913" s="21">
        <v>0.11332468572476186</v>
      </c>
      <c r="CX4913" s="21" t="e">
        <v>#N/A</v>
      </c>
      <c r="CY4913" s="21" t="e">
        <v>#N/A</v>
      </c>
      <c r="CZ4913" s="21" t="e">
        <v>#N/A</v>
      </c>
      <c r="DA4913">
        <v>0.11332468572476186</v>
      </c>
      <c r="DB4913" t="str">
        <v/>
      </c>
    </row>
    <row r="4914" spans="83:106" x14ac:dyDescent="0.2">
      <c r="CE4914"/>
      <c r="CF4914"/>
      <c r="CG4914"/>
      <c r="CH4914"/>
      <c r="CI4914"/>
      <c r="CU4914" s="21">
        <v>4909</v>
      </c>
      <c r="CV4914" s="21">
        <v>4</v>
      </c>
      <c r="CW4914" s="21">
        <v>0.11332468572476186</v>
      </c>
      <c r="CX4914" s="21" t="e">
        <v>#N/A</v>
      </c>
      <c r="CY4914" s="21" t="e">
        <v>#N/A</v>
      </c>
      <c r="CZ4914" s="21" t="e">
        <v>#N/A</v>
      </c>
      <c r="DA4914">
        <v>0.11332468572476186</v>
      </c>
      <c r="DB4914" t="str">
        <v/>
      </c>
    </row>
    <row r="4915" spans="83:106" x14ac:dyDescent="0.2">
      <c r="CE4915"/>
      <c r="CF4915"/>
      <c r="CG4915"/>
      <c r="CH4915"/>
      <c r="CI4915"/>
      <c r="CU4915" s="21">
        <v>4910</v>
      </c>
      <c r="CV4915" s="21">
        <v>4</v>
      </c>
      <c r="CW4915" s="21">
        <v>0.11332468572476186</v>
      </c>
      <c r="CX4915" s="21" t="e">
        <v>#N/A</v>
      </c>
      <c r="CY4915" s="21" t="e">
        <v>#N/A</v>
      </c>
      <c r="CZ4915" s="21" t="e">
        <v>#N/A</v>
      </c>
      <c r="DA4915">
        <v>0.11332468572476186</v>
      </c>
      <c r="DB4915" t="str">
        <v/>
      </c>
    </row>
    <row r="4916" spans="83:106" x14ac:dyDescent="0.2">
      <c r="CE4916"/>
      <c r="CF4916"/>
      <c r="CG4916"/>
      <c r="CH4916"/>
      <c r="CI4916"/>
      <c r="CU4916" s="21">
        <v>4911</v>
      </c>
      <c r="CV4916" s="21">
        <v>4</v>
      </c>
      <c r="CW4916" s="21">
        <v>0.11332468572476186</v>
      </c>
      <c r="CX4916" s="21" t="e">
        <v>#N/A</v>
      </c>
      <c r="CY4916" s="21" t="e">
        <v>#N/A</v>
      </c>
      <c r="CZ4916" s="21" t="e">
        <v>#N/A</v>
      </c>
      <c r="DA4916">
        <v>0.11332468572476186</v>
      </c>
      <c r="DB4916" t="str">
        <v/>
      </c>
    </row>
    <row r="4917" spans="83:106" x14ac:dyDescent="0.2">
      <c r="CE4917"/>
      <c r="CF4917"/>
      <c r="CG4917"/>
      <c r="CH4917"/>
      <c r="CI4917"/>
      <c r="CU4917" s="21">
        <v>4912</v>
      </c>
      <c r="CV4917" s="21">
        <v>4</v>
      </c>
      <c r="CW4917" s="21">
        <v>0.11332468572476186</v>
      </c>
      <c r="CX4917" s="21" t="e">
        <v>#N/A</v>
      </c>
      <c r="CY4917" s="21" t="e">
        <v>#N/A</v>
      </c>
      <c r="CZ4917" s="21" t="e">
        <v>#N/A</v>
      </c>
      <c r="DA4917">
        <v>0.11332468572476186</v>
      </c>
      <c r="DB4917" t="str">
        <v/>
      </c>
    </row>
    <row r="4918" spans="83:106" x14ac:dyDescent="0.2">
      <c r="CE4918"/>
      <c r="CF4918"/>
      <c r="CG4918"/>
      <c r="CH4918"/>
      <c r="CI4918"/>
      <c r="CU4918" s="21">
        <v>4913</v>
      </c>
      <c r="CV4918" s="21">
        <v>4</v>
      </c>
      <c r="CW4918" s="21">
        <v>0.11332468572476186</v>
      </c>
      <c r="CX4918" s="21" t="e">
        <v>#N/A</v>
      </c>
      <c r="CY4918" s="21" t="e">
        <v>#N/A</v>
      </c>
      <c r="CZ4918" s="21" t="e">
        <v>#N/A</v>
      </c>
      <c r="DA4918">
        <v>0.11332468572476186</v>
      </c>
      <c r="DB4918" t="str">
        <v/>
      </c>
    </row>
    <row r="4919" spans="83:106" x14ac:dyDescent="0.2">
      <c r="CE4919"/>
      <c r="CF4919"/>
      <c r="CG4919"/>
      <c r="CH4919"/>
      <c r="CI4919"/>
      <c r="CU4919" s="21">
        <v>4914</v>
      </c>
      <c r="CV4919" s="21">
        <v>4</v>
      </c>
      <c r="CW4919" s="21">
        <v>0.11332468572476186</v>
      </c>
      <c r="CX4919" s="21" t="e">
        <v>#N/A</v>
      </c>
      <c r="CY4919" s="21" t="e">
        <v>#N/A</v>
      </c>
      <c r="CZ4919" s="21" t="e">
        <v>#N/A</v>
      </c>
      <c r="DA4919">
        <v>0.11332468572476186</v>
      </c>
      <c r="DB4919" t="str">
        <v/>
      </c>
    </row>
    <row r="4920" spans="83:106" x14ac:dyDescent="0.2">
      <c r="CE4920"/>
      <c r="CF4920"/>
      <c r="CG4920"/>
      <c r="CH4920"/>
      <c r="CI4920"/>
      <c r="CU4920" s="21">
        <v>4915</v>
      </c>
      <c r="CV4920" s="21">
        <v>4</v>
      </c>
      <c r="CW4920" s="21">
        <v>0.11332468572476186</v>
      </c>
      <c r="CX4920" s="21" t="e">
        <v>#N/A</v>
      </c>
      <c r="CY4920" s="21" t="e">
        <v>#N/A</v>
      </c>
      <c r="CZ4920" s="21" t="e">
        <v>#N/A</v>
      </c>
      <c r="DA4920">
        <v>0.11332468572476186</v>
      </c>
      <c r="DB4920" t="str">
        <v/>
      </c>
    </row>
    <row r="4921" spans="83:106" x14ac:dyDescent="0.2">
      <c r="CE4921"/>
      <c r="CF4921"/>
      <c r="CG4921"/>
      <c r="CH4921"/>
      <c r="CI4921"/>
      <c r="CU4921" s="21">
        <v>4916</v>
      </c>
      <c r="CV4921" s="21">
        <v>4</v>
      </c>
      <c r="CW4921" s="21">
        <v>0.11332468572476186</v>
      </c>
      <c r="CX4921" s="21" t="e">
        <v>#N/A</v>
      </c>
      <c r="CY4921" s="21" t="e">
        <v>#N/A</v>
      </c>
      <c r="CZ4921" s="21" t="e">
        <v>#N/A</v>
      </c>
      <c r="DA4921">
        <v>0.11332468572476186</v>
      </c>
      <c r="DB4921" t="str">
        <v/>
      </c>
    </row>
    <row r="4922" spans="83:106" x14ac:dyDescent="0.2">
      <c r="CE4922"/>
      <c r="CF4922"/>
      <c r="CG4922"/>
      <c r="CH4922"/>
      <c r="CI4922"/>
      <c r="CU4922" s="21">
        <v>4917</v>
      </c>
      <c r="CV4922" s="21">
        <v>4</v>
      </c>
      <c r="CW4922" s="21">
        <v>0.11332468572476186</v>
      </c>
      <c r="CX4922" s="21" t="e">
        <v>#N/A</v>
      </c>
      <c r="CY4922" s="21" t="e">
        <v>#N/A</v>
      </c>
      <c r="CZ4922" s="21" t="e">
        <v>#N/A</v>
      </c>
      <c r="DA4922">
        <v>0.11332468572476186</v>
      </c>
      <c r="DB4922" t="str">
        <v/>
      </c>
    </row>
    <row r="4923" spans="83:106" x14ac:dyDescent="0.2">
      <c r="CE4923"/>
      <c r="CF4923"/>
      <c r="CG4923"/>
      <c r="CH4923"/>
      <c r="CI4923"/>
      <c r="CU4923" s="21">
        <v>4918</v>
      </c>
      <c r="CV4923" s="21">
        <v>4</v>
      </c>
      <c r="CW4923" s="21">
        <v>0.11332468572476186</v>
      </c>
      <c r="CX4923" s="21" t="e">
        <v>#N/A</v>
      </c>
      <c r="CY4923" s="21" t="e">
        <v>#N/A</v>
      </c>
      <c r="CZ4923" s="21" t="e">
        <v>#N/A</v>
      </c>
      <c r="DA4923">
        <v>0.11332468572476186</v>
      </c>
      <c r="DB4923" t="str">
        <v/>
      </c>
    </row>
    <row r="4924" spans="83:106" x14ac:dyDescent="0.2">
      <c r="CE4924"/>
      <c r="CF4924"/>
      <c r="CG4924"/>
      <c r="CH4924"/>
      <c r="CI4924"/>
      <c r="CU4924" s="21">
        <v>4919</v>
      </c>
      <c r="CV4924" s="21">
        <v>4</v>
      </c>
      <c r="CW4924" s="21">
        <v>0.11332468572476186</v>
      </c>
      <c r="CX4924" s="21" t="e">
        <v>#N/A</v>
      </c>
      <c r="CY4924" s="21" t="e">
        <v>#N/A</v>
      </c>
      <c r="CZ4924" s="21" t="e">
        <v>#N/A</v>
      </c>
      <c r="DA4924">
        <v>0.11332468572476186</v>
      </c>
      <c r="DB4924" t="str">
        <v/>
      </c>
    </row>
    <row r="4925" spans="83:106" x14ac:dyDescent="0.2">
      <c r="CE4925"/>
      <c r="CF4925"/>
      <c r="CG4925"/>
      <c r="CH4925"/>
      <c r="CI4925"/>
      <c r="CU4925" s="21">
        <v>4920</v>
      </c>
      <c r="CV4925" s="21">
        <v>4</v>
      </c>
      <c r="CW4925" s="21">
        <v>0.11332468572476186</v>
      </c>
      <c r="CX4925" s="21" t="e">
        <v>#N/A</v>
      </c>
      <c r="CY4925" s="21" t="e">
        <v>#N/A</v>
      </c>
      <c r="CZ4925" s="21" t="e">
        <v>#N/A</v>
      </c>
      <c r="DA4925">
        <v>0.11332468572476186</v>
      </c>
      <c r="DB4925" t="str">
        <v/>
      </c>
    </row>
    <row r="4926" spans="83:106" x14ac:dyDescent="0.2">
      <c r="CE4926"/>
      <c r="CF4926"/>
      <c r="CG4926"/>
      <c r="CH4926"/>
      <c r="CI4926"/>
      <c r="CU4926" s="21">
        <v>4921</v>
      </c>
      <c r="CV4926" s="21">
        <v>4</v>
      </c>
      <c r="CW4926" s="21">
        <v>0.11332468572476186</v>
      </c>
      <c r="CX4926" s="21" t="e">
        <v>#N/A</v>
      </c>
      <c r="CY4926" s="21" t="e">
        <v>#N/A</v>
      </c>
      <c r="CZ4926" s="21" t="e">
        <v>#N/A</v>
      </c>
      <c r="DA4926">
        <v>0.11332468572476186</v>
      </c>
      <c r="DB4926" t="str">
        <v/>
      </c>
    </row>
    <row r="4927" spans="83:106" x14ac:dyDescent="0.2">
      <c r="CE4927"/>
      <c r="CF4927"/>
      <c r="CG4927"/>
      <c r="CH4927"/>
      <c r="CI4927"/>
      <c r="CU4927" s="21">
        <v>4922</v>
      </c>
      <c r="CV4927" s="21">
        <v>4</v>
      </c>
      <c r="CW4927" s="21">
        <v>0.11332468572476186</v>
      </c>
      <c r="CX4927" s="21" t="e">
        <v>#N/A</v>
      </c>
      <c r="CY4927" s="21" t="e">
        <v>#N/A</v>
      </c>
      <c r="CZ4927" s="21" t="e">
        <v>#N/A</v>
      </c>
      <c r="DA4927">
        <v>0.11332468572476186</v>
      </c>
      <c r="DB4927" t="str">
        <v/>
      </c>
    </row>
    <row r="4928" spans="83:106" x14ac:dyDescent="0.2">
      <c r="CE4928"/>
      <c r="CF4928"/>
      <c r="CG4928"/>
      <c r="CH4928"/>
      <c r="CI4928"/>
      <c r="CU4928" s="21">
        <v>4923</v>
      </c>
      <c r="CV4928" s="21">
        <v>4</v>
      </c>
      <c r="CW4928" s="21">
        <v>0.11332468572476186</v>
      </c>
      <c r="CX4928" s="21" t="e">
        <v>#N/A</v>
      </c>
      <c r="CY4928" s="21" t="e">
        <v>#N/A</v>
      </c>
      <c r="CZ4928" s="21" t="e">
        <v>#N/A</v>
      </c>
      <c r="DA4928">
        <v>0.11332468572476186</v>
      </c>
      <c r="DB4928" t="str">
        <v/>
      </c>
    </row>
    <row r="4929" spans="83:106" x14ac:dyDescent="0.2">
      <c r="CE4929"/>
      <c r="CF4929"/>
      <c r="CG4929"/>
      <c r="CH4929"/>
      <c r="CI4929"/>
      <c r="CU4929" s="21">
        <v>4924</v>
      </c>
      <c r="CV4929" s="21">
        <v>4</v>
      </c>
      <c r="CW4929" s="21">
        <v>0.11332468572476186</v>
      </c>
      <c r="CX4929" s="21" t="e">
        <v>#N/A</v>
      </c>
      <c r="CY4929" s="21" t="e">
        <v>#N/A</v>
      </c>
      <c r="CZ4929" s="21" t="e">
        <v>#N/A</v>
      </c>
      <c r="DA4929">
        <v>0.11332468572476186</v>
      </c>
      <c r="DB4929" t="str">
        <v/>
      </c>
    </row>
    <row r="4930" spans="83:106" x14ac:dyDescent="0.2">
      <c r="CE4930"/>
      <c r="CF4930"/>
      <c r="CG4930"/>
      <c r="CH4930"/>
      <c r="CI4930"/>
      <c r="CU4930" s="21">
        <v>4925</v>
      </c>
      <c r="CV4930" s="21">
        <v>4</v>
      </c>
      <c r="CW4930" s="21">
        <v>0.11332468572476186</v>
      </c>
      <c r="CX4930" s="21" t="e">
        <v>#N/A</v>
      </c>
      <c r="CY4930" s="21" t="e">
        <v>#N/A</v>
      </c>
      <c r="CZ4930" s="21" t="e">
        <v>#N/A</v>
      </c>
      <c r="DA4930">
        <v>0.11332468572476186</v>
      </c>
      <c r="DB4930" t="str">
        <v/>
      </c>
    </row>
    <row r="4931" spans="83:106" x14ac:dyDescent="0.2">
      <c r="CE4931"/>
      <c r="CF4931"/>
      <c r="CG4931"/>
      <c r="CH4931"/>
      <c r="CI4931"/>
      <c r="CU4931" s="21">
        <v>4926</v>
      </c>
      <c r="CV4931" s="21">
        <v>4</v>
      </c>
      <c r="CW4931" s="21">
        <v>0.11332468572476186</v>
      </c>
      <c r="CX4931" s="21" t="e">
        <v>#N/A</v>
      </c>
      <c r="CY4931" s="21" t="e">
        <v>#N/A</v>
      </c>
      <c r="CZ4931" s="21" t="e">
        <v>#N/A</v>
      </c>
      <c r="DA4931">
        <v>0.11332468572476186</v>
      </c>
      <c r="DB4931" t="str">
        <v/>
      </c>
    </row>
    <row r="4932" spans="83:106" x14ac:dyDescent="0.2">
      <c r="CE4932"/>
      <c r="CF4932"/>
      <c r="CG4932"/>
      <c r="CH4932"/>
      <c r="CI4932"/>
      <c r="CU4932" s="21">
        <v>4927</v>
      </c>
      <c r="CV4932" s="21">
        <v>4</v>
      </c>
      <c r="CW4932" s="21">
        <v>0.11332468572476186</v>
      </c>
      <c r="CX4932" s="21" t="e">
        <v>#N/A</v>
      </c>
      <c r="CY4932" s="21" t="e">
        <v>#N/A</v>
      </c>
      <c r="CZ4932" s="21" t="e">
        <v>#N/A</v>
      </c>
      <c r="DA4932">
        <v>0.11332468572476186</v>
      </c>
      <c r="DB4932" t="str">
        <v/>
      </c>
    </row>
    <row r="4933" spans="83:106" x14ac:dyDescent="0.2">
      <c r="CE4933"/>
      <c r="CF4933"/>
      <c r="CG4933"/>
      <c r="CH4933"/>
      <c r="CI4933"/>
      <c r="CU4933" s="21">
        <v>4928</v>
      </c>
      <c r="CV4933" s="21">
        <v>4</v>
      </c>
      <c r="CW4933" s="21">
        <v>0.11332468572476186</v>
      </c>
      <c r="CX4933" s="21" t="e">
        <v>#N/A</v>
      </c>
      <c r="CY4933" s="21" t="e">
        <v>#N/A</v>
      </c>
      <c r="CZ4933" s="21" t="e">
        <v>#N/A</v>
      </c>
      <c r="DA4933">
        <v>0.11332468572476186</v>
      </c>
      <c r="DB4933" t="str">
        <v/>
      </c>
    </row>
    <row r="4934" spans="83:106" x14ac:dyDescent="0.2">
      <c r="CE4934"/>
      <c r="CF4934"/>
      <c r="CG4934"/>
      <c r="CH4934"/>
      <c r="CI4934"/>
      <c r="CU4934" s="21">
        <v>4929</v>
      </c>
      <c r="CV4934" s="21">
        <v>4</v>
      </c>
      <c r="CW4934" s="21">
        <v>0.11332468572476186</v>
      </c>
      <c r="CX4934" s="21" t="e">
        <v>#N/A</v>
      </c>
      <c r="CY4934" s="21" t="e">
        <v>#N/A</v>
      </c>
      <c r="CZ4934" s="21" t="e">
        <v>#N/A</v>
      </c>
      <c r="DA4934">
        <v>0.11332468572476186</v>
      </c>
      <c r="DB4934" t="str">
        <v/>
      </c>
    </row>
    <row r="4935" spans="83:106" x14ac:dyDescent="0.2">
      <c r="CE4935"/>
      <c r="CF4935"/>
      <c r="CG4935"/>
      <c r="CH4935"/>
      <c r="CI4935"/>
      <c r="CU4935" s="21">
        <v>4930</v>
      </c>
      <c r="CV4935" s="21">
        <v>4</v>
      </c>
      <c r="CW4935" s="21">
        <v>0.11332468572476186</v>
      </c>
      <c r="CX4935" s="21" t="e">
        <v>#N/A</v>
      </c>
      <c r="CY4935" s="21" t="e">
        <v>#N/A</v>
      </c>
      <c r="CZ4935" s="21" t="e">
        <v>#N/A</v>
      </c>
      <c r="DA4935">
        <v>0.11332468572476186</v>
      </c>
      <c r="DB4935" t="str">
        <v/>
      </c>
    </row>
    <row r="4936" spans="83:106" x14ac:dyDescent="0.2">
      <c r="CE4936"/>
      <c r="CF4936"/>
      <c r="CG4936"/>
      <c r="CH4936"/>
      <c r="CI4936"/>
      <c r="CU4936" s="21">
        <v>4931</v>
      </c>
      <c r="CV4936" s="21">
        <v>4</v>
      </c>
      <c r="CW4936" s="21">
        <v>0.11332468572476186</v>
      </c>
      <c r="CX4936" s="21" t="e">
        <v>#N/A</v>
      </c>
      <c r="CY4936" s="21" t="e">
        <v>#N/A</v>
      </c>
      <c r="CZ4936" s="21" t="e">
        <v>#N/A</v>
      </c>
      <c r="DA4936">
        <v>0.11332468572476186</v>
      </c>
      <c r="DB4936" t="str">
        <v/>
      </c>
    </row>
    <row r="4937" spans="83:106" x14ac:dyDescent="0.2">
      <c r="CE4937"/>
      <c r="CF4937"/>
      <c r="CG4937"/>
      <c r="CH4937"/>
      <c r="CI4937"/>
      <c r="CU4937" s="21">
        <v>4932</v>
      </c>
      <c r="CV4937" s="21">
        <v>4</v>
      </c>
      <c r="CW4937" s="21">
        <v>0.11332468572476186</v>
      </c>
      <c r="CX4937" s="21" t="e">
        <v>#N/A</v>
      </c>
      <c r="CY4937" s="21" t="e">
        <v>#N/A</v>
      </c>
      <c r="CZ4937" s="21" t="e">
        <v>#N/A</v>
      </c>
      <c r="DA4937">
        <v>0.11332468572476186</v>
      </c>
      <c r="DB4937" t="str">
        <v/>
      </c>
    </row>
    <row r="4938" spans="83:106" x14ac:dyDescent="0.2">
      <c r="CE4938"/>
      <c r="CF4938"/>
      <c r="CG4938"/>
      <c r="CH4938"/>
      <c r="CI4938"/>
      <c r="CU4938" s="21">
        <v>4933</v>
      </c>
      <c r="CV4938" s="21">
        <v>4</v>
      </c>
      <c r="CW4938" s="21">
        <v>0.11332468572476186</v>
      </c>
      <c r="CX4938" s="21" t="e">
        <v>#N/A</v>
      </c>
      <c r="CY4938" s="21" t="e">
        <v>#N/A</v>
      </c>
      <c r="CZ4938" s="21" t="e">
        <v>#N/A</v>
      </c>
      <c r="DA4938">
        <v>0.11332468572476186</v>
      </c>
      <c r="DB4938" t="str">
        <v/>
      </c>
    </row>
    <row r="4939" spans="83:106" x14ac:dyDescent="0.2">
      <c r="CE4939"/>
      <c r="CF4939"/>
      <c r="CG4939"/>
      <c r="CH4939"/>
      <c r="CI4939"/>
      <c r="CU4939" s="21">
        <v>4934</v>
      </c>
      <c r="CV4939" s="21">
        <v>4</v>
      </c>
      <c r="CW4939" s="21">
        <v>0.11332468572476186</v>
      </c>
      <c r="CX4939" s="21" t="e">
        <v>#N/A</v>
      </c>
      <c r="CY4939" s="21" t="e">
        <v>#N/A</v>
      </c>
      <c r="CZ4939" s="21" t="e">
        <v>#N/A</v>
      </c>
      <c r="DA4939">
        <v>0.11332468572476186</v>
      </c>
      <c r="DB4939" t="str">
        <v/>
      </c>
    </row>
    <row r="4940" spans="83:106" x14ac:dyDescent="0.2">
      <c r="CE4940"/>
      <c r="CF4940"/>
      <c r="CG4940"/>
      <c r="CH4940"/>
      <c r="CI4940"/>
      <c r="CU4940" s="21">
        <v>4935</v>
      </c>
      <c r="CV4940" s="21">
        <v>4</v>
      </c>
      <c r="CW4940" s="21">
        <v>0.11332468572476186</v>
      </c>
      <c r="CX4940" s="21" t="e">
        <v>#N/A</v>
      </c>
      <c r="CY4940" s="21" t="e">
        <v>#N/A</v>
      </c>
      <c r="CZ4940" s="21" t="e">
        <v>#N/A</v>
      </c>
      <c r="DA4940">
        <v>0.11332468572476186</v>
      </c>
      <c r="DB4940" t="str">
        <v/>
      </c>
    </row>
    <row r="4941" spans="83:106" x14ac:dyDescent="0.2">
      <c r="CE4941"/>
      <c r="CF4941"/>
      <c r="CG4941"/>
      <c r="CH4941"/>
      <c r="CI4941"/>
      <c r="CU4941" s="21">
        <v>4936</v>
      </c>
      <c r="CV4941" s="21">
        <v>4</v>
      </c>
      <c r="CW4941" s="21">
        <v>0.11332468572476186</v>
      </c>
      <c r="CX4941" s="21" t="e">
        <v>#N/A</v>
      </c>
      <c r="CY4941" s="21" t="e">
        <v>#N/A</v>
      </c>
      <c r="CZ4941" s="21" t="e">
        <v>#N/A</v>
      </c>
      <c r="DA4941">
        <v>0.11332468572476186</v>
      </c>
      <c r="DB4941" t="str">
        <v/>
      </c>
    </row>
    <row r="4942" spans="83:106" x14ac:dyDescent="0.2">
      <c r="CE4942"/>
      <c r="CF4942"/>
      <c r="CG4942"/>
      <c r="CH4942"/>
      <c r="CI4942"/>
      <c r="CU4942" s="21">
        <v>4937</v>
      </c>
      <c r="CV4942" s="21">
        <v>4</v>
      </c>
      <c r="CW4942" s="21">
        <v>0.11332468572476186</v>
      </c>
      <c r="CX4942" s="21" t="e">
        <v>#N/A</v>
      </c>
      <c r="CY4942" s="21" t="e">
        <v>#N/A</v>
      </c>
      <c r="CZ4942" s="21" t="e">
        <v>#N/A</v>
      </c>
      <c r="DA4942">
        <v>0.11332468572476186</v>
      </c>
      <c r="DB4942" t="str">
        <v/>
      </c>
    </row>
    <row r="4943" spans="83:106" x14ac:dyDescent="0.2">
      <c r="CE4943"/>
      <c r="CF4943"/>
      <c r="CG4943"/>
      <c r="CH4943"/>
      <c r="CI4943"/>
      <c r="CU4943" s="21">
        <v>4938</v>
      </c>
      <c r="CV4943" s="21">
        <v>4</v>
      </c>
      <c r="CW4943" s="21">
        <v>0.11332468572476186</v>
      </c>
      <c r="CX4943" s="21" t="e">
        <v>#N/A</v>
      </c>
      <c r="CY4943" s="21" t="e">
        <v>#N/A</v>
      </c>
      <c r="CZ4943" s="21" t="e">
        <v>#N/A</v>
      </c>
      <c r="DA4943">
        <v>0.11332468572476186</v>
      </c>
      <c r="DB4943" t="str">
        <v/>
      </c>
    </row>
    <row r="4944" spans="83:106" x14ac:dyDescent="0.2">
      <c r="CE4944"/>
      <c r="CF4944"/>
      <c r="CG4944"/>
      <c r="CH4944"/>
      <c r="CI4944"/>
      <c r="CU4944" s="21">
        <v>4939</v>
      </c>
      <c r="CV4944" s="21">
        <v>4</v>
      </c>
      <c r="CW4944" s="21">
        <v>0.11332468572476186</v>
      </c>
      <c r="CX4944" s="21" t="e">
        <v>#N/A</v>
      </c>
      <c r="CY4944" s="21" t="e">
        <v>#N/A</v>
      </c>
      <c r="CZ4944" s="21" t="e">
        <v>#N/A</v>
      </c>
      <c r="DA4944">
        <v>0.11332468572476186</v>
      </c>
      <c r="DB4944" t="str">
        <v/>
      </c>
    </row>
    <row r="4945" spans="83:106" x14ac:dyDescent="0.2">
      <c r="CE4945"/>
      <c r="CF4945"/>
      <c r="CG4945"/>
      <c r="CH4945"/>
      <c r="CI4945"/>
      <c r="CU4945" s="21">
        <v>4940</v>
      </c>
      <c r="CV4945" s="21">
        <v>4</v>
      </c>
      <c r="CW4945" s="21">
        <v>0.11332468572476186</v>
      </c>
      <c r="CX4945" s="21" t="e">
        <v>#N/A</v>
      </c>
      <c r="CY4945" s="21" t="e">
        <v>#N/A</v>
      </c>
      <c r="CZ4945" s="21" t="e">
        <v>#N/A</v>
      </c>
      <c r="DA4945">
        <v>0.11332468572476186</v>
      </c>
      <c r="DB4945" t="str">
        <v/>
      </c>
    </row>
    <row r="4946" spans="83:106" x14ac:dyDescent="0.2">
      <c r="CE4946"/>
      <c r="CF4946"/>
      <c r="CG4946"/>
      <c r="CH4946"/>
      <c r="CI4946"/>
      <c r="CU4946" s="21">
        <v>4941</v>
      </c>
      <c r="CV4946" s="21">
        <v>4</v>
      </c>
      <c r="CW4946" s="21">
        <v>0.11332468572476186</v>
      </c>
      <c r="CX4946" s="21" t="e">
        <v>#N/A</v>
      </c>
      <c r="CY4946" s="21" t="e">
        <v>#N/A</v>
      </c>
      <c r="CZ4946" s="21" t="e">
        <v>#N/A</v>
      </c>
      <c r="DA4946">
        <v>0.11332468572476186</v>
      </c>
      <c r="DB4946" t="str">
        <v/>
      </c>
    </row>
    <row r="4947" spans="83:106" x14ac:dyDescent="0.2">
      <c r="CE4947"/>
      <c r="CF4947"/>
      <c r="CG4947"/>
      <c r="CH4947"/>
      <c r="CI4947"/>
      <c r="CU4947" s="21">
        <v>4942</v>
      </c>
      <c r="CV4947" s="21">
        <v>4</v>
      </c>
      <c r="CW4947" s="21">
        <v>0.11332468572476186</v>
      </c>
      <c r="CX4947" s="21" t="e">
        <v>#N/A</v>
      </c>
      <c r="CY4947" s="21" t="e">
        <v>#N/A</v>
      </c>
      <c r="CZ4947" s="21" t="e">
        <v>#N/A</v>
      </c>
      <c r="DA4947">
        <v>0.11332468572476186</v>
      </c>
      <c r="DB4947" t="str">
        <v/>
      </c>
    </row>
    <row r="4948" spans="83:106" x14ac:dyDescent="0.2">
      <c r="CE4948"/>
      <c r="CF4948"/>
      <c r="CG4948"/>
      <c r="CH4948"/>
      <c r="CI4948"/>
      <c r="CU4948" s="21">
        <v>4943</v>
      </c>
      <c r="CV4948" s="21">
        <v>4</v>
      </c>
      <c r="CW4948" s="21">
        <v>0.11332468572476186</v>
      </c>
      <c r="CX4948" s="21" t="e">
        <v>#N/A</v>
      </c>
      <c r="CY4948" s="21" t="e">
        <v>#N/A</v>
      </c>
      <c r="CZ4948" s="21" t="e">
        <v>#N/A</v>
      </c>
      <c r="DA4948">
        <v>0.11332468572476186</v>
      </c>
      <c r="DB4948" t="str">
        <v/>
      </c>
    </row>
    <row r="4949" spans="83:106" x14ac:dyDescent="0.2">
      <c r="CE4949"/>
      <c r="CF4949"/>
      <c r="CG4949"/>
      <c r="CH4949"/>
      <c r="CI4949"/>
      <c r="CU4949" s="21">
        <v>4944</v>
      </c>
      <c r="CV4949" s="21">
        <v>4</v>
      </c>
      <c r="CW4949" s="21">
        <v>0.11332468572476186</v>
      </c>
      <c r="CX4949" s="21" t="e">
        <v>#N/A</v>
      </c>
      <c r="CY4949" s="21" t="e">
        <v>#N/A</v>
      </c>
      <c r="CZ4949" s="21" t="e">
        <v>#N/A</v>
      </c>
      <c r="DA4949">
        <v>0.11332468572476186</v>
      </c>
      <c r="DB4949" t="str">
        <v/>
      </c>
    </row>
    <row r="4950" spans="83:106" x14ac:dyDescent="0.2">
      <c r="CE4950"/>
      <c r="CF4950"/>
      <c r="CG4950"/>
      <c r="CH4950"/>
      <c r="CI4950"/>
      <c r="CU4950" s="21">
        <v>4945</v>
      </c>
      <c r="CV4950" s="21">
        <v>4</v>
      </c>
      <c r="CW4950" s="21">
        <v>0.11332468572476186</v>
      </c>
      <c r="CX4950" s="21" t="e">
        <v>#N/A</v>
      </c>
      <c r="CY4950" s="21" t="e">
        <v>#N/A</v>
      </c>
      <c r="CZ4950" s="21" t="e">
        <v>#N/A</v>
      </c>
      <c r="DA4950">
        <v>0.11332468572476186</v>
      </c>
      <c r="DB4950" t="str">
        <v/>
      </c>
    </row>
    <row r="4951" spans="83:106" x14ac:dyDescent="0.2">
      <c r="CE4951"/>
      <c r="CF4951"/>
      <c r="CG4951"/>
      <c r="CH4951"/>
      <c r="CI4951"/>
      <c r="CU4951" s="21">
        <v>4946</v>
      </c>
      <c r="CV4951" s="21">
        <v>4</v>
      </c>
      <c r="CW4951" s="21">
        <v>0.11332468572476186</v>
      </c>
      <c r="CX4951" s="21" t="e">
        <v>#N/A</v>
      </c>
      <c r="CY4951" s="21" t="e">
        <v>#N/A</v>
      </c>
      <c r="CZ4951" s="21" t="e">
        <v>#N/A</v>
      </c>
      <c r="DA4951">
        <v>0.11332468572476186</v>
      </c>
      <c r="DB4951" t="str">
        <v/>
      </c>
    </row>
    <row r="4952" spans="83:106" x14ac:dyDescent="0.2">
      <c r="CE4952"/>
      <c r="CF4952"/>
      <c r="CG4952"/>
      <c r="CH4952"/>
      <c r="CI4952"/>
      <c r="CU4952" s="21">
        <v>4947</v>
      </c>
      <c r="CV4952" s="21">
        <v>4</v>
      </c>
      <c r="CW4952" s="21">
        <v>0.11332468572476186</v>
      </c>
      <c r="CX4952" s="21" t="e">
        <v>#N/A</v>
      </c>
      <c r="CY4952" s="21" t="e">
        <v>#N/A</v>
      </c>
      <c r="CZ4952" s="21" t="e">
        <v>#N/A</v>
      </c>
      <c r="DA4952">
        <v>0.11332468572476186</v>
      </c>
      <c r="DB4952" t="str">
        <v/>
      </c>
    </row>
    <row r="4953" spans="83:106" x14ac:dyDescent="0.2">
      <c r="CE4953"/>
      <c r="CF4953"/>
      <c r="CG4953"/>
      <c r="CH4953"/>
      <c r="CI4953"/>
      <c r="CU4953" s="21">
        <v>4948</v>
      </c>
      <c r="CV4953" s="21">
        <v>4</v>
      </c>
      <c r="CW4953" s="21">
        <v>0.11332468572476186</v>
      </c>
      <c r="CX4953" s="21" t="e">
        <v>#N/A</v>
      </c>
      <c r="CY4953" s="21" t="e">
        <v>#N/A</v>
      </c>
      <c r="CZ4953" s="21" t="e">
        <v>#N/A</v>
      </c>
      <c r="DA4953">
        <v>0.11332468572476186</v>
      </c>
      <c r="DB4953" t="str">
        <v/>
      </c>
    </row>
    <row r="4954" spans="83:106" x14ac:dyDescent="0.2">
      <c r="CE4954"/>
      <c r="CF4954"/>
      <c r="CG4954"/>
      <c r="CH4954"/>
      <c r="CI4954"/>
      <c r="CU4954" s="21">
        <v>4949</v>
      </c>
      <c r="CV4954" s="21">
        <v>4</v>
      </c>
      <c r="CW4954" s="21">
        <v>0.11332468572476186</v>
      </c>
      <c r="CX4954" s="21" t="e">
        <v>#N/A</v>
      </c>
      <c r="CY4954" s="21" t="e">
        <v>#N/A</v>
      </c>
      <c r="CZ4954" s="21" t="e">
        <v>#N/A</v>
      </c>
      <c r="DA4954">
        <v>0.11332468572476186</v>
      </c>
      <c r="DB4954" t="str">
        <v/>
      </c>
    </row>
    <row r="4955" spans="83:106" x14ac:dyDescent="0.2">
      <c r="CE4955"/>
      <c r="CF4955"/>
      <c r="CG4955"/>
      <c r="CH4955"/>
      <c r="CI4955"/>
      <c r="CU4955" s="21">
        <v>4950</v>
      </c>
      <c r="CV4955" s="21">
        <v>4</v>
      </c>
      <c r="CW4955" s="21">
        <v>0.11332468572476186</v>
      </c>
      <c r="CX4955" s="21" t="e">
        <v>#N/A</v>
      </c>
      <c r="CY4955" s="21" t="e">
        <v>#N/A</v>
      </c>
      <c r="CZ4955" s="21" t="e">
        <v>#N/A</v>
      </c>
      <c r="DA4955">
        <v>0.11332468572476186</v>
      </c>
      <c r="DB4955" t="str">
        <v/>
      </c>
    </row>
    <row r="4956" spans="83:106" x14ac:dyDescent="0.2">
      <c r="CE4956"/>
      <c r="CF4956"/>
      <c r="CG4956"/>
      <c r="CH4956"/>
      <c r="CI4956"/>
      <c r="CU4956" s="21">
        <v>4951</v>
      </c>
      <c r="CV4956" s="21">
        <v>4</v>
      </c>
      <c r="CW4956" s="21">
        <v>0.11332468572476186</v>
      </c>
      <c r="CX4956" s="21" t="e">
        <v>#N/A</v>
      </c>
      <c r="CY4956" s="21" t="e">
        <v>#N/A</v>
      </c>
      <c r="CZ4956" s="21" t="e">
        <v>#N/A</v>
      </c>
      <c r="DA4956">
        <v>0.11332468572476186</v>
      </c>
      <c r="DB4956" t="str">
        <v/>
      </c>
    </row>
    <row r="4957" spans="83:106" x14ac:dyDescent="0.2">
      <c r="CE4957"/>
      <c r="CF4957"/>
      <c r="CG4957"/>
      <c r="CH4957"/>
      <c r="CI4957"/>
      <c r="CU4957" s="21">
        <v>4952</v>
      </c>
      <c r="CV4957" s="21">
        <v>4</v>
      </c>
      <c r="CW4957" s="21">
        <v>0.11332468572476186</v>
      </c>
      <c r="CX4957" s="21" t="e">
        <v>#N/A</v>
      </c>
      <c r="CY4957" s="21" t="e">
        <v>#N/A</v>
      </c>
      <c r="CZ4957" s="21" t="e">
        <v>#N/A</v>
      </c>
      <c r="DA4957">
        <v>0.11332468572476186</v>
      </c>
      <c r="DB4957" t="str">
        <v/>
      </c>
    </row>
    <row r="4958" spans="83:106" x14ac:dyDescent="0.2">
      <c r="CE4958"/>
      <c r="CF4958"/>
      <c r="CG4958"/>
      <c r="CH4958"/>
      <c r="CI4958"/>
      <c r="CU4958" s="21">
        <v>4953</v>
      </c>
      <c r="CV4958" s="21">
        <v>4</v>
      </c>
      <c r="CW4958" s="21">
        <v>0.11332468572476186</v>
      </c>
      <c r="CX4958" s="21" t="e">
        <v>#N/A</v>
      </c>
      <c r="CY4958" s="21" t="e">
        <v>#N/A</v>
      </c>
      <c r="CZ4958" s="21" t="e">
        <v>#N/A</v>
      </c>
      <c r="DA4958">
        <v>0.11332468572476186</v>
      </c>
      <c r="DB4958" t="str">
        <v/>
      </c>
    </row>
    <row r="4959" spans="83:106" x14ac:dyDescent="0.2">
      <c r="CE4959"/>
      <c r="CF4959"/>
      <c r="CG4959"/>
      <c r="CH4959"/>
      <c r="CI4959"/>
      <c r="CU4959" s="21">
        <v>4954</v>
      </c>
      <c r="CV4959" s="21">
        <v>4</v>
      </c>
      <c r="CW4959" s="21">
        <v>0.11332468572476186</v>
      </c>
      <c r="CX4959" s="21" t="e">
        <v>#N/A</v>
      </c>
      <c r="CY4959" s="21" t="e">
        <v>#N/A</v>
      </c>
      <c r="CZ4959" s="21" t="e">
        <v>#N/A</v>
      </c>
      <c r="DA4959">
        <v>0.11332468572476186</v>
      </c>
      <c r="DB4959" t="str">
        <v/>
      </c>
    </row>
    <row r="4960" spans="83:106" x14ac:dyDescent="0.2">
      <c r="CE4960"/>
      <c r="CF4960"/>
      <c r="CG4960"/>
      <c r="CH4960"/>
      <c r="CI4960"/>
      <c r="CU4960" s="21">
        <v>4955</v>
      </c>
      <c r="CV4960" s="21">
        <v>4</v>
      </c>
      <c r="CW4960" s="21">
        <v>0.11332468572476186</v>
      </c>
      <c r="CX4960" s="21" t="e">
        <v>#N/A</v>
      </c>
      <c r="CY4960" s="21" t="e">
        <v>#N/A</v>
      </c>
      <c r="CZ4960" s="21" t="e">
        <v>#N/A</v>
      </c>
      <c r="DA4960">
        <v>0.11332468572476186</v>
      </c>
      <c r="DB4960" t="str">
        <v/>
      </c>
    </row>
    <row r="4961" spans="83:106" x14ac:dyDescent="0.2">
      <c r="CE4961"/>
      <c r="CF4961"/>
      <c r="CG4961"/>
      <c r="CH4961"/>
      <c r="CI4961"/>
      <c r="CU4961" s="21">
        <v>4956</v>
      </c>
      <c r="CV4961" s="21">
        <v>4</v>
      </c>
      <c r="CW4961" s="21">
        <v>0.11332468572476186</v>
      </c>
      <c r="CX4961" s="21" t="e">
        <v>#N/A</v>
      </c>
      <c r="CY4961" s="21" t="e">
        <v>#N/A</v>
      </c>
      <c r="CZ4961" s="21" t="e">
        <v>#N/A</v>
      </c>
      <c r="DA4961">
        <v>0.11332468572476186</v>
      </c>
      <c r="DB4961" t="str">
        <v/>
      </c>
    </row>
    <row r="4962" spans="83:106" x14ac:dyDescent="0.2">
      <c r="CE4962"/>
      <c r="CF4962"/>
      <c r="CG4962"/>
      <c r="CH4962"/>
      <c r="CI4962"/>
      <c r="CU4962" s="21">
        <v>4957</v>
      </c>
      <c r="CV4962" s="21">
        <v>4</v>
      </c>
      <c r="CW4962" s="21">
        <v>0.11332468572476186</v>
      </c>
      <c r="CX4962" s="21" t="e">
        <v>#N/A</v>
      </c>
      <c r="CY4962" s="21" t="e">
        <v>#N/A</v>
      </c>
      <c r="CZ4962" s="21" t="e">
        <v>#N/A</v>
      </c>
      <c r="DA4962">
        <v>0.11332468572476186</v>
      </c>
      <c r="DB4962" t="str">
        <v/>
      </c>
    </row>
    <row r="4963" spans="83:106" x14ac:dyDescent="0.2">
      <c r="CE4963"/>
      <c r="CF4963"/>
      <c r="CG4963"/>
      <c r="CH4963"/>
      <c r="CI4963"/>
      <c r="CU4963" s="21">
        <v>4958</v>
      </c>
      <c r="CV4963" s="21">
        <v>4</v>
      </c>
      <c r="CW4963" s="21">
        <v>0.11332468572476186</v>
      </c>
      <c r="CX4963" s="21" t="e">
        <v>#N/A</v>
      </c>
      <c r="CY4963" s="21" t="e">
        <v>#N/A</v>
      </c>
      <c r="CZ4963" s="21" t="e">
        <v>#N/A</v>
      </c>
      <c r="DA4963">
        <v>0.11332468572476186</v>
      </c>
      <c r="DB4963" t="str">
        <v/>
      </c>
    </row>
    <row r="4964" spans="83:106" x14ac:dyDescent="0.2">
      <c r="CE4964"/>
      <c r="CF4964"/>
      <c r="CG4964"/>
      <c r="CH4964"/>
      <c r="CI4964"/>
      <c r="CU4964" s="21">
        <v>4959</v>
      </c>
      <c r="CV4964" s="21">
        <v>4</v>
      </c>
      <c r="CW4964" s="21">
        <v>0.11332468572476186</v>
      </c>
      <c r="CX4964" s="21" t="e">
        <v>#N/A</v>
      </c>
      <c r="CY4964" s="21" t="e">
        <v>#N/A</v>
      </c>
      <c r="CZ4964" s="21" t="e">
        <v>#N/A</v>
      </c>
      <c r="DA4964">
        <v>0.11332468572476186</v>
      </c>
      <c r="DB4964" t="str">
        <v/>
      </c>
    </row>
    <row r="4965" spans="83:106" x14ac:dyDescent="0.2">
      <c r="CE4965"/>
      <c r="CF4965"/>
      <c r="CG4965"/>
      <c r="CH4965"/>
      <c r="CI4965"/>
      <c r="CU4965" s="21">
        <v>4960</v>
      </c>
      <c r="CV4965" s="21">
        <v>4</v>
      </c>
      <c r="CW4965" s="21">
        <v>0.11332468572476186</v>
      </c>
      <c r="CX4965" s="21" t="e">
        <v>#N/A</v>
      </c>
      <c r="CY4965" s="21" t="e">
        <v>#N/A</v>
      </c>
      <c r="CZ4965" s="21" t="e">
        <v>#N/A</v>
      </c>
      <c r="DA4965">
        <v>0.11332468572476186</v>
      </c>
      <c r="DB4965" t="str">
        <v/>
      </c>
    </row>
    <row r="4966" spans="83:106" x14ac:dyDescent="0.2">
      <c r="CE4966"/>
      <c r="CF4966"/>
      <c r="CG4966"/>
      <c r="CH4966"/>
      <c r="CI4966"/>
      <c r="CU4966" s="21">
        <v>4961</v>
      </c>
      <c r="CV4966" s="21">
        <v>4</v>
      </c>
      <c r="CW4966" s="21">
        <v>0.11332468572476186</v>
      </c>
      <c r="CX4966" s="21" t="e">
        <v>#N/A</v>
      </c>
      <c r="CY4966" s="21" t="e">
        <v>#N/A</v>
      </c>
      <c r="CZ4966" s="21" t="e">
        <v>#N/A</v>
      </c>
      <c r="DA4966">
        <v>0.11332468572476186</v>
      </c>
      <c r="DB4966" t="str">
        <v/>
      </c>
    </row>
    <row r="4967" spans="83:106" x14ac:dyDescent="0.2">
      <c r="CE4967"/>
      <c r="CF4967"/>
      <c r="CG4967"/>
      <c r="CH4967"/>
      <c r="CI4967"/>
      <c r="CU4967" s="21">
        <v>4962</v>
      </c>
      <c r="CV4967" s="21">
        <v>4</v>
      </c>
      <c r="CW4967" s="21">
        <v>0.11332468572476186</v>
      </c>
      <c r="CX4967" s="21" t="e">
        <v>#N/A</v>
      </c>
      <c r="CY4967" s="21" t="e">
        <v>#N/A</v>
      </c>
      <c r="CZ4967" s="21" t="e">
        <v>#N/A</v>
      </c>
      <c r="DA4967">
        <v>0.11332468572476186</v>
      </c>
      <c r="DB4967" t="str">
        <v/>
      </c>
    </row>
    <row r="4968" spans="83:106" x14ac:dyDescent="0.2">
      <c r="CE4968"/>
      <c r="CF4968"/>
      <c r="CG4968"/>
      <c r="CH4968"/>
      <c r="CI4968"/>
      <c r="CU4968" s="21">
        <v>4963</v>
      </c>
      <c r="CV4968" s="21">
        <v>4</v>
      </c>
      <c r="CW4968" s="21">
        <v>0.11332468572476186</v>
      </c>
      <c r="CX4968" s="21" t="e">
        <v>#N/A</v>
      </c>
      <c r="CY4968" s="21" t="e">
        <v>#N/A</v>
      </c>
      <c r="CZ4968" s="21" t="e">
        <v>#N/A</v>
      </c>
      <c r="DA4968">
        <v>0.11332468572476186</v>
      </c>
      <c r="DB4968" t="str">
        <v/>
      </c>
    </row>
    <row r="4969" spans="83:106" x14ac:dyDescent="0.2">
      <c r="CE4969"/>
      <c r="CF4969"/>
      <c r="CG4969"/>
      <c r="CH4969"/>
      <c r="CI4969"/>
      <c r="CU4969" s="21">
        <v>4964</v>
      </c>
      <c r="CV4969" s="21">
        <v>4</v>
      </c>
      <c r="CW4969" s="21">
        <v>0.11332468572476186</v>
      </c>
      <c r="CX4969" s="21" t="e">
        <v>#N/A</v>
      </c>
      <c r="CY4969" s="21" t="e">
        <v>#N/A</v>
      </c>
      <c r="CZ4969" s="21" t="e">
        <v>#N/A</v>
      </c>
      <c r="DA4969">
        <v>0.11332468572476186</v>
      </c>
      <c r="DB4969" t="str">
        <v/>
      </c>
    </row>
    <row r="4970" spans="83:106" x14ac:dyDescent="0.2">
      <c r="CE4970"/>
      <c r="CF4970"/>
      <c r="CG4970"/>
      <c r="CH4970"/>
      <c r="CI4970"/>
      <c r="CU4970" s="21">
        <v>4965</v>
      </c>
      <c r="CV4970" s="21">
        <v>4</v>
      </c>
      <c r="CW4970" s="21">
        <v>0.11332468572476186</v>
      </c>
      <c r="CX4970" s="21" t="e">
        <v>#N/A</v>
      </c>
      <c r="CY4970" s="21" t="e">
        <v>#N/A</v>
      </c>
      <c r="CZ4970" s="21" t="e">
        <v>#N/A</v>
      </c>
      <c r="DA4970">
        <v>0.11332468572476186</v>
      </c>
      <c r="DB4970" t="str">
        <v/>
      </c>
    </row>
    <row r="4971" spans="83:106" x14ac:dyDescent="0.2">
      <c r="CE4971"/>
      <c r="CF4971"/>
      <c r="CG4971"/>
      <c r="CH4971"/>
      <c r="CI4971"/>
      <c r="CU4971" s="21">
        <v>4966</v>
      </c>
      <c r="CV4971" s="21">
        <v>4</v>
      </c>
      <c r="CW4971" s="21">
        <v>0.11332468572476186</v>
      </c>
      <c r="CX4971" s="21" t="e">
        <v>#N/A</v>
      </c>
      <c r="CY4971" s="21" t="e">
        <v>#N/A</v>
      </c>
      <c r="CZ4971" s="21" t="e">
        <v>#N/A</v>
      </c>
      <c r="DA4971">
        <v>0.11332468572476186</v>
      </c>
      <c r="DB4971" t="str">
        <v/>
      </c>
    </row>
    <row r="4972" spans="83:106" x14ac:dyDescent="0.2">
      <c r="CE4972"/>
      <c r="CF4972"/>
      <c r="CG4972"/>
      <c r="CH4972"/>
      <c r="CI4972"/>
      <c r="CU4972" s="21">
        <v>4967</v>
      </c>
      <c r="CV4972" s="21">
        <v>4</v>
      </c>
      <c r="CW4972" s="21">
        <v>0.11332468572476186</v>
      </c>
      <c r="CX4972" s="21" t="e">
        <v>#N/A</v>
      </c>
      <c r="CY4972" s="21" t="e">
        <v>#N/A</v>
      </c>
      <c r="CZ4972" s="21" t="e">
        <v>#N/A</v>
      </c>
      <c r="DA4972">
        <v>0.11332468572476186</v>
      </c>
      <c r="DB4972" t="str">
        <v/>
      </c>
    </row>
    <row r="4973" spans="83:106" x14ac:dyDescent="0.2">
      <c r="CE4973"/>
      <c r="CF4973"/>
      <c r="CG4973"/>
      <c r="CH4973"/>
      <c r="CI4973"/>
      <c r="CU4973" s="21">
        <v>4968</v>
      </c>
      <c r="CV4973" s="21">
        <v>4</v>
      </c>
      <c r="CW4973" s="21">
        <v>0.11332468572476186</v>
      </c>
      <c r="CX4973" s="21" t="e">
        <v>#N/A</v>
      </c>
      <c r="CY4973" s="21" t="e">
        <v>#N/A</v>
      </c>
      <c r="CZ4973" s="21" t="e">
        <v>#N/A</v>
      </c>
      <c r="DA4973">
        <v>0.11332468572476186</v>
      </c>
      <c r="DB4973" t="str">
        <v/>
      </c>
    </row>
    <row r="4974" spans="83:106" x14ac:dyDescent="0.2">
      <c r="CE4974"/>
      <c r="CF4974"/>
      <c r="CG4974"/>
      <c r="CH4974"/>
      <c r="CI4974"/>
      <c r="CU4974" s="21">
        <v>4969</v>
      </c>
      <c r="CV4974" s="21">
        <v>4</v>
      </c>
      <c r="CW4974" s="21">
        <v>0.11332468572476186</v>
      </c>
      <c r="CX4974" s="21" t="e">
        <v>#N/A</v>
      </c>
      <c r="CY4974" s="21" t="e">
        <v>#N/A</v>
      </c>
      <c r="CZ4974" s="21" t="e">
        <v>#N/A</v>
      </c>
      <c r="DA4974">
        <v>0.11332468572476186</v>
      </c>
      <c r="DB4974" t="str">
        <v/>
      </c>
    </row>
    <row r="4975" spans="83:106" x14ac:dyDescent="0.2">
      <c r="CE4975"/>
      <c r="CF4975"/>
      <c r="CG4975"/>
      <c r="CH4975"/>
      <c r="CI4975"/>
      <c r="CU4975" s="21">
        <v>4970</v>
      </c>
      <c r="CV4975" s="21">
        <v>4</v>
      </c>
      <c r="CW4975" s="21">
        <v>0.11332468572476186</v>
      </c>
      <c r="CX4975" s="21" t="e">
        <v>#N/A</v>
      </c>
      <c r="CY4975" s="21" t="e">
        <v>#N/A</v>
      </c>
      <c r="CZ4975" s="21" t="e">
        <v>#N/A</v>
      </c>
      <c r="DA4975">
        <v>0.11332468572476186</v>
      </c>
      <c r="DB4975" t="str">
        <v/>
      </c>
    </row>
    <row r="4976" spans="83:106" x14ac:dyDescent="0.2">
      <c r="CE4976"/>
      <c r="CF4976"/>
      <c r="CG4976"/>
      <c r="CH4976"/>
      <c r="CI4976"/>
      <c r="CU4976" s="21">
        <v>4971</v>
      </c>
      <c r="CV4976" s="21">
        <v>4</v>
      </c>
      <c r="CW4976" s="21">
        <v>0.11332468572476186</v>
      </c>
      <c r="CX4976" s="21" t="e">
        <v>#N/A</v>
      </c>
      <c r="CY4976" s="21" t="e">
        <v>#N/A</v>
      </c>
      <c r="CZ4976" s="21" t="e">
        <v>#N/A</v>
      </c>
      <c r="DA4976">
        <v>0.11332468572476186</v>
      </c>
      <c r="DB4976" t="str">
        <v/>
      </c>
    </row>
    <row r="4977" spans="83:106" x14ac:dyDescent="0.2">
      <c r="CE4977"/>
      <c r="CF4977"/>
      <c r="CG4977"/>
      <c r="CH4977"/>
      <c r="CI4977"/>
      <c r="CU4977" s="21">
        <v>4972</v>
      </c>
      <c r="CV4977" s="21">
        <v>4</v>
      </c>
      <c r="CW4977" s="21">
        <v>0.11332468572476186</v>
      </c>
      <c r="CX4977" s="21" t="e">
        <v>#N/A</v>
      </c>
      <c r="CY4977" s="21" t="e">
        <v>#N/A</v>
      </c>
      <c r="CZ4977" s="21" t="e">
        <v>#N/A</v>
      </c>
      <c r="DA4977">
        <v>0.11332468572476186</v>
      </c>
      <c r="DB4977" t="str">
        <v/>
      </c>
    </row>
    <row r="4978" spans="83:106" x14ac:dyDescent="0.2">
      <c r="CE4978"/>
      <c r="CF4978"/>
      <c r="CG4978"/>
      <c r="CH4978"/>
      <c r="CI4978"/>
      <c r="CU4978" s="21">
        <v>4973</v>
      </c>
      <c r="CV4978" s="21">
        <v>4</v>
      </c>
      <c r="CW4978" s="21">
        <v>0.11332468572476186</v>
      </c>
      <c r="CX4978" s="21" t="e">
        <v>#N/A</v>
      </c>
      <c r="CY4978" s="21" t="e">
        <v>#N/A</v>
      </c>
      <c r="CZ4978" s="21" t="e">
        <v>#N/A</v>
      </c>
      <c r="DA4978">
        <v>0.11332468572476186</v>
      </c>
      <c r="DB4978" t="str">
        <v/>
      </c>
    </row>
    <row r="4979" spans="83:106" x14ac:dyDescent="0.2">
      <c r="CE4979"/>
      <c r="CF4979"/>
      <c r="CG4979"/>
      <c r="CH4979"/>
      <c r="CI4979"/>
      <c r="CU4979" s="21">
        <v>4974</v>
      </c>
      <c r="CV4979" s="21">
        <v>4</v>
      </c>
      <c r="CW4979" s="21">
        <v>0.11332468572476186</v>
      </c>
      <c r="CX4979" s="21" t="e">
        <v>#N/A</v>
      </c>
      <c r="CY4979" s="21" t="e">
        <v>#N/A</v>
      </c>
      <c r="CZ4979" s="21" t="e">
        <v>#N/A</v>
      </c>
      <c r="DA4979">
        <v>0.11332468572476186</v>
      </c>
      <c r="DB4979" t="str">
        <v/>
      </c>
    </row>
    <row r="4980" spans="83:106" x14ac:dyDescent="0.2">
      <c r="CE4980"/>
      <c r="CF4980"/>
      <c r="CG4980"/>
      <c r="CH4980"/>
      <c r="CI4980"/>
      <c r="CU4980" s="21">
        <v>4975</v>
      </c>
      <c r="CV4980" s="21">
        <v>4</v>
      </c>
      <c r="CW4980" s="21">
        <v>0.11332468572476186</v>
      </c>
      <c r="CX4980" s="21" t="e">
        <v>#N/A</v>
      </c>
      <c r="CY4980" s="21" t="e">
        <v>#N/A</v>
      </c>
      <c r="CZ4980" s="21" t="e">
        <v>#N/A</v>
      </c>
      <c r="DA4980">
        <v>0.11332468572476186</v>
      </c>
      <c r="DB4980" t="str">
        <v/>
      </c>
    </row>
    <row r="4981" spans="83:106" x14ac:dyDescent="0.2">
      <c r="CE4981"/>
      <c r="CF4981"/>
      <c r="CG4981"/>
      <c r="CH4981"/>
      <c r="CI4981"/>
      <c r="CU4981" s="21">
        <v>4976</v>
      </c>
      <c r="CV4981" s="21">
        <v>4</v>
      </c>
      <c r="CW4981" s="21">
        <v>0.11332468572476186</v>
      </c>
      <c r="CX4981" s="21" t="e">
        <v>#N/A</v>
      </c>
      <c r="CY4981" s="21" t="e">
        <v>#N/A</v>
      </c>
      <c r="CZ4981" s="21" t="e">
        <v>#N/A</v>
      </c>
      <c r="DA4981">
        <v>0.11332468572476186</v>
      </c>
      <c r="DB4981" t="str">
        <v/>
      </c>
    </row>
    <row r="4982" spans="83:106" x14ac:dyDescent="0.2">
      <c r="CE4982"/>
      <c r="CF4982"/>
      <c r="CG4982"/>
      <c r="CH4982"/>
      <c r="CI4982"/>
      <c r="CU4982" s="21">
        <v>4977</v>
      </c>
      <c r="CV4982" s="21">
        <v>4</v>
      </c>
      <c r="CW4982" s="21">
        <v>0.11332468572476186</v>
      </c>
      <c r="CX4982" s="21" t="e">
        <v>#N/A</v>
      </c>
      <c r="CY4982" s="21" t="e">
        <v>#N/A</v>
      </c>
      <c r="CZ4982" s="21" t="e">
        <v>#N/A</v>
      </c>
      <c r="DA4982">
        <v>0.11332468572476186</v>
      </c>
      <c r="DB4982" t="str">
        <v/>
      </c>
    </row>
    <row r="4983" spans="83:106" x14ac:dyDescent="0.2">
      <c r="CE4983"/>
      <c r="CF4983"/>
      <c r="CG4983"/>
      <c r="CH4983"/>
      <c r="CI4983"/>
      <c r="CU4983" s="21">
        <v>4978</v>
      </c>
      <c r="CV4983" s="21">
        <v>4</v>
      </c>
      <c r="CW4983" s="21">
        <v>0.11332468572476186</v>
      </c>
      <c r="CX4983" s="21" t="e">
        <v>#N/A</v>
      </c>
      <c r="CY4983" s="21" t="e">
        <v>#N/A</v>
      </c>
      <c r="CZ4983" s="21" t="e">
        <v>#N/A</v>
      </c>
      <c r="DA4983">
        <v>0.11332468572476186</v>
      </c>
      <c r="DB4983" t="str">
        <v/>
      </c>
    </row>
    <row r="4984" spans="83:106" x14ac:dyDescent="0.2">
      <c r="CE4984"/>
      <c r="CF4984"/>
      <c r="CG4984"/>
      <c r="CH4984"/>
      <c r="CI4984"/>
      <c r="CU4984" s="21">
        <v>4979</v>
      </c>
      <c r="CV4984" s="21">
        <v>4</v>
      </c>
      <c r="CW4984" s="21">
        <v>0.11332468572476186</v>
      </c>
      <c r="CX4984" s="21" t="e">
        <v>#N/A</v>
      </c>
      <c r="CY4984" s="21" t="e">
        <v>#N/A</v>
      </c>
      <c r="CZ4984" s="21" t="e">
        <v>#N/A</v>
      </c>
      <c r="DA4984">
        <v>0.11332468572476186</v>
      </c>
      <c r="DB4984" t="str">
        <v/>
      </c>
    </row>
    <row r="4985" spans="83:106" x14ac:dyDescent="0.2">
      <c r="CE4985"/>
      <c r="CF4985"/>
      <c r="CG4985"/>
      <c r="CH4985"/>
      <c r="CI4985"/>
      <c r="CU4985" s="21">
        <v>4980</v>
      </c>
      <c r="CV4985" s="21">
        <v>4</v>
      </c>
      <c r="CW4985" s="21">
        <v>0.11332468572476186</v>
      </c>
      <c r="CX4985" s="21" t="e">
        <v>#N/A</v>
      </c>
      <c r="CY4985" s="21" t="e">
        <v>#N/A</v>
      </c>
      <c r="CZ4985" s="21" t="e">
        <v>#N/A</v>
      </c>
      <c r="DA4985">
        <v>0.11332468572476186</v>
      </c>
      <c r="DB4985" t="str">
        <v/>
      </c>
    </row>
    <row r="4986" spans="83:106" x14ac:dyDescent="0.2">
      <c r="CE4986"/>
      <c r="CF4986"/>
      <c r="CG4986"/>
      <c r="CH4986"/>
      <c r="CI4986"/>
      <c r="CU4986" s="21">
        <v>4981</v>
      </c>
      <c r="CV4986" s="21">
        <v>4</v>
      </c>
      <c r="CW4986" s="21">
        <v>0.11332468572476186</v>
      </c>
      <c r="CX4986" s="21" t="e">
        <v>#N/A</v>
      </c>
      <c r="CY4986" s="21" t="e">
        <v>#N/A</v>
      </c>
      <c r="CZ4986" s="21" t="e">
        <v>#N/A</v>
      </c>
      <c r="DA4986">
        <v>0.11332468572476186</v>
      </c>
      <c r="DB4986" t="str">
        <v/>
      </c>
    </row>
    <row r="4987" spans="83:106" x14ac:dyDescent="0.2">
      <c r="CE4987"/>
      <c r="CF4987"/>
      <c r="CG4987"/>
      <c r="CH4987"/>
      <c r="CI4987"/>
      <c r="CU4987" s="21">
        <v>4982</v>
      </c>
      <c r="CV4987" s="21">
        <v>4</v>
      </c>
      <c r="CW4987" s="21">
        <v>0.11332468572476186</v>
      </c>
      <c r="CX4987" s="21" t="e">
        <v>#N/A</v>
      </c>
      <c r="CY4987" s="21" t="e">
        <v>#N/A</v>
      </c>
      <c r="CZ4987" s="21" t="e">
        <v>#N/A</v>
      </c>
      <c r="DA4987">
        <v>0.11332468572476186</v>
      </c>
      <c r="DB4987" t="str">
        <v/>
      </c>
    </row>
    <row r="4988" spans="83:106" x14ac:dyDescent="0.2">
      <c r="CE4988"/>
      <c r="CF4988"/>
      <c r="CG4988"/>
      <c r="CH4988"/>
      <c r="CI4988"/>
      <c r="CU4988" s="21">
        <v>4983</v>
      </c>
      <c r="CV4988" s="21">
        <v>4</v>
      </c>
      <c r="CW4988" s="21">
        <v>0.11332468572476186</v>
      </c>
      <c r="CX4988" s="21" t="e">
        <v>#N/A</v>
      </c>
      <c r="CY4988" s="21" t="e">
        <v>#N/A</v>
      </c>
      <c r="CZ4988" s="21" t="e">
        <v>#N/A</v>
      </c>
      <c r="DA4988">
        <v>0.11332468572476186</v>
      </c>
      <c r="DB4988" t="str">
        <v/>
      </c>
    </row>
    <row r="4989" spans="83:106" x14ac:dyDescent="0.2">
      <c r="CE4989"/>
      <c r="CF4989"/>
      <c r="CG4989"/>
      <c r="CH4989"/>
      <c r="CI4989"/>
      <c r="CU4989" s="21">
        <v>4984</v>
      </c>
      <c r="CV4989" s="21">
        <v>4</v>
      </c>
      <c r="CW4989" s="21">
        <v>0.11332468572476186</v>
      </c>
      <c r="CX4989" s="21" t="e">
        <v>#N/A</v>
      </c>
      <c r="CY4989" s="21" t="e">
        <v>#N/A</v>
      </c>
      <c r="CZ4989" s="21" t="e">
        <v>#N/A</v>
      </c>
      <c r="DA4989">
        <v>0.11332468572476186</v>
      </c>
      <c r="DB4989" t="str">
        <v/>
      </c>
    </row>
    <row r="4990" spans="83:106" x14ac:dyDescent="0.2">
      <c r="CE4990"/>
      <c r="CF4990"/>
      <c r="CG4990"/>
      <c r="CH4990"/>
      <c r="CI4990"/>
      <c r="CU4990" s="21">
        <v>4985</v>
      </c>
      <c r="CV4990" s="21">
        <v>4</v>
      </c>
      <c r="CW4990" s="21">
        <v>0.11332468572476186</v>
      </c>
      <c r="CX4990" s="21" t="e">
        <v>#N/A</v>
      </c>
      <c r="CY4990" s="21" t="e">
        <v>#N/A</v>
      </c>
      <c r="CZ4990" s="21" t="e">
        <v>#N/A</v>
      </c>
      <c r="DA4990">
        <v>0.11332468572476186</v>
      </c>
      <c r="DB4990" t="str">
        <v/>
      </c>
    </row>
    <row r="4991" spans="83:106" x14ac:dyDescent="0.2">
      <c r="CE4991"/>
      <c r="CF4991"/>
      <c r="CG4991"/>
      <c r="CH4991"/>
      <c r="CI4991"/>
      <c r="CU4991" s="21">
        <v>4986</v>
      </c>
      <c r="CV4991" s="21">
        <v>4</v>
      </c>
      <c r="CW4991" s="21">
        <v>0.11332468572476186</v>
      </c>
      <c r="CX4991" s="21" t="e">
        <v>#N/A</v>
      </c>
      <c r="CY4991" s="21" t="e">
        <v>#N/A</v>
      </c>
      <c r="CZ4991" s="21" t="e">
        <v>#N/A</v>
      </c>
      <c r="DA4991">
        <v>0.11332468572476186</v>
      </c>
      <c r="DB4991" t="str">
        <v/>
      </c>
    </row>
    <row r="4992" spans="83:106" x14ac:dyDescent="0.2">
      <c r="CE4992"/>
      <c r="CF4992"/>
      <c r="CG4992"/>
      <c r="CH4992"/>
      <c r="CI4992"/>
      <c r="CU4992" s="21">
        <v>4987</v>
      </c>
      <c r="CV4992" s="21">
        <v>4</v>
      </c>
      <c r="CW4992" s="21">
        <v>0.11332468572476186</v>
      </c>
      <c r="CX4992" s="21" t="e">
        <v>#N/A</v>
      </c>
      <c r="CY4992" s="21" t="e">
        <v>#N/A</v>
      </c>
      <c r="CZ4992" s="21" t="e">
        <v>#N/A</v>
      </c>
      <c r="DA4992">
        <v>0.11332468572476186</v>
      </c>
      <c r="DB4992" t="str">
        <v/>
      </c>
    </row>
    <row r="4993" spans="83:106" x14ac:dyDescent="0.2">
      <c r="CE4993"/>
      <c r="CF4993"/>
      <c r="CG4993"/>
      <c r="CH4993"/>
      <c r="CI4993"/>
      <c r="CU4993" s="21">
        <v>4988</v>
      </c>
      <c r="CV4993" s="21">
        <v>4</v>
      </c>
      <c r="CW4993" s="21">
        <v>0.11332468572476186</v>
      </c>
      <c r="CX4993" s="21" t="e">
        <v>#N/A</v>
      </c>
      <c r="CY4993" s="21" t="e">
        <v>#N/A</v>
      </c>
      <c r="CZ4993" s="21" t="e">
        <v>#N/A</v>
      </c>
      <c r="DA4993">
        <v>0.11332468572476186</v>
      </c>
      <c r="DB4993" t="str">
        <v/>
      </c>
    </row>
    <row r="4994" spans="83:106" x14ac:dyDescent="0.2">
      <c r="CE4994"/>
      <c r="CF4994"/>
      <c r="CG4994"/>
      <c r="CH4994"/>
      <c r="CI4994"/>
      <c r="CU4994" s="21">
        <v>4989</v>
      </c>
      <c r="CV4994" s="21">
        <v>4</v>
      </c>
      <c r="CW4994" s="21">
        <v>0.11332468572476186</v>
      </c>
      <c r="CX4994" s="21" t="e">
        <v>#N/A</v>
      </c>
      <c r="CY4994" s="21" t="e">
        <v>#N/A</v>
      </c>
      <c r="CZ4994" s="21" t="e">
        <v>#N/A</v>
      </c>
      <c r="DA4994">
        <v>0.11332468572476186</v>
      </c>
      <c r="DB4994" t="str">
        <v/>
      </c>
    </row>
    <row r="4995" spans="83:106" x14ac:dyDescent="0.2">
      <c r="CE4995"/>
      <c r="CF4995"/>
      <c r="CG4995"/>
      <c r="CH4995"/>
      <c r="CI4995"/>
      <c r="CU4995" s="21">
        <v>4990</v>
      </c>
      <c r="CV4995" s="21">
        <v>4</v>
      </c>
      <c r="CW4995" s="21">
        <v>0.11332468572476186</v>
      </c>
      <c r="CX4995" s="21" t="e">
        <v>#N/A</v>
      </c>
      <c r="CY4995" s="21" t="e">
        <v>#N/A</v>
      </c>
      <c r="CZ4995" s="21" t="e">
        <v>#N/A</v>
      </c>
      <c r="DA4995">
        <v>0.11332468572476186</v>
      </c>
      <c r="DB4995" t="str">
        <v/>
      </c>
    </row>
    <row r="4996" spans="83:106" x14ac:dyDescent="0.2">
      <c r="CE4996"/>
      <c r="CF4996"/>
      <c r="CG4996"/>
      <c r="CH4996"/>
      <c r="CI4996"/>
      <c r="CU4996" s="21">
        <v>4991</v>
      </c>
      <c r="CV4996" s="21">
        <v>4</v>
      </c>
      <c r="CW4996" s="21">
        <v>0.11332468572476186</v>
      </c>
      <c r="CX4996" s="21" t="e">
        <v>#N/A</v>
      </c>
      <c r="CY4996" s="21" t="e">
        <v>#N/A</v>
      </c>
      <c r="CZ4996" s="21" t="e">
        <v>#N/A</v>
      </c>
      <c r="DA4996">
        <v>0.11332468572476186</v>
      </c>
      <c r="DB4996" t="str">
        <v/>
      </c>
    </row>
    <row r="4997" spans="83:106" x14ac:dyDescent="0.2">
      <c r="CE4997"/>
      <c r="CF4997"/>
      <c r="CG4997"/>
      <c r="CH4997"/>
      <c r="CI4997"/>
      <c r="CU4997" s="21">
        <v>4992</v>
      </c>
      <c r="CV4997" s="21">
        <v>4</v>
      </c>
      <c r="CW4997" s="21">
        <v>0.11332468572476186</v>
      </c>
      <c r="CX4997" s="21" t="e">
        <v>#N/A</v>
      </c>
      <c r="CY4997" s="21" t="e">
        <v>#N/A</v>
      </c>
      <c r="CZ4997" s="21" t="e">
        <v>#N/A</v>
      </c>
      <c r="DA4997">
        <v>0.11332468572476186</v>
      </c>
      <c r="DB4997" t="str">
        <v/>
      </c>
    </row>
    <row r="4998" spans="83:106" x14ac:dyDescent="0.2">
      <c r="CE4998"/>
      <c r="CF4998"/>
      <c r="CG4998"/>
      <c r="CH4998"/>
      <c r="CI4998"/>
      <c r="CU4998" s="21">
        <v>4993</v>
      </c>
      <c r="CV4998" s="21">
        <v>4</v>
      </c>
      <c r="CW4998" s="21">
        <v>0.11332468572476186</v>
      </c>
      <c r="CX4998" s="21" t="e">
        <v>#N/A</v>
      </c>
      <c r="CY4998" s="21" t="e">
        <v>#N/A</v>
      </c>
      <c r="CZ4998" s="21" t="e">
        <v>#N/A</v>
      </c>
      <c r="DA4998">
        <v>0.11332468572476186</v>
      </c>
      <c r="DB4998" t="str">
        <v/>
      </c>
    </row>
    <row r="4999" spans="83:106" x14ac:dyDescent="0.2">
      <c r="CE4999"/>
      <c r="CF4999"/>
      <c r="CG4999"/>
      <c r="CH4999"/>
      <c r="CI4999"/>
      <c r="CU4999" s="21">
        <v>4994</v>
      </c>
      <c r="CV4999" s="21">
        <v>4</v>
      </c>
      <c r="CW4999" s="21">
        <v>0.11332468572476186</v>
      </c>
      <c r="CX4999" s="21" t="e">
        <v>#N/A</v>
      </c>
      <c r="CY4999" s="21" t="e">
        <v>#N/A</v>
      </c>
      <c r="CZ4999" s="21" t="e">
        <v>#N/A</v>
      </c>
      <c r="DA4999">
        <v>0.11332468572476186</v>
      </c>
      <c r="DB4999" t="str">
        <v/>
      </c>
    </row>
    <row r="5000" spans="83:106" x14ac:dyDescent="0.2">
      <c r="CE5000"/>
      <c r="CF5000"/>
      <c r="CG5000"/>
      <c r="CH5000"/>
      <c r="CI5000"/>
      <c r="CU5000" s="21">
        <v>4995</v>
      </c>
      <c r="CV5000" s="21">
        <v>4</v>
      </c>
      <c r="CW5000" s="21">
        <v>0.11332468572476186</v>
      </c>
      <c r="CX5000" s="21" t="e">
        <v>#N/A</v>
      </c>
      <c r="CY5000" s="21" t="e">
        <v>#N/A</v>
      </c>
      <c r="CZ5000" s="21" t="e">
        <v>#N/A</v>
      </c>
      <c r="DA5000">
        <v>0.11332468572476186</v>
      </c>
      <c r="DB5000" t="str">
        <v/>
      </c>
    </row>
    <row r="5001" spans="83:106" x14ac:dyDescent="0.2">
      <c r="CE5001"/>
      <c r="CF5001"/>
      <c r="CG5001"/>
      <c r="CH5001"/>
      <c r="CI5001"/>
      <c r="CU5001" s="21">
        <v>4996</v>
      </c>
      <c r="CV5001" s="21">
        <v>4</v>
      </c>
      <c r="CW5001" s="21">
        <v>0.11332468572476186</v>
      </c>
      <c r="CX5001" s="21" t="e">
        <v>#N/A</v>
      </c>
      <c r="CY5001" s="21" t="e">
        <v>#N/A</v>
      </c>
      <c r="CZ5001" s="21" t="e">
        <v>#N/A</v>
      </c>
      <c r="DA5001">
        <v>0.11332468572476186</v>
      </c>
      <c r="DB5001" t="str">
        <v/>
      </c>
    </row>
    <row r="5002" spans="83:106" x14ac:dyDescent="0.2">
      <c r="CE5002"/>
      <c r="CF5002"/>
      <c r="CG5002"/>
      <c r="CH5002"/>
      <c r="CI5002"/>
      <c r="CU5002" s="21">
        <v>4997</v>
      </c>
      <c r="CV5002" s="21">
        <v>4</v>
      </c>
      <c r="CW5002" s="21">
        <v>0.11332468572476186</v>
      </c>
      <c r="CX5002" s="21" t="e">
        <v>#N/A</v>
      </c>
      <c r="CY5002" s="21" t="e">
        <v>#N/A</v>
      </c>
      <c r="CZ5002" s="21" t="e">
        <v>#N/A</v>
      </c>
      <c r="DA5002">
        <v>0.11332468572476186</v>
      </c>
      <c r="DB5002" t="str">
        <v/>
      </c>
    </row>
    <row r="5003" spans="83:106" x14ac:dyDescent="0.2">
      <c r="CE5003"/>
      <c r="CF5003"/>
      <c r="CG5003"/>
      <c r="CH5003"/>
      <c r="CI5003"/>
      <c r="CU5003" s="21">
        <v>4998</v>
      </c>
      <c r="CV5003" s="21">
        <v>4</v>
      </c>
      <c r="CW5003" s="21">
        <v>0.11332468572476186</v>
      </c>
      <c r="CX5003" s="21" t="e">
        <v>#N/A</v>
      </c>
      <c r="CY5003" s="21" t="e">
        <v>#N/A</v>
      </c>
      <c r="CZ5003" s="21" t="e">
        <v>#N/A</v>
      </c>
      <c r="DA5003">
        <v>0.11332468572476186</v>
      </c>
      <c r="DB5003" t="str">
        <v/>
      </c>
    </row>
    <row r="5004" spans="83:106" x14ac:dyDescent="0.2">
      <c r="CE5004"/>
      <c r="CF5004"/>
      <c r="CG5004"/>
      <c r="CH5004"/>
      <c r="CI5004"/>
      <c r="CU5004" s="21">
        <v>4999</v>
      </c>
      <c r="CV5004" s="21">
        <v>4</v>
      </c>
      <c r="CW5004" s="21">
        <v>0.11332468572476186</v>
      </c>
      <c r="CX5004" s="21" t="e">
        <v>#N/A</v>
      </c>
      <c r="CY5004" s="21" t="e">
        <v>#N/A</v>
      </c>
      <c r="CZ5004" s="21" t="e">
        <v>#N/A</v>
      </c>
      <c r="DA5004">
        <v>0.11332468572476186</v>
      </c>
      <c r="DB5004" t="str">
        <v/>
      </c>
    </row>
    <row r="5005" spans="83:106" x14ac:dyDescent="0.2">
      <c r="CE5005"/>
      <c r="CF5005"/>
      <c r="CG5005"/>
      <c r="CH5005"/>
      <c r="CI5005"/>
      <c r="CU5005" s="21">
        <v>5000</v>
      </c>
      <c r="CV5005" s="21">
        <v>4</v>
      </c>
      <c r="CW5005" s="21">
        <v>0.11332468572476186</v>
      </c>
      <c r="CX5005" s="21" t="e">
        <v>#N/A</v>
      </c>
      <c r="CY5005" s="21" t="e">
        <v>#N/A</v>
      </c>
      <c r="CZ5005" s="21" t="e">
        <v>#N/A</v>
      </c>
      <c r="DA5005">
        <v>0.11332468572476186</v>
      </c>
      <c r="DB5005">
        <v>13</v>
      </c>
    </row>
    <row r="5006" spans="83:106" x14ac:dyDescent="0.2">
      <c r="CE5006"/>
      <c r="CF5006"/>
      <c r="CG5006"/>
      <c r="CH5006"/>
      <c r="CI5006"/>
    </row>
    <row r="5007" spans="83:106" x14ac:dyDescent="0.2">
      <c r="CE5007"/>
      <c r="CF5007"/>
      <c r="CG5007"/>
      <c r="CH5007"/>
      <c r="CI5007"/>
    </row>
    <row r="5008" spans="83:106" x14ac:dyDescent="0.2">
      <c r="CE5008"/>
      <c r="CF5008"/>
      <c r="CG5008"/>
      <c r="CH5008"/>
      <c r="CI5008"/>
    </row>
    <row r="5009" spans="83:87" x14ac:dyDescent="0.2">
      <c r="CE5009"/>
      <c r="CF5009"/>
      <c r="CG5009"/>
      <c r="CH5009"/>
      <c r="CI5009"/>
    </row>
    <row r="5010" spans="83:87" x14ac:dyDescent="0.2">
      <c r="CE5010"/>
      <c r="CF5010"/>
      <c r="CG5010"/>
      <c r="CH5010"/>
      <c r="CI5010"/>
    </row>
    <row r="5011" spans="83:87" x14ac:dyDescent="0.2">
      <c r="CE5011"/>
      <c r="CF5011"/>
      <c r="CG5011"/>
      <c r="CH5011"/>
      <c r="CI5011"/>
    </row>
    <row r="5012" spans="83:87" x14ac:dyDescent="0.2">
      <c r="CE5012"/>
      <c r="CF5012"/>
      <c r="CG5012"/>
      <c r="CH5012"/>
      <c r="CI5012"/>
    </row>
    <row r="5013" spans="83:87" x14ac:dyDescent="0.2">
      <c r="CE5013"/>
      <c r="CF5013"/>
      <c r="CG5013"/>
      <c r="CH5013"/>
      <c r="CI5013"/>
    </row>
    <row r="5014" spans="83:87" x14ac:dyDescent="0.2">
      <c r="CE5014"/>
      <c r="CF5014"/>
      <c r="CG5014"/>
      <c r="CH5014"/>
      <c r="CI5014"/>
    </row>
    <row r="5015" spans="83:87" x14ac:dyDescent="0.2">
      <c r="CE5015"/>
      <c r="CF5015"/>
      <c r="CG5015"/>
      <c r="CH5015"/>
      <c r="CI5015"/>
    </row>
    <row r="5016" spans="83:87" x14ac:dyDescent="0.2">
      <c r="CE5016"/>
      <c r="CF5016"/>
      <c r="CG5016"/>
      <c r="CH5016"/>
      <c r="CI5016"/>
    </row>
    <row r="5017" spans="83:87" x14ac:dyDescent="0.2">
      <c r="CE5017"/>
      <c r="CF5017"/>
      <c r="CG5017"/>
      <c r="CH5017"/>
      <c r="CI5017"/>
    </row>
    <row r="5018" spans="83:87" x14ac:dyDescent="0.2">
      <c r="CE5018"/>
      <c r="CF5018"/>
      <c r="CG5018"/>
      <c r="CH5018"/>
      <c r="CI5018"/>
    </row>
    <row r="5019" spans="83:87" x14ac:dyDescent="0.2">
      <c r="CE5019"/>
      <c r="CF5019"/>
      <c r="CG5019"/>
      <c r="CH5019"/>
      <c r="CI5019"/>
    </row>
    <row r="5020" spans="83:87" x14ac:dyDescent="0.2">
      <c r="CE5020"/>
      <c r="CF5020"/>
      <c r="CG5020"/>
      <c r="CH5020"/>
      <c r="CI5020"/>
    </row>
    <row r="5021" spans="83:87" x14ac:dyDescent="0.2">
      <c r="CE5021"/>
      <c r="CF5021"/>
      <c r="CG5021"/>
      <c r="CH5021"/>
      <c r="CI5021"/>
    </row>
    <row r="5022" spans="83:87" x14ac:dyDescent="0.2">
      <c r="CE5022"/>
      <c r="CF5022"/>
      <c r="CG5022"/>
      <c r="CH5022"/>
      <c r="CI5022"/>
    </row>
    <row r="5023" spans="83:87" x14ac:dyDescent="0.2">
      <c r="CE5023"/>
      <c r="CF5023"/>
      <c r="CG5023"/>
      <c r="CH5023"/>
      <c r="CI5023"/>
    </row>
    <row r="5024" spans="83:87" x14ac:dyDescent="0.2">
      <c r="CE5024"/>
      <c r="CF5024"/>
      <c r="CG5024"/>
      <c r="CH5024"/>
      <c r="CI5024"/>
    </row>
    <row r="5025" spans="83:87" x14ac:dyDescent="0.2">
      <c r="CE5025"/>
      <c r="CF5025"/>
      <c r="CG5025"/>
      <c r="CH5025"/>
      <c r="CI5025"/>
    </row>
    <row r="5026" spans="83:87" x14ac:dyDescent="0.2">
      <c r="CE5026"/>
      <c r="CF5026"/>
      <c r="CG5026"/>
      <c r="CH5026"/>
      <c r="CI5026"/>
    </row>
    <row r="5027" spans="83:87" x14ac:dyDescent="0.2">
      <c r="CE5027"/>
      <c r="CF5027"/>
      <c r="CG5027"/>
      <c r="CH5027"/>
      <c r="CI5027"/>
    </row>
    <row r="5028" spans="83:87" x14ac:dyDescent="0.2">
      <c r="CE5028"/>
      <c r="CF5028"/>
      <c r="CG5028"/>
      <c r="CH5028"/>
      <c r="CI5028"/>
    </row>
    <row r="5029" spans="83:87" x14ac:dyDescent="0.2">
      <c r="CE5029"/>
      <c r="CF5029"/>
      <c r="CG5029"/>
      <c r="CH5029"/>
      <c r="CI5029"/>
    </row>
    <row r="5030" spans="83:87" x14ac:dyDescent="0.2">
      <c r="CE5030"/>
      <c r="CF5030"/>
      <c r="CG5030"/>
      <c r="CH5030"/>
      <c r="CI5030"/>
    </row>
    <row r="5031" spans="83:87" x14ac:dyDescent="0.2">
      <c r="CE5031"/>
      <c r="CF5031"/>
      <c r="CG5031"/>
      <c r="CH5031"/>
      <c r="CI5031"/>
    </row>
    <row r="5032" spans="83:87" x14ac:dyDescent="0.2">
      <c r="CE5032"/>
      <c r="CF5032"/>
      <c r="CG5032"/>
      <c r="CH5032"/>
      <c r="CI5032"/>
    </row>
    <row r="5033" spans="83:87" x14ac:dyDescent="0.2">
      <c r="CE5033"/>
      <c r="CF5033"/>
      <c r="CG5033"/>
      <c r="CH5033"/>
      <c r="CI5033"/>
    </row>
    <row r="5034" spans="83:87" x14ac:dyDescent="0.2">
      <c r="CE5034"/>
      <c r="CF5034"/>
      <c r="CG5034"/>
      <c r="CH5034"/>
      <c r="CI5034"/>
    </row>
    <row r="5035" spans="83:87" x14ac:dyDescent="0.2">
      <c r="CE5035"/>
      <c r="CF5035"/>
      <c r="CG5035"/>
      <c r="CH5035"/>
      <c r="CI5035"/>
    </row>
    <row r="5036" spans="83:87" x14ac:dyDescent="0.2">
      <c r="CE5036"/>
      <c r="CF5036"/>
      <c r="CG5036"/>
      <c r="CH5036"/>
      <c r="CI5036"/>
    </row>
    <row r="5037" spans="83:87" x14ac:dyDescent="0.2">
      <c r="CE5037"/>
      <c r="CF5037"/>
      <c r="CG5037"/>
      <c r="CH5037"/>
      <c r="CI5037"/>
    </row>
    <row r="5038" spans="83:87" x14ac:dyDescent="0.2">
      <c r="CE5038"/>
      <c r="CF5038"/>
      <c r="CG5038"/>
      <c r="CH5038"/>
      <c r="CI5038"/>
    </row>
    <row r="5039" spans="83:87" x14ac:dyDescent="0.2">
      <c r="CE5039"/>
      <c r="CF5039"/>
      <c r="CG5039"/>
      <c r="CH5039"/>
      <c r="CI5039"/>
    </row>
    <row r="5040" spans="83:87" x14ac:dyDescent="0.2">
      <c r="CE5040"/>
      <c r="CF5040"/>
      <c r="CG5040"/>
      <c r="CH5040"/>
      <c r="CI5040"/>
    </row>
    <row r="5041" spans="83:87" x14ac:dyDescent="0.2">
      <c r="CE5041"/>
      <c r="CF5041"/>
      <c r="CG5041"/>
      <c r="CH5041"/>
      <c r="CI5041"/>
    </row>
    <row r="5042" spans="83:87" x14ac:dyDescent="0.2">
      <c r="CE5042"/>
      <c r="CF5042"/>
      <c r="CG5042"/>
      <c r="CH5042"/>
      <c r="CI5042"/>
    </row>
    <row r="5043" spans="83:87" x14ac:dyDescent="0.2">
      <c r="CE5043"/>
      <c r="CF5043"/>
      <c r="CG5043"/>
      <c r="CH5043"/>
      <c r="CI5043"/>
    </row>
    <row r="5044" spans="83:87" x14ac:dyDescent="0.2">
      <c r="CE5044"/>
      <c r="CF5044"/>
      <c r="CG5044"/>
      <c r="CH5044"/>
      <c r="CI5044"/>
    </row>
    <row r="5045" spans="83:87" x14ac:dyDescent="0.2">
      <c r="CE5045"/>
      <c r="CF5045"/>
      <c r="CG5045"/>
      <c r="CH5045"/>
      <c r="CI5045"/>
    </row>
    <row r="5046" spans="83:87" x14ac:dyDescent="0.2">
      <c r="CE5046"/>
      <c r="CF5046"/>
      <c r="CG5046"/>
      <c r="CH5046"/>
      <c r="CI5046"/>
    </row>
    <row r="5047" spans="83:87" x14ac:dyDescent="0.2">
      <c r="CE5047"/>
      <c r="CF5047"/>
      <c r="CG5047"/>
      <c r="CH5047"/>
      <c r="CI5047"/>
    </row>
    <row r="5048" spans="83:87" x14ac:dyDescent="0.2">
      <c r="CE5048"/>
      <c r="CF5048"/>
      <c r="CG5048"/>
      <c r="CH5048"/>
      <c r="CI5048"/>
    </row>
    <row r="5049" spans="83:87" x14ac:dyDescent="0.2">
      <c r="CE5049"/>
      <c r="CF5049"/>
      <c r="CG5049"/>
      <c r="CH5049"/>
      <c r="CI5049"/>
    </row>
    <row r="5050" spans="83:87" x14ac:dyDescent="0.2">
      <c r="CE5050"/>
      <c r="CF5050"/>
      <c r="CG5050"/>
      <c r="CH5050"/>
      <c r="CI5050"/>
    </row>
    <row r="5051" spans="83:87" x14ac:dyDescent="0.2">
      <c r="CE5051"/>
      <c r="CF5051"/>
      <c r="CG5051"/>
      <c r="CH5051"/>
      <c r="CI5051"/>
    </row>
    <row r="5052" spans="83:87" x14ac:dyDescent="0.2">
      <c r="CE5052"/>
      <c r="CF5052"/>
      <c r="CG5052"/>
      <c r="CH5052"/>
      <c r="CI5052"/>
    </row>
    <row r="5053" spans="83:87" x14ac:dyDescent="0.2">
      <c r="CE5053"/>
      <c r="CF5053"/>
      <c r="CG5053"/>
      <c r="CH5053"/>
      <c r="CI5053"/>
    </row>
    <row r="5054" spans="83:87" x14ac:dyDescent="0.2">
      <c r="CE5054"/>
      <c r="CF5054"/>
      <c r="CG5054"/>
      <c r="CH5054"/>
      <c r="CI5054"/>
    </row>
    <row r="5055" spans="83:87" x14ac:dyDescent="0.2">
      <c r="CE5055"/>
      <c r="CF5055"/>
      <c r="CG5055"/>
      <c r="CH5055"/>
      <c r="CI5055"/>
    </row>
    <row r="5056" spans="83:87" x14ac:dyDescent="0.2">
      <c r="CE5056"/>
      <c r="CF5056"/>
      <c r="CG5056"/>
      <c r="CH5056"/>
      <c r="CI5056"/>
    </row>
    <row r="5057" spans="83:87" x14ac:dyDescent="0.2">
      <c r="CE5057"/>
      <c r="CF5057"/>
      <c r="CG5057"/>
      <c r="CH5057"/>
      <c r="CI5057"/>
    </row>
    <row r="5058" spans="83:87" x14ac:dyDescent="0.2">
      <c r="CE5058"/>
      <c r="CF5058"/>
      <c r="CG5058"/>
      <c r="CH5058"/>
      <c r="CI5058"/>
    </row>
    <row r="5059" spans="83:87" x14ac:dyDescent="0.2">
      <c r="CE5059"/>
      <c r="CF5059"/>
      <c r="CG5059"/>
      <c r="CH5059"/>
      <c r="CI5059"/>
    </row>
    <row r="5060" spans="83:87" x14ac:dyDescent="0.2">
      <c r="CE5060"/>
      <c r="CF5060"/>
      <c r="CG5060"/>
      <c r="CH5060"/>
      <c r="CI5060"/>
    </row>
    <row r="5061" spans="83:87" x14ac:dyDescent="0.2">
      <c r="CE5061"/>
      <c r="CF5061"/>
      <c r="CG5061"/>
      <c r="CH5061"/>
      <c r="CI5061"/>
    </row>
    <row r="5062" spans="83:87" x14ac:dyDescent="0.2">
      <c r="CE5062"/>
      <c r="CF5062"/>
      <c r="CG5062"/>
      <c r="CH5062"/>
      <c r="CI5062"/>
    </row>
    <row r="5063" spans="83:87" x14ac:dyDescent="0.2">
      <c r="CE5063"/>
      <c r="CF5063"/>
      <c r="CG5063"/>
      <c r="CH5063"/>
      <c r="CI5063"/>
    </row>
    <row r="5064" spans="83:87" x14ac:dyDescent="0.2">
      <c r="CE5064"/>
      <c r="CF5064"/>
      <c r="CG5064"/>
      <c r="CH5064"/>
      <c r="CI5064"/>
    </row>
    <row r="5065" spans="83:87" x14ac:dyDescent="0.2">
      <c r="CE5065"/>
      <c r="CF5065"/>
      <c r="CG5065"/>
      <c r="CH5065"/>
      <c r="CI5065"/>
    </row>
    <row r="5066" spans="83:87" x14ac:dyDescent="0.2">
      <c r="CE5066"/>
      <c r="CF5066"/>
      <c r="CG5066"/>
      <c r="CH5066"/>
      <c r="CI5066"/>
    </row>
    <row r="5067" spans="83:87" x14ac:dyDescent="0.2">
      <c r="CE5067"/>
      <c r="CF5067"/>
      <c r="CG5067"/>
      <c r="CH5067"/>
      <c r="CI5067"/>
    </row>
    <row r="5068" spans="83:87" x14ac:dyDescent="0.2">
      <c r="CE5068"/>
      <c r="CF5068"/>
      <c r="CG5068"/>
      <c r="CH5068"/>
      <c r="CI5068"/>
    </row>
    <row r="5069" spans="83:87" x14ac:dyDescent="0.2">
      <c r="CE5069"/>
      <c r="CF5069"/>
      <c r="CG5069"/>
      <c r="CH5069"/>
      <c r="CI5069"/>
    </row>
    <row r="5070" spans="83:87" x14ac:dyDescent="0.2">
      <c r="CE5070"/>
      <c r="CF5070"/>
      <c r="CG5070"/>
      <c r="CH5070"/>
      <c r="CI5070"/>
    </row>
    <row r="5071" spans="83:87" x14ac:dyDescent="0.2">
      <c r="CE5071"/>
      <c r="CF5071"/>
      <c r="CG5071"/>
      <c r="CH5071"/>
      <c r="CI5071"/>
    </row>
    <row r="5072" spans="83:87" x14ac:dyDescent="0.2">
      <c r="CE5072"/>
      <c r="CF5072"/>
      <c r="CG5072"/>
      <c r="CH5072"/>
      <c r="CI5072"/>
    </row>
    <row r="5073" spans="83:87" x14ac:dyDescent="0.2">
      <c r="CE5073"/>
      <c r="CF5073"/>
      <c r="CG5073"/>
      <c r="CH5073"/>
      <c r="CI5073"/>
    </row>
    <row r="5074" spans="83:87" x14ac:dyDescent="0.2">
      <c r="CE5074"/>
      <c r="CF5074"/>
      <c r="CG5074"/>
      <c r="CH5074"/>
      <c r="CI5074"/>
    </row>
    <row r="5075" spans="83:87" x14ac:dyDescent="0.2">
      <c r="CE5075"/>
      <c r="CF5075"/>
      <c r="CG5075"/>
      <c r="CH5075"/>
      <c r="CI5075"/>
    </row>
    <row r="5076" spans="83:87" x14ac:dyDescent="0.2">
      <c r="CE5076"/>
      <c r="CF5076"/>
      <c r="CG5076"/>
      <c r="CH5076"/>
      <c r="CI5076"/>
    </row>
    <row r="5077" spans="83:87" x14ac:dyDescent="0.2">
      <c r="CE5077"/>
      <c r="CF5077"/>
      <c r="CG5077"/>
      <c r="CH5077"/>
      <c r="CI5077"/>
    </row>
    <row r="5078" spans="83:87" x14ac:dyDescent="0.2">
      <c r="CE5078"/>
      <c r="CF5078"/>
      <c r="CG5078"/>
      <c r="CH5078"/>
      <c r="CI5078"/>
    </row>
    <row r="5079" spans="83:87" x14ac:dyDescent="0.2">
      <c r="CE5079"/>
      <c r="CF5079"/>
      <c r="CG5079"/>
      <c r="CH5079"/>
      <c r="CI5079"/>
    </row>
    <row r="5080" spans="83:87" x14ac:dyDescent="0.2">
      <c r="CE5080"/>
      <c r="CF5080"/>
      <c r="CG5080"/>
      <c r="CH5080"/>
      <c r="CI5080"/>
    </row>
    <row r="5081" spans="83:87" x14ac:dyDescent="0.2">
      <c r="CE5081"/>
      <c r="CF5081"/>
      <c r="CG5081"/>
      <c r="CH5081"/>
      <c r="CI5081"/>
    </row>
    <row r="5082" spans="83:87" x14ac:dyDescent="0.2">
      <c r="CE5082"/>
      <c r="CF5082"/>
      <c r="CG5082"/>
      <c r="CH5082"/>
      <c r="CI5082"/>
    </row>
    <row r="5083" spans="83:87" x14ac:dyDescent="0.2">
      <c r="CE5083"/>
      <c r="CF5083"/>
      <c r="CG5083"/>
      <c r="CH5083"/>
      <c r="CI5083"/>
    </row>
    <row r="5084" spans="83:87" x14ac:dyDescent="0.2">
      <c r="CE5084"/>
      <c r="CF5084"/>
      <c r="CG5084"/>
      <c r="CH5084"/>
      <c r="CI5084"/>
    </row>
    <row r="5085" spans="83:87" x14ac:dyDescent="0.2">
      <c r="CE5085"/>
      <c r="CF5085"/>
      <c r="CG5085"/>
      <c r="CH5085"/>
      <c r="CI5085"/>
    </row>
    <row r="5086" spans="83:87" x14ac:dyDescent="0.2">
      <c r="CE5086"/>
      <c r="CF5086"/>
      <c r="CG5086"/>
      <c r="CH5086"/>
      <c r="CI5086"/>
    </row>
    <row r="5087" spans="83:87" x14ac:dyDescent="0.2">
      <c r="CE5087"/>
      <c r="CF5087"/>
      <c r="CG5087"/>
      <c r="CH5087"/>
      <c r="CI5087"/>
    </row>
    <row r="5088" spans="83:87" x14ac:dyDescent="0.2">
      <c r="CE5088"/>
      <c r="CF5088"/>
      <c r="CG5088"/>
      <c r="CH5088"/>
      <c r="CI5088"/>
    </row>
    <row r="5089" spans="83:87" x14ac:dyDescent="0.2">
      <c r="CE5089"/>
      <c r="CF5089"/>
      <c r="CG5089"/>
      <c r="CH5089"/>
      <c r="CI5089"/>
    </row>
    <row r="5090" spans="83:87" x14ac:dyDescent="0.2">
      <c r="CE5090"/>
      <c r="CF5090"/>
      <c r="CG5090"/>
      <c r="CH5090"/>
      <c r="CI5090"/>
    </row>
    <row r="5091" spans="83:87" x14ac:dyDescent="0.2">
      <c r="CE5091"/>
      <c r="CF5091"/>
      <c r="CG5091"/>
      <c r="CH5091"/>
      <c r="CI5091"/>
    </row>
    <row r="5092" spans="83:87" x14ac:dyDescent="0.2">
      <c r="CE5092"/>
      <c r="CF5092"/>
      <c r="CG5092"/>
      <c r="CH5092"/>
      <c r="CI5092"/>
    </row>
    <row r="5093" spans="83:87" x14ac:dyDescent="0.2">
      <c r="CE5093"/>
      <c r="CF5093"/>
      <c r="CG5093"/>
      <c r="CH5093"/>
      <c r="CI5093"/>
    </row>
    <row r="5094" spans="83:87" x14ac:dyDescent="0.2">
      <c r="CE5094"/>
      <c r="CF5094"/>
      <c r="CG5094"/>
      <c r="CH5094"/>
      <c r="CI5094"/>
    </row>
    <row r="5095" spans="83:87" x14ac:dyDescent="0.2">
      <c r="CE5095"/>
      <c r="CF5095"/>
      <c r="CG5095"/>
      <c r="CH5095"/>
      <c r="CI5095"/>
    </row>
    <row r="5096" spans="83:87" x14ac:dyDescent="0.2">
      <c r="CE5096"/>
      <c r="CF5096"/>
      <c r="CG5096"/>
      <c r="CH5096"/>
      <c r="CI5096"/>
    </row>
    <row r="5097" spans="83:87" x14ac:dyDescent="0.2">
      <c r="CE5097"/>
      <c r="CF5097"/>
      <c r="CG5097"/>
      <c r="CH5097"/>
      <c r="CI5097"/>
    </row>
    <row r="5098" spans="83:87" x14ac:dyDescent="0.2">
      <c r="CE5098"/>
      <c r="CF5098"/>
      <c r="CG5098"/>
      <c r="CH5098"/>
      <c r="CI5098"/>
    </row>
    <row r="5099" spans="83:87" x14ac:dyDescent="0.2">
      <c r="CE5099"/>
      <c r="CF5099"/>
      <c r="CG5099"/>
      <c r="CH5099"/>
      <c r="CI5099"/>
    </row>
    <row r="5100" spans="83:87" x14ac:dyDescent="0.2">
      <c r="CE5100"/>
      <c r="CF5100"/>
      <c r="CG5100"/>
      <c r="CH5100"/>
      <c r="CI5100"/>
    </row>
    <row r="5101" spans="83:87" x14ac:dyDescent="0.2">
      <c r="CE5101"/>
      <c r="CF5101"/>
      <c r="CG5101"/>
      <c r="CH5101"/>
      <c r="CI5101"/>
    </row>
    <row r="5102" spans="83:87" x14ac:dyDescent="0.2">
      <c r="CE5102"/>
      <c r="CF5102"/>
      <c r="CG5102"/>
      <c r="CH5102"/>
      <c r="CI5102"/>
    </row>
    <row r="5103" spans="83:87" x14ac:dyDescent="0.2">
      <c r="CE5103"/>
      <c r="CF5103"/>
      <c r="CG5103"/>
      <c r="CH5103"/>
      <c r="CI5103"/>
    </row>
    <row r="5104" spans="83:87" x14ac:dyDescent="0.2">
      <c r="CE5104"/>
      <c r="CF5104"/>
      <c r="CG5104"/>
      <c r="CH5104"/>
      <c r="CI5104"/>
    </row>
    <row r="5105" spans="83:87" x14ac:dyDescent="0.2">
      <c r="CE5105"/>
      <c r="CF5105"/>
      <c r="CG5105"/>
      <c r="CH5105"/>
      <c r="CI5105"/>
    </row>
    <row r="5106" spans="83:87" x14ac:dyDescent="0.2">
      <c r="CE5106"/>
      <c r="CF5106"/>
      <c r="CG5106"/>
      <c r="CH5106"/>
      <c r="CI5106"/>
    </row>
    <row r="5107" spans="83:87" x14ac:dyDescent="0.2">
      <c r="CE5107"/>
      <c r="CF5107"/>
      <c r="CG5107"/>
      <c r="CH5107"/>
      <c r="CI5107"/>
    </row>
    <row r="5108" spans="83:87" x14ac:dyDescent="0.2">
      <c r="CE5108"/>
      <c r="CF5108"/>
      <c r="CG5108"/>
      <c r="CH5108"/>
      <c r="CI5108"/>
    </row>
    <row r="5109" spans="83:87" x14ac:dyDescent="0.2">
      <c r="CE5109"/>
      <c r="CF5109"/>
      <c r="CG5109"/>
      <c r="CH5109"/>
      <c r="CI5109"/>
    </row>
    <row r="5110" spans="83:87" x14ac:dyDescent="0.2">
      <c r="CE5110"/>
      <c r="CF5110"/>
      <c r="CG5110"/>
      <c r="CH5110"/>
      <c r="CI5110"/>
    </row>
    <row r="5111" spans="83:87" x14ac:dyDescent="0.2">
      <c r="CE5111"/>
      <c r="CF5111"/>
      <c r="CG5111"/>
      <c r="CH5111"/>
      <c r="CI5111"/>
    </row>
    <row r="5112" spans="83:87" x14ac:dyDescent="0.2">
      <c r="CE5112"/>
      <c r="CF5112"/>
      <c r="CG5112"/>
      <c r="CH5112"/>
      <c r="CI5112"/>
    </row>
    <row r="5113" spans="83:87" x14ac:dyDescent="0.2">
      <c r="CE5113"/>
      <c r="CF5113"/>
      <c r="CG5113"/>
      <c r="CH5113"/>
      <c r="CI5113"/>
    </row>
    <row r="5114" spans="83:87" x14ac:dyDescent="0.2">
      <c r="CE5114"/>
      <c r="CF5114"/>
      <c r="CG5114"/>
      <c r="CH5114"/>
      <c r="CI5114"/>
    </row>
    <row r="5115" spans="83:87" x14ac:dyDescent="0.2">
      <c r="CE5115"/>
      <c r="CF5115"/>
      <c r="CG5115"/>
      <c r="CH5115"/>
      <c r="CI5115"/>
    </row>
    <row r="5116" spans="83:87" x14ac:dyDescent="0.2">
      <c r="CE5116"/>
      <c r="CF5116"/>
      <c r="CG5116"/>
      <c r="CH5116"/>
      <c r="CI5116"/>
    </row>
    <row r="5117" spans="83:87" x14ac:dyDescent="0.2">
      <c r="CE5117"/>
      <c r="CF5117"/>
      <c r="CG5117"/>
      <c r="CH5117"/>
      <c r="CI5117"/>
    </row>
    <row r="5118" spans="83:87" x14ac:dyDescent="0.2">
      <c r="CE5118"/>
      <c r="CF5118"/>
      <c r="CG5118"/>
      <c r="CH5118"/>
      <c r="CI5118"/>
    </row>
    <row r="5119" spans="83:87" x14ac:dyDescent="0.2">
      <c r="CE5119"/>
      <c r="CF5119"/>
      <c r="CG5119"/>
      <c r="CH5119"/>
      <c r="CI5119"/>
    </row>
    <row r="5120" spans="83:87" x14ac:dyDescent="0.2">
      <c r="CE5120"/>
      <c r="CF5120"/>
      <c r="CG5120"/>
      <c r="CH5120"/>
      <c r="CI5120"/>
    </row>
    <row r="5121" spans="83:87" x14ac:dyDescent="0.2">
      <c r="CE5121"/>
      <c r="CF5121"/>
      <c r="CG5121"/>
      <c r="CH5121"/>
      <c r="CI5121"/>
    </row>
    <row r="5122" spans="83:87" x14ac:dyDescent="0.2">
      <c r="CE5122"/>
      <c r="CF5122"/>
      <c r="CG5122"/>
      <c r="CH5122"/>
      <c r="CI5122"/>
    </row>
    <row r="5123" spans="83:87" x14ac:dyDescent="0.2">
      <c r="CE5123"/>
      <c r="CF5123"/>
      <c r="CG5123"/>
      <c r="CH5123"/>
      <c r="CI5123"/>
    </row>
    <row r="5124" spans="83:87" x14ac:dyDescent="0.2">
      <c r="CE5124"/>
      <c r="CF5124"/>
      <c r="CG5124"/>
      <c r="CH5124"/>
      <c r="CI5124"/>
    </row>
    <row r="5125" spans="83:87" x14ac:dyDescent="0.2">
      <c r="CE5125"/>
      <c r="CF5125"/>
      <c r="CG5125"/>
      <c r="CH5125"/>
      <c r="CI5125"/>
    </row>
    <row r="5126" spans="83:87" x14ac:dyDescent="0.2">
      <c r="CE5126"/>
      <c r="CF5126"/>
      <c r="CG5126"/>
      <c r="CH5126"/>
      <c r="CI5126"/>
    </row>
    <row r="5127" spans="83:87" x14ac:dyDescent="0.2">
      <c r="CE5127"/>
      <c r="CF5127"/>
      <c r="CG5127"/>
      <c r="CH5127"/>
      <c r="CI5127"/>
    </row>
    <row r="5128" spans="83:87" x14ac:dyDescent="0.2">
      <c r="CE5128"/>
      <c r="CF5128"/>
      <c r="CG5128"/>
      <c r="CH5128"/>
      <c r="CI5128"/>
    </row>
    <row r="5129" spans="83:87" x14ac:dyDescent="0.2">
      <c r="CE5129"/>
      <c r="CF5129"/>
      <c r="CG5129"/>
      <c r="CH5129"/>
      <c r="CI5129"/>
    </row>
    <row r="5130" spans="83:87" x14ac:dyDescent="0.2">
      <c r="CE5130"/>
      <c r="CF5130"/>
      <c r="CG5130"/>
      <c r="CH5130"/>
      <c r="CI5130"/>
    </row>
    <row r="5131" spans="83:87" x14ac:dyDescent="0.2">
      <c r="CE5131"/>
      <c r="CF5131"/>
      <c r="CG5131"/>
      <c r="CH5131"/>
      <c r="CI5131"/>
    </row>
    <row r="5132" spans="83:87" x14ac:dyDescent="0.2">
      <c r="CE5132"/>
      <c r="CF5132"/>
      <c r="CG5132"/>
      <c r="CH5132"/>
      <c r="CI5132"/>
    </row>
    <row r="5133" spans="83:87" x14ac:dyDescent="0.2">
      <c r="CE5133"/>
      <c r="CF5133"/>
      <c r="CG5133"/>
      <c r="CH5133"/>
      <c r="CI5133"/>
    </row>
    <row r="5134" spans="83:87" x14ac:dyDescent="0.2">
      <c r="CE5134"/>
      <c r="CF5134"/>
      <c r="CG5134"/>
      <c r="CH5134"/>
      <c r="CI5134"/>
    </row>
    <row r="5135" spans="83:87" x14ac:dyDescent="0.2">
      <c r="CE5135"/>
      <c r="CF5135"/>
      <c r="CG5135"/>
      <c r="CH5135"/>
      <c r="CI5135"/>
    </row>
    <row r="5136" spans="83:87" x14ac:dyDescent="0.2">
      <c r="CE5136"/>
      <c r="CF5136"/>
      <c r="CG5136"/>
      <c r="CH5136"/>
      <c r="CI5136"/>
    </row>
    <row r="5137" spans="83:87" x14ac:dyDescent="0.2">
      <c r="CE5137"/>
      <c r="CF5137"/>
      <c r="CG5137"/>
      <c r="CH5137"/>
      <c r="CI5137"/>
    </row>
    <row r="5138" spans="83:87" x14ac:dyDescent="0.2">
      <c r="CE5138"/>
      <c r="CF5138"/>
      <c r="CG5138"/>
      <c r="CH5138"/>
      <c r="CI5138"/>
    </row>
    <row r="5139" spans="83:87" x14ac:dyDescent="0.2">
      <c r="CE5139"/>
      <c r="CF5139"/>
      <c r="CG5139"/>
      <c r="CH5139"/>
      <c r="CI5139"/>
    </row>
    <row r="5140" spans="83:87" x14ac:dyDescent="0.2">
      <c r="CE5140"/>
      <c r="CF5140"/>
      <c r="CG5140"/>
      <c r="CH5140"/>
      <c r="CI5140"/>
    </row>
    <row r="5141" spans="83:87" x14ac:dyDescent="0.2">
      <c r="CE5141"/>
      <c r="CF5141"/>
      <c r="CG5141"/>
      <c r="CH5141"/>
      <c r="CI5141"/>
    </row>
    <row r="5142" spans="83:87" x14ac:dyDescent="0.2">
      <c r="CE5142"/>
      <c r="CF5142"/>
      <c r="CG5142"/>
      <c r="CH5142"/>
      <c r="CI5142"/>
    </row>
    <row r="5143" spans="83:87" x14ac:dyDescent="0.2">
      <c r="CE5143"/>
      <c r="CF5143"/>
      <c r="CG5143"/>
      <c r="CH5143"/>
      <c r="CI5143"/>
    </row>
    <row r="5144" spans="83:87" x14ac:dyDescent="0.2">
      <c r="CE5144"/>
      <c r="CF5144"/>
      <c r="CG5144"/>
      <c r="CH5144"/>
      <c r="CI5144"/>
    </row>
    <row r="5145" spans="83:87" x14ac:dyDescent="0.2">
      <c r="CE5145"/>
      <c r="CF5145"/>
      <c r="CG5145"/>
      <c r="CH5145"/>
      <c r="CI5145"/>
    </row>
    <row r="5146" spans="83:87" x14ac:dyDescent="0.2">
      <c r="CE5146"/>
      <c r="CF5146"/>
      <c r="CG5146"/>
      <c r="CH5146"/>
      <c r="CI5146"/>
    </row>
    <row r="5147" spans="83:87" x14ac:dyDescent="0.2">
      <c r="CE5147"/>
      <c r="CF5147"/>
      <c r="CG5147"/>
      <c r="CH5147"/>
      <c r="CI5147"/>
    </row>
    <row r="5148" spans="83:87" x14ac:dyDescent="0.2">
      <c r="CE5148"/>
      <c r="CF5148"/>
      <c r="CG5148"/>
      <c r="CH5148"/>
      <c r="CI5148"/>
    </row>
    <row r="5149" spans="83:87" x14ac:dyDescent="0.2">
      <c r="CE5149"/>
      <c r="CF5149"/>
      <c r="CG5149"/>
      <c r="CH5149"/>
      <c r="CI5149"/>
    </row>
    <row r="5150" spans="83:87" x14ac:dyDescent="0.2">
      <c r="CE5150"/>
      <c r="CF5150"/>
      <c r="CG5150"/>
      <c r="CH5150"/>
      <c r="CI5150"/>
    </row>
    <row r="5151" spans="83:87" x14ac:dyDescent="0.2">
      <c r="CE5151"/>
      <c r="CF5151"/>
      <c r="CG5151"/>
      <c r="CH5151"/>
      <c r="CI5151"/>
    </row>
    <row r="5152" spans="83:87" x14ac:dyDescent="0.2">
      <c r="CE5152"/>
      <c r="CF5152"/>
      <c r="CG5152"/>
      <c r="CH5152"/>
      <c r="CI5152"/>
    </row>
    <row r="5153" spans="83:87" x14ac:dyDescent="0.2">
      <c r="CE5153"/>
      <c r="CF5153"/>
      <c r="CG5153"/>
      <c r="CH5153"/>
      <c r="CI5153"/>
    </row>
    <row r="5154" spans="83:87" x14ac:dyDescent="0.2">
      <c r="CE5154"/>
      <c r="CF5154"/>
      <c r="CG5154"/>
      <c r="CH5154"/>
      <c r="CI5154"/>
    </row>
    <row r="5155" spans="83:87" x14ac:dyDescent="0.2">
      <c r="CE5155"/>
      <c r="CF5155"/>
      <c r="CG5155"/>
      <c r="CH5155"/>
      <c r="CI5155"/>
    </row>
    <row r="5156" spans="83:87" x14ac:dyDescent="0.2">
      <c r="CE5156"/>
      <c r="CF5156"/>
      <c r="CG5156"/>
      <c r="CH5156"/>
      <c r="CI5156"/>
    </row>
    <row r="5157" spans="83:87" x14ac:dyDescent="0.2">
      <c r="CE5157"/>
      <c r="CF5157"/>
      <c r="CG5157"/>
      <c r="CH5157"/>
      <c r="CI5157"/>
    </row>
    <row r="5158" spans="83:87" x14ac:dyDescent="0.2">
      <c r="CE5158"/>
      <c r="CF5158"/>
      <c r="CG5158"/>
      <c r="CH5158"/>
      <c r="CI5158"/>
    </row>
    <row r="5159" spans="83:87" x14ac:dyDescent="0.2">
      <c r="CE5159"/>
      <c r="CF5159"/>
      <c r="CG5159"/>
      <c r="CH5159"/>
      <c r="CI5159"/>
    </row>
    <row r="5160" spans="83:87" x14ac:dyDescent="0.2">
      <c r="CE5160"/>
      <c r="CF5160"/>
      <c r="CG5160"/>
      <c r="CH5160"/>
      <c r="CI5160"/>
    </row>
    <row r="5161" spans="83:87" x14ac:dyDescent="0.2">
      <c r="CE5161"/>
      <c r="CF5161"/>
      <c r="CG5161"/>
      <c r="CH5161"/>
      <c r="CI5161"/>
    </row>
    <row r="5162" spans="83:87" x14ac:dyDescent="0.2">
      <c r="CE5162"/>
      <c r="CF5162"/>
      <c r="CG5162"/>
      <c r="CH5162"/>
      <c r="CI5162"/>
    </row>
    <row r="5163" spans="83:87" x14ac:dyDescent="0.2">
      <c r="CE5163"/>
      <c r="CF5163"/>
      <c r="CG5163"/>
      <c r="CH5163"/>
      <c r="CI5163"/>
    </row>
    <row r="5164" spans="83:87" x14ac:dyDescent="0.2">
      <c r="CE5164"/>
      <c r="CF5164"/>
      <c r="CG5164"/>
      <c r="CH5164"/>
      <c r="CI5164"/>
    </row>
    <row r="5165" spans="83:87" x14ac:dyDescent="0.2">
      <c r="CE5165"/>
      <c r="CF5165"/>
      <c r="CG5165"/>
      <c r="CH5165"/>
      <c r="CI5165"/>
    </row>
    <row r="5166" spans="83:87" x14ac:dyDescent="0.2">
      <c r="CE5166"/>
      <c r="CF5166"/>
      <c r="CG5166"/>
      <c r="CH5166"/>
      <c r="CI5166"/>
    </row>
    <row r="5167" spans="83:87" x14ac:dyDescent="0.2">
      <c r="CE5167"/>
      <c r="CF5167"/>
      <c r="CG5167"/>
      <c r="CH5167"/>
      <c r="CI5167"/>
    </row>
    <row r="5168" spans="83:87" x14ac:dyDescent="0.2">
      <c r="CE5168"/>
      <c r="CF5168"/>
      <c r="CG5168"/>
      <c r="CH5168"/>
      <c r="CI5168"/>
    </row>
    <row r="5169" spans="83:87" x14ac:dyDescent="0.2">
      <c r="CE5169"/>
      <c r="CF5169"/>
      <c r="CG5169"/>
      <c r="CH5169"/>
      <c r="CI5169"/>
    </row>
    <row r="5170" spans="83:87" x14ac:dyDescent="0.2">
      <c r="CE5170"/>
      <c r="CF5170"/>
      <c r="CG5170"/>
      <c r="CH5170"/>
      <c r="CI5170"/>
    </row>
    <row r="5171" spans="83:87" x14ac:dyDescent="0.2">
      <c r="CE5171"/>
      <c r="CF5171"/>
      <c r="CG5171"/>
      <c r="CH5171"/>
      <c r="CI5171"/>
    </row>
    <row r="5172" spans="83:87" x14ac:dyDescent="0.2">
      <c r="CE5172"/>
      <c r="CF5172"/>
      <c r="CG5172"/>
      <c r="CH5172"/>
      <c r="CI5172"/>
    </row>
    <row r="5173" spans="83:87" x14ac:dyDescent="0.2">
      <c r="CE5173"/>
      <c r="CF5173"/>
      <c r="CG5173"/>
      <c r="CH5173"/>
      <c r="CI5173"/>
    </row>
    <row r="5174" spans="83:87" x14ac:dyDescent="0.2">
      <c r="CE5174"/>
      <c r="CF5174"/>
      <c r="CG5174"/>
      <c r="CH5174"/>
      <c r="CI5174"/>
    </row>
    <row r="5175" spans="83:87" x14ac:dyDescent="0.2">
      <c r="CE5175"/>
      <c r="CF5175"/>
      <c r="CG5175"/>
      <c r="CH5175"/>
      <c r="CI5175"/>
    </row>
    <row r="5176" spans="83:87" x14ac:dyDescent="0.2">
      <c r="CE5176"/>
      <c r="CF5176"/>
      <c r="CG5176"/>
      <c r="CH5176"/>
      <c r="CI5176"/>
    </row>
    <row r="5177" spans="83:87" x14ac:dyDescent="0.2">
      <c r="CE5177"/>
      <c r="CF5177"/>
      <c r="CG5177"/>
      <c r="CH5177"/>
      <c r="CI5177"/>
    </row>
    <row r="5178" spans="83:87" x14ac:dyDescent="0.2">
      <c r="CE5178"/>
      <c r="CF5178"/>
      <c r="CG5178"/>
      <c r="CH5178"/>
      <c r="CI5178"/>
    </row>
    <row r="5179" spans="83:87" x14ac:dyDescent="0.2">
      <c r="CE5179"/>
      <c r="CF5179"/>
      <c r="CG5179"/>
      <c r="CH5179"/>
      <c r="CI5179"/>
    </row>
    <row r="5180" spans="83:87" x14ac:dyDescent="0.2">
      <c r="CE5180"/>
      <c r="CF5180"/>
      <c r="CG5180"/>
      <c r="CH5180"/>
      <c r="CI5180"/>
    </row>
    <row r="5181" spans="83:87" x14ac:dyDescent="0.2">
      <c r="CE5181"/>
      <c r="CF5181"/>
      <c r="CG5181"/>
      <c r="CH5181"/>
      <c r="CI5181"/>
    </row>
    <row r="5182" spans="83:87" x14ac:dyDescent="0.2">
      <c r="CE5182"/>
      <c r="CF5182"/>
      <c r="CG5182"/>
      <c r="CH5182"/>
      <c r="CI5182"/>
    </row>
    <row r="5183" spans="83:87" x14ac:dyDescent="0.2">
      <c r="CE5183"/>
      <c r="CF5183"/>
      <c r="CG5183"/>
      <c r="CH5183"/>
      <c r="CI5183"/>
    </row>
    <row r="5184" spans="83:87" x14ac:dyDescent="0.2">
      <c r="CE5184"/>
      <c r="CF5184"/>
      <c r="CG5184"/>
      <c r="CH5184"/>
      <c r="CI5184"/>
    </row>
    <row r="5185" spans="83:87" x14ac:dyDescent="0.2">
      <c r="CE5185"/>
      <c r="CF5185"/>
      <c r="CG5185"/>
      <c r="CH5185"/>
      <c r="CI5185"/>
    </row>
    <row r="5186" spans="83:87" x14ac:dyDescent="0.2">
      <c r="CE5186"/>
      <c r="CF5186"/>
      <c r="CG5186"/>
      <c r="CH5186"/>
      <c r="CI5186"/>
    </row>
    <row r="5187" spans="83:87" x14ac:dyDescent="0.2">
      <c r="CE5187"/>
      <c r="CF5187"/>
      <c r="CG5187"/>
      <c r="CH5187"/>
      <c r="CI5187"/>
    </row>
    <row r="5188" spans="83:87" x14ac:dyDescent="0.2">
      <c r="CE5188"/>
      <c r="CF5188"/>
      <c r="CG5188"/>
      <c r="CH5188"/>
      <c r="CI5188"/>
    </row>
    <row r="5189" spans="83:87" x14ac:dyDescent="0.2">
      <c r="CE5189"/>
      <c r="CF5189"/>
      <c r="CG5189"/>
      <c r="CH5189"/>
      <c r="CI5189"/>
    </row>
    <row r="5190" spans="83:87" x14ac:dyDescent="0.2">
      <c r="CE5190"/>
      <c r="CF5190"/>
      <c r="CG5190"/>
      <c r="CH5190"/>
      <c r="CI5190"/>
    </row>
    <row r="5191" spans="83:87" x14ac:dyDescent="0.2">
      <c r="CE5191"/>
      <c r="CF5191"/>
      <c r="CG5191"/>
      <c r="CH5191"/>
      <c r="CI5191"/>
    </row>
    <row r="5192" spans="83:87" x14ac:dyDescent="0.2">
      <c r="CE5192"/>
      <c r="CF5192"/>
      <c r="CG5192"/>
      <c r="CH5192"/>
      <c r="CI5192"/>
    </row>
    <row r="5193" spans="83:87" x14ac:dyDescent="0.2">
      <c r="CE5193"/>
      <c r="CF5193"/>
      <c r="CG5193"/>
      <c r="CH5193"/>
      <c r="CI5193"/>
    </row>
    <row r="5194" spans="83:87" x14ac:dyDescent="0.2">
      <c r="CE5194"/>
      <c r="CF5194"/>
      <c r="CG5194"/>
      <c r="CH5194"/>
      <c r="CI5194"/>
    </row>
    <row r="5195" spans="83:87" x14ac:dyDescent="0.2">
      <c r="CE5195"/>
      <c r="CF5195"/>
      <c r="CG5195"/>
      <c r="CH5195"/>
      <c r="CI5195"/>
    </row>
    <row r="5196" spans="83:87" x14ac:dyDescent="0.2">
      <c r="CE5196"/>
      <c r="CF5196"/>
      <c r="CG5196"/>
      <c r="CH5196"/>
      <c r="CI5196"/>
    </row>
    <row r="5197" spans="83:87" x14ac:dyDescent="0.2">
      <c r="CE5197"/>
      <c r="CF5197"/>
      <c r="CG5197"/>
      <c r="CH5197"/>
      <c r="CI5197"/>
    </row>
    <row r="5198" spans="83:87" x14ac:dyDescent="0.2">
      <c r="CE5198"/>
      <c r="CF5198"/>
      <c r="CG5198"/>
      <c r="CH5198"/>
      <c r="CI5198"/>
    </row>
    <row r="5199" spans="83:87" x14ac:dyDescent="0.2">
      <c r="CE5199"/>
      <c r="CF5199"/>
      <c r="CG5199"/>
      <c r="CH5199"/>
      <c r="CI5199"/>
    </row>
    <row r="5200" spans="83:87" x14ac:dyDescent="0.2">
      <c r="CE5200"/>
      <c r="CF5200"/>
      <c r="CG5200"/>
      <c r="CH5200"/>
      <c r="CI5200"/>
    </row>
    <row r="5201" spans="83:87" x14ac:dyDescent="0.2">
      <c r="CE5201"/>
      <c r="CF5201"/>
      <c r="CG5201"/>
      <c r="CH5201"/>
      <c r="CI5201"/>
    </row>
    <row r="5202" spans="83:87" x14ac:dyDescent="0.2">
      <c r="CE5202"/>
      <c r="CF5202"/>
      <c r="CG5202"/>
      <c r="CH5202"/>
      <c r="CI5202"/>
    </row>
    <row r="5203" spans="83:87" x14ac:dyDescent="0.2">
      <c r="CE5203"/>
      <c r="CF5203"/>
      <c r="CG5203"/>
      <c r="CH5203"/>
      <c r="CI5203"/>
    </row>
    <row r="5204" spans="83:87" x14ac:dyDescent="0.2">
      <c r="CE5204"/>
      <c r="CF5204"/>
      <c r="CG5204"/>
      <c r="CH5204"/>
      <c r="CI5204"/>
    </row>
    <row r="5205" spans="83:87" x14ac:dyDescent="0.2">
      <c r="CE5205"/>
      <c r="CF5205"/>
      <c r="CG5205"/>
      <c r="CH5205"/>
      <c r="CI5205"/>
    </row>
    <row r="5206" spans="83:87" x14ac:dyDescent="0.2">
      <c r="CE5206"/>
      <c r="CF5206"/>
      <c r="CG5206"/>
      <c r="CH5206"/>
      <c r="CI5206"/>
    </row>
    <row r="5207" spans="83:87" x14ac:dyDescent="0.2">
      <c r="CE5207"/>
      <c r="CF5207"/>
      <c r="CG5207"/>
      <c r="CH5207"/>
      <c r="CI5207"/>
    </row>
    <row r="5208" spans="83:87" x14ac:dyDescent="0.2">
      <c r="CE5208"/>
      <c r="CF5208"/>
      <c r="CG5208"/>
      <c r="CH5208"/>
      <c r="CI5208"/>
    </row>
    <row r="5209" spans="83:87" x14ac:dyDescent="0.2">
      <c r="CE5209"/>
      <c r="CF5209"/>
      <c r="CG5209"/>
      <c r="CH5209"/>
      <c r="CI5209"/>
    </row>
    <row r="5210" spans="83:87" x14ac:dyDescent="0.2">
      <c r="CE5210"/>
      <c r="CF5210"/>
      <c r="CG5210"/>
      <c r="CH5210"/>
      <c r="CI5210"/>
    </row>
    <row r="5211" spans="83:87" x14ac:dyDescent="0.2">
      <c r="CE5211"/>
      <c r="CF5211"/>
      <c r="CG5211"/>
      <c r="CH5211"/>
      <c r="CI5211"/>
    </row>
    <row r="5212" spans="83:87" x14ac:dyDescent="0.2">
      <c r="CE5212"/>
      <c r="CF5212"/>
      <c r="CG5212"/>
      <c r="CH5212"/>
      <c r="CI5212"/>
    </row>
    <row r="5213" spans="83:87" x14ac:dyDescent="0.2">
      <c r="CE5213"/>
      <c r="CF5213"/>
      <c r="CG5213"/>
      <c r="CH5213"/>
      <c r="CI5213"/>
    </row>
    <row r="5214" spans="83:87" x14ac:dyDescent="0.2">
      <c r="CE5214"/>
      <c r="CF5214"/>
      <c r="CG5214"/>
      <c r="CH5214"/>
      <c r="CI5214"/>
    </row>
    <row r="5215" spans="83:87" x14ac:dyDescent="0.2">
      <c r="CE5215"/>
      <c r="CF5215"/>
      <c r="CG5215"/>
      <c r="CH5215"/>
      <c r="CI5215"/>
    </row>
    <row r="5216" spans="83:87" x14ac:dyDescent="0.2">
      <c r="CE5216"/>
      <c r="CF5216"/>
      <c r="CG5216"/>
      <c r="CH5216"/>
      <c r="CI5216"/>
    </row>
    <row r="5217" spans="83:87" x14ac:dyDescent="0.2">
      <c r="CE5217"/>
      <c r="CF5217"/>
      <c r="CG5217"/>
      <c r="CH5217"/>
      <c r="CI5217"/>
    </row>
    <row r="5218" spans="83:87" x14ac:dyDescent="0.2">
      <c r="CE5218"/>
      <c r="CF5218"/>
      <c r="CG5218"/>
      <c r="CH5218"/>
      <c r="CI5218"/>
    </row>
    <row r="5219" spans="83:87" x14ac:dyDescent="0.2">
      <c r="CE5219"/>
      <c r="CF5219"/>
      <c r="CG5219"/>
      <c r="CH5219"/>
      <c r="CI5219"/>
    </row>
    <row r="5220" spans="83:87" x14ac:dyDescent="0.2">
      <c r="CE5220"/>
      <c r="CF5220"/>
      <c r="CG5220"/>
      <c r="CH5220"/>
      <c r="CI5220"/>
    </row>
    <row r="5221" spans="83:87" x14ac:dyDescent="0.2">
      <c r="CE5221"/>
      <c r="CF5221"/>
      <c r="CG5221"/>
      <c r="CH5221"/>
      <c r="CI5221"/>
    </row>
    <row r="5222" spans="83:87" x14ac:dyDescent="0.2">
      <c r="CE5222"/>
      <c r="CF5222"/>
      <c r="CG5222"/>
      <c r="CH5222"/>
      <c r="CI5222"/>
    </row>
    <row r="5223" spans="83:87" x14ac:dyDescent="0.2">
      <c r="CE5223"/>
      <c r="CF5223"/>
      <c r="CG5223"/>
      <c r="CH5223"/>
      <c r="CI5223"/>
    </row>
    <row r="5224" spans="83:87" x14ac:dyDescent="0.2">
      <c r="CE5224"/>
      <c r="CF5224"/>
      <c r="CG5224"/>
      <c r="CH5224"/>
      <c r="CI5224"/>
    </row>
    <row r="5225" spans="83:87" x14ac:dyDescent="0.2">
      <c r="CE5225"/>
      <c r="CF5225"/>
      <c r="CG5225"/>
      <c r="CH5225"/>
      <c r="CI5225"/>
    </row>
    <row r="5226" spans="83:87" x14ac:dyDescent="0.2">
      <c r="CE5226"/>
      <c r="CF5226"/>
      <c r="CG5226"/>
      <c r="CH5226"/>
      <c r="CI5226"/>
    </row>
    <row r="5227" spans="83:87" x14ac:dyDescent="0.2">
      <c r="CE5227"/>
      <c r="CF5227"/>
      <c r="CG5227"/>
      <c r="CH5227"/>
      <c r="CI5227"/>
    </row>
    <row r="5228" spans="83:87" x14ac:dyDescent="0.2">
      <c r="CE5228"/>
      <c r="CF5228"/>
      <c r="CG5228"/>
      <c r="CH5228"/>
      <c r="CI5228"/>
    </row>
    <row r="5229" spans="83:87" x14ac:dyDescent="0.2">
      <c r="CE5229"/>
      <c r="CF5229"/>
      <c r="CG5229"/>
      <c r="CH5229"/>
      <c r="CI5229"/>
    </row>
    <row r="5230" spans="83:87" x14ac:dyDescent="0.2">
      <c r="CE5230"/>
      <c r="CF5230"/>
      <c r="CG5230"/>
      <c r="CH5230"/>
      <c r="CI5230"/>
    </row>
    <row r="5231" spans="83:87" x14ac:dyDescent="0.2">
      <c r="CE5231"/>
      <c r="CF5231"/>
      <c r="CG5231"/>
      <c r="CH5231"/>
      <c r="CI5231"/>
    </row>
    <row r="5232" spans="83:87" x14ac:dyDescent="0.2">
      <c r="CE5232"/>
      <c r="CF5232"/>
      <c r="CG5232"/>
      <c r="CH5232"/>
      <c r="CI5232"/>
    </row>
    <row r="5233" spans="83:87" x14ac:dyDescent="0.2">
      <c r="CE5233"/>
      <c r="CF5233"/>
      <c r="CG5233"/>
      <c r="CH5233"/>
      <c r="CI5233"/>
    </row>
    <row r="5234" spans="83:87" x14ac:dyDescent="0.2">
      <c r="CE5234"/>
      <c r="CF5234"/>
      <c r="CG5234"/>
      <c r="CH5234"/>
      <c r="CI5234"/>
    </row>
    <row r="5235" spans="83:87" x14ac:dyDescent="0.2">
      <c r="CE5235"/>
      <c r="CF5235"/>
      <c r="CG5235"/>
      <c r="CH5235"/>
      <c r="CI5235"/>
    </row>
    <row r="5236" spans="83:87" x14ac:dyDescent="0.2">
      <c r="CE5236"/>
      <c r="CF5236"/>
      <c r="CG5236"/>
      <c r="CH5236"/>
      <c r="CI5236"/>
    </row>
    <row r="5237" spans="83:87" x14ac:dyDescent="0.2">
      <c r="CE5237"/>
      <c r="CF5237"/>
      <c r="CG5237"/>
      <c r="CH5237"/>
      <c r="CI5237"/>
    </row>
    <row r="5238" spans="83:87" x14ac:dyDescent="0.2">
      <c r="CE5238"/>
      <c r="CF5238"/>
      <c r="CG5238"/>
      <c r="CH5238"/>
      <c r="CI5238"/>
    </row>
    <row r="5239" spans="83:87" x14ac:dyDescent="0.2">
      <c r="CE5239"/>
      <c r="CF5239"/>
      <c r="CG5239"/>
      <c r="CH5239"/>
      <c r="CI5239"/>
    </row>
    <row r="5240" spans="83:87" x14ac:dyDescent="0.2">
      <c r="CE5240"/>
      <c r="CF5240"/>
      <c r="CG5240"/>
      <c r="CH5240"/>
      <c r="CI5240"/>
    </row>
    <row r="5241" spans="83:87" x14ac:dyDescent="0.2">
      <c r="CE5241"/>
      <c r="CF5241"/>
      <c r="CG5241"/>
      <c r="CH5241"/>
      <c r="CI5241"/>
    </row>
    <row r="5242" spans="83:87" x14ac:dyDescent="0.2">
      <c r="CE5242"/>
      <c r="CF5242"/>
      <c r="CG5242"/>
      <c r="CH5242"/>
      <c r="CI5242"/>
    </row>
    <row r="5243" spans="83:87" x14ac:dyDescent="0.2">
      <c r="CE5243"/>
      <c r="CF5243"/>
      <c r="CG5243"/>
      <c r="CH5243"/>
      <c r="CI5243"/>
    </row>
    <row r="5244" spans="83:87" x14ac:dyDescent="0.2">
      <c r="CE5244"/>
      <c r="CF5244"/>
      <c r="CG5244"/>
      <c r="CH5244"/>
      <c r="CI5244"/>
    </row>
    <row r="5245" spans="83:87" x14ac:dyDescent="0.2">
      <c r="CE5245"/>
      <c r="CF5245"/>
      <c r="CG5245"/>
      <c r="CH5245"/>
      <c r="CI5245"/>
    </row>
    <row r="5246" spans="83:87" x14ac:dyDescent="0.2">
      <c r="CE5246"/>
      <c r="CF5246"/>
      <c r="CG5246"/>
      <c r="CH5246"/>
      <c r="CI5246"/>
    </row>
    <row r="5247" spans="83:87" x14ac:dyDescent="0.2">
      <c r="CE5247"/>
      <c r="CF5247"/>
      <c r="CG5247"/>
      <c r="CH5247"/>
      <c r="CI5247"/>
    </row>
    <row r="5248" spans="83:87" x14ac:dyDescent="0.2">
      <c r="CE5248"/>
      <c r="CF5248"/>
      <c r="CG5248"/>
      <c r="CH5248"/>
      <c r="CI5248"/>
    </row>
    <row r="5249" spans="83:87" x14ac:dyDescent="0.2">
      <c r="CE5249"/>
      <c r="CF5249"/>
      <c r="CG5249"/>
      <c r="CH5249"/>
      <c r="CI5249"/>
    </row>
    <row r="5250" spans="83:87" x14ac:dyDescent="0.2">
      <c r="CE5250"/>
      <c r="CF5250"/>
      <c r="CG5250"/>
      <c r="CH5250"/>
      <c r="CI5250"/>
    </row>
    <row r="5251" spans="83:87" x14ac:dyDescent="0.2">
      <c r="CE5251"/>
      <c r="CF5251"/>
      <c r="CG5251"/>
      <c r="CH5251"/>
      <c r="CI5251"/>
    </row>
    <row r="5252" spans="83:87" x14ac:dyDescent="0.2">
      <c r="CE5252"/>
      <c r="CF5252"/>
      <c r="CG5252"/>
      <c r="CH5252"/>
      <c r="CI5252"/>
    </row>
    <row r="5253" spans="83:87" x14ac:dyDescent="0.2">
      <c r="CE5253"/>
      <c r="CF5253"/>
      <c r="CG5253"/>
      <c r="CH5253"/>
      <c r="CI5253"/>
    </row>
    <row r="5254" spans="83:87" x14ac:dyDescent="0.2">
      <c r="CE5254"/>
      <c r="CF5254"/>
      <c r="CG5254"/>
      <c r="CH5254"/>
      <c r="CI5254"/>
    </row>
    <row r="5255" spans="83:87" x14ac:dyDescent="0.2">
      <c r="CE5255"/>
      <c r="CF5255"/>
      <c r="CG5255"/>
      <c r="CH5255"/>
      <c r="CI5255"/>
    </row>
    <row r="5256" spans="83:87" x14ac:dyDescent="0.2">
      <c r="CE5256"/>
      <c r="CF5256"/>
      <c r="CG5256"/>
      <c r="CH5256"/>
      <c r="CI5256"/>
    </row>
    <row r="5257" spans="83:87" x14ac:dyDescent="0.2">
      <c r="CE5257"/>
      <c r="CF5257"/>
      <c r="CG5257"/>
      <c r="CH5257"/>
      <c r="CI5257"/>
    </row>
    <row r="5258" spans="83:87" x14ac:dyDescent="0.2">
      <c r="CE5258"/>
      <c r="CF5258"/>
      <c r="CG5258"/>
      <c r="CH5258"/>
      <c r="CI5258"/>
    </row>
    <row r="5259" spans="83:87" x14ac:dyDescent="0.2">
      <c r="CE5259"/>
      <c r="CF5259"/>
      <c r="CG5259"/>
      <c r="CH5259"/>
      <c r="CI5259"/>
    </row>
    <row r="5260" spans="83:87" x14ac:dyDescent="0.2">
      <c r="CE5260"/>
      <c r="CF5260"/>
      <c r="CG5260"/>
      <c r="CH5260"/>
      <c r="CI5260"/>
    </row>
    <row r="5261" spans="83:87" x14ac:dyDescent="0.2">
      <c r="CE5261"/>
      <c r="CF5261"/>
      <c r="CG5261"/>
      <c r="CH5261"/>
      <c r="CI5261"/>
    </row>
    <row r="5262" spans="83:87" x14ac:dyDescent="0.2">
      <c r="CE5262"/>
      <c r="CF5262"/>
      <c r="CG5262"/>
      <c r="CH5262"/>
      <c r="CI5262"/>
    </row>
    <row r="5263" spans="83:87" x14ac:dyDescent="0.2">
      <c r="CE5263"/>
      <c r="CF5263"/>
      <c r="CG5263"/>
      <c r="CH5263"/>
      <c r="CI5263"/>
    </row>
    <row r="5264" spans="83:87" x14ac:dyDescent="0.2">
      <c r="CE5264"/>
      <c r="CF5264"/>
      <c r="CG5264"/>
      <c r="CH5264"/>
      <c r="CI5264"/>
    </row>
    <row r="5265" spans="83:87" x14ac:dyDescent="0.2">
      <c r="CE5265"/>
      <c r="CF5265"/>
      <c r="CG5265"/>
      <c r="CH5265"/>
      <c r="CI5265"/>
    </row>
    <row r="5266" spans="83:87" x14ac:dyDescent="0.2">
      <c r="CE5266"/>
      <c r="CF5266"/>
      <c r="CG5266"/>
      <c r="CH5266"/>
      <c r="CI5266"/>
    </row>
    <row r="5267" spans="83:87" x14ac:dyDescent="0.2">
      <c r="CE5267"/>
      <c r="CF5267"/>
      <c r="CG5267"/>
      <c r="CH5267"/>
      <c r="CI5267"/>
    </row>
    <row r="5268" spans="83:87" x14ac:dyDescent="0.2">
      <c r="CE5268"/>
      <c r="CF5268"/>
      <c r="CG5268"/>
      <c r="CH5268"/>
      <c r="CI5268"/>
    </row>
    <row r="5269" spans="83:87" x14ac:dyDescent="0.2">
      <c r="CE5269"/>
      <c r="CF5269"/>
      <c r="CG5269"/>
      <c r="CH5269"/>
      <c r="CI5269"/>
    </row>
    <row r="5270" spans="83:87" x14ac:dyDescent="0.2">
      <c r="CE5270"/>
      <c r="CF5270"/>
      <c r="CG5270"/>
      <c r="CH5270"/>
      <c r="CI5270"/>
    </row>
    <row r="5271" spans="83:87" x14ac:dyDescent="0.2">
      <c r="CE5271"/>
      <c r="CF5271"/>
      <c r="CG5271"/>
      <c r="CH5271"/>
      <c r="CI5271"/>
    </row>
    <row r="5272" spans="83:87" x14ac:dyDescent="0.2">
      <c r="CE5272"/>
      <c r="CF5272"/>
      <c r="CG5272"/>
      <c r="CH5272"/>
      <c r="CI5272"/>
    </row>
    <row r="5273" spans="83:87" x14ac:dyDescent="0.2">
      <c r="CE5273"/>
      <c r="CF5273"/>
      <c r="CG5273"/>
      <c r="CH5273"/>
      <c r="CI5273"/>
    </row>
    <row r="5274" spans="83:87" x14ac:dyDescent="0.2">
      <c r="CE5274"/>
      <c r="CF5274"/>
      <c r="CG5274"/>
      <c r="CH5274"/>
      <c r="CI5274"/>
    </row>
    <row r="5275" spans="83:87" x14ac:dyDescent="0.2">
      <c r="CE5275"/>
      <c r="CF5275"/>
      <c r="CG5275"/>
      <c r="CH5275"/>
      <c r="CI5275"/>
    </row>
    <row r="5276" spans="83:87" x14ac:dyDescent="0.2">
      <c r="CE5276"/>
      <c r="CF5276"/>
      <c r="CG5276"/>
      <c r="CH5276"/>
      <c r="CI5276"/>
    </row>
    <row r="5277" spans="83:87" x14ac:dyDescent="0.2">
      <c r="CE5277"/>
      <c r="CF5277"/>
      <c r="CG5277"/>
      <c r="CH5277"/>
      <c r="CI5277"/>
    </row>
    <row r="5278" spans="83:87" x14ac:dyDescent="0.2">
      <c r="CE5278"/>
      <c r="CF5278"/>
      <c r="CG5278"/>
      <c r="CH5278"/>
      <c r="CI5278"/>
    </row>
    <row r="5279" spans="83:87" x14ac:dyDescent="0.2">
      <c r="CE5279"/>
      <c r="CF5279"/>
      <c r="CG5279"/>
      <c r="CH5279"/>
      <c r="CI5279"/>
    </row>
    <row r="5280" spans="83:87" x14ac:dyDescent="0.2">
      <c r="CE5280"/>
      <c r="CF5280"/>
      <c r="CG5280"/>
      <c r="CH5280"/>
      <c r="CI5280"/>
    </row>
    <row r="5281" spans="83:87" x14ac:dyDescent="0.2">
      <c r="CE5281"/>
      <c r="CF5281"/>
      <c r="CG5281"/>
      <c r="CH5281"/>
      <c r="CI5281"/>
    </row>
    <row r="5282" spans="83:87" x14ac:dyDescent="0.2">
      <c r="CE5282"/>
      <c r="CF5282"/>
      <c r="CG5282"/>
      <c r="CH5282"/>
      <c r="CI5282"/>
    </row>
    <row r="5283" spans="83:87" x14ac:dyDescent="0.2">
      <c r="CE5283"/>
      <c r="CF5283"/>
      <c r="CG5283"/>
      <c r="CH5283"/>
      <c r="CI5283"/>
    </row>
    <row r="5284" spans="83:87" x14ac:dyDescent="0.2">
      <c r="CE5284"/>
      <c r="CF5284"/>
      <c r="CG5284"/>
      <c r="CH5284"/>
      <c r="CI5284"/>
    </row>
    <row r="5285" spans="83:87" x14ac:dyDescent="0.2">
      <c r="CE5285"/>
      <c r="CF5285"/>
      <c r="CG5285"/>
      <c r="CH5285"/>
      <c r="CI5285"/>
    </row>
    <row r="5286" spans="83:87" x14ac:dyDescent="0.2">
      <c r="CE5286"/>
      <c r="CF5286"/>
      <c r="CG5286"/>
      <c r="CH5286"/>
      <c r="CI5286"/>
    </row>
    <row r="5287" spans="83:87" x14ac:dyDescent="0.2">
      <c r="CE5287"/>
      <c r="CF5287"/>
      <c r="CG5287"/>
      <c r="CH5287"/>
      <c r="CI5287"/>
    </row>
    <row r="5288" spans="83:87" x14ac:dyDescent="0.2">
      <c r="CE5288"/>
      <c r="CF5288"/>
      <c r="CG5288"/>
      <c r="CH5288"/>
      <c r="CI5288"/>
    </row>
    <row r="5289" spans="83:87" x14ac:dyDescent="0.2">
      <c r="CE5289"/>
      <c r="CF5289"/>
      <c r="CG5289"/>
      <c r="CH5289"/>
      <c r="CI5289"/>
    </row>
    <row r="5290" spans="83:87" x14ac:dyDescent="0.2">
      <c r="CE5290"/>
      <c r="CF5290"/>
      <c r="CG5290"/>
      <c r="CH5290"/>
      <c r="CI5290"/>
    </row>
    <row r="5291" spans="83:87" x14ac:dyDescent="0.2">
      <c r="CE5291"/>
      <c r="CF5291"/>
      <c r="CG5291"/>
      <c r="CH5291"/>
      <c r="CI5291"/>
    </row>
    <row r="5292" spans="83:87" x14ac:dyDescent="0.2">
      <c r="CE5292"/>
      <c r="CF5292"/>
      <c r="CG5292"/>
      <c r="CH5292"/>
      <c r="CI5292"/>
    </row>
    <row r="5293" spans="83:87" x14ac:dyDescent="0.2">
      <c r="CE5293"/>
      <c r="CF5293"/>
      <c r="CG5293"/>
      <c r="CH5293"/>
      <c r="CI5293"/>
    </row>
    <row r="5294" spans="83:87" x14ac:dyDescent="0.2">
      <c r="CE5294"/>
      <c r="CF5294"/>
      <c r="CG5294"/>
      <c r="CH5294"/>
      <c r="CI5294"/>
    </row>
    <row r="5295" spans="83:87" x14ac:dyDescent="0.2">
      <c r="CE5295"/>
      <c r="CF5295"/>
      <c r="CG5295"/>
      <c r="CH5295"/>
      <c r="CI5295"/>
    </row>
    <row r="5296" spans="83:87" x14ac:dyDescent="0.2">
      <c r="CE5296"/>
      <c r="CF5296"/>
      <c r="CG5296"/>
      <c r="CH5296"/>
      <c r="CI5296"/>
    </row>
    <row r="5297" spans="83:87" x14ac:dyDescent="0.2">
      <c r="CE5297"/>
      <c r="CF5297"/>
      <c r="CG5297"/>
      <c r="CH5297"/>
      <c r="CI5297"/>
    </row>
    <row r="5298" spans="83:87" x14ac:dyDescent="0.2">
      <c r="CE5298"/>
      <c r="CF5298"/>
      <c r="CG5298"/>
      <c r="CH5298"/>
      <c r="CI5298"/>
    </row>
    <row r="5299" spans="83:87" x14ac:dyDescent="0.2">
      <c r="CE5299"/>
      <c r="CF5299"/>
      <c r="CG5299"/>
      <c r="CH5299"/>
      <c r="CI5299"/>
    </row>
    <row r="5300" spans="83:87" x14ac:dyDescent="0.2">
      <c r="CE5300"/>
      <c r="CF5300"/>
      <c r="CG5300"/>
      <c r="CH5300"/>
      <c r="CI5300"/>
    </row>
    <row r="5301" spans="83:87" x14ac:dyDescent="0.2">
      <c r="CE5301"/>
      <c r="CF5301"/>
      <c r="CG5301"/>
      <c r="CH5301"/>
      <c r="CI5301"/>
    </row>
    <row r="5302" spans="83:87" x14ac:dyDescent="0.2">
      <c r="CE5302"/>
      <c r="CF5302"/>
      <c r="CG5302"/>
      <c r="CH5302"/>
      <c r="CI5302"/>
    </row>
    <row r="5303" spans="83:87" x14ac:dyDescent="0.2">
      <c r="CE5303"/>
      <c r="CF5303"/>
      <c r="CG5303"/>
      <c r="CH5303"/>
      <c r="CI5303"/>
    </row>
    <row r="5304" spans="83:87" x14ac:dyDescent="0.2">
      <c r="CE5304"/>
      <c r="CF5304"/>
      <c r="CG5304"/>
      <c r="CH5304"/>
      <c r="CI5304"/>
    </row>
    <row r="5305" spans="83:87" x14ac:dyDescent="0.2">
      <c r="CE5305"/>
      <c r="CF5305"/>
      <c r="CG5305"/>
      <c r="CH5305"/>
      <c r="CI5305"/>
    </row>
    <row r="5306" spans="83:87" x14ac:dyDescent="0.2">
      <c r="CE5306"/>
      <c r="CF5306"/>
      <c r="CG5306"/>
      <c r="CH5306"/>
      <c r="CI5306"/>
    </row>
    <row r="5307" spans="83:87" x14ac:dyDescent="0.2">
      <c r="CE5307"/>
      <c r="CF5307"/>
      <c r="CG5307"/>
      <c r="CH5307"/>
      <c r="CI5307"/>
    </row>
    <row r="5308" spans="83:87" x14ac:dyDescent="0.2">
      <c r="CE5308"/>
      <c r="CF5308"/>
      <c r="CG5308"/>
      <c r="CH5308"/>
      <c r="CI5308"/>
    </row>
    <row r="5309" spans="83:87" x14ac:dyDescent="0.2">
      <c r="CE5309"/>
      <c r="CF5309"/>
      <c r="CG5309"/>
      <c r="CH5309"/>
      <c r="CI5309"/>
    </row>
    <row r="5310" spans="83:87" x14ac:dyDescent="0.2">
      <c r="CE5310"/>
      <c r="CF5310"/>
      <c r="CG5310"/>
      <c r="CH5310"/>
      <c r="CI5310"/>
    </row>
    <row r="5311" spans="83:87" x14ac:dyDescent="0.2">
      <c r="CE5311"/>
      <c r="CF5311"/>
      <c r="CG5311"/>
      <c r="CH5311"/>
      <c r="CI5311"/>
    </row>
    <row r="5312" spans="83:87" x14ac:dyDescent="0.2">
      <c r="CE5312"/>
      <c r="CF5312"/>
      <c r="CG5312"/>
      <c r="CH5312"/>
      <c r="CI5312"/>
    </row>
    <row r="5313" spans="83:87" x14ac:dyDescent="0.2">
      <c r="CE5313"/>
      <c r="CF5313"/>
      <c r="CG5313"/>
      <c r="CH5313"/>
      <c r="CI5313"/>
    </row>
    <row r="5314" spans="83:87" x14ac:dyDescent="0.2">
      <c r="CE5314"/>
      <c r="CF5314"/>
      <c r="CG5314"/>
      <c r="CH5314"/>
      <c r="CI5314"/>
    </row>
    <row r="5315" spans="83:87" x14ac:dyDescent="0.2">
      <c r="CE5315"/>
      <c r="CF5315"/>
      <c r="CG5315"/>
      <c r="CH5315"/>
      <c r="CI5315"/>
    </row>
    <row r="5316" spans="83:87" x14ac:dyDescent="0.2">
      <c r="CE5316"/>
      <c r="CF5316"/>
      <c r="CG5316"/>
      <c r="CH5316"/>
      <c r="CI5316"/>
    </row>
    <row r="5317" spans="83:87" x14ac:dyDescent="0.2">
      <c r="CE5317"/>
      <c r="CF5317"/>
      <c r="CG5317"/>
      <c r="CH5317"/>
      <c r="CI5317"/>
    </row>
    <row r="5318" spans="83:87" x14ac:dyDescent="0.2">
      <c r="CE5318"/>
      <c r="CF5318"/>
      <c r="CG5318"/>
      <c r="CH5318"/>
      <c r="CI5318"/>
    </row>
    <row r="5319" spans="83:87" x14ac:dyDescent="0.2">
      <c r="CE5319"/>
      <c r="CF5319"/>
      <c r="CG5319"/>
      <c r="CH5319"/>
      <c r="CI5319"/>
    </row>
    <row r="5320" spans="83:87" x14ac:dyDescent="0.2">
      <c r="CE5320"/>
      <c r="CF5320"/>
      <c r="CG5320"/>
      <c r="CH5320"/>
      <c r="CI5320"/>
    </row>
    <row r="5321" spans="83:87" x14ac:dyDescent="0.2">
      <c r="CE5321"/>
      <c r="CF5321"/>
      <c r="CG5321"/>
      <c r="CH5321"/>
      <c r="CI5321"/>
    </row>
    <row r="5322" spans="83:87" x14ac:dyDescent="0.2">
      <c r="CE5322"/>
      <c r="CF5322"/>
      <c r="CG5322"/>
      <c r="CH5322"/>
      <c r="CI5322"/>
    </row>
    <row r="5323" spans="83:87" x14ac:dyDescent="0.2">
      <c r="CE5323"/>
      <c r="CF5323"/>
      <c r="CG5323"/>
      <c r="CH5323"/>
      <c r="CI5323"/>
    </row>
    <row r="5324" spans="83:87" x14ac:dyDescent="0.2">
      <c r="CE5324"/>
      <c r="CF5324"/>
      <c r="CG5324"/>
      <c r="CH5324"/>
      <c r="CI5324"/>
    </row>
    <row r="5325" spans="83:87" x14ac:dyDescent="0.2">
      <c r="CE5325"/>
      <c r="CF5325"/>
      <c r="CG5325"/>
      <c r="CH5325"/>
      <c r="CI5325"/>
    </row>
    <row r="5326" spans="83:87" x14ac:dyDescent="0.2">
      <c r="CE5326"/>
      <c r="CF5326"/>
      <c r="CG5326"/>
      <c r="CH5326"/>
      <c r="CI5326"/>
    </row>
    <row r="5327" spans="83:87" x14ac:dyDescent="0.2">
      <c r="CE5327"/>
      <c r="CF5327"/>
      <c r="CG5327"/>
      <c r="CH5327"/>
      <c r="CI5327"/>
    </row>
    <row r="5328" spans="83:87" x14ac:dyDescent="0.2">
      <c r="CE5328"/>
      <c r="CF5328"/>
      <c r="CG5328"/>
      <c r="CH5328"/>
      <c r="CI5328"/>
    </row>
    <row r="5329" spans="83:87" x14ac:dyDescent="0.2">
      <c r="CE5329"/>
      <c r="CF5329"/>
      <c r="CG5329"/>
      <c r="CH5329"/>
      <c r="CI5329"/>
    </row>
    <row r="5330" spans="83:87" x14ac:dyDescent="0.2">
      <c r="CE5330"/>
      <c r="CF5330"/>
      <c r="CG5330"/>
      <c r="CH5330"/>
      <c r="CI5330"/>
    </row>
    <row r="5331" spans="83:87" x14ac:dyDescent="0.2">
      <c r="CE5331"/>
      <c r="CF5331"/>
      <c r="CG5331"/>
      <c r="CH5331"/>
      <c r="CI5331"/>
    </row>
    <row r="5332" spans="83:87" x14ac:dyDescent="0.2">
      <c r="CE5332"/>
      <c r="CF5332"/>
      <c r="CG5332"/>
      <c r="CH5332"/>
      <c r="CI5332"/>
    </row>
    <row r="5333" spans="83:87" x14ac:dyDescent="0.2">
      <c r="CE5333"/>
      <c r="CF5333"/>
      <c r="CG5333"/>
      <c r="CH5333"/>
      <c r="CI5333"/>
    </row>
    <row r="5334" spans="83:87" x14ac:dyDescent="0.2">
      <c r="CE5334"/>
      <c r="CF5334"/>
      <c r="CG5334"/>
      <c r="CH5334"/>
      <c r="CI5334"/>
    </row>
    <row r="5335" spans="83:87" x14ac:dyDescent="0.2">
      <c r="CE5335"/>
      <c r="CF5335"/>
      <c r="CG5335"/>
      <c r="CH5335"/>
      <c r="CI5335"/>
    </row>
    <row r="5336" spans="83:87" x14ac:dyDescent="0.2">
      <c r="CE5336"/>
      <c r="CF5336"/>
      <c r="CG5336"/>
      <c r="CH5336"/>
      <c r="CI5336"/>
    </row>
    <row r="5337" spans="83:87" x14ac:dyDescent="0.2">
      <c r="CE5337"/>
      <c r="CF5337"/>
      <c r="CG5337"/>
      <c r="CH5337"/>
      <c r="CI5337"/>
    </row>
    <row r="5338" spans="83:87" x14ac:dyDescent="0.2">
      <c r="CE5338"/>
      <c r="CF5338"/>
      <c r="CG5338"/>
      <c r="CH5338"/>
      <c r="CI5338"/>
    </row>
    <row r="5339" spans="83:87" x14ac:dyDescent="0.2">
      <c r="CE5339"/>
      <c r="CF5339"/>
      <c r="CG5339"/>
      <c r="CH5339"/>
      <c r="CI5339"/>
    </row>
    <row r="5340" spans="83:87" x14ac:dyDescent="0.2">
      <c r="CE5340"/>
      <c r="CF5340"/>
      <c r="CG5340"/>
      <c r="CH5340"/>
      <c r="CI5340"/>
    </row>
    <row r="5341" spans="83:87" x14ac:dyDescent="0.2">
      <c r="CE5341"/>
      <c r="CF5341"/>
      <c r="CG5341"/>
      <c r="CH5341"/>
      <c r="CI5341"/>
    </row>
    <row r="5342" spans="83:87" x14ac:dyDescent="0.2">
      <c r="CE5342"/>
      <c r="CF5342"/>
      <c r="CG5342"/>
      <c r="CH5342"/>
      <c r="CI5342"/>
    </row>
    <row r="5343" spans="83:87" x14ac:dyDescent="0.2">
      <c r="CE5343"/>
      <c r="CF5343"/>
      <c r="CG5343"/>
      <c r="CH5343"/>
      <c r="CI5343"/>
    </row>
    <row r="5344" spans="83:87" x14ac:dyDescent="0.2">
      <c r="CE5344"/>
      <c r="CF5344"/>
      <c r="CG5344"/>
      <c r="CH5344"/>
      <c r="CI5344"/>
    </row>
    <row r="5345" spans="83:87" x14ac:dyDescent="0.2">
      <c r="CE5345"/>
      <c r="CF5345"/>
      <c r="CG5345"/>
      <c r="CH5345"/>
      <c r="CI5345"/>
    </row>
    <row r="5346" spans="83:87" x14ac:dyDescent="0.2">
      <c r="CE5346"/>
      <c r="CF5346"/>
      <c r="CG5346"/>
      <c r="CH5346"/>
      <c r="CI5346"/>
    </row>
    <row r="5347" spans="83:87" x14ac:dyDescent="0.2">
      <c r="CE5347"/>
      <c r="CF5347"/>
      <c r="CG5347"/>
      <c r="CH5347"/>
      <c r="CI5347"/>
    </row>
    <row r="5348" spans="83:87" x14ac:dyDescent="0.2">
      <c r="CE5348"/>
      <c r="CF5348"/>
      <c r="CG5348"/>
      <c r="CH5348"/>
      <c r="CI5348"/>
    </row>
    <row r="5349" spans="83:87" x14ac:dyDescent="0.2">
      <c r="CE5349"/>
      <c r="CF5349"/>
      <c r="CG5349"/>
      <c r="CH5349"/>
      <c r="CI5349"/>
    </row>
    <row r="5350" spans="83:87" x14ac:dyDescent="0.2">
      <c r="CE5350"/>
      <c r="CF5350"/>
      <c r="CG5350"/>
      <c r="CH5350"/>
      <c r="CI5350"/>
    </row>
    <row r="5351" spans="83:87" x14ac:dyDescent="0.2">
      <c r="CE5351"/>
      <c r="CF5351"/>
      <c r="CG5351"/>
      <c r="CH5351"/>
      <c r="CI5351"/>
    </row>
    <row r="5352" spans="83:87" x14ac:dyDescent="0.2">
      <c r="CE5352"/>
      <c r="CF5352"/>
      <c r="CG5352"/>
      <c r="CH5352"/>
      <c r="CI5352"/>
    </row>
    <row r="5353" spans="83:87" x14ac:dyDescent="0.2">
      <c r="CE5353"/>
      <c r="CF5353"/>
      <c r="CG5353"/>
      <c r="CH5353"/>
      <c r="CI5353"/>
    </row>
    <row r="5354" spans="83:87" x14ac:dyDescent="0.2">
      <c r="CE5354"/>
      <c r="CF5354"/>
      <c r="CG5354"/>
      <c r="CH5354"/>
      <c r="CI5354"/>
    </row>
    <row r="5355" spans="83:87" x14ac:dyDescent="0.2">
      <c r="CE5355"/>
      <c r="CF5355"/>
      <c r="CG5355"/>
      <c r="CH5355"/>
      <c r="CI5355"/>
    </row>
    <row r="5356" spans="83:87" x14ac:dyDescent="0.2">
      <c r="CE5356"/>
      <c r="CF5356"/>
      <c r="CG5356"/>
      <c r="CH5356"/>
      <c r="CI5356"/>
    </row>
    <row r="5357" spans="83:87" x14ac:dyDescent="0.2">
      <c r="CE5357"/>
      <c r="CF5357"/>
      <c r="CG5357"/>
      <c r="CH5357"/>
      <c r="CI5357"/>
    </row>
    <row r="5358" spans="83:87" x14ac:dyDescent="0.2">
      <c r="CE5358"/>
      <c r="CF5358"/>
      <c r="CG5358"/>
      <c r="CH5358"/>
      <c r="CI5358"/>
    </row>
    <row r="5359" spans="83:87" x14ac:dyDescent="0.2">
      <c r="CE5359"/>
      <c r="CF5359"/>
      <c r="CG5359"/>
      <c r="CH5359"/>
      <c r="CI5359"/>
    </row>
    <row r="5360" spans="83:87" x14ac:dyDescent="0.2">
      <c r="CE5360"/>
      <c r="CF5360"/>
      <c r="CG5360"/>
      <c r="CH5360"/>
      <c r="CI5360"/>
    </row>
    <row r="5361" spans="83:87" x14ac:dyDescent="0.2">
      <c r="CE5361"/>
      <c r="CF5361"/>
      <c r="CG5361"/>
      <c r="CH5361"/>
      <c r="CI5361"/>
    </row>
    <row r="5362" spans="83:87" x14ac:dyDescent="0.2">
      <c r="CE5362"/>
      <c r="CF5362"/>
      <c r="CG5362"/>
      <c r="CH5362"/>
      <c r="CI5362"/>
    </row>
    <row r="5363" spans="83:87" x14ac:dyDescent="0.2">
      <c r="CE5363"/>
      <c r="CF5363"/>
      <c r="CG5363"/>
      <c r="CH5363"/>
      <c r="CI5363"/>
    </row>
    <row r="5364" spans="83:87" x14ac:dyDescent="0.2">
      <c r="CE5364"/>
      <c r="CF5364"/>
      <c r="CG5364"/>
      <c r="CH5364"/>
      <c r="CI5364"/>
    </row>
    <row r="5365" spans="83:87" x14ac:dyDescent="0.2">
      <c r="CE5365"/>
      <c r="CF5365"/>
      <c r="CG5365"/>
      <c r="CH5365"/>
      <c r="CI5365"/>
    </row>
    <row r="5366" spans="83:87" x14ac:dyDescent="0.2">
      <c r="CE5366"/>
      <c r="CF5366"/>
      <c r="CG5366"/>
      <c r="CH5366"/>
      <c r="CI5366"/>
    </row>
    <row r="5367" spans="83:87" x14ac:dyDescent="0.2">
      <c r="CE5367"/>
      <c r="CF5367"/>
      <c r="CG5367"/>
      <c r="CH5367"/>
      <c r="CI5367"/>
    </row>
    <row r="5368" spans="83:87" x14ac:dyDescent="0.2">
      <c r="CE5368"/>
      <c r="CF5368"/>
      <c r="CG5368"/>
      <c r="CH5368"/>
      <c r="CI5368"/>
    </row>
    <row r="5369" spans="83:87" x14ac:dyDescent="0.2">
      <c r="CE5369"/>
      <c r="CF5369"/>
      <c r="CG5369"/>
      <c r="CH5369"/>
      <c r="CI5369"/>
    </row>
    <row r="5370" spans="83:87" x14ac:dyDescent="0.2">
      <c r="CE5370"/>
      <c r="CF5370"/>
      <c r="CG5370"/>
      <c r="CH5370"/>
      <c r="CI5370"/>
    </row>
    <row r="5371" spans="83:87" x14ac:dyDescent="0.2">
      <c r="CE5371"/>
      <c r="CF5371"/>
      <c r="CG5371"/>
      <c r="CH5371"/>
      <c r="CI5371"/>
    </row>
    <row r="5372" spans="83:87" x14ac:dyDescent="0.2">
      <c r="CE5372"/>
      <c r="CF5372"/>
      <c r="CG5372"/>
      <c r="CH5372"/>
      <c r="CI5372"/>
    </row>
    <row r="5373" spans="83:87" x14ac:dyDescent="0.2">
      <c r="CE5373"/>
      <c r="CF5373"/>
      <c r="CG5373"/>
      <c r="CH5373"/>
      <c r="CI5373"/>
    </row>
    <row r="5374" spans="83:87" x14ac:dyDescent="0.2">
      <c r="CE5374"/>
      <c r="CF5374"/>
      <c r="CG5374"/>
      <c r="CH5374"/>
      <c r="CI5374"/>
    </row>
    <row r="5375" spans="83:87" x14ac:dyDescent="0.2">
      <c r="CE5375"/>
      <c r="CF5375"/>
      <c r="CG5375"/>
      <c r="CH5375"/>
      <c r="CI5375"/>
    </row>
    <row r="5376" spans="83:87" x14ac:dyDescent="0.2">
      <c r="CE5376"/>
      <c r="CF5376"/>
      <c r="CG5376"/>
      <c r="CH5376"/>
      <c r="CI5376"/>
    </row>
    <row r="5377" spans="83:87" x14ac:dyDescent="0.2">
      <c r="CE5377"/>
      <c r="CF5377"/>
      <c r="CG5377"/>
      <c r="CH5377"/>
      <c r="CI5377"/>
    </row>
    <row r="5378" spans="83:87" x14ac:dyDescent="0.2">
      <c r="CE5378"/>
      <c r="CF5378"/>
      <c r="CG5378"/>
      <c r="CH5378"/>
      <c r="CI5378"/>
    </row>
    <row r="5379" spans="83:87" x14ac:dyDescent="0.2">
      <c r="CE5379"/>
      <c r="CF5379"/>
      <c r="CG5379"/>
      <c r="CH5379"/>
      <c r="CI5379"/>
    </row>
    <row r="5380" spans="83:87" x14ac:dyDescent="0.2">
      <c r="CE5380"/>
      <c r="CF5380"/>
      <c r="CG5380"/>
      <c r="CH5380"/>
      <c r="CI5380"/>
    </row>
    <row r="5381" spans="83:87" x14ac:dyDescent="0.2">
      <c r="CE5381"/>
      <c r="CF5381"/>
      <c r="CG5381"/>
      <c r="CH5381"/>
      <c r="CI5381"/>
    </row>
    <row r="5382" spans="83:87" x14ac:dyDescent="0.2">
      <c r="CE5382"/>
      <c r="CF5382"/>
      <c r="CG5382"/>
      <c r="CH5382"/>
      <c r="CI5382"/>
    </row>
    <row r="5383" spans="83:87" x14ac:dyDescent="0.2">
      <c r="CE5383"/>
      <c r="CF5383"/>
      <c r="CG5383"/>
      <c r="CH5383"/>
      <c r="CI5383"/>
    </row>
    <row r="5384" spans="83:87" x14ac:dyDescent="0.2">
      <c r="CE5384"/>
      <c r="CF5384"/>
      <c r="CG5384"/>
      <c r="CH5384"/>
      <c r="CI5384"/>
    </row>
    <row r="5385" spans="83:87" x14ac:dyDescent="0.2">
      <c r="CE5385"/>
      <c r="CF5385"/>
      <c r="CG5385"/>
      <c r="CH5385"/>
      <c r="CI5385"/>
    </row>
    <row r="5386" spans="83:87" x14ac:dyDescent="0.2">
      <c r="CE5386"/>
      <c r="CF5386"/>
      <c r="CG5386"/>
      <c r="CH5386"/>
      <c r="CI5386"/>
    </row>
    <row r="5387" spans="83:87" x14ac:dyDescent="0.2">
      <c r="CE5387"/>
      <c r="CF5387"/>
      <c r="CG5387"/>
      <c r="CH5387"/>
      <c r="CI5387"/>
    </row>
    <row r="5388" spans="83:87" x14ac:dyDescent="0.2">
      <c r="CE5388"/>
      <c r="CF5388"/>
      <c r="CG5388"/>
      <c r="CH5388"/>
      <c r="CI5388"/>
    </row>
    <row r="5389" spans="83:87" x14ac:dyDescent="0.2">
      <c r="CE5389"/>
      <c r="CF5389"/>
      <c r="CG5389"/>
      <c r="CH5389"/>
      <c r="CI5389"/>
    </row>
    <row r="5390" spans="83:87" x14ac:dyDescent="0.2">
      <c r="CE5390"/>
      <c r="CF5390"/>
      <c r="CG5390"/>
      <c r="CH5390"/>
      <c r="CI5390"/>
    </row>
    <row r="5391" spans="83:87" x14ac:dyDescent="0.2">
      <c r="CE5391"/>
      <c r="CF5391"/>
      <c r="CG5391"/>
      <c r="CH5391"/>
      <c r="CI5391"/>
    </row>
    <row r="5392" spans="83:87" x14ac:dyDescent="0.2">
      <c r="CE5392"/>
      <c r="CF5392"/>
      <c r="CG5392"/>
      <c r="CH5392"/>
      <c r="CI5392"/>
    </row>
    <row r="5393" spans="83:87" x14ac:dyDescent="0.2">
      <c r="CE5393"/>
      <c r="CF5393"/>
      <c r="CG5393"/>
      <c r="CH5393"/>
      <c r="CI5393"/>
    </row>
    <row r="5394" spans="83:87" x14ac:dyDescent="0.2">
      <c r="CE5394"/>
      <c r="CF5394"/>
      <c r="CG5394"/>
      <c r="CH5394"/>
      <c r="CI5394"/>
    </row>
    <row r="5395" spans="83:87" x14ac:dyDescent="0.2">
      <c r="CE5395"/>
      <c r="CF5395"/>
      <c r="CG5395"/>
      <c r="CH5395"/>
      <c r="CI5395"/>
    </row>
    <row r="5396" spans="83:87" x14ac:dyDescent="0.2">
      <c r="CE5396"/>
      <c r="CF5396"/>
      <c r="CG5396"/>
      <c r="CH5396"/>
      <c r="CI5396"/>
    </row>
    <row r="5397" spans="83:87" x14ac:dyDescent="0.2">
      <c r="CE5397"/>
      <c r="CF5397"/>
      <c r="CG5397"/>
      <c r="CH5397"/>
      <c r="CI5397"/>
    </row>
    <row r="5398" spans="83:87" x14ac:dyDescent="0.2">
      <c r="CE5398"/>
      <c r="CF5398"/>
      <c r="CG5398"/>
      <c r="CH5398"/>
      <c r="CI5398"/>
    </row>
    <row r="5399" spans="83:87" x14ac:dyDescent="0.2">
      <c r="CE5399"/>
      <c r="CF5399"/>
      <c r="CG5399"/>
      <c r="CH5399"/>
      <c r="CI5399"/>
    </row>
    <row r="5400" spans="83:87" x14ac:dyDescent="0.2">
      <c r="CE5400"/>
      <c r="CF5400"/>
      <c r="CG5400"/>
      <c r="CH5400"/>
      <c r="CI5400"/>
    </row>
    <row r="5401" spans="83:87" x14ac:dyDescent="0.2">
      <c r="CE5401"/>
      <c r="CF5401"/>
      <c r="CG5401"/>
      <c r="CH5401"/>
      <c r="CI5401"/>
    </row>
    <row r="5402" spans="83:87" x14ac:dyDescent="0.2">
      <c r="CE5402"/>
      <c r="CF5402"/>
      <c r="CG5402"/>
      <c r="CH5402"/>
      <c r="CI5402"/>
    </row>
    <row r="5403" spans="83:87" x14ac:dyDescent="0.2">
      <c r="CE5403"/>
      <c r="CF5403"/>
      <c r="CG5403"/>
      <c r="CH5403"/>
      <c r="CI5403"/>
    </row>
    <row r="5404" spans="83:87" x14ac:dyDescent="0.2">
      <c r="CE5404"/>
      <c r="CF5404"/>
      <c r="CG5404"/>
      <c r="CH5404"/>
      <c r="CI5404"/>
    </row>
    <row r="5405" spans="83:87" x14ac:dyDescent="0.2">
      <c r="CE5405"/>
      <c r="CF5405"/>
      <c r="CG5405"/>
      <c r="CH5405"/>
      <c r="CI5405"/>
    </row>
    <row r="5406" spans="83:87" x14ac:dyDescent="0.2">
      <c r="CE5406"/>
      <c r="CF5406"/>
      <c r="CG5406"/>
      <c r="CH5406"/>
      <c r="CI5406"/>
    </row>
    <row r="5407" spans="83:87" x14ac:dyDescent="0.2">
      <c r="CE5407"/>
      <c r="CF5407"/>
      <c r="CG5407"/>
      <c r="CH5407"/>
      <c r="CI5407"/>
    </row>
    <row r="5408" spans="83:87" x14ac:dyDescent="0.2">
      <c r="CE5408"/>
      <c r="CF5408"/>
      <c r="CG5408"/>
      <c r="CH5408"/>
      <c r="CI5408"/>
    </row>
    <row r="5409" spans="83:87" x14ac:dyDescent="0.2">
      <c r="CE5409"/>
      <c r="CF5409"/>
      <c r="CG5409"/>
      <c r="CH5409"/>
      <c r="CI5409"/>
    </row>
    <row r="5410" spans="83:87" x14ac:dyDescent="0.2">
      <c r="CE5410"/>
      <c r="CF5410"/>
      <c r="CG5410"/>
      <c r="CH5410"/>
      <c r="CI5410"/>
    </row>
    <row r="5411" spans="83:87" x14ac:dyDescent="0.2">
      <c r="CE5411"/>
      <c r="CF5411"/>
      <c r="CG5411"/>
      <c r="CH5411"/>
      <c r="CI5411"/>
    </row>
    <row r="5412" spans="83:87" x14ac:dyDescent="0.2">
      <c r="CE5412"/>
      <c r="CF5412"/>
      <c r="CG5412"/>
      <c r="CH5412"/>
      <c r="CI5412"/>
    </row>
    <row r="5413" spans="83:87" x14ac:dyDescent="0.2">
      <c r="CE5413"/>
      <c r="CF5413"/>
      <c r="CG5413"/>
      <c r="CH5413"/>
      <c r="CI5413"/>
    </row>
    <row r="5414" spans="83:87" x14ac:dyDescent="0.2">
      <c r="CE5414"/>
      <c r="CF5414"/>
      <c r="CG5414"/>
      <c r="CH5414"/>
      <c r="CI5414"/>
    </row>
    <row r="5415" spans="83:87" x14ac:dyDescent="0.2">
      <c r="CE5415"/>
      <c r="CF5415"/>
      <c r="CG5415"/>
      <c r="CH5415"/>
      <c r="CI5415"/>
    </row>
    <row r="5416" spans="83:87" x14ac:dyDescent="0.2">
      <c r="CE5416"/>
      <c r="CF5416"/>
      <c r="CG5416"/>
      <c r="CH5416"/>
      <c r="CI5416"/>
    </row>
    <row r="5417" spans="83:87" x14ac:dyDescent="0.2">
      <c r="CE5417"/>
      <c r="CF5417"/>
      <c r="CG5417"/>
      <c r="CH5417"/>
      <c r="CI5417"/>
    </row>
    <row r="5418" spans="83:87" x14ac:dyDescent="0.2">
      <c r="CE5418"/>
      <c r="CF5418"/>
      <c r="CG5418"/>
      <c r="CH5418"/>
      <c r="CI5418"/>
    </row>
    <row r="5419" spans="83:87" x14ac:dyDescent="0.2">
      <c r="CE5419"/>
      <c r="CF5419"/>
      <c r="CG5419"/>
      <c r="CH5419"/>
      <c r="CI5419"/>
    </row>
    <row r="5420" spans="83:87" x14ac:dyDescent="0.2">
      <c r="CE5420"/>
      <c r="CF5420"/>
      <c r="CG5420"/>
      <c r="CH5420"/>
      <c r="CI5420"/>
    </row>
    <row r="5421" spans="83:87" x14ac:dyDescent="0.2">
      <c r="CE5421"/>
      <c r="CF5421"/>
      <c r="CG5421"/>
      <c r="CH5421"/>
      <c r="CI5421"/>
    </row>
    <row r="5422" spans="83:87" x14ac:dyDescent="0.2">
      <c r="CE5422"/>
      <c r="CF5422"/>
      <c r="CG5422"/>
      <c r="CH5422"/>
      <c r="CI5422"/>
    </row>
    <row r="5423" spans="83:87" x14ac:dyDescent="0.2">
      <c r="CE5423"/>
      <c r="CF5423"/>
      <c r="CG5423"/>
      <c r="CH5423"/>
      <c r="CI5423"/>
    </row>
    <row r="5424" spans="83:87" x14ac:dyDescent="0.2">
      <c r="CE5424"/>
      <c r="CF5424"/>
      <c r="CG5424"/>
      <c r="CH5424"/>
      <c r="CI5424"/>
    </row>
    <row r="5425" spans="83:87" x14ac:dyDescent="0.2">
      <c r="CE5425"/>
      <c r="CF5425"/>
      <c r="CG5425"/>
      <c r="CH5425"/>
      <c r="CI5425"/>
    </row>
    <row r="5426" spans="83:87" x14ac:dyDescent="0.2">
      <c r="CE5426"/>
      <c r="CF5426"/>
      <c r="CG5426"/>
      <c r="CH5426"/>
      <c r="CI5426"/>
    </row>
    <row r="5427" spans="83:87" x14ac:dyDescent="0.2">
      <c r="CE5427"/>
      <c r="CF5427"/>
      <c r="CG5427"/>
      <c r="CH5427"/>
      <c r="CI5427"/>
    </row>
    <row r="5428" spans="83:87" x14ac:dyDescent="0.2">
      <c r="CE5428"/>
      <c r="CF5428"/>
      <c r="CG5428"/>
      <c r="CH5428"/>
      <c r="CI5428"/>
    </row>
    <row r="5429" spans="83:87" x14ac:dyDescent="0.2">
      <c r="CE5429"/>
      <c r="CF5429"/>
      <c r="CG5429"/>
      <c r="CH5429"/>
      <c r="CI5429"/>
    </row>
    <row r="5430" spans="83:87" x14ac:dyDescent="0.2">
      <c r="CE5430"/>
      <c r="CF5430"/>
      <c r="CG5430"/>
      <c r="CH5430"/>
      <c r="CI5430"/>
    </row>
    <row r="5431" spans="83:87" x14ac:dyDescent="0.2">
      <c r="CE5431"/>
      <c r="CF5431"/>
      <c r="CG5431"/>
      <c r="CH5431"/>
      <c r="CI5431"/>
    </row>
    <row r="5432" spans="83:87" x14ac:dyDescent="0.2">
      <c r="CE5432"/>
      <c r="CF5432"/>
      <c r="CG5432"/>
      <c r="CH5432"/>
      <c r="CI5432"/>
    </row>
    <row r="5433" spans="83:87" x14ac:dyDescent="0.2">
      <c r="CE5433"/>
      <c r="CF5433"/>
      <c r="CG5433"/>
      <c r="CH5433"/>
      <c r="CI5433"/>
    </row>
    <row r="5434" spans="83:87" x14ac:dyDescent="0.2">
      <c r="CE5434"/>
      <c r="CF5434"/>
      <c r="CG5434"/>
      <c r="CH5434"/>
      <c r="CI5434"/>
    </row>
    <row r="5435" spans="83:87" x14ac:dyDescent="0.2">
      <c r="CE5435"/>
      <c r="CF5435"/>
      <c r="CG5435"/>
      <c r="CH5435"/>
      <c r="CI5435"/>
    </row>
    <row r="5436" spans="83:87" x14ac:dyDescent="0.2">
      <c r="CE5436"/>
      <c r="CF5436"/>
      <c r="CG5436"/>
      <c r="CH5436"/>
      <c r="CI5436"/>
    </row>
    <row r="5437" spans="83:87" x14ac:dyDescent="0.2">
      <c r="CE5437"/>
      <c r="CF5437"/>
      <c r="CG5437"/>
      <c r="CH5437"/>
      <c r="CI5437"/>
    </row>
    <row r="5438" spans="83:87" x14ac:dyDescent="0.2">
      <c r="CE5438"/>
      <c r="CF5438"/>
      <c r="CG5438"/>
      <c r="CH5438"/>
      <c r="CI5438"/>
    </row>
    <row r="5439" spans="83:87" x14ac:dyDescent="0.2">
      <c r="CE5439"/>
      <c r="CF5439"/>
      <c r="CG5439"/>
      <c r="CH5439"/>
      <c r="CI5439"/>
    </row>
    <row r="5440" spans="83:87" x14ac:dyDescent="0.2">
      <c r="CE5440"/>
      <c r="CF5440"/>
      <c r="CG5440"/>
      <c r="CH5440"/>
      <c r="CI5440"/>
    </row>
    <row r="5441" spans="83:87" x14ac:dyDescent="0.2">
      <c r="CE5441"/>
      <c r="CF5441"/>
      <c r="CG5441"/>
      <c r="CH5441"/>
      <c r="CI5441"/>
    </row>
    <row r="5442" spans="83:87" x14ac:dyDescent="0.2">
      <c r="CE5442"/>
      <c r="CF5442"/>
      <c r="CG5442"/>
      <c r="CH5442"/>
      <c r="CI5442"/>
    </row>
    <row r="5443" spans="83:87" x14ac:dyDescent="0.2">
      <c r="CE5443"/>
      <c r="CF5443"/>
      <c r="CG5443"/>
      <c r="CH5443"/>
      <c r="CI5443"/>
    </row>
    <row r="5444" spans="83:87" x14ac:dyDescent="0.2">
      <c r="CE5444"/>
      <c r="CF5444"/>
      <c r="CG5444"/>
      <c r="CH5444"/>
      <c r="CI5444"/>
    </row>
    <row r="5445" spans="83:87" x14ac:dyDescent="0.2">
      <c r="CE5445"/>
      <c r="CF5445"/>
      <c r="CG5445"/>
      <c r="CH5445"/>
      <c r="CI5445"/>
    </row>
    <row r="5446" spans="83:87" x14ac:dyDescent="0.2">
      <c r="CE5446"/>
      <c r="CF5446"/>
      <c r="CG5446"/>
      <c r="CH5446"/>
      <c r="CI5446"/>
    </row>
    <row r="5447" spans="83:87" x14ac:dyDescent="0.2">
      <c r="CE5447"/>
      <c r="CF5447"/>
      <c r="CG5447"/>
      <c r="CH5447"/>
      <c r="CI5447"/>
    </row>
    <row r="5448" spans="83:87" x14ac:dyDescent="0.2">
      <c r="CE5448"/>
      <c r="CF5448"/>
      <c r="CG5448"/>
      <c r="CH5448"/>
      <c r="CI5448"/>
    </row>
    <row r="5449" spans="83:87" x14ac:dyDescent="0.2">
      <c r="CE5449"/>
      <c r="CF5449"/>
      <c r="CG5449"/>
      <c r="CH5449"/>
      <c r="CI5449"/>
    </row>
    <row r="5450" spans="83:87" x14ac:dyDescent="0.2">
      <c r="CE5450"/>
      <c r="CF5450"/>
      <c r="CG5450"/>
      <c r="CH5450"/>
      <c r="CI5450"/>
    </row>
    <row r="5451" spans="83:87" x14ac:dyDescent="0.2">
      <c r="CE5451"/>
      <c r="CF5451"/>
      <c r="CG5451"/>
      <c r="CH5451"/>
      <c r="CI5451"/>
    </row>
    <row r="5452" spans="83:87" x14ac:dyDescent="0.2">
      <c r="CE5452"/>
      <c r="CF5452"/>
      <c r="CG5452"/>
      <c r="CH5452"/>
      <c r="CI5452"/>
    </row>
    <row r="5453" spans="83:87" x14ac:dyDescent="0.2">
      <c r="CE5453"/>
      <c r="CF5453"/>
      <c r="CG5453"/>
      <c r="CH5453"/>
      <c r="CI5453"/>
    </row>
    <row r="5454" spans="83:87" x14ac:dyDescent="0.2">
      <c r="CE5454"/>
      <c r="CF5454"/>
      <c r="CG5454"/>
      <c r="CH5454"/>
      <c r="CI5454"/>
    </row>
    <row r="5455" spans="83:87" x14ac:dyDescent="0.2">
      <c r="CE5455"/>
      <c r="CF5455"/>
      <c r="CG5455"/>
      <c r="CH5455"/>
      <c r="CI5455"/>
    </row>
    <row r="5456" spans="83:87" x14ac:dyDescent="0.2">
      <c r="CE5456"/>
      <c r="CF5456"/>
      <c r="CG5456"/>
      <c r="CH5456"/>
      <c r="CI5456"/>
    </row>
    <row r="5457" spans="83:87" x14ac:dyDescent="0.2">
      <c r="CE5457"/>
      <c r="CF5457"/>
      <c r="CG5457"/>
      <c r="CH5457"/>
      <c r="CI5457"/>
    </row>
    <row r="5458" spans="83:87" x14ac:dyDescent="0.2">
      <c r="CE5458"/>
      <c r="CF5458"/>
      <c r="CG5458"/>
      <c r="CH5458"/>
      <c r="CI5458"/>
    </row>
    <row r="5459" spans="83:87" x14ac:dyDescent="0.2">
      <c r="CE5459"/>
      <c r="CF5459"/>
      <c r="CG5459"/>
      <c r="CH5459"/>
      <c r="CI5459"/>
    </row>
    <row r="5460" spans="83:87" x14ac:dyDescent="0.2">
      <c r="CE5460"/>
      <c r="CF5460"/>
      <c r="CG5460"/>
      <c r="CH5460"/>
      <c r="CI5460"/>
    </row>
    <row r="5461" spans="83:87" x14ac:dyDescent="0.2">
      <c r="CE5461"/>
      <c r="CF5461"/>
      <c r="CG5461"/>
      <c r="CH5461"/>
      <c r="CI5461"/>
    </row>
    <row r="5462" spans="83:87" x14ac:dyDescent="0.2">
      <c r="CE5462"/>
      <c r="CF5462"/>
      <c r="CG5462"/>
      <c r="CH5462"/>
      <c r="CI5462"/>
    </row>
    <row r="5463" spans="83:87" x14ac:dyDescent="0.2">
      <c r="CE5463"/>
      <c r="CF5463"/>
      <c r="CG5463"/>
      <c r="CH5463"/>
      <c r="CI5463"/>
    </row>
    <row r="5464" spans="83:87" x14ac:dyDescent="0.2">
      <c r="CE5464"/>
      <c r="CF5464"/>
      <c r="CG5464"/>
      <c r="CH5464"/>
      <c r="CI5464"/>
    </row>
    <row r="5465" spans="83:87" x14ac:dyDescent="0.2">
      <c r="CE5465"/>
      <c r="CF5465"/>
      <c r="CG5465"/>
      <c r="CH5465"/>
      <c r="CI5465"/>
    </row>
    <row r="5466" spans="83:87" x14ac:dyDescent="0.2">
      <c r="CE5466"/>
      <c r="CF5466"/>
      <c r="CG5466"/>
      <c r="CH5466"/>
      <c r="CI5466"/>
    </row>
    <row r="5467" spans="83:87" x14ac:dyDescent="0.2">
      <c r="CE5467"/>
      <c r="CF5467"/>
      <c r="CG5467"/>
      <c r="CH5467"/>
      <c r="CI5467"/>
    </row>
    <row r="5468" spans="83:87" x14ac:dyDescent="0.2">
      <c r="CE5468"/>
      <c r="CF5468"/>
      <c r="CG5468"/>
      <c r="CH5468"/>
      <c r="CI5468"/>
    </row>
    <row r="5469" spans="83:87" x14ac:dyDescent="0.2">
      <c r="CE5469"/>
      <c r="CF5469"/>
      <c r="CG5469"/>
      <c r="CH5469"/>
      <c r="CI5469"/>
    </row>
    <row r="5470" spans="83:87" x14ac:dyDescent="0.2">
      <c r="CE5470"/>
      <c r="CF5470"/>
      <c r="CG5470"/>
      <c r="CH5470"/>
      <c r="CI5470"/>
    </row>
    <row r="5471" spans="83:87" x14ac:dyDescent="0.2">
      <c r="CE5471"/>
      <c r="CF5471"/>
      <c r="CG5471"/>
      <c r="CH5471"/>
      <c r="CI5471"/>
    </row>
    <row r="5472" spans="83:87" x14ac:dyDescent="0.2">
      <c r="CE5472"/>
      <c r="CF5472"/>
      <c r="CG5472"/>
      <c r="CH5472"/>
      <c r="CI5472"/>
    </row>
    <row r="5473" spans="83:87" x14ac:dyDescent="0.2">
      <c r="CE5473"/>
      <c r="CF5473"/>
      <c r="CG5473"/>
      <c r="CH5473"/>
      <c r="CI5473"/>
    </row>
    <row r="5474" spans="83:87" x14ac:dyDescent="0.2">
      <c r="CE5474"/>
      <c r="CF5474"/>
      <c r="CG5474"/>
      <c r="CH5474"/>
      <c r="CI5474"/>
    </row>
    <row r="5475" spans="83:87" x14ac:dyDescent="0.2">
      <c r="CE5475"/>
      <c r="CF5475"/>
      <c r="CG5475"/>
      <c r="CH5475"/>
      <c r="CI5475"/>
    </row>
    <row r="5476" spans="83:87" x14ac:dyDescent="0.2">
      <c r="CE5476"/>
      <c r="CF5476"/>
      <c r="CG5476"/>
      <c r="CH5476"/>
      <c r="CI5476"/>
    </row>
    <row r="5477" spans="83:87" x14ac:dyDescent="0.2">
      <c r="CE5477"/>
      <c r="CF5477"/>
      <c r="CG5477"/>
      <c r="CH5477"/>
      <c r="CI5477"/>
    </row>
    <row r="5478" spans="83:87" x14ac:dyDescent="0.2">
      <c r="CE5478"/>
      <c r="CF5478"/>
      <c r="CG5478"/>
      <c r="CH5478"/>
      <c r="CI5478"/>
    </row>
    <row r="5479" spans="83:87" x14ac:dyDescent="0.2">
      <c r="CE5479"/>
      <c r="CF5479"/>
      <c r="CG5479"/>
      <c r="CH5479"/>
      <c r="CI5479"/>
    </row>
    <row r="5480" spans="83:87" x14ac:dyDescent="0.2">
      <c r="CE5480"/>
      <c r="CF5480"/>
      <c r="CG5480"/>
      <c r="CH5480"/>
      <c r="CI5480"/>
    </row>
    <row r="5481" spans="83:87" x14ac:dyDescent="0.2">
      <c r="CE5481"/>
      <c r="CF5481"/>
      <c r="CG5481"/>
      <c r="CH5481"/>
      <c r="CI5481"/>
    </row>
    <row r="5482" spans="83:87" x14ac:dyDescent="0.2">
      <c r="CE5482"/>
      <c r="CF5482"/>
      <c r="CG5482"/>
      <c r="CH5482"/>
      <c r="CI5482"/>
    </row>
    <row r="5483" spans="83:87" x14ac:dyDescent="0.2">
      <c r="CE5483"/>
      <c r="CF5483"/>
      <c r="CG5483"/>
      <c r="CH5483"/>
      <c r="CI5483"/>
    </row>
    <row r="5484" spans="83:87" x14ac:dyDescent="0.2">
      <c r="CE5484"/>
      <c r="CF5484"/>
      <c r="CG5484"/>
      <c r="CH5484"/>
      <c r="CI5484"/>
    </row>
    <row r="5485" spans="83:87" x14ac:dyDescent="0.2">
      <c r="CE5485"/>
      <c r="CF5485"/>
      <c r="CG5485"/>
      <c r="CH5485"/>
      <c r="CI5485"/>
    </row>
    <row r="5486" spans="83:87" x14ac:dyDescent="0.2">
      <c r="CE5486"/>
      <c r="CF5486"/>
      <c r="CG5486"/>
      <c r="CH5486"/>
      <c r="CI5486"/>
    </row>
    <row r="5487" spans="83:87" x14ac:dyDescent="0.2">
      <c r="CE5487"/>
      <c r="CF5487"/>
      <c r="CG5487"/>
      <c r="CH5487"/>
      <c r="CI5487"/>
    </row>
    <row r="5488" spans="83:87" x14ac:dyDescent="0.2">
      <c r="CE5488"/>
      <c r="CF5488"/>
      <c r="CG5488"/>
      <c r="CH5488"/>
      <c r="CI5488"/>
    </row>
    <row r="5489" spans="83:87" x14ac:dyDescent="0.2">
      <c r="CE5489"/>
      <c r="CF5489"/>
      <c r="CG5489"/>
      <c r="CH5489"/>
      <c r="CI5489"/>
    </row>
    <row r="5490" spans="83:87" x14ac:dyDescent="0.2">
      <c r="CE5490"/>
      <c r="CF5490"/>
      <c r="CG5490"/>
      <c r="CH5490"/>
      <c r="CI5490"/>
    </row>
    <row r="5491" spans="83:87" x14ac:dyDescent="0.2">
      <c r="CE5491"/>
      <c r="CF5491"/>
      <c r="CG5491"/>
      <c r="CH5491"/>
      <c r="CI5491"/>
    </row>
    <row r="5492" spans="83:87" x14ac:dyDescent="0.2">
      <c r="CE5492"/>
      <c r="CF5492"/>
      <c r="CG5492"/>
      <c r="CH5492"/>
      <c r="CI5492"/>
    </row>
    <row r="5493" spans="83:87" x14ac:dyDescent="0.2">
      <c r="CE5493"/>
      <c r="CF5493"/>
      <c r="CG5493"/>
      <c r="CH5493"/>
      <c r="CI5493"/>
    </row>
    <row r="5494" spans="83:87" x14ac:dyDescent="0.2">
      <c r="CE5494"/>
      <c r="CF5494"/>
      <c r="CG5494"/>
      <c r="CH5494"/>
      <c r="CI5494"/>
    </row>
    <row r="5495" spans="83:87" x14ac:dyDescent="0.2">
      <c r="CE5495"/>
      <c r="CF5495"/>
      <c r="CG5495"/>
      <c r="CH5495"/>
      <c r="CI5495"/>
    </row>
    <row r="5496" spans="83:87" x14ac:dyDescent="0.2">
      <c r="CE5496"/>
      <c r="CF5496"/>
      <c r="CG5496"/>
      <c r="CH5496"/>
      <c r="CI5496"/>
    </row>
    <row r="5497" spans="83:87" x14ac:dyDescent="0.2">
      <c r="CE5497"/>
      <c r="CF5497"/>
      <c r="CG5497"/>
      <c r="CH5497"/>
      <c r="CI5497"/>
    </row>
    <row r="5498" spans="83:87" x14ac:dyDescent="0.2">
      <c r="CE5498"/>
      <c r="CF5498"/>
      <c r="CG5498"/>
      <c r="CH5498"/>
      <c r="CI5498"/>
    </row>
    <row r="5499" spans="83:87" x14ac:dyDescent="0.2">
      <c r="CE5499"/>
      <c r="CF5499"/>
      <c r="CG5499"/>
      <c r="CH5499"/>
      <c r="CI5499"/>
    </row>
    <row r="5500" spans="83:87" x14ac:dyDescent="0.2">
      <c r="CE5500"/>
      <c r="CF5500"/>
      <c r="CG5500"/>
      <c r="CH5500"/>
      <c r="CI5500"/>
    </row>
    <row r="5501" spans="83:87" x14ac:dyDescent="0.2">
      <c r="CE5501"/>
      <c r="CF5501"/>
      <c r="CG5501"/>
      <c r="CH5501"/>
      <c r="CI5501"/>
    </row>
    <row r="5502" spans="83:87" x14ac:dyDescent="0.2">
      <c r="CE5502"/>
      <c r="CF5502"/>
      <c r="CG5502"/>
      <c r="CH5502"/>
      <c r="CI5502"/>
    </row>
    <row r="5503" spans="83:87" x14ac:dyDescent="0.2">
      <c r="CE5503"/>
      <c r="CF5503"/>
      <c r="CG5503"/>
      <c r="CH5503"/>
      <c r="CI5503"/>
    </row>
    <row r="5504" spans="83:87" x14ac:dyDescent="0.2">
      <c r="CE5504"/>
      <c r="CF5504"/>
      <c r="CG5504"/>
      <c r="CH5504"/>
      <c r="CI5504"/>
    </row>
    <row r="5505" spans="83:87" x14ac:dyDescent="0.2">
      <c r="CE5505"/>
      <c r="CF5505"/>
      <c r="CG5505"/>
      <c r="CH5505"/>
      <c r="CI5505"/>
    </row>
    <row r="5506" spans="83:87" x14ac:dyDescent="0.2">
      <c r="CE5506"/>
      <c r="CF5506"/>
      <c r="CG5506"/>
      <c r="CH5506"/>
      <c r="CI5506"/>
    </row>
    <row r="5507" spans="83:87" x14ac:dyDescent="0.2">
      <c r="CE5507"/>
      <c r="CF5507"/>
      <c r="CG5507"/>
      <c r="CH5507"/>
      <c r="CI5507"/>
    </row>
    <row r="5508" spans="83:87" x14ac:dyDescent="0.2">
      <c r="CE5508"/>
      <c r="CF5508"/>
      <c r="CG5508"/>
      <c r="CH5508"/>
      <c r="CI5508"/>
    </row>
    <row r="5509" spans="83:87" x14ac:dyDescent="0.2">
      <c r="CE5509"/>
      <c r="CF5509"/>
      <c r="CG5509"/>
      <c r="CH5509"/>
      <c r="CI5509"/>
    </row>
    <row r="5510" spans="83:87" x14ac:dyDescent="0.2">
      <c r="CE5510"/>
      <c r="CF5510"/>
      <c r="CG5510"/>
      <c r="CH5510"/>
      <c r="CI5510"/>
    </row>
    <row r="5511" spans="83:87" x14ac:dyDescent="0.2">
      <c r="CE5511"/>
      <c r="CF5511"/>
      <c r="CG5511"/>
      <c r="CH5511"/>
      <c r="CI5511"/>
    </row>
    <row r="5512" spans="83:87" x14ac:dyDescent="0.2">
      <c r="CE5512"/>
      <c r="CF5512"/>
      <c r="CG5512"/>
      <c r="CH5512"/>
      <c r="CI5512"/>
    </row>
    <row r="5513" spans="83:87" x14ac:dyDescent="0.2">
      <c r="CE5513"/>
      <c r="CF5513"/>
      <c r="CG5513"/>
      <c r="CH5513"/>
      <c r="CI5513"/>
    </row>
    <row r="5514" spans="83:87" x14ac:dyDescent="0.2">
      <c r="CE5514"/>
      <c r="CF5514"/>
      <c r="CG5514"/>
      <c r="CH5514"/>
      <c r="CI5514"/>
    </row>
    <row r="5515" spans="83:87" x14ac:dyDescent="0.2">
      <c r="CE5515"/>
      <c r="CF5515"/>
      <c r="CG5515"/>
      <c r="CH5515"/>
      <c r="CI5515"/>
    </row>
    <row r="5516" spans="83:87" x14ac:dyDescent="0.2">
      <c r="CE5516"/>
      <c r="CF5516"/>
      <c r="CG5516"/>
      <c r="CH5516"/>
      <c r="CI5516"/>
    </row>
    <row r="5517" spans="83:87" x14ac:dyDescent="0.2">
      <c r="CE5517"/>
      <c r="CF5517"/>
      <c r="CG5517"/>
      <c r="CH5517"/>
      <c r="CI5517"/>
    </row>
    <row r="5518" spans="83:87" x14ac:dyDescent="0.2">
      <c r="CE5518"/>
      <c r="CF5518"/>
      <c r="CG5518"/>
      <c r="CH5518"/>
      <c r="CI5518"/>
    </row>
    <row r="5519" spans="83:87" x14ac:dyDescent="0.2">
      <c r="CE5519"/>
      <c r="CF5519"/>
      <c r="CG5519"/>
      <c r="CH5519"/>
      <c r="CI5519"/>
    </row>
    <row r="5520" spans="83:87" x14ac:dyDescent="0.2">
      <c r="CE5520"/>
      <c r="CF5520"/>
      <c r="CG5520"/>
      <c r="CH5520"/>
      <c r="CI5520"/>
    </row>
    <row r="5521" spans="83:87" x14ac:dyDescent="0.2">
      <c r="CE5521"/>
      <c r="CF5521"/>
      <c r="CG5521"/>
      <c r="CH5521"/>
      <c r="CI5521"/>
    </row>
    <row r="5522" spans="83:87" x14ac:dyDescent="0.2">
      <c r="CE5522"/>
      <c r="CF5522"/>
      <c r="CG5522"/>
      <c r="CH5522"/>
      <c r="CI5522"/>
    </row>
    <row r="5523" spans="83:87" x14ac:dyDescent="0.2">
      <c r="CE5523"/>
      <c r="CF5523"/>
      <c r="CG5523"/>
      <c r="CH5523"/>
      <c r="CI5523"/>
    </row>
    <row r="5524" spans="83:87" x14ac:dyDescent="0.2">
      <c r="CE5524"/>
      <c r="CF5524"/>
      <c r="CG5524"/>
      <c r="CH5524"/>
      <c r="CI5524"/>
    </row>
    <row r="5525" spans="83:87" x14ac:dyDescent="0.2">
      <c r="CE5525"/>
      <c r="CF5525"/>
      <c r="CG5525"/>
      <c r="CH5525"/>
      <c r="CI5525"/>
    </row>
    <row r="5526" spans="83:87" x14ac:dyDescent="0.2">
      <c r="CE5526"/>
      <c r="CF5526"/>
      <c r="CG5526"/>
      <c r="CH5526"/>
      <c r="CI5526"/>
    </row>
    <row r="5527" spans="83:87" x14ac:dyDescent="0.2">
      <c r="CE5527"/>
      <c r="CF5527"/>
      <c r="CG5527"/>
      <c r="CH5527"/>
      <c r="CI5527"/>
    </row>
    <row r="5528" spans="83:87" x14ac:dyDescent="0.2">
      <c r="CE5528"/>
      <c r="CF5528"/>
      <c r="CG5528"/>
      <c r="CH5528"/>
      <c r="CI5528"/>
    </row>
    <row r="5529" spans="83:87" x14ac:dyDescent="0.2">
      <c r="CE5529"/>
      <c r="CF5529"/>
      <c r="CG5529"/>
      <c r="CH5529"/>
      <c r="CI5529"/>
    </row>
    <row r="5530" spans="83:87" x14ac:dyDescent="0.2">
      <c r="CE5530"/>
      <c r="CF5530"/>
      <c r="CG5530"/>
      <c r="CH5530"/>
      <c r="CI5530"/>
    </row>
    <row r="5531" spans="83:87" x14ac:dyDescent="0.2">
      <c r="CE5531"/>
      <c r="CF5531"/>
      <c r="CG5531"/>
      <c r="CH5531"/>
      <c r="CI5531"/>
    </row>
    <row r="5532" spans="83:87" x14ac:dyDescent="0.2">
      <c r="CE5532"/>
      <c r="CF5532"/>
      <c r="CG5532"/>
      <c r="CH5532"/>
      <c r="CI5532"/>
    </row>
    <row r="5533" spans="83:87" x14ac:dyDescent="0.2">
      <c r="CE5533"/>
      <c r="CF5533"/>
      <c r="CG5533"/>
      <c r="CH5533"/>
      <c r="CI5533"/>
    </row>
    <row r="5534" spans="83:87" x14ac:dyDescent="0.2">
      <c r="CE5534"/>
      <c r="CF5534"/>
      <c r="CG5534"/>
      <c r="CH5534"/>
      <c r="CI5534"/>
    </row>
    <row r="5535" spans="83:87" x14ac:dyDescent="0.2">
      <c r="CE5535"/>
      <c r="CF5535"/>
      <c r="CG5535"/>
      <c r="CH5535"/>
      <c r="CI5535"/>
    </row>
    <row r="5536" spans="83:87" x14ac:dyDescent="0.2">
      <c r="CE5536"/>
      <c r="CF5536"/>
      <c r="CG5536"/>
      <c r="CH5536"/>
      <c r="CI5536"/>
    </row>
    <row r="5537" spans="83:87" x14ac:dyDescent="0.2">
      <c r="CE5537"/>
      <c r="CF5537"/>
      <c r="CG5537"/>
      <c r="CH5537"/>
      <c r="CI5537"/>
    </row>
    <row r="5538" spans="83:87" x14ac:dyDescent="0.2">
      <c r="CE5538"/>
      <c r="CF5538"/>
      <c r="CG5538"/>
      <c r="CH5538"/>
      <c r="CI5538"/>
    </row>
    <row r="5539" spans="83:87" x14ac:dyDescent="0.2">
      <c r="CE5539"/>
      <c r="CF5539"/>
      <c r="CG5539"/>
      <c r="CH5539"/>
      <c r="CI5539"/>
    </row>
    <row r="5540" spans="83:87" x14ac:dyDescent="0.2">
      <c r="CE5540"/>
      <c r="CF5540"/>
      <c r="CG5540"/>
      <c r="CH5540"/>
      <c r="CI5540"/>
    </row>
    <row r="5541" spans="83:87" x14ac:dyDescent="0.2">
      <c r="CE5541"/>
      <c r="CF5541"/>
      <c r="CG5541"/>
      <c r="CH5541"/>
      <c r="CI5541"/>
    </row>
    <row r="5542" spans="83:87" x14ac:dyDescent="0.2">
      <c r="CE5542"/>
      <c r="CF5542"/>
      <c r="CG5542"/>
      <c r="CH5542"/>
      <c r="CI5542"/>
    </row>
    <row r="5543" spans="83:87" x14ac:dyDescent="0.2">
      <c r="CE5543"/>
      <c r="CF5543"/>
      <c r="CG5543"/>
      <c r="CH5543"/>
      <c r="CI5543"/>
    </row>
    <row r="5544" spans="83:87" x14ac:dyDescent="0.2">
      <c r="CE5544"/>
      <c r="CF5544"/>
      <c r="CG5544"/>
      <c r="CH5544"/>
      <c r="CI5544"/>
    </row>
    <row r="5545" spans="83:87" x14ac:dyDescent="0.2">
      <c r="CE5545"/>
      <c r="CF5545"/>
      <c r="CG5545"/>
      <c r="CH5545"/>
      <c r="CI5545"/>
    </row>
    <row r="5546" spans="83:87" x14ac:dyDescent="0.2">
      <c r="CE5546"/>
      <c r="CF5546"/>
      <c r="CG5546"/>
      <c r="CH5546"/>
      <c r="CI5546"/>
    </row>
    <row r="5547" spans="83:87" x14ac:dyDescent="0.2">
      <c r="CE5547"/>
      <c r="CF5547"/>
      <c r="CG5547"/>
      <c r="CH5547"/>
      <c r="CI5547"/>
    </row>
    <row r="5548" spans="83:87" x14ac:dyDescent="0.2">
      <c r="CE5548"/>
      <c r="CF5548"/>
      <c r="CG5548"/>
      <c r="CH5548"/>
      <c r="CI5548"/>
    </row>
    <row r="5549" spans="83:87" x14ac:dyDescent="0.2">
      <c r="CE5549"/>
      <c r="CF5549"/>
      <c r="CG5549"/>
      <c r="CH5549"/>
      <c r="CI5549"/>
    </row>
    <row r="5550" spans="83:87" x14ac:dyDescent="0.2">
      <c r="CE5550"/>
      <c r="CF5550"/>
      <c r="CG5550"/>
      <c r="CH5550"/>
      <c r="CI5550"/>
    </row>
    <row r="5551" spans="83:87" x14ac:dyDescent="0.2">
      <c r="CE5551"/>
      <c r="CF5551"/>
      <c r="CG5551"/>
      <c r="CH5551"/>
      <c r="CI5551"/>
    </row>
    <row r="5552" spans="83:87" x14ac:dyDescent="0.2">
      <c r="CE5552"/>
      <c r="CF5552"/>
      <c r="CG5552"/>
      <c r="CH5552"/>
      <c r="CI5552"/>
    </row>
    <row r="5553" spans="83:87" x14ac:dyDescent="0.2">
      <c r="CE5553"/>
      <c r="CF5553"/>
      <c r="CG5553"/>
      <c r="CH5553"/>
      <c r="CI5553"/>
    </row>
    <row r="5554" spans="83:87" x14ac:dyDescent="0.2">
      <c r="CE5554"/>
      <c r="CF5554"/>
      <c r="CG5554"/>
      <c r="CH5554"/>
      <c r="CI5554"/>
    </row>
    <row r="5555" spans="83:87" x14ac:dyDescent="0.2">
      <c r="CE5555"/>
      <c r="CF5555"/>
      <c r="CG5555"/>
      <c r="CH5555"/>
      <c r="CI5555"/>
    </row>
    <row r="5556" spans="83:87" x14ac:dyDescent="0.2">
      <c r="CE5556"/>
      <c r="CF5556"/>
      <c r="CG5556"/>
      <c r="CH5556"/>
      <c r="CI5556"/>
    </row>
    <row r="5557" spans="83:87" x14ac:dyDescent="0.2">
      <c r="CE5557"/>
      <c r="CF5557"/>
      <c r="CG5557"/>
      <c r="CH5557"/>
      <c r="CI5557"/>
    </row>
    <row r="5558" spans="83:87" x14ac:dyDescent="0.2">
      <c r="CE5558"/>
      <c r="CF5558"/>
      <c r="CG5558"/>
      <c r="CH5558"/>
      <c r="CI5558"/>
    </row>
    <row r="5559" spans="83:87" x14ac:dyDescent="0.2">
      <c r="CE5559"/>
      <c r="CF5559"/>
      <c r="CG5559"/>
      <c r="CH5559"/>
      <c r="CI5559"/>
    </row>
    <row r="5560" spans="83:87" x14ac:dyDescent="0.2">
      <c r="CE5560"/>
      <c r="CF5560"/>
      <c r="CG5560"/>
      <c r="CH5560"/>
      <c r="CI5560"/>
    </row>
    <row r="5561" spans="83:87" x14ac:dyDescent="0.2">
      <c r="CE5561"/>
      <c r="CF5561"/>
      <c r="CG5561"/>
      <c r="CH5561"/>
      <c r="CI5561"/>
    </row>
    <row r="5562" spans="83:87" x14ac:dyDescent="0.2">
      <c r="CE5562"/>
      <c r="CF5562"/>
      <c r="CG5562"/>
      <c r="CH5562"/>
      <c r="CI5562"/>
    </row>
    <row r="5563" spans="83:87" x14ac:dyDescent="0.2">
      <c r="CE5563"/>
      <c r="CF5563"/>
      <c r="CG5563"/>
      <c r="CH5563"/>
      <c r="CI5563"/>
    </row>
    <row r="5564" spans="83:87" x14ac:dyDescent="0.2">
      <c r="CE5564"/>
      <c r="CF5564"/>
      <c r="CG5564"/>
      <c r="CH5564"/>
      <c r="CI5564"/>
    </row>
    <row r="5565" spans="83:87" x14ac:dyDescent="0.2">
      <c r="CE5565"/>
      <c r="CF5565"/>
      <c r="CG5565"/>
      <c r="CH5565"/>
      <c r="CI5565"/>
    </row>
    <row r="5566" spans="83:87" x14ac:dyDescent="0.2">
      <c r="CE5566"/>
      <c r="CF5566"/>
      <c r="CG5566"/>
      <c r="CH5566"/>
      <c r="CI5566"/>
    </row>
    <row r="5567" spans="83:87" x14ac:dyDescent="0.2">
      <c r="CE5567"/>
      <c r="CF5567"/>
      <c r="CG5567"/>
      <c r="CH5567"/>
      <c r="CI5567"/>
    </row>
    <row r="5568" spans="83:87" x14ac:dyDescent="0.2">
      <c r="CE5568"/>
      <c r="CF5568"/>
      <c r="CG5568"/>
      <c r="CH5568"/>
      <c r="CI5568"/>
    </row>
    <row r="5569" spans="83:87" x14ac:dyDescent="0.2">
      <c r="CE5569"/>
      <c r="CF5569"/>
      <c r="CG5569"/>
      <c r="CH5569"/>
      <c r="CI5569"/>
    </row>
    <row r="5570" spans="83:87" x14ac:dyDescent="0.2">
      <c r="CE5570"/>
      <c r="CF5570"/>
      <c r="CG5570"/>
      <c r="CH5570"/>
      <c r="CI5570"/>
    </row>
    <row r="5571" spans="83:87" x14ac:dyDescent="0.2">
      <c r="CE5571"/>
      <c r="CF5571"/>
      <c r="CG5571"/>
      <c r="CH5571"/>
      <c r="CI5571"/>
    </row>
    <row r="5572" spans="83:87" x14ac:dyDescent="0.2">
      <c r="CE5572"/>
      <c r="CF5572"/>
      <c r="CG5572"/>
      <c r="CH5572"/>
      <c r="CI5572"/>
    </row>
    <row r="5573" spans="83:87" x14ac:dyDescent="0.2">
      <c r="CE5573"/>
      <c r="CF5573"/>
      <c r="CG5573"/>
      <c r="CH5573"/>
      <c r="CI5573"/>
    </row>
    <row r="5574" spans="83:87" x14ac:dyDescent="0.2">
      <c r="CE5574"/>
      <c r="CF5574"/>
      <c r="CG5574"/>
      <c r="CH5574"/>
      <c r="CI5574"/>
    </row>
    <row r="5575" spans="83:87" x14ac:dyDescent="0.2">
      <c r="CE5575"/>
      <c r="CF5575"/>
      <c r="CG5575"/>
      <c r="CH5575"/>
      <c r="CI5575"/>
    </row>
    <row r="5576" spans="83:87" x14ac:dyDescent="0.2">
      <c r="CE5576"/>
      <c r="CF5576"/>
      <c r="CG5576"/>
      <c r="CH5576"/>
      <c r="CI5576"/>
    </row>
    <row r="5577" spans="83:87" x14ac:dyDescent="0.2">
      <c r="CE5577"/>
      <c r="CF5577"/>
      <c r="CG5577"/>
      <c r="CH5577"/>
      <c r="CI5577"/>
    </row>
    <row r="5578" spans="83:87" x14ac:dyDescent="0.2">
      <c r="CE5578"/>
      <c r="CF5578"/>
      <c r="CG5578"/>
      <c r="CH5578"/>
      <c r="CI5578"/>
    </row>
    <row r="5579" spans="83:87" x14ac:dyDescent="0.2">
      <c r="CE5579"/>
      <c r="CF5579"/>
      <c r="CG5579"/>
      <c r="CH5579"/>
      <c r="CI5579"/>
    </row>
    <row r="5580" spans="83:87" x14ac:dyDescent="0.2">
      <c r="CE5580"/>
      <c r="CF5580"/>
      <c r="CG5580"/>
      <c r="CH5580"/>
      <c r="CI5580"/>
    </row>
    <row r="5581" spans="83:87" x14ac:dyDescent="0.2">
      <c r="CE5581"/>
      <c r="CF5581"/>
      <c r="CG5581"/>
      <c r="CH5581"/>
      <c r="CI5581"/>
    </row>
    <row r="5582" spans="83:87" x14ac:dyDescent="0.2">
      <c r="CE5582"/>
      <c r="CF5582"/>
      <c r="CG5582"/>
      <c r="CH5582"/>
      <c r="CI5582"/>
    </row>
    <row r="5583" spans="83:87" x14ac:dyDescent="0.2">
      <c r="CE5583"/>
      <c r="CF5583"/>
      <c r="CG5583"/>
      <c r="CH5583"/>
      <c r="CI5583"/>
    </row>
    <row r="5584" spans="83:87" x14ac:dyDescent="0.2">
      <c r="CE5584"/>
      <c r="CF5584"/>
      <c r="CG5584"/>
      <c r="CH5584"/>
      <c r="CI5584"/>
    </row>
    <row r="5585" spans="83:87" x14ac:dyDescent="0.2">
      <c r="CE5585"/>
      <c r="CF5585"/>
      <c r="CG5585"/>
      <c r="CH5585"/>
      <c r="CI5585"/>
    </row>
    <row r="5586" spans="83:87" x14ac:dyDescent="0.2">
      <c r="CE5586"/>
      <c r="CF5586"/>
      <c r="CG5586"/>
      <c r="CH5586"/>
      <c r="CI5586"/>
    </row>
    <row r="5587" spans="83:87" x14ac:dyDescent="0.2">
      <c r="CE5587"/>
      <c r="CF5587"/>
      <c r="CG5587"/>
      <c r="CH5587"/>
      <c r="CI5587"/>
    </row>
    <row r="5588" spans="83:87" x14ac:dyDescent="0.2">
      <c r="CE5588"/>
      <c r="CF5588"/>
      <c r="CG5588"/>
      <c r="CH5588"/>
      <c r="CI5588"/>
    </row>
    <row r="5589" spans="83:87" x14ac:dyDescent="0.2">
      <c r="CE5589"/>
      <c r="CF5589"/>
      <c r="CG5589"/>
      <c r="CH5589"/>
      <c r="CI5589"/>
    </row>
    <row r="5590" spans="83:87" x14ac:dyDescent="0.2">
      <c r="CE5590"/>
      <c r="CF5590"/>
      <c r="CG5590"/>
      <c r="CH5590"/>
      <c r="CI5590"/>
    </row>
    <row r="5591" spans="83:87" x14ac:dyDescent="0.2">
      <c r="CE5591"/>
      <c r="CF5591"/>
      <c r="CG5591"/>
      <c r="CH5591"/>
      <c r="CI5591"/>
    </row>
    <row r="5592" spans="83:87" x14ac:dyDescent="0.2">
      <c r="CE5592"/>
      <c r="CF5592"/>
      <c r="CG5592"/>
      <c r="CH5592"/>
      <c r="CI5592"/>
    </row>
    <row r="5593" spans="83:87" x14ac:dyDescent="0.2">
      <c r="CE5593"/>
      <c r="CF5593"/>
      <c r="CG5593"/>
      <c r="CH5593"/>
      <c r="CI5593"/>
    </row>
    <row r="5594" spans="83:87" x14ac:dyDescent="0.2">
      <c r="CE5594"/>
      <c r="CF5594"/>
      <c r="CG5594"/>
      <c r="CH5594"/>
      <c r="CI5594"/>
    </row>
    <row r="5595" spans="83:87" x14ac:dyDescent="0.2">
      <c r="CE5595"/>
      <c r="CF5595"/>
      <c r="CG5595"/>
      <c r="CH5595"/>
      <c r="CI5595"/>
    </row>
    <row r="5596" spans="83:87" x14ac:dyDescent="0.2">
      <c r="CE5596"/>
      <c r="CF5596"/>
      <c r="CG5596"/>
      <c r="CH5596"/>
      <c r="CI5596"/>
    </row>
    <row r="5597" spans="83:87" x14ac:dyDescent="0.2">
      <c r="CE5597"/>
      <c r="CF5597"/>
      <c r="CG5597"/>
      <c r="CH5597"/>
      <c r="CI5597"/>
    </row>
    <row r="5598" spans="83:87" x14ac:dyDescent="0.2">
      <c r="CE5598"/>
      <c r="CF5598"/>
      <c r="CG5598"/>
      <c r="CH5598"/>
      <c r="CI5598"/>
    </row>
    <row r="5599" spans="83:87" x14ac:dyDescent="0.2">
      <c r="CE5599"/>
      <c r="CF5599"/>
      <c r="CG5599"/>
      <c r="CH5599"/>
      <c r="CI5599"/>
    </row>
    <row r="5600" spans="83:87" x14ac:dyDescent="0.2">
      <c r="CE5600"/>
      <c r="CF5600"/>
      <c r="CG5600"/>
      <c r="CH5600"/>
      <c r="CI5600"/>
    </row>
    <row r="5601" spans="83:87" x14ac:dyDescent="0.2">
      <c r="CE5601"/>
      <c r="CF5601"/>
      <c r="CG5601"/>
      <c r="CH5601"/>
      <c r="CI5601"/>
    </row>
    <row r="5602" spans="83:87" x14ac:dyDescent="0.2">
      <c r="CE5602"/>
      <c r="CF5602"/>
      <c r="CG5602"/>
      <c r="CH5602"/>
      <c r="CI5602"/>
    </row>
    <row r="5603" spans="83:87" x14ac:dyDescent="0.2">
      <c r="CE5603"/>
      <c r="CF5603"/>
      <c r="CG5603"/>
      <c r="CH5603"/>
      <c r="CI5603"/>
    </row>
    <row r="5604" spans="83:87" x14ac:dyDescent="0.2">
      <c r="CE5604"/>
      <c r="CF5604"/>
      <c r="CG5604"/>
      <c r="CH5604"/>
      <c r="CI5604"/>
    </row>
    <row r="5605" spans="83:87" x14ac:dyDescent="0.2">
      <c r="CE5605"/>
      <c r="CF5605"/>
      <c r="CG5605"/>
      <c r="CH5605"/>
      <c r="CI5605"/>
    </row>
    <row r="5606" spans="83:87" x14ac:dyDescent="0.2">
      <c r="CE5606"/>
      <c r="CF5606"/>
      <c r="CG5606"/>
      <c r="CH5606"/>
      <c r="CI5606"/>
    </row>
    <row r="5607" spans="83:87" x14ac:dyDescent="0.2">
      <c r="CE5607"/>
      <c r="CF5607"/>
      <c r="CG5607"/>
      <c r="CH5607"/>
      <c r="CI5607"/>
    </row>
    <row r="5608" spans="83:87" x14ac:dyDescent="0.2">
      <c r="CE5608"/>
      <c r="CF5608"/>
      <c r="CG5608"/>
      <c r="CH5608"/>
      <c r="CI5608"/>
    </row>
    <row r="5609" spans="83:87" x14ac:dyDescent="0.2">
      <c r="CE5609"/>
      <c r="CF5609"/>
      <c r="CG5609"/>
      <c r="CH5609"/>
      <c r="CI5609"/>
    </row>
    <row r="5610" spans="83:87" x14ac:dyDescent="0.2">
      <c r="CE5610"/>
      <c r="CF5610"/>
      <c r="CG5610"/>
      <c r="CH5610"/>
      <c r="CI5610"/>
    </row>
    <row r="5611" spans="83:87" x14ac:dyDescent="0.2">
      <c r="CE5611"/>
      <c r="CF5611"/>
      <c r="CG5611"/>
      <c r="CH5611"/>
      <c r="CI5611"/>
    </row>
    <row r="5612" spans="83:87" x14ac:dyDescent="0.2">
      <c r="CE5612"/>
      <c r="CF5612"/>
      <c r="CG5612"/>
      <c r="CH5612"/>
      <c r="CI5612"/>
    </row>
    <row r="5613" spans="83:87" x14ac:dyDescent="0.2">
      <c r="CE5613"/>
      <c r="CF5613"/>
      <c r="CG5613"/>
      <c r="CH5613"/>
      <c r="CI5613"/>
    </row>
    <row r="5614" spans="83:87" x14ac:dyDescent="0.2">
      <c r="CE5614"/>
      <c r="CF5614"/>
      <c r="CG5614"/>
      <c r="CH5614"/>
      <c r="CI5614"/>
    </row>
    <row r="5615" spans="83:87" x14ac:dyDescent="0.2">
      <c r="CE5615"/>
      <c r="CF5615"/>
      <c r="CG5615"/>
      <c r="CH5615"/>
      <c r="CI5615"/>
    </row>
    <row r="5616" spans="83:87" x14ac:dyDescent="0.2">
      <c r="CE5616"/>
      <c r="CF5616"/>
      <c r="CG5616"/>
      <c r="CH5616"/>
      <c r="CI5616"/>
    </row>
    <row r="5617" spans="83:87" x14ac:dyDescent="0.2">
      <c r="CE5617"/>
      <c r="CF5617"/>
      <c r="CG5617"/>
      <c r="CH5617"/>
      <c r="CI5617"/>
    </row>
    <row r="5618" spans="83:87" x14ac:dyDescent="0.2">
      <c r="CE5618"/>
      <c r="CF5618"/>
      <c r="CG5618"/>
      <c r="CH5618"/>
      <c r="CI5618"/>
    </row>
    <row r="5619" spans="83:87" x14ac:dyDescent="0.2">
      <c r="CE5619"/>
      <c r="CF5619"/>
      <c r="CG5619"/>
      <c r="CH5619"/>
      <c r="CI5619"/>
    </row>
    <row r="5620" spans="83:87" x14ac:dyDescent="0.2">
      <c r="CE5620"/>
      <c r="CF5620"/>
      <c r="CG5620"/>
      <c r="CH5620"/>
      <c r="CI5620"/>
    </row>
    <row r="5621" spans="83:87" x14ac:dyDescent="0.2">
      <c r="CE5621"/>
      <c r="CF5621"/>
      <c r="CG5621"/>
      <c r="CH5621"/>
      <c r="CI5621"/>
    </row>
    <row r="5622" spans="83:87" x14ac:dyDescent="0.2">
      <c r="CE5622"/>
      <c r="CF5622"/>
      <c r="CG5622"/>
      <c r="CH5622"/>
      <c r="CI5622"/>
    </row>
    <row r="5623" spans="83:87" x14ac:dyDescent="0.2">
      <c r="CE5623"/>
      <c r="CF5623"/>
      <c r="CG5623"/>
      <c r="CH5623"/>
      <c r="CI5623"/>
    </row>
    <row r="5624" spans="83:87" x14ac:dyDescent="0.2">
      <c r="CE5624"/>
      <c r="CF5624"/>
      <c r="CG5624"/>
      <c r="CH5624"/>
      <c r="CI5624"/>
    </row>
    <row r="5625" spans="83:87" x14ac:dyDescent="0.2">
      <c r="CE5625"/>
      <c r="CF5625"/>
      <c r="CG5625"/>
      <c r="CH5625"/>
      <c r="CI5625"/>
    </row>
    <row r="5626" spans="83:87" x14ac:dyDescent="0.2">
      <c r="CE5626"/>
      <c r="CF5626"/>
      <c r="CG5626"/>
      <c r="CH5626"/>
      <c r="CI5626"/>
    </row>
    <row r="5627" spans="83:87" x14ac:dyDescent="0.2">
      <c r="CE5627"/>
      <c r="CF5627"/>
      <c r="CG5627"/>
      <c r="CH5627"/>
      <c r="CI5627"/>
    </row>
    <row r="5628" spans="83:87" x14ac:dyDescent="0.2">
      <c r="CE5628"/>
      <c r="CF5628"/>
      <c r="CG5628"/>
      <c r="CH5628"/>
      <c r="CI5628"/>
    </row>
    <row r="5629" spans="83:87" x14ac:dyDescent="0.2">
      <c r="CE5629"/>
      <c r="CF5629"/>
      <c r="CG5629"/>
      <c r="CH5629"/>
      <c r="CI5629"/>
    </row>
    <row r="5630" spans="83:87" x14ac:dyDescent="0.2">
      <c r="CE5630"/>
      <c r="CF5630"/>
      <c r="CG5630"/>
      <c r="CH5630"/>
      <c r="CI5630"/>
    </row>
    <row r="5631" spans="83:87" x14ac:dyDescent="0.2">
      <c r="CE5631"/>
      <c r="CF5631"/>
      <c r="CG5631"/>
      <c r="CH5631"/>
      <c r="CI5631"/>
    </row>
    <row r="5632" spans="83:87" x14ac:dyDescent="0.2">
      <c r="CE5632"/>
      <c r="CF5632"/>
      <c r="CG5632"/>
      <c r="CH5632"/>
      <c r="CI5632"/>
    </row>
    <row r="5633" spans="83:87" x14ac:dyDescent="0.2">
      <c r="CE5633"/>
      <c r="CF5633"/>
      <c r="CG5633"/>
      <c r="CH5633"/>
      <c r="CI5633"/>
    </row>
    <row r="5634" spans="83:87" x14ac:dyDescent="0.2">
      <c r="CE5634"/>
      <c r="CF5634"/>
      <c r="CG5634"/>
      <c r="CH5634"/>
      <c r="CI5634"/>
    </row>
    <row r="5635" spans="83:87" x14ac:dyDescent="0.2">
      <c r="CE5635"/>
      <c r="CF5635"/>
      <c r="CG5635"/>
      <c r="CH5635"/>
      <c r="CI5635"/>
    </row>
    <row r="5636" spans="83:87" x14ac:dyDescent="0.2">
      <c r="CE5636"/>
      <c r="CF5636"/>
      <c r="CG5636"/>
      <c r="CH5636"/>
      <c r="CI5636"/>
    </row>
    <row r="5637" spans="83:87" x14ac:dyDescent="0.2">
      <c r="CE5637"/>
      <c r="CF5637"/>
      <c r="CG5637"/>
      <c r="CH5637"/>
      <c r="CI5637"/>
    </row>
    <row r="5638" spans="83:87" x14ac:dyDescent="0.2">
      <c r="CE5638"/>
      <c r="CF5638"/>
      <c r="CG5638"/>
      <c r="CH5638"/>
      <c r="CI5638"/>
    </row>
    <row r="5639" spans="83:87" x14ac:dyDescent="0.2">
      <c r="CE5639"/>
      <c r="CF5639"/>
      <c r="CG5639"/>
      <c r="CH5639"/>
      <c r="CI5639"/>
    </row>
    <row r="5640" spans="83:87" x14ac:dyDescent="0.2">
      <c r="CE5640"/>
      <c r="CF5640"/>
      <c r="CG5640"/>
      <c r="CH5640"/>
      <c r="CI5640"/>
    </row>
    <row r="5641" spans="83:87" x14ac:dyDescent="0.2">
      <c r="CE5641"/>
      <c r="CF5641"/>
      <c r="CG5641"/>
      <c r="CH5641"/>
      <c r="CI5641"/>
    </row>
    <row r="5642" spans="83:87" x14ac:dyDescent="0.2">
      <c r="CE5642"/>
      <c r="CF5642"/>
      <c r="CG5642"/>
      <c r="CH5642"/>
      <c r="CI5642"/>
    </row>
    <row r="5643" spans="83:87" x14ac:dyDescent="0.2">
      <c r="CE5643"/>
      <c r="CF5643"/>
      <c r="CG5643"/>
      <c r="CH5643"/>
      <c r="CI5643"/>
    </row>
    <row r="5644" spans="83:87" x14ac:dyDescent="0.2">
      <c r="CE5644"/>
      <c r="CF5644"/>
      <c r="CG5644"/>
      <c r="CH5644"/>
      <c r="CI5644"/>
    </row>
    <row r="5645" spans="83:87" x14ac:dyDescent="0.2">
      <c r="CE5645"/>
      <c r="CF5645"/>
      <c r="CG5645"/>
      <c r="CH5645"/>
      <c r="CI5645"/>
    </row>
    <row r="5646" spans="83:87" x14ac:dyDescent="0.2">
      <c r="CE5646"/>
      <c r="CF5646"/>
      <c r="CG5646"/>
      <c r="CH5646"/>
      <c r="CI5646"/>
    </row>
    <row r="5647" spans="83:87" x14ac:dyDescent="0.2">
      <c r="CE5647"/>
      <c r="CF5647"/>
      <c r="CG5647"/>
      <c r="CH5647"/>
      <c r="CI5647"/>
    </row>
    <row r="5648" spans="83:87" x14ac:dyDescent="0.2">
      <c r="CE5648"/>
      <c r="CF5648"/>
      <c r="CG5648"/>
      <c r="CH5648"/>
      <c r="CI5648"/>
    </row>
    <row r="5649" spans="83:87" x14ac:dyDescent="0.2">
      <c r="CE5649"/>
      <c r="CF5649"/>
      <c r="CG5649"/>
      <c r="CH5649"/>
      <c r="CI5649"/>
    </row>
    <row r="5650" spans="83:87" x14ac:dyDescent="0.2">
      <c r="CE5650"/>
      <c r="CF5650"/>
      <c r="CG5650"/>
      <c r="CH5650"/>
      <c r="CI5650"/>
    </row>
    <row r="5651" spans="83:87" x14ac:dyDescent="0.2">
      <c r="CE5651"/>
      <c r="CF5651"/>
      <c r="CG5651"/>
      <c r="CH5651"/>
      <c r="CI5651"/>
    </row>
    <row r="5652" spans="83:87" x14ac:dyDescent="0.2">
      <c r="CE5652"/>
      <c r="CF5652"/>
      <c r="CG5652"/>
      <c r="CH5652"/>
      <c r="CI5652"/>
    </row>
    <row r="5653" spans="83:87" x14ac:dyDescent="0.2">
      <c r="CE5653"/>
      <c r="CF5653"/>
      <c r="CG5653"/>
      <c r="CH5653"/>
      <c r="CI5653"/>
    </row>
    <row r="5654" spans="83:87" x14ac:dyDescent="0.2">
      <c r="CE5654"/>
      <c r="CF5654"/>
      <c r="CG5654"/>
      <c r="CH5654"/>
      <c r="CI5654"/>
    </row>
    <row r="5655" spans="83:87" x14ac:dyDescent="0.2">
      <c r="CE5655"/>
      <c r="CF5655"/>
      <c r="CG5655"/>
      <c r="CH5655"/>
      <c r="CI5655"/>
    </row>
    <row r="5656" spans="83:87" x14ac:dyDescent="0.2">
      <c r="CE5656"/>
      <c r="CF5656"/>
      <c r="CG5656"/>
      <c r="CH5656"/>
      <c r="CI5656"/>
    </row>
    <row r="5657" spans="83:87" x14ac:dyDescent="0.2">
      <c r="CE5657"/>
      <c r="CF5657"/>
      <c r="CG5657"/>
      <c r="CH5657"/>
      <c r="CI5657"/>
    </row>
    <row r="5658" spans="83:87" x14ac:dyDescent="0.2">
      <c r="CE5658"/>
      <c r="CF5658"/>
      <c r="CG5658"/>
      <c r="CH5658"/>
      <c r="CI5658"/>
    </row>
    <row r="5659" spans="83:87" x14ac:dyDescent="0.2">
      <c r="CE5659"/>
      <c r="CF5659"/>
      <c r="CG5659"/>
      <c r="CH5659"/>
      <c r="CI5659"/>
    </row>
    <row r="5660" spans="83:87" x14ac:dyDescent="0.2">
      <c r="CE5660"/>
      <c r="CF5660"/>
      <c r="CG5660"/>
      <c r="CH5660"/>
      <c r="CI5660"/>
    </row>
    <row r="5661" spans="83:87" x14ac:dyDescent="0.2">
      <c r="CE5661"/>
      <c r="CF5661"/>
      <c r="CG5661"/>
      <c r="CH5661"/>
      <c r="CI5661"/>
    </row>
    <row r="5662" spans="83:87" x14ac:dyDescent="0.2">
      <c r="CE5662"/>
      <c r="CF5662"/>
      <c r="CG5662"/>
      <c r="CH5662"/>
      <c r="CI5662"/>
    </row>
    <row r="5663" spans="83:87" x14ac:dyDescent="0.2">
      <c r="CE5663"/>
      <c r="CF5663"/>
      <c r="CG5663"/>
      <c r="CH5663"/>
      <c r="CI5663"/>
    </row>
    <row r="5664" spans="83:87" x14ac:dyDescent="0.2">
      <c r="CE5664"/>
      <c r="CF5664"/>
      <c r="CG5664"/>
      <c r="CH5664"/>
      <c r="CI5664"/>
    </row>
    <row r="5665" spans="83:87" x14ac:dyDescent="0.2">
      <c r="CE5665"/>
      <c r="CF5665"/>
      <c r="CG5665"/>
      <c r="CH5665"/>
      <c r="CI5665"/>
    </row>
    <row r="5666" spans="83:87" x14ac:dyDescent="0.2">
      <c r="CE5666"/>
      <c r="CF5666"/>
      <c r="CG5666"/>
      <c r="CH5666"/>
      <c r="CI5666"/>
    </row>
    <row r="5667" spans="83:87" x14ac:dyDescent="0.2">
      <c r="CE5667"/>
      <c r="CF5667"/>
      <c r="CG5667"/>
      <c r="CH5667"/>
      <c r="CI5667"/>
    </row>
    <row r="5668" spans="83:87" x14ac:dyDescent="0.2">
      <c r="CE5668"/>
      <c r="CF5668"/>
      <c r="CG5668"/>
      <c r="CH5668"/>
      <c r="CI5668"/>
    </row>
    <row r="5669" spans="83:87" x14ac:dyDescent="0.2">
      <c r="CE5669"/>
      <c r="CF5669"/>
      <c r="CG5669"/>
      <c r="CH5669"/>
      <c r="CI5669"/>
    </row>
    <row r="5670" spans="83:87" x14ac:dyDescent="0.2">
      <c r="CE5670"/>
      <c r="CF5670"/>
      <c r="CG5670"/>
      <c r="CH5670"/>
      <c r="CI5670"/>
    </row>
    <row r="5671" spans="83:87" x14ac:dyDescent="0.2">
      <c r="CE5671"/>
      <c r="CF5671"/>
      <c r="CG5671"/>
      <c r="CH5671"/>
      <c r="CI5671"/>
    </row>
    <row r="5672" spans="83:87" x14ac:dyDescent="0.2">
      <c r="CE5672"/>
      <c r="CF5672"/>
      <c r="CG5672"/>
      <c r="CH5672"/>
      <c r="CI5672"/>
    </row>
    <row r="5673" spans="83:87" x14ac:dyDescent="0.2">
      <c r="CE5673"/>
      <c r="CF5673"/>
      <c r="CG5673"/>
      <c r="CH5673"/>
      <c r="CI5673"/>
    </row>
    <row r="5674" spans="83:87" x14ac:dyDescent="0.2">
      <c r="CE5674"/>
      <c r="CF5674"/>
      <c r="CG5674"/>
      <c r="CH5674"/>
      <c r="CI5674"/>
    </row>
    <row r="5675" spans="83:87" x14ac:dyDescent="0.2">
      <c r="CE5675"/>
      <c r="CF5675"/>
      <c r="CG5675"/>
      <c r="CH5675"/>
      <c r="CI5675"/>
    </row>
    <row r="5676" spans="83:87" x14ac:dyDescent="0.2">
      <c r="CE5676"/>
      <c r="CF5676"/>
      <c r="CG5676"/>
      <c r="CH5676"/>
      <c r="CI5676"/>
    </row>
    <row r="5677" spans="83:87" x14ac:dyDescent="0.2">
      <c r="CE5677"/>
      <c r="CF5677"/>
      <c r="CG5677"/>
      <c r="CH5677"/>
      <c r="CI5677"/>
    </row>
    <row r="5678" spans="83:87" x14ac:dyDescent="0.2">
      <c r="CE5678"/>
      <c r="CF5678"/>
      <c r="CG5678"/>
      <c r="CH5678"/>
      <c r="CI5678"/>
    </row>
    <row r="5679" spans="83:87" x14ac:dyDescent="0.2">
      <c r="CE5679"/>
      <c r="CF5679"/>
      <c r="CG5679"/>
      <c r="CH5679"/>
      <c r="CI5679"/>
    </row>
    <row r="5680" spans="83:87" x14ac:dyDescent="0.2">
      <c r="CE5680"/>
      <c r="CF5680"/>
      <c r="CG5680"/>
      <c r="CH5680"/>
      <c r="CI5680"/>
    </row>
    <row r="5681" spans="83:87" x14ac:dyDescent="0.2">
      <c r="CE5681"/>
      <c r="CF5681"/>
      <c r="CG5681"/>
      <c r="CH5681"/>
      <c r="CI5681"/>
    </row>
    <row r="5682" spans="83:87" x14ac:dyDescent="0.2">
      <c r="CE5682"/>
      <c r="CF5682"/>
      <c r="CG5682"/>
      <c r="CH5682"/>
      <c r="CI5682"/>
    </row>
    <row r="5683" spans="83:87" x14ac:dyDescent="0.2">
      <c r="CE5683"/>
      <c r="CF5683"/>
      <c r="CG5683"/>
      <c r="CH5683"/>
      <c r="CI5683"/>
    </row>
    <row r="5684" spans="83:87" x14ac:dyDescent="0.2">
      <c r="CE5684"/>
      <c r="CF5684"/>
      <c r="CG5684"/>
      <c r="CH5684"/>
      <c r="CI5684"/>
    </row>
    <row r="5685" spans="83:87" x14ac:dyDescent="0.2">
      <c r="CE5685"/>
      <c r="CF5685"/>
      <c r="CG5685"/>
      <c r="CH5685"/>
      <c r="CI5685"/>
    </row>
    <row r="5686" spans="83:87" x14ac:dyDescent="0.2">
      <c r="CE5686"/>
      <c r="CF5686"/>
      <c r="CG5686"/>
      <c r="CH5686"/>
      <c r="CI5686"/>
    </row>
    <row r="5687" spans="83:87" x14ac:dyDescent="0.2">
      <c r="CE5687"/>
      <c r="CF5687"/>
      <c r="CG5687"/>
      <c r="CH5687"/>
      <c r="CI5687"/>
    </row>
    <row r="5688" spans="83:87" x14ac:dyDescent="0.2">
      <c r="CE5688"/>
      <c r="CF5688"/>
      <c r="CG5688"/>
      <c r="CH5688"/>
      <c r="CI5688"/>
    </row>
    <row r="5689" spans="83:87" x14ac:dyDescent="0.2">
      <c r="CE5689"/>
      <c r="CF5689"/>
      <c r="CG5689"/>
      <c r="CH5689"/>
      <c r="CI5689"/>
    </row>
    <row r="5690" spans="83:87" x14ac:dyDescent="0.2">
      <c r="CE5690"/>
      <c r="CF5690"/>
      <c r="CG5690"/>
      <c r="CH5690"/>
      <c r="CI5690"/>
    </row>
    <row r="5691" spans="83:87" x14ac:dyDescent="0.2">
      <c r="CE5691"/>
      <c r="CF5691"/>
      <c r="CG5691"/>
      <c r="CH5691"/>
      <c r="CI5691"/>
    </row>
    <row r="5692" spans="83:87" x14ac:dyDescent="0.2">
      <c r="CE5692"/>
      <c r="CF5692"/>
      <c r="CG5692"/>
      <c r="CH5692"/>
      <c r="CI5692"/>
    </row>
    <row r="5693" spans="83:87" x14ac:dyDescent="0.2">
      <c r="CE5693"/>
      <c r="CF5693"/>
      <c r="CG5693"/>
      <c r="CH5693"/>
      <c r="CI5693"/>
    </row>
    <row r="5694" spans="83:87" x14ac:dyDescent="0.2">
      <c r="CE5694"/>
      <c r="CF5694"/>
      <c r="CG5694"/>
      <c r="CH5694"/>
      <c r="CI5694"/>
    </row>
    <row r="5695" spans="83:87" x14ac:dyDescent="0.2">
      <c r="CE5695"/>
      <c r="CF5695"/>
      <c r="CG5695"/>
      <c r="CH5695"/>
      <c r="CI5695"/>
    </row>
    <row r="5696" spans="83:87" x14ac:dyDescent="0.2">
      <c r="CE5696"/>
      <c r="CF5696"/>
      <c r="CG5696"/>
      <c r="CH5696"/>
      <c r="CI5696"/>
    </row>
    <row r="5697" spans="83:87" x14ac:dyDescent="0.2">
      <c r="CE5697"/>
      <c r="CF5697"/>
      <c r="CG5697"/>
      <c r="CH5697"/>
      <c r="CI5697"/>
    </row>
    <row r="5698" spans="83:87" x14ac:dyDescent="0.2">
      <c r="CE5698"/>
      <c r="CF5698"/>
      <c r="CG5698"/>
      <c r="CH5698"/>
      <c r="CI5698"/>
    </row>
    <row r="5699" spans="83:87" x14ac:dyDescent="0.2">
      <c r="CE5699"/>
      <c r="CF5699"/>
      <c r="CG5699"/>
      <c r="CH5699"/>
      <c r="CI5699"/>
    </row>
    <row r="5700" spans="83:87" x14ac:dyDescent="0.2">
      <c r="CE5700"/>
      <c r="CF5700"/>
      <c r="CG5700"/>
      <c r="CH5700"/>
      <c r="CI5700"/>
    </row>
    <row r="5701" spans="83:87" x14ac:dyDescent="0.2">
      <c r="CE5701"/>
      <c r="CF5701"/>
      <c r="CG5701"/>
      <c r="CH5701"/>
      <c r="CI5701"/>
    </row>
    <row r="5702" spans="83:87" x14ac:dyDescent="0.2">
      <c r="CE5702"/>
      <c r="CF5702"/>
      <c r="CG5702"/>
      <c r="CH5702"/>
      <c r="CI5702"/>
    </row>
    <row r="5703" spans="83:87" x14ac:dyDescent="0.2">
      <c r="CE5703"/>
      <c r="CF5703"/>
      <c r="CG5703"/>
      <c r="CH5703"/>
      <c r="CI5703"/>
    </row>
    <row r="5704" spans="83:87" x14ac:dyDescent="0.2">
      <c r="CE5704"/>
      <c r="CF5704"/>
      <c r="CG5704"/>
      <c r="CH5704"/>
      <c r="CI5704"/>
    </row>
    <row r="5705" spans="83:87" x14ac:dyDescent="0.2">
      <c r="CE5705"/>
      <c r="CF5705"/>
      <c r="CG5705"/>
      <c r="CH5705"/>
      <c r="CI5705"/>
    </row>
    <row r="5706" spans="83:87" x14ac:dyDescent="0.2">
      <c r="CE5706"/>
      <c r="CF5706"/>
      <c r="CG5706"/>
      <c r="CH5706"/>
      <c r="CI5706"/>
    </row>
    <row r="5707" spans="83:87" x14ac:dyDescent="0.2">
      <c r="CE5707"/>
      <c r="CF5707"/>
      <c r="CG5707"/>
      <c r="CH5707"/>
      <c r="CI5707"/>
    </row>
    <row r="5708" spans="83:87" x14ac:dyDescent="0.2">
      <c r="CE5708"/>
      <c r="CF5708"/>
      <c r="CG5708"/>
      <c r="CH5708"/>
      <c r="CI5708"/>
    </row>
    <row r="5709" spans="83:87" x14ac:dyDescent="0.2">
      <c r="CE5709"/>
      <c r="CF5709"/>
      <c r="CG5709"/>
      <c r="CH5709"/>
      <c r="CI5709"/>
    </row>
    <row r="5710" spans="83:87" x14ac:dyDescent="0.2">
      <c r="CE5710"/>
      <c r="CF5710"/>
      <c r="CG5710"/>
      <c r="CH5710"/>
      <c r="CI5710"/>
    </row>
    <row r="5711" spans="83:87" x14ac:dyDescent="0.2">
      <c r="CE5711"/>
      <c r="CF5711"/>
      <c r="CG5711"/>
      <c r="CH5711"/>
      <c r="CI5711"/>
    </row>
    <row r="5712" spans="83:87" x14ac:dyDescent="0.2">
      <c r="CE5712"/>
      <c r="CF5712"/>
      <c r="CG5712"/>
      <c r="CH5712"/>
      <c r="CI5712"/>
    </row>
    <row r="5713" spans="83:87" x14ac:dyDescent="0.2">
      <c r="CE5713"/>
      <c r="CF5713"/>
      <c r="CG5713"/>
      <c r="CH5713"/>
      <c r="CI5713"/>
    </row>
    <row r="5714" spans="83:87" x14ac:dyDescent="0.2">
      <c r="CE5714"/>
      <c r="CF5714"/>
      <c r="CG5714"/>
      <c r="CH5714"/>
      <c r="CI5714"/>
    </row>
    <row r="5715" spans="83:87" x14ac:dyDescent="0.2">
      <c r="CE5715"/>
      <c r="CF5715"/>
      <c r="CG5715"/>
      <c r="CH5715"/>
      <c r="CI5715"/>
    </row>
    <row r="5716" spans="83:87" x14ac:dyDescent="0.2">
      <c r="CE5716"/>
      <c r="CF5716"/>
      <c r="CG5716"/>
      <c r="CH5716"/>
      <c r="CI5716"/>
    </row>
    <row r="5717" spans="83:87" x14ac:dyDescent="0.2">
      <c r="CE5717"/>
      <c r="CF5717"/>
      <c r="CG5717"/>
      <c r="CH5717"/>
      <c r="CI5717"/>
    </row>
    <row r="5718" spans="83:87" x14ac:dyDescent="0.2">
      <c r="CE5718"/>
      <c r="CF5718"/>
      <c r="CG5718"/>
      <c r="CH5718"/>
      <c r="CI5718"/>
    </row>
    <row r="5719" spans="83:87" x14ac:dyDescent="0.2">
      <c r="CE5719"/>
      <c r="CF5719"/>
      <c r="CG5719"/>
      <c r="CH5719"/>
      <c r="CI5719"/>
    </row>
    <row r="5720" spans="83:87" x14ac:dyDescent="0.2">
      <c r="CE5720"/>
      <c r="CF5720"/>
      <c r="CG5720"/>
      <c r="CH5720"/>
      <c r="CI5720"/>
    </row>
    <row r="5721" spans="83:87" x14ac:dyDescent="0.2">
      <c r="CE5721"/>
      <c r="CF5721"/>
      <c r="CG5721"/>
      <c r="CH5721"/>
      <c r="CI5721"/>
    </row>
    <row r="5722" spans="83:87" x14ac:dyDescent="0.2">
      <c r="CE5722"/>
      <c r="CF5722"/>
      <c r="CG5722"/>
      <c r="CH5722"/>
      <c r="CI5722"/>
    </row>
    <row r="5723" spans="83:87" x14ac:dyDescent="0.2">
      <c r="CE5723"/>
      <c r="CF5723"/>
      <c r="CG5723"/>
      <c r="CH5723"/>
      <c r="CI5723"/>
    </row>
    <row r="5724" spans="83:87" x14ac:dyDescent="0.2">
      <c r="CE5724"/>
      <c r="CF5724"/>
      <c r="CG5724"/>
      <c r="CH5724"/>
      <c r="CI5724"/>
    </row>
    <row r="5725" spans="83:87" x14ac:dyDescent="0.2">
      <c r="CE5725"/>
      <c r="CF5725"/>
      <c r="CG5725"/>
      <c r="CH5725"/>
      <c r="CI5725"/>
    </row>
    <row r="5726" spans="83:87" x14ac:dyDescent="0.2">
      <c r="CE5726"/>
      <c r="CF5726"/>
      <c r="CG5726"/>
      <c r="CH5726"/>
      <c r="CI5726"/>
    </row>
    <row r="5727" spans="83:87" x14ac:dyDescent="0.2">
      <c r="CE5727"/>
      <c r="CF5727"/>
      <c r="CG5727"/>
      <c r="CH5727"/>
      <c r="CI5727"/>
    </row>
    <row r="5728" spans="83:87" x14ac:dyDescent="0.2">
      <c r="CE5728"/>
      <c r="CF5728"/>
      <c r="CG5728"/>
      <c r="CH5728"/>
      <c r="CI5728"/>
    </row>
    <row r="5729" spans="83:87" x14ac:dyDescent="0.2">
      <c r="CE5729"/>
      <c r="CF5729"/>
      <c r="CG5729"/>
      <c r="CH5729"/>
      <c r="CI5729"/>
    </row>
    <row r="5730" spans="83:87" x14ac:dyDescent="0.2">
      <c r="CE5730"/>
      <c r="CF5730"/>
      <c r="CG5730"/>
      <c r="CH5730"/>
      <c r="CI5730"/>
    </row>
    <row r="5731" spans="83:87" x14ac:dyDescent="0.2">
      <c r="CE5731"/>
      <c r="CF5731"/>
      <c r="CG5731"/>
      <c r="CH5731"/>
      <c r="CI5731"/>
    </row>
    <row r="5732" spans="83:87" x14ac:dyDescent="0.2">
      <c r="CE5732"/>
      <c r="CF5732"/>
      <c r="CG5732"/>
      <c r="CH5732"/>
      <c r="CI5732"/>
    </row>
    <row r="5733" spans="83:87" x14ac:dyDescent="0.2">
      <c r="CE5733"/>
      <c r="CF5733"/>
      <c r="CG5733"/>
      <c r="CH5733"/>
      <c r="CI5733"/>
    </row>
    <row r="5734" spans="83:87" x14ac:dyDescent="0.2">
      <c r="CE5734"/>
      <c r="CF5734"/>
      <c r="CG5734"/>
      <c r="CH5734"/>
      <c r="CI5734"/>
    </row>
    <row r="5735" spans="83:87" x14ac:dyDescent="0.2">
      <c r="CE5735"/>
      <c r="CF5735"/>
      <c r="CG5735"/>
      <c r="CH5735"/>
      <c r="CI5735"/>
    </row>
    <row r="5736" spans="83:87" x14ac:dyDescent="0.2">
      <c r="CE5736"/>
      <c r="CF5736"/>
      <c r="CG5736"/>
      <c r="CH5736"/>
      <c r="CI5736"/>
    </row>
    <row r="5737" spans="83:87" x14ac:dyDescent="0.2">
      <c r="CE5737"/>
      <c r="CF5737"/>
      <c r="CG5737"/>
      <c r="CH5737"/>
      <c r="CI5737"/>
    </row>
    <row r="5738" spans="83:87" x14ac:dyDescent="0.2">
      <c r="CE5738"/>
      <c r="CF5738"/>
      <c r="CG5738"/>
      <c r="CH5738"/>
      <c r="CI5738"/>
    </row>
    <row r="5739" spans="83:87" x14ac:dyDescent="0.2">
      <c r="CE5739"/>
      <c r="CF5739"/>
      <c r="CG5739"/>
      <c r="CH5739"/>
      <c r="CI5739"/>
    </row>
    <row r="5740" spans="83:87" x14ac:dyDescent="0.2">
      <c r="CE5740"/>
      <c r="CF5740"/>
      <c r="CG5740"/>
      <c r="CH5740"/>
      <c r="CI5740"/>
    </row>
    <row r="5741" spans="83:87" x14ac:dyDescent="0.2">
      <c r="CE5741"/>
      <c r="CF5741"/>
      <c r="CG5741"/>
      <c r="CH5741"/>
      <c r="CI5741"/>
    </row>
    <row r="5742" spans="83:87" x14ac:dyDescent="0.2">
      <c r="CE5742"/>
      <c r="CF5742"/>
      <c r="CG5742"/>
      <c r="CH5742"/>
      <c r="CI5742"/>
    </row>
    <row r="5743" spans="83:87" x14ac:dyDescent="0.2">
      <c r="CE5743"/>
      <c r="CF5743"/>
      <c r="CG5743"/>
      <c r="CH5743"/>
      <c r="CI5743"/>
    </row>
    <row r="5744" spans="83:87" x14ac:dyDescent="0.2">
      <c r="CE5744"/>
      <c r="CF5744"/>
      <c r="CG5744"/>
      <c r="CH5744"/>
      <c r="CI5744"/>
    </row>
    <row r="5745" spans="83:87" x14ac:dyDescent="0.2">
      <c r="CE5745"/>
      <c r="CF5745"/>
      <c r="CG5745"/>
      <c r="CH5745"/>
      <c r="CI5745"/>
    </row>
    <row r="5746" spans="83:87" x14ac:dyDescent="0.2">
      <c r="CE5746"/>
      <c r="CF5746"/>
      <c r="CG5746"/>
      <c r="CH5746"/>
      <c r="CI5746"/>
    </row>
    <row r="5747" spans="83:87" x14ac:dyDescent="0.2">
      <c r="CE5747"/>
      <c r="CF5747"/>
      <c r="CG5747"/>
      <c r="CH5747"/>
      <c r="CI5747"/>
    </row>
    <row r="5748" spans="83:87" x14ac:dyDescent="0.2">
      <c r="CE5748"/>
      <c r="CF5748"/>
      <c r="CG5748"/>
      <c r="CH5748"/>
      <c r="CI5748"/>
    </row>
    <row r="5749" spans="83:87" x14ac:dyDescent="0.2">
      <c r="CE5749"/>
      <c r="CF5749"/>
      <c r="CG5749"/>
      <c r="CH5749"/>
      <c r="CI5749"/>
    </row>
    <row r="5750" spans="83:87" x14ac:dyDescent="0.2">
      <c r="CE5750"/>
      <c r="CF5750"/>
      <c r="CG5750"/>
      <c r="CH5750"/>
      <c r="CI5750"/>
    </row>
    <row r="5751" spans="83:87" x14ac:dyDescent="0.2">
      <c r="CE5751"/>
      <c r="CF5751"/>
      <c r="CG5751"/>
      <c r="CH5751"/>
      <c r="CI5751"/>
    </row>
    <row r="5752" spans="83:87" x14ac:dyDescent="0.2">
      <c r="CE5752"/>
      <c r="CF5752"/>
      <c r="CG5752"/>
      <c r="CH5752"/>
      <c r="CI5752"/>
    </row>
    <row r="5753" spans="83:87" x14ac:dyDescent="0.2">
      <c r="CE5753"/>
      <c r="CF5753"/>
      <c r="CG5753"/>
      <c r="CH5753"/>
      <c r="CI5753"/>
    </row>
    <row r="5754" spans="83:87" x14ac:dyDescent="0.2">
      <c r="CE5754"/>
      <c r="CF5754"/>
      <c r="CG5754"/>
      <c r="CH5754"/>
      <c r="CI5754"/>
    </row>
    <row r="5755" spans="83:87" x14ac:dyDescent="0.2">
      <c r="CE5755"/>
      <c r="CF5755"/>
      <c r="CG5755"/>
      <c r="CH5755"/>
      <c r="CI5755"/>
    </row>
    <row r="5756" spans="83:87" x14ac:dyDescent="0.2">
      <c r="CE5756"/>
      <c r="CF5756"/>
      <c r="CG5756"/>
      <c r="CH5756"/>
      <c r="CI5756"/>
    </row>
    <row r="5757" spans="83:87" x14ac:dyDescent="0.2">
      <c r="CE5757"/>
      <c r="CF5757"/>
      <c r="CG5757"/>
      <c r="CH5757"/>
      <c r="CI5757"/>
    </row>
    <row r="5758" spans="83:87" x14ac:dyDescent="0.2">
      <c r="CE5758"/>
      <c r="CF5758"/>
      <c r="CG5758"/>
      <c r="CH5758"/>
      <c r="CI5758"/>
    </row>
    <row r="5759" spans="83:87" x14ac:dyDescent="0.2">
      <c r="CE5759"/>
      <c r="CF5759"/>
      <c r="CG5759"/>
      <c r="CH5759"/>
      <c r="CI5759"/>
    </row>
    <row r="5760" spans="83:87" x14ac:dyDescent="0.2">
      <c r="CE5760"/>
      <c r="CF5760"/>
      <c r="CG5760"/>
      <c r="CH5760"/>
      <c r="CI5760"/>
    </row>
    <row r="5761" spans="83:87" x14ac:dyDescent="0.2">
      <c r="CE5761"/>
      <c r="CF5761"/>
      <c r="CG5761"/>
      <c r="CH5761"/>
      <c r="CI5761"/>
    </row>
    <row r="5762" spans="83:87" x14ac:dyDescent="0.2">
      <c r="CE5762"/>
      <c r="CF5762"/>
      <c r="CG5762"/>
      <c r="CH5762"/>
      <c r="CI5762"/>
    </row>
    <row r="5763" spans="83:87" x14ac:dyDescent="0.2">
      <c r="CE5763"/>
      <c r="CF5763"/>
      <c r="CG5763"/>
      <c r="CH5763"/>
      <c r="CI5763"/>
    </row>
    <row r="5764" spans="83:87" x14ac:dyDescent="0.2">
      <c r="CE5764"/>
      <c r="CF5764"/>
      <c r="CG5764"/>
      <c r="CH5764"/>
      <c r="CI5764"/>
    </row>
    <row r="5765" spans="83:87" x14ac:dyDescent="0.2">
      <c r="CE5765"/>
      <c r="CF5765"/>
      <c r="CG5765"/>
      <c r="CH5765"/>
      <c r="CI5765"/>
    </row>
    <row r="5766" spans="83:87" x14ac:dyDescent="0.2">
      <c r="CE5766"/>
      <c r="CF5766"/>
      <c r="CG5766"/>
      <c r="CH5766"/>
      <c r="CI5766"/>
    </row>
    <row r="5767" spans="83:87" x14ac:dyDescent="0.2">
      <c r="CE5767"/>
      <c r="CF5767"/>
      <c r="CG5767"/>
      <c r="CH5767"/>
      <c r="CI5767"/>
    </row>
    <row r="5768" spans="83:87" x14ac:dyDescent="0.2">
      <c r="CE5768"/>
      <c r="CF5768"/>
      <c r="CG5768"/>
      <c r="CH5768"/>
      <c r="CI5768"/>
    </row>
    <row r="5769" spans="83:87" x14ac:dyDescent="0.2">
      <c r="CE5769"/>
      <c r="CF5769"/>
      <c r="CG5769"/>
      <c r="CH5769"/>
      <c r="CI5769"/>
    </row>
    <row r="5770" spans="83:87" x14ac:dyDescent="0.2">
      <c r="CE5770"/>
      <c r="CF5770"/>
      <c r="CG5770"/>
      <c r="CH5770"/>
      <c r="CI5770"/>
    </row>
    <row r="5771" spans="83:87" x14ac:dyDescent="0.2">
      <c r="CE5771"/>
      <c r="CF5771"/>
      <c r="CG5771"/>
      <c r="CH5771"/>
      <c r="CI5771"/>
    </row>
    <row r="5772" spans="83:87" x14ac:dyDescent="0.2">
      <c r="CE5772"/>
      <c r="CF5772"/>
      <c r="CG5772"/>
      <c r="CH5772"/>
      <c r="CI5772"/>
    </row>
    <row r="5773" spans="83:87" x14ac:dyDescent="0.2">
      <c r="CE5773"/>
      <c r="CF5773"/>
      <c r="CG5773"/>
      <c r="CH5773"/>
      <c r="CI5773"/>
    </row>
    <row r="5774" spans="83:87" x14ac:dyDescent="0.2">
      <c r="CE5774"/>
      <c r="CF5774"/>
      <c r="CG5774"/>
      <c r="CH5774"/>
      <c r="CI5774"/>
    </row>
    <row r="5775" spans="83:87" x14ac:dyDescent="0.2">
      <c r="CE5775"/>
      <c r="CF5775"/>
      <c r="CG5775"/>
      <c r="CH5775"/>
      <c r="CI5775"/>
    </row>
    <row r="5776" spans="83:87" x14ac:dyDescent="0.2">
      <c r="CE5776"/>
      <c r="CF5776"/>
      <c r="CG5776"/>
      <c r="CH5776"/>
      <c r="CI5776"/>
    </row>
    <row r="5777" spans="83:87" x14ac:dyDescent="0.2">
      <c r="CE5777"/>
      <c r="CF5777"/>
      <c r="CG5777"/>
      <c r="CH5777"/>
      <c r="CI5777"/>
    </row>
    <row r="5778" spans="83:87" x14ac:dyDescent="0.2">
      <c r="CE5778"/>
      <c r="CF5778"/>
      <c r="CG5778"/>
      <c r="CH5778"/>
      <c r="CI5778"/>
    </row>
    <row r="5779" spans="83:87" x14ac:dyDescent="0.2">
      <c r="CE5779"/>
      <c r="CF5779"/>
      <c r="CG5779"/>
      <c r="CH5779"/>
      <c r="CI5779"/>
    </row>
    <row r="5780" spans="83:87" x14ac:dyDescent="0.2">
      <c r="CE5780"/>
      <c r="CF5780"/>
      <c r="CG5780"/>
      <c r="CH5780"/>
      <c r="CI5780"/>
    </row>
    <row r="5781" spans="83:87" x14ac:dyDescent="0.2">
      <c r="CE5781"/>
      <c r="CF5781"/>
      <c r="CG5781"/>
      <c r="CH5781"/>
      <c r="CI5781"/>
    </row>
    <row r="5782" spans="83:87" x14ac:dyDescent="0.2">
      <c r="CE5782"/>
      <c r="CF5782"/>
      <c r="CG5782"/>
      <c r="CH5782"/>
      <c r="CI5782"/>
    </row>
    <row r="5783" spans="83:87" x14ac:dyDescent="0.2">
      <c r="CE5783"/>
      <c r="CF5783"/>
      <c r="CG5783"/>
      <c r="CH5783"/>
      <c r="CI5783"/>
    </row>
    <row r="5784" spans="83:87" x14ac:dyDescent="0.2">
      <c r="CE5784"/>
      <c r="CF5784"/>
      <c r="CG5784"/>
      <c r="CH5784"/>
      <c r="CI5784"/>
    </row>
    <row r="5785" spans="83:87" x14ac:dyDescent="0.2">
      <c r="CE5785"/>
      <c r="CF5785"/>
      <c r="CG5785"/>
      <c r="CH5785"/>
      <c r="CI5785"/>
    </row>
    <row r="5786" spans="83:87" x14ac:dyDescent="0.2">
      <c r="CE5786"/>
      <c r="CF5786"/>
      <c r="CG5786"/>
      <c r="CH5786"/>
      <c r="CI5786"/>
    </row>
    <row r="5787" spans="83:87" x14ac:dyDescent="0.2">
      <c r="CE5787"/>
      <c r="CF5787"/>
      <c r="CG5787"/>
      <c r="CH5787"/>
      <c r="CI5787"/>
    </row>
    <row r="5788" spans="83:87" x14ac:dyDescent="0.2">
      <c r="CE5788"/>
      <c r="CF5788"/>
      <c r="CG5788"/>
      <c r="CH5788"/>
      <c r="CI5788"/>
    </row>
    <row r="5789" spans="83:87" x14ac:dyDescent="0.2">
      <c r="CE5789"/>
      <c r="CF5789"/>
      <c r="CG5789"/>
      <c r="CH5789"/>
      <c r="CI5789"/>
    </row>
    <row r="5790" spans="83:87" x14ac:dyDescent="0.2">
      <c r="CE5790"/>
      <c r="CF5790"/>
      <c r="CG5790"/>
      <c r="CH5790"/>
      <c r="CI5790"/>
    </row>
    <row r="5791" spans="83:87" x14ac:dyDescent="0.2">
      <c r="CE5791"/>
      <c r="CF5791"/>
      <c r="CG5791"/>
      <c r="CH5791"/>
      <c r="CI5791"/>
    </row>
    <row r="5792" spans="83:87" x14ac:dyDescent="0.2">
      <c r="CE5792"/>
      <c r="CF5792"/>
      <c r="CG5792"/>
      <c r="CH5792"/>
      <c r="CI5792"/>
    </row>
    <row r="5793" spans="83:87" x14ac:dyDescent="0.2">
      <c r="CE5793"/>
      <c r="CF5793"/>
      <c r="CG5793"/>
      <c r="CH5793"/>
      <c r="CI5793"/>
    </row>
    <row r="5794" spans="83:87" x14ac:dyDescent="0.2">
      <c r="CE5794"/>
      <c r="CF5794"/>
      <c r="CG5794"/>
      <c r="CH5794"/>
      <c r="CI5794"/>
    </row>
    <row r="5795" spans="83:87" x14ac:dyDescent="0.2">
      <c r="CE5795"/>
      <c r="CF5795"/>
      <c r="CG5795"/>
      <c r="CH5795"/>
      <c r="CI5795"/>
    </row>
    <row r="5796" spans="83:87" x14ac:dyDescent="0.2">
      <c r="CE5796"/>
      <c r="CF5796"/>
      <c r="CG5796"/>
      <c r="CH5796"/>
      <c r="CI5796"/>
    </row>
    <row r="5797" spans="83:87" x14ac:dyDescent="0.2">
      <c r="CE5797"/>
      <c r="CF5797"/>
      <c r="CG5797"/>
      <c r="CH5797"/>
      <c r="CI5797"/>
    </row>
    <row r="5798" spans="83:87" x14ac:dyDescent="0.2">
      <c r="CE5798"/>
      <c r="CF5798"/>
      <c r="CG5798"/>
      <c r="CH5798"/>
      <c r="CI5798"/>
    </row>
    <row r="5799" spans="83:87" x14ac:dyDescent="0.2">
      <c r="CE5799"/>
      <c r="CF5799"/>
      <c r="CG5799"/>
      <c r="CH5799"/>
      <c r="CI5799"/>
    </row>
    <row r="5800" spans="83:87" x14ac:dyDescent="0.2">
      <c r="CE5800"/>
      <c r="CF5800"/>
      <c r="CG5800"/>
      <c r="CH5800"/>
      <c r="CI5800"/>
    </row>
    <row r="5801" spans="83:87" x14ac:dyDescent="0.2">
      <c r="CE5801"/>
      <c r="CF5801"/>
      <c r="CG5801"/>
      <c r="CH5801"/>
      <c r="CI5801"/>
    </row>
    <row r="5802" spans="83:87" x14ac:dyDescent="0.2">
      <c r="CE5802"/>
      <c r="CF5802"/>
      <c r="CG5802"/>
      <c r="CH5802"/>
      <c r="CI5802"/>
    </row>
    <row r="5803" spans="83:87" x14ac:dyDescent="0.2">
      <c r="CE5803"/>
      <c r="CF5803"/>
      <c r="CG5803"/>
      <c r="CH5803"/>
      <c r="CI5803"/>
    </row>
    <row r="5804" spans="83:87" x14ac:dyDescent="0.2">
      <c r="CE5804"/>
      <c r="CF5804"/>
      <c r="CG5804"/>
      <c r="CH5804"/>
      <c r="CI5804"/>
    </row>
    <row r="5805" spans="83:87" x14ac:dyDescent="0.2">
      <c r="CE5805"/>
      <c r="CF5805"/>
      <c r="CG5805"/>
      <c r="CH5805"/>
      <c r="CI5805"/>
    </row>
    <row r="5806" spans="83:87" x14ac:dyDescent="0.2">
      <c r="CE5806"/>
      <c r="CF5806"/>
      <c r="CG5806"/>
      <c r="CH5806"/>
      <c r="CI5806"/>
    </row>
    <row r="5807" spans="83:87" x14ac:dyDescent="0.2">
      <c r="CE5807"/>
      <c r="CF5807"/>
      <c r="CG5807"/>
      <c r="CH5807"/>
      <c r="CI5807"/>
    </row>
    <row r="5808" spans="83:87" x14ac:dyDescent="0.2">
      <c r="CE5808"/>
      <c r="CF5808"/>
      <c r="CG5808"/>
      <c r="CH5808"/>
      <c r="CI5808"/>
    </row>
    <row r="5809" spans="83:87" x14ac:dyDescent="0.2">
      <c r="CE5809"/>
      <c r="CF5809"/>
      <c r="CG5809"/>
      <c r="CH5809"/>
      <c r="CI5809"/>
    </row>
    <row r="5810" spans="83:87" x14ac:dyDescent="0.2">
      <c r="CE5810"/>
      <c r="CF5810"/>
      <c r="CG5810"/>
      <c r="CH5810"/>
      <c r="CI5810"/>
    </row>
    <row r="5811" spans="83:87" x14ac:dyDescent="0.2">
      <c r="CE5811"/>
      <c r="CF5811"/>
      <c r="CG5811"/>
      <c r="CH5811"/>
      <c r="CI5811"/>
    </row>
    <row r="5812" spans="83:87" x14ac:dyDescent="0.2">
      <c r="CE5812"/>
      <c r="CF5812"/>
      <c r="CG5812"/>
      <c r="CH5812"/>
      <c r="CI5812"/>
    </row>
    <row r="5813" spans="83:87" x14ac:dyDescent="0.2">
      <c r="CE5813"/>
      <c r="CF5813"/>
      <c r="CG5813"/>
      <c r="CH5813"/>
      <c r="CI5813"/>
    </row>
    <row r="5814" spans="83:87" x14ac:dyDescent="0.2">
      <c r="CE5814"/>
      <c r="CF5814"/>
      <c r="CG5814"/>
      <c r="CH5814"/>
      <c r="CI5814"/>
    </row>
    <row r="5815" spans="83:87" x14ac:dyDescent="0.2">
      <c r="CE5815"/>
      <c r="CF5815"/>
      <c r="CG5815"/>
      <c r="CH5815"/>
      <c r="CI5815"/>
    </row>
    <row r="5816" spans="83:87" x14ac:dyDescent="0.2">
      <c r="CE5816"/>
      <c r="CF5816"/>
      <c r="CG5816"/>
      <c r="CH5816"/>
      <c r="CI5816"/>
    </row>
    <row r="5817" spans="83:87" x14ac:dyDescent="0.2">
      <c r="CE5817"/>
      <c r="CF5817"/>
      <c r="CG5817"/>
      <c r="CH5817"/>
      <c r="CI5817"/>
    </row>
    <row r="5818" spans="83:87" x14ac:dyDescent="0.2">
      <c r="CE5818"/>
      <c r="CF5818"/>
      <c r="CG5818"/>
      <c r="CH5818"/>
      <c r="CI5818"/>
    </row>
    <row r="5819" spans="83:87" x14ac:dyDescent="0.2">
      <c r="CE5819"/>
      <c r="CF5819"/>
      <c r="CG5819"/>
      <c r="CH5819"/>
      <c r="CI5819"/>
    </row>
    <row r="5820" spans="83:87" x14ac:dyDescent="0.2">
      <c r="CE5820"/>
      <c r="CF5820"/>
      <c r="CG5820"/>
      <c r="CH5820"/>
      <c r="CI5820"/>
    </row>
    <row r="5821" spans="83:87" x14ac:dyDescent="0.2">
      <c r="CE5821"/>
      <c r="CF5821"/>
      <c r="CG5821"/>
      <c r="CH5821"/>
      <c r="CI5821"/>
    </row>
    <row r="5822" spans="83:87" x14ac:dyDescent="0.2">
      <c r="CE5822"/>
      <c r="CF5822"/>
      <c r="CG5822"/>
      <c r="CH5822"/>
      <c r="CI5822"/>
    </row>
    <row r="5823" spans="83:87" x14ac:dyDescent="0.2">
      <c r="CE5823"/>
      <c r="CF5823"/>
      <c r="CG5823"/>
      <c r="CH5823"/>
      <c r="CI5823"/>
    </row>
    <row r="5824" spans="83:87" x14ac:dyDescent="0.2">
      <c r="CE5824"/>
      <c r="CF5824"/>
      <c r="CG5824"/>
      <c r="CH5824"/>
      <c r="CI5824"/>
    </row>
    <row r="5825" spans="83:87" x14ac:dyDescent="0.2">
      <c r="CE5825"/>
      <c r="CF5825"/>
      <c r="CG5825"/>
      <c r="CH5825"/>
      <c r="CI5825"/>
    </row>
    <row r="5826" spans="83:87" x14ac:dyDescent="0.2">
      <c r="CE5826"/>
      <c r="CF5826"/>
      <c r="CG5826"/>
      <c r="CH5826"/>
      <c r="CI5826"/>
    </row>
    <row r="5827" spans="83:87" x14ac:dyDescent="0.2">
      <c r="CE5827"/>
      <c r="CF5827"/>
      <c r="CG5827"/>
      <c r="CH5827"/>
      <c r="CI5827"/>
    </row>
    <row r="5828" spans="83:87" x14ac:dyDescent="0.2">
      <c r="CE5828"/>
      <c r="CF5828"/>
      <c r="CG5828"/>
      <c r="CH5828"/>
      <c r="CI5828"/>
    </row>
    <row r="5829" spans="83:87" x14ac:dyDescent="0.2">
      <c r="CE5829"/>
      <c r="CF5829"/>
      <c r="CG5829"/>
      <c r="CH5829"/>
      <c r="CI5829"/>
    </row>
    <row r="5830" spans="83:87" x14ac:dyDescent="0.2">
      <c r="CE5830"/>
      <c r="CF5830"/>
      <c r="CG5830"/>
      <c r="CH5830"/>
      <c r="CI5830"/>
    </row>
    <row r="5831" spans="83:87" x14ac:dyDescent="0.2">
      <c r="CE5831"/>
      <c r="CF5831"/>
      <c r="CG5831"/>
      <c r="CH5831"/>
      <c r="CI5831"/>
    </row>
    <row r="5832" spans="83:87" x14ac:dyDescent="0.2">
      <c r="CE5832"/>
      <c r="CF5832"/>
      <c r="CG5832"/>
      <c r="CH5832"/>
      <c r="CI5832"/>
    </row>
    <row r="5833" spans="83:87" x14ac:dyDescent="0.2">
      <c r="CE5833"/>
      <c r="CF5833"/>
      <c r="CG5833"/>
      <c r="CH5833"/>
      <c r="CI5833"/>
    </row>
    <row r="5834" spans="83:87" x14ac:dyDescent="0.2">
      <c r="CE5834"/>
      <c r="CF5834"/>
      <c r="CG5834"/>
      <c r="CH5834"/>
      <c r="CI5834"/>
    </row>
    <row r="5835" spans="83:87" x14ac:dyDescent="0.2">
      <c r="CE5835"/>
      <c r="CF5835"/>
      <c r="CG5835"/>
      <c r="CH5835"/>
      <c r="CI5835"/>
    </row>
    <row r="5836" spans="83:87" x14ac:dyDescent="0.2">
      <c r="CE5836"/>
      <c r="CF5836"/>
      <c r="CG5836"/>
      <c r="CH5836"/>
      <c r="CI5836"/>
    </row>
    <row r="5837" spans="83:87" x14ac:dyDescent="0.2">
      <c r="CE5837"/>
      <c r="CF5837"/>
      <c r="CG5837"/>
      <c r="CH5837"/>
      <c r="CI5837"/>
    </row>
    <row r="5838" spans="83:87" x14ac:dyDescent="0.2">
      <c r="CE5838"/>
      <c r="CF5838"/>
      <c r="CG5838"/>
      <c r="CH5838"/>
      <c r="CI5838"/>
    </row>
    <row r="5839" spans="83:87" x14ac:dyDescent="0.2">
      <c r="CE5839"/>
      <c r="CF5839"/>
      <c r="CG5839"/>
      <c r="CH5839"/>
      <c r="CI5839"/>
    </row>
    <row r="5840" spans="83:87" x14ac:dyDescent="0.2">
      <c r="CE5840"/>
      <c r="CF5840"/>
      <c r="CG5840"/>
      <c r="CH5840"/>
      <c r="CI5840"/>
    </row>
    <row r="5841" spans="83:87" x14ac:dyDescent="0.2">
      <c r="CE5841"/>
      <c r="CF5841"/>
      <c r="CG5841"/>
      <c r="CH5841"/>
      <c r="CI5841"/>
    </row>
    <row r="5842" spans="83:87" x14ac:dyDescent="0.2">
      <c r="CE5842"/>
      <c r="CF5842"/>
      <c r="CG5842"/>
      <c r="CH5842"/>
      <c r="CI5842"/>
    </row>
    <row r="5843" spans="83:87" x14ac:dyDescent="0.2">
      <c r="CE5843"/>
      <c r="CF5843"/>
      <c r="CG5843"/>
      <c r="CH5843"/>
      <c r="CI5843"/>
    </row>
    <row r="5844" spans="83:87" x14ac:dyDescent="0.2">
      <c r="CE5844"/>
      <c r="CF5844"/>
      <c r="CG5844"/>
      <c r="CH5844"/>
      <c r="CI5844"/>
    </row>
    <row r="5845" spans="83:87" x14ac:dyDescent="0.2">
      <c r="CE5845"/>
      <c r="CF5845"/>
      <c r="CG5845"/>
      <c r="CH5845"/>
      <c r="CI5845"/>
    </row>
    <row r="5846" spans="83:87" x14ac:dyDescent="0.2">
      <c r="CE5846"/>
      <c r="CF5846"/>
      <c r="CG5846"/>
      <c r="CH5846"/>
      <c r="CI5846"/>
    </row>
    <row r="5847" spans="83:87" x14ac:dyDescent="0.2">
      <c r="CE5847"/>
      <c r="CF5847"/>
      <c r="CG5847"/>
      <c r="CH5847"/>
      <c r="CI5847"/>
    </row>
    <row r="5848" spans="83:87" x14ac:dyDescent="0.2">
      <c r="CE5848"/>
      <c r="CF5848"/>
      <c r="CG5848"/>
      <c r="CH5848"/>
      <c r="CI5848"/>
    </row>
    <row r="5849" spans="83:87" x14ac:dyDescent="0.2">
      <c r="CE5849"/>
      <c r="CF5849"/>
      <c r="CG5849"/>
      <c r="CH5849"/>
      <c r="CI5849"/>
    </row>
    <row r="5850" spans="83:87" x14ac:dyDescent="0.2">
      <c r="CE5850"/>
      <c r="CF5850"/>
      <c r="CG5850"/>
      <c r="CH5850"/>
      <c r="CI5850"/>
    </row>
    <row r="5851" spans="83:87" x14ac:dyDescent="0.2">
      <c r="CE5851"/>
      <c r="CF5851"/>
      <c r="CG5851"/>
      <c r="CH5851"/>
      <c r="CI5851"/>
    </row>
    <row r="5852" spans="83:87" x14ac:dyDescent="0.2">
      <c r="CE5852"/>
      <c r="CF5852"/>
      <c r="CG5852"/>
      <c r="CH5852"/>
      <c r="CI5852"/>
    </row>
    <row r="5853" spans="83:87" x14ac:dyDescent="0.2">
      <c r="CE5853"/>
      <c r="CF5853"/>
      <c r="CG5853"/>
      <c r="CH5853"/>
      <c r="CI5853"/>
    </row>
    <row r="5854" spans="83:87" x14ac:dyDescent="0.2">
      <c r="CE5854"/>
      <c r="CF5854"/>
      <c r="CG5854"/>
      <c r="CH5854"/>
      <c r="CI5854"/>
    </row>
    <row r="5855" spans="83:87" x14ac:dyDescent="0.2">
      <c r="CE5855"/>
      <c r="CF5855"/>
      <c r="CG5855"/>
      <c r="CH5855"/>
      <c r="CI5855"/>
    </row>
    <row r="5856" spans="83:87" x14ac:dyDescent="0.2">
      <c r="CE5856"/>
      <c r="CF5856"/>
      <c r="CG5856"/>
      <c r="CH5856"/>
      <c r="CI5856"/>
    </row>
    <row r="5857" spans="83:87" x14ac:dyDescent="0.2">
      <c r="CE5857"/>
      <c r="CF5857"/>
      <c r="CG5857"/>
      <c r="CH5857"/>
      <c r="CI5857"/>
    </row>
    <row r="5858" spans="83:87" x14ac:dyDescent="0.2">
      <c r="CE5858"/>
      <c r="CF5858"/>
      <c r="CG5858"/>
      <c r="CH5858"/>
      <c r="CI5858"/>
    </row>
    <row r="5859" spans="83:87" x14ac:dyDescent="0.2">
      <c r="CE5859"/>
      <c r="CF5859"/>
      <c r="CG5859"/>
      <c r="CH5859"/>
      <c r="CI5859"/>
    </row>
    <row r="5860" spans="83:87" x14ac:dyDescent="0.2">
      <c r="CE5860"/>
      <c r="CF5860"/>
      <c r="CG5860"/>
      <c r="CH5860"/>
      <c r="CI5860"/>
    </row>
    <row r="5861" spans="83:87" x14ac:dyDescent="0.2">
      <c r="CE5861"/>
      <c r="CF5861"/>
      <c r="CG5861"/>
      <c r="CH5861"/>
      <c r="CI5861"/>
    </row>
    <row r="5862" spans="83:87" x14ac:dyDescent="0.2">
      <c r="CE5862"/>
      <c r="CF5862"/>
      <c r="CG5862"/>
      <c r="CH5862"/>
      <c r="CI5862"/>
    </row>
    <row r="5863" spans="83:87" x14ac:dyDescent="0.2">
      <c r="CE5863"/>
      <c r="CF5863"/>
      <c r="CG5863"/>
      <c r="CH5863"/>
      <c r="CI5863"/>
    </row>
    <row r="5864" spans="83:87" x14ac:dyDescent="0.2">
      <c r="CE5864"/>
      <c r="CF5864"/>
      <c r="CG5864"/>
      <c r="CH5864"/>
      <c r="CI5864"/>
    </row>
    <row r="5865" spans="83:87" x14ac:dyDescent="0.2">
      <c r="CE5865"/>
      <c r="CF5865"/>
      <c r="CG5865"/>
      <c r="CH5865"/>
      <c r="CI5865"/>
    </row>
    <row r="5866" spans="83:87" x14ac:dyDescent="0.2">
      <c r="CE5866"/>
      <c r="CF5866"/>
      <c r="CG5866"/>
      <c r="CH5866"/>
      <c r="CI5866"/>
    </row>
    <row r="5867" spans="83:87" x14ac:dyDescent="0.2">
      <c r="CE5867"/>
      <c r="CF5867"/>
      <c r="CG5867"/>
      <c r="CH5867"/>
      <c r="CI5867"/>
    </row>
    <row r="5868" spans="83:87" x14ac:dyDescent="0.2">
      <c r="CE5868"/>
      <c r="CF5868"/>
      <c r="CG5868"/>
      <c r="CH5868"/>
      <c r="CI5868"/>
    </row>
    <row r="5869" spans="83:87" x14ac:dyDescent="0.2">
      <c r="CE5869"/>
      <c r="CF5869"/>
      <c r="CG5869"/>
      <c r="CH5869"/>
      <c r="CI5869"/>
    </row>
    <row r="5870" spans="83:87" x14ac:dyDescent="0.2">
      <c r="CE5870"/>
      <c r="CF5870"/>
      <c r="CG5870"/>
      <c r="CH5870"/>
      <c r="CI5870"/>
    </row>
    <row r="5871" spans="83:87" x14ac:dyDescent="0.2">
      <c r="CE5871"/>
      <c r="CF5871"/>
      <c r="CG5871"/>
      <c r="CH5871"/>
      <c r="CI5871"/>
    </row>
    <row r="5872" spans="83:87" x14ac:dyDescent="0.2">
      <c r="CE5872"/>
      <c r="CF5872"/>
      <c r="CG5872"/>
      <c r="CH5872"/>
      <c r="CI5872"/>
    </row>
    <row r="5873" spans="83:87" x14ac:dyDescent="0.2">
      <c r="CE5873"/>
      <c r="CF5873"/>
      <c r="CG5873"/>
      <c r="CH5873"/>
      <c r="CI5873"/>
    </row>
    <row r="5874" spans="83:87" x14ac:dyDescent="0.2">
      <c r="CE5874"/>
      <c r="CF5874"/>
      <c r="CG5874"/>
      <c r="CH5874"/>
      <c r="CI5874"/>
    </row>
    <row r="5875" spans="83:87" x14ac:dyDescent="0.2">
      <c r="CE5875"/>
      <c r="CF5875"/>
      <c r="CG5875"/>
      <c r="CH5875"/>
      <c r="CI5875"/>
    </row>
    <row r="5876" spans="83:87" x14ac:dyDescent="0.2">
      <c r="CE5876"/>
      <c r="CF5876"/>
      <c r="CG5876"/>
      <c r="CH5876"/>
      <c r="CI5876"/>
    </row>
    <row r="5877" spans="83:87" x14ac:dyDescent="0.2">
      <c r="CE5877"/>
      <c r="CF5877"/>
      <c r="CG5877"/>
      <c r="CH5877"/>
      <c r="CI5877"/>
    </row>
    <row r="5878" spans="83:87" x14ac:dyDescent="0.2">
      <c r="CE5878"/>
      <c r="CF5878"/>
      <c r="CG5878"/>
      <c r="CH5878"/>
      <c r="CI5878"/>
    </row>
    <row r="5879" spans="83:87" x14ac:dyDescent="0.2">
      <c r="CE5879"/>
      <c r="CF5879"/>
      <c r="CG5879"/>
      <c r="CH5879"/>
      <c r="CI5879"/>
    </row>
    <row r="5880" spans="83:87" x14ac:dyDescent="0.2">
      <c r="CE5880"/>
      <c r="CF5880"/>
      <c r="CG5880"/>
      <c r="CH5880"/>
      <c r="CI5880"/>
    </row>
    <row r="5881" spans="83:87" x14ac:dyDescent="0.2">
      <c r="CE5881"/>
      <c r="CF5881"/>
      <c r="CG5881"/>
      <c r="CH5881"/>
      <c r="CI5881"/>
    </row>
    <row r="5882" spans="83:87" x14ac:dyDescent="0.2">
      <c r="CE5882"/>
      <c r="CF5882"/>
      <c r="CG5882"/>
      <c r="CH5882"/>
      <c r="CI5882"/>
    </row>
    <row r="5883" spans="83:87" x14ac:dyDescent="0.2">
      <c r="CE5883"/>
      <c r="CF5883"/>
      <c r="CG5883"/>
      <c r="CH5883"/>
      <c r="CI5883"/>
    </row>
    <row r="5884" spans="83:87" x14ac:dyDescent="0.2">
      <c r="CE5884"/>
      <c r="CF5884"/>
      <c r="CG5884"/>
      <c r="CH5884"/>
      <c r="CI5884"/>
    </row>
    <row r="5885" spans="83:87" x14ac:dyDescent="0.2">
      <c r="CE5885"/>
      <c r="CF5885"/>
      <c r="CG5885"/>
      <c r="CH5885"/>
      <c r="CI5885"/>
    </row>
    <row r="5886" spans="83:87" x14ac:dyDescent="0.2">
      <c r="CE5886"/>
      <c r="CF5886"/>
      <c r="CG5886"/>
      <c r="CH5886"/>
      <c r="CI5886"/>
    </row>
    <row r="5887" spans="83:87" x14ac:dyDescent="0.2">
      <c r="CE5887"/>
      <c r="CF5887"/>
      <c r="CG5887"/>
      <c r="CH5887"/>
      <c r="CI5887"/>
    </row>
    <row r="5888" spans="83:87" x14ac:dyDescent="0.2">
      <c r="CE5888"/>
      <c r="CF5888"/>
      <c r="CG5888"/>
      <c r="CH5888"/>
      <c r="CI5888"/>
    </row>
    <row r="5889" spans="83:87" x14ac:dyDescent="0.2">
      <c r="CE5889"/>
      <c r="CF5889"/>
      <c r="CG5889"/>
      <c r="CH5889"/>
      <c r="CI5889"/>
    </row>
    <row r="5890" spans="83:87" x14ac:dyDescent="0.2">
      <c r="CE5890"/>
      <c r="CF5890"/>
      <c r="CG5890"/>
      <c r="CH5890"/>
      <c r="CI5890"/>
    </row>
    <row r="5891" spans="83:87" x14ac:dyDescent="0.2">
      <c r="CE5891"/>
      <c r="CF5891"/>
      <c r="CG5891"/>
      <c r="CH5891"/>
      <c r="CI5891"/>
    </row>
    <row r="5892" spans="83:87" x14ac:dyDescent="0.2">
      <c r="CE5892"/>
      <c r="CF5892"/>
      <c r="CG5892"/>
      <c r="CH5892"/>
      <c r="CI5892"/>
    </row>
    <row r="5893" spans="83:87" x14ac:dyDescent="0.2">
      <c r="CE5893"/>
      <c r="CF5893"/>
      <c r="CG5893"/>
      <c r="CH5893"/>
      <c r="CI5893"/>
    </row>
    <row r="5894" spans="83:87" x14ac:dyDescent="0.2">
      <c r="CE5894"/>
      <c r="CF5894"/>
      <c r="CG5894"/>
      <c r="CH5894"/>
      <c r="CI5894"/>
    </row>
    <row r="5895" spans="83:87" x14ac:dyDescent="0.2">
      <c r="CE5895"/>
      <c r="CF5895"/>
      <c r="CG5895"/>
      <c r="CH5895"/>
      <c r="CI5895"/>
    </row>
    <row r="5896" spans="83:87" x14ac:dyDescent="0.2">
      <c r="CE5896"/>
      <c r="CF5896"/>
      <c r="CG5896"/>
      <c r="CH5896"/>
      <c r="CI5896"/>
    </row>
    <row r="5897" spans="83:87" x14ac:dyDescent="0.2">
      <c r="CE5897"/>
      <c r="CF5897"/>
      <c r="CG5897"/>
      <c r="CH5897"/>
      <c r="CI5897"/>
    </row>
    <row r="5898" spans="83:87" x14ac:dyDescent="0.2">
      <c r="CE5898"/>
      <c r="CF5898"/>
      <c r="CG5898"/>
      <c r="CH5898"/>
      <c r="CI5898"/>
    </row>
    <row r="5899" spans="83:87" x14ac:dyDescent="0.2">
      <c r="CE5899"/>
      <c r="CF5899"/>
      <c r="CG5899"/>
      <c r="CH5899"/>
      <c r="CI5899"/>
    </row>
    <row r="5900" spans="83:87" x14ac:dyDescent="0.2">
      <c r="CE5900"/>
      <c r="CF5900"/>
      <c r="CG5900"/>
      <c r="CH5900"/>
      <c r="CI5900"/>
    </row>
    <row r="5901" spans="83:87" x14ac:dyDescent="0.2">
      <c r="CE5901"/>
      <c r="CF5901"/>
      <c r="CG5901"/>
      <c r="CH5901"/>
      <c r="CI5901"/>
    </row>
    <row r="5902" spans="83:87" x14ac:dyDescent="0.2">
      <c r="CE5902"/>
      <c r="CF5902"/>
      <c r="CG5902"/>
      <c r="CH5902"/>
      <c r="CI5902"/>
    </row>
    <row r="5903" spans="83:87" x14ac:dyDescent="0.2">
      <c r="CE5903"/>
      <c r="CF5903"/>
      <c r="CG5903"/>
      <c r="CH5903"/>
      <c r="CI5903"/>
    </row>
    <row r="5904" spans="83:87" x14ac:dyDescent="0.2">
      <c r="CE5904"/>
      <c r="CF5904"/>
      <c r="CG5904"/>
      <c r="CH5904"/>
      <c r="CI5904"/>
    </row>
    <row r="5905" spans="83:87" x14ac:dyDescent="0.2">
      <c r="CE5905"/>
      <c r="CF5905"/>
      <c r="CG5905"/>
      <c r="CH5905"/>
      <c r="CI5905"/>
    </row>
    <row r="5906" spans="83:87" x14ac:dyDescent="0.2">
      <c r="CE5906"/>
      <c r="CF5906"/>
      <c r="CG5906"/>
      <c r="CH5906"/>
      <c r="CI5906"/>
    </row>
    <row r="5907" spans="83:87" x14ac:dyDescent="0.2">
      <c r="CE5907"/>
      <c r="CF5907"/>
      <c r="CG5907"/>
      <c r="CH5907"/>
      <c r="CI5907"/>
    </row>
    <row r="5908" spans="83:87" x14ac:dyDescent="0.2">
      <c r="CE5908"/>
      <c r="CF5908"/>
      <c r="CG5908"/>
      <c r="CH5908"/>
      <c r="CI5908"/>
    </row>
    <row r="5909" spans="83:87" x14ac:dyDescent="0.2">
      <c r="CE5909"/>
      <c r="CF5909"/>
      <c r="CG5909"/>
      <c r="CH5909"/>
      <c r="CI5909"/>
    </row>
    <row r="5910" spans="83:87" x14ac:dyDescent="0.2">
      <c r="CE5910"/>
      <c r="CF5910"/>
      <c r="CG5910"/>
      <c r="CH5910"/>
      <c r="CI5910"/>
    </row>
    <row r="5911" spans="83:87" x14ac:dyDescent="0.2">
      <c r="CE5911"/>
      <c r="CF5911"/>
      <c r="CG5911"/>
      <c r="CH5911"/>
      <c r="CI5911"/>
    </row>
    <row r="5912" spans="83:87" x14ac:dyDescent="0.2">
      <c r="CE5912"/>
      <c r="CF5912"/>
      <c r="CG5912"/>
      <c r="CH5912"/>
      <c r="CI5912"/>
    </row>
    <row r="5913" spans="83:87" x14ac:dyDescent="0.2">
      <c r="CE5913"/>
      <c r="CF5913"/>
      <c r="CG5913"/>
      <c r="CH5913"/>
      <c r="CI5913"/>
    </row>
    <row r="5914" spans="83:87" x14ac:dyDescent="0.2">
      <c r="CE5914"/>
      <c r="CF5914"/>
      <c r="CG5914"/>
      <c r="CH5914"/>
      <c r="CI5914"/>
    </row>
    <row r="5915" spans="83:87" x14ac:dyDescent="0.2">
      <c r="CE5915"/>
      <c r="CF5915"/>
      <c r="CG5915"/>
      <c r="CH5915"/>
      <c r="CI5915"/>
    </row>
    <row r="5916" spans="83:87" x14ac:dyDescent="0.2">
      <c r="CE5916"/>
      <c r="CF5916"/>
      <c r="CG5916"/>
      <c r="CH5916"/>
      <c r="CI5916"/>
    </row>
    <row r="5917" spans="83:87" x14ac:dyDescent="0.2">
      <c r="CE5917"/>
      <c r="CF5917"/>
      <c r="CG5917"/>
      <c r="CH5917"/>
      <c r="CI5917"/>
    </row>
    <row r="5918" spans="83:87" x14ac:dyDescent="0.2">
      <c r="CE5918"/>
      <c r="CF5918"/>
      <c r="CG5918"/>
      <c r="CH5918"/>
      <c r="CI5918"/>
    </row>
    <row r="5919" spans="83:87" x14ac:dyDescent="0.2">
      <c r="CE5919"/>
      <c r="CF5919"/>
      <c r="CG5919"/>
      <c r="CH5919"/>
      <c r="CI5919"/>
    </row>
    <row r="5920" spans="83:87" x14ac:dyDescent="0.2">
      <c r="CE5920"/>
      <c r="CF5920"/>
      <c r="CG5920"/>
      <c r="CH5920"/>
      <c r="CI5920"/>
    </row>
    <row r="5921" spans="83:87" x14ac:dyDescent="0.2">
      <c r="CE5921"/>
      <c r="CF5921"/>
      <c r="CG5921"/>
      <c r="CH5921"/>
      <c r="CI5921"/>
    </row>
    <row r="5922" spans="83:87" x14ac:dyDescent="0.2">
      <c r="CE5922"/>
      <c r="CF5922"/>
      <c r="CG5922"/>
      <c r="CH5922"/>
      <c r="CI5922"/>
    </row>
    <row r="5923" spans="83:87" x14ac:dyDescent="0.2">
      <c r="CE5923"/>
      <c r="CF5923"/>
      <c r="CG5923"/>
      <c r="CH5923"/>
      <c r="CI5923"/>
    </row>
    <row r="5924" spans="83:87" x14ac:dyDescent="0.2">
      <c r="CE5924"/>
      <c r="CF5924"/>
      <c r="CG5924"/>
      <c r="CH5924"/>
      <c r="CI5924"/>
    </row>
    <row r="5925" spans="83:87" x14ac:dyDescent="0.2">
      <c r="CE5925"/>
      <c r="CF5925"/>
      <c r="CG5925"/>
      <c r="CH5925"/>
      <c r="CI5925"/>
    </row>
    <row r="5926" spans="83:87" x14ac:dyDescent="0.2">
      <c r="CE5926"/>
      <c r="CF5926"/>
      <c r="CG5926"/>
      <c r="CH5926"/>
      <c r="CI5926"/>
    </row>
    <row r="5927" spans="83:87" x14ac:dyDescent="0.2">
      <c r="CE5927"/>
      <c r="CF5927"/>
      <c r="CG5927"/>
      <c r="CH5927"/>
      <c r="CI5927"/>
    </row>
    <row r="5928" spans="83:87" x14ac:dyDescent="0.2">
      <c r="CE5928"/>
      <c r="CF5928"/>
      <c r="CG5928"/>
      <c r="CH5928"/>
      <c r="CI5928"/>
    </row>
    <row r="5929" spans="83:87" x14ac:dyDescent="0.2">
      <c r="CE5929"/>
      <c r="CF5929"/>
      <c r="CG5929"/>
      <c r="CH5929"/>
      <c r="CI5929"/>
    </row>
    <row r="5930" spans="83:87" x14ac:dyDescent="0.2">
      <c r="CE5930"/>
      <c r="CF5930"/>
      <c r="CG5930"/>
      <c r="CH5930"/>
      <c r="CI5930"/>
    </row>
    <row r="5931" spans="83:87" x14ac:dyDescent="0.2">
      <c r="CE5931"/>
      <c r="CF5931"/>
      <c r="CG5931"/>
      <c r="CH5931"/>
      <c r="CI5931"/>
    </row>
    <row r="5932" spans="83:87" x14ac:dyDescent="0.2">
      <c r="CE5932"/>
      <c r="CF5932"/>
      <c r="CG5932"/>
      <c r="CH5932"/>
      <c r="CI5932"/>
    </row>
    <row r="5933" spans="83:87" x14ac:dyDescent="0.2">
      <c r="CE5933"/>
      <c r="CF5933"/>
      <c r="CG5933"/>
      <c r="CH5933"/>
      <c r="CI5933"/>
    </row>
    <row r="5934" spans="83:87" x14ac:dyDescent="0.2">
      <c r="CE5934"/>
      <c r="CF5934"/>
      <c r="CG5934"/>
      <c r="CH5934"/>
      <c r="CI5934"/>
    </row>
    <row r="5935" spans="83:87" x14ac:dyDescent="0.2">
      <c r="CE5935"/>
      <c r="CF5935"/>
      <c r="CG5935"/>
      <c r="CH5935"/>
      <c r="CI5935"/>
    </row>
    <row r="5936" spans="83:87" x14ac:dyDescent="0.2">
      <c r="CE5936"/>
      <c r="CF5936"/>
      <c r="CG5936"/>
      <c r="CH5936"/>
      <c r="CI5936"/>
    </row>
    <row r="5937" spans="83:87" x14ac:dyDescent="0.2">
      <c r="CE5937"/>
      <c r="CF5937"/>
      <c r="CG5937"/>
      <c r="CH5937"/>
      <c r="CI5937"/>
    </row>
    <row r="5938" spans="83:87" x14ac:dyDescent="0.2">
      <c r="CE5938"/>
      <c r="CF5938"/>
      <c r="CG5938"/>
      <c r="CH5938"/>
      <c r="CI5938"/>
    </row>
    <row r="5939" spans="83:87" x14ac:dyDescent="0.2">
      <c r="CE5939"/>
      <c r="CF5939"/>
      <c r="CG5939"/>
      <c r="CH5939"/>
      <c r="CI5939"/>
    </row>
    <row r="5940" spans="83:87" x14ac:dyDescent="0.2">
      <c r="CE5940"/>
      <c r="CF5940"/>
      <c r="CG5940"/>
      <c r="CH5940"/>
      <c r="CI5940"/>
    </row>
    <row r="5941" spans="83:87" x14ac:dyDescent="0.2">
      <c r="CE5941"/>
      <c r="CF5941"/>
      <c r="CG5941"/>
      <c r="CH5941"/>
      <c r="CI5941"/>
    </row>
    <row r="5942" spans="83:87" x14ac:dyDescent="0.2">
      <c r="CE5942"/>
      <c r="CF5942"/>
      <c r="CG5942"/>
      <c r="CH5942"/>
      <c r="CI5942"/>
    </row>
    <row r="5943" spans="83:87" x14ac:dyDescent="0.2">
      <c r="CE5943"/>
      <c r="CF5943"/>
      <c r="CG5943"/>
      <c r="CH5943"/>
      <c r="CI5943"/>
    </row>
    <row r="5944" spans="83:87" x14ac:dyDescent="0.2">
      <c r="CE5944"/>
      <c r="CF5944"/>
      <c r="CG5944"/>
      <c r="CH5944"/>
      <c r="CI5944"/>
    </row>
    <row r="5945" spans="83:87" x14ac:dyDescent="0.2">
      <c r="CE5945"/>
      <c r="CF5945"/>
      <c r="CG5945"/>
      <c r="CH5945"/>
      <c r="CI5945"/>
    </row>
    <row r="5946" spans="83:87" x14ac:dyDescent="0.2">
      <c r="CE5946"/>
      <c r="CF5946"/>
      <c r="CG5946"/>
      <c r="CH5946"/>
      <c r="CI5946"/>
    </row>
    <row r="5947" spans="83:87" x14ac:dyDescent="0.2">
      <c r="CE5947"/>
      <c r="CF5947"/>
      <c r="CG5947"/>
      <c r="CH5947"/>
      <c r="CI5947"/>
    </row>
    <row r="5948" spans="83:87" x14ac:dyDescent="0.2">
      <c r="CE5948"/>
      <c r="CF5948"/>
      <c r="CG5948"/>
      <c r="CH5948"/>
      <c r="CI5948"/>
    </row>
    <row r="5949" spans="83:87" x14ac:dyDescent="0.2">
      <c r="CE5949"/>
      <c r="CF5949"/>
      <c r="CG5949"/>
      <c r="CH5949"/>
      <c r="CI5949"/>
    </row>
    <row r="5950" spans="83:87" x14ac:dyDescent="0.2">
      <c r="CE5950"/>
      <c r="CF5950"/>
      <c r="CG5950"/>
      <c r="CH5950"/>
      <c r="CI5950"/>
    </row>
    <row r="5951" spans="83:87" x14ac:dyDescent="0.2">
      <c r="CE5951"/>
      <c r="CF5951"/>
      <c r="CG5951"/>
      <c r="CH5951"/>
      <c r="CI5951"/>
    </row>
    <row r="5952" spans="83:87" x14ac:dyDescent="0.2">
      <c r="CE5952"/>
      <c r="CF5952"/>
      <c r="CG5952"/>
      <c r="CH5952"/>
      <c r="CI5952"/>
    </row>
    <row r="5953" spans="83:87" x14ac:dyDescent="0.2">
      <c r="CE5953"/>
      <c r="CF5953"/>
      <c r="CG5953"/>
      <c r="CH5953"/>
      <c r="CI5953"/>
    </row>
    <row r="5954" spans="83:87" x14ac:dyDescent="0.2">
      <c r="CE5954"/>
      <c r="CF5954"/>
      <c r="CG5954"/>
      <c r="CH5954"/>
      <c r="CI5954"/>
    </row>
    <row r="5955" spans="83:87" x14ac:dyDescent="0.2">
      <c r="CE5955"/>
      <c r="CF5955"/>
      <c r="CG5955"/>
      <c r="CH5955"/>
      <c r="CI5955"/>
    </row>
    <row r="5956" spans="83:87" x14ac:dyDescent="0.2">
      <c r="CE5956"/>
      <c r="CF5956"/>
      <c r="CG5956"/>
      <c r="CH5956"/>
      <c r="CI5956"/>
    </row>
    <row r="5957" spans="83:87" x14ac:dyDescent="0.2">
      <c r="CE5957"/>
      <c r="CF5957"/>
      <c r="CG5957"/>
      <c r="CH5957"/>
      <c r="CI5957"/>
    </row>
    <row r="5958" spans="83:87" x14ac:dyDescent="0.2">
      <c r="CE5958"/>
      <c r="CF5958"/>
      <c r="CG5958"/>
      <c r="CH5958"/>
      <c r="CI5958"/>
    </row>
    <row r="5959" spans="83:87" x14ac:dyDescent="0.2">
      <c r="CE5959"/>
      <c r="CF5959"/>
      <c r="CG5959"/>
      <c r="CH5959"/>
      <c r="CI5959"/>
    </row>
    <row r="5960" spans="83:87" x14ac:dyDescent="0.2">
      <c r="CE5960"/>
      <c r="CF5960"/>
      <c r="CG5960"/>
      <c r="CH5960"/>
      <c r="CI5960"/>
    </row>
    <row r="5961" spans="83:87" x14ac:dyDescent="0.2">
      <c r="CE5961"/>
      <c r="CF5961"/>
      <c r="CG5961"/>
      <c r="CH5961"/>
      <c r="CI5961"/>
    </row>
    <row r="5962" spans="83:87" x14ac:dyDescent="0.2">
      <c r="CE5962"/>
      <c r="CF5962"/>
      <c r="CG5962"/>
      <c r="CH5962"/>
      <c r="CI5962"/>
    </row>
    <row r="5963" spans="83:87" x14ac:dyDescent="0.2">
      <c r="CE5963"/>
      <c r="CF5963"/>
      <c r="CG5963"/>
      <c r="CH5963"/>
      <c r="CI5963"/>
    </row>
    <row r="5964" spans="83:87" x14ac:dyDescent="0.2">
      <c r="CE5964"/>
      <c r="CF5964"/>
      <c r="CG5964"/>
      <c r="CH5964"/>
      <c r="CI5964"/>
    </row>
    <row r="5965" spans="83:87" x14ac:dyDescent="0.2">
      <c r="CE5965"/>
      <c r="CF5965"/>
      <c r="CG5965"/>
      <c r="CH5965"/>
      <c r="CI5965"/>
    </row>
    <row r="5966" spans="83:87" x14ac:dyDescent="0.2">
      <c r="CE5966"/>
      <c r="CF5966"/>
      <c r="CG5966"/>
      <c r="CH5966"/>
      <c r="CI5966"/>
    </row>
    <row r="5967" spans="83:87" x14ac:dyDescent="0.2">
      <c r="CE5967"/>
      <c r="CF5967"/>
      <c r="CG5967"/>
      <c r="CH5967"/>
      <c r="CI5967"/>
    </row>
    <row r="5968" spans="83:87" x14ac:dyDescent="0.2">
      <c r="CE5968"/>
      <c r="CF5968"/>
      <c r="CG5968"/>
      <c r="CH5968"/>
      <c r="CI5968"/>
    </row>
    <row r="5969" spans="83:87" x14ac:dyDescent="0.2">
      <c r="CE5969"/>
      <c r="CF5969"/>
      <c r="CG5969"/>
      <c r="CH5969"/>
      <c r="CI5969"/>
    </row>
    <row r="5970" spans="83:87" x14ac:dyDescent="0.2">
      <c r="CE5970"/>
      <c r="CF5970"/>
      <c r="CG5970"/>
      <c r="CH5970"/>
      <c r="CI5970"/>
    </row>
    <row r="5971" spans="83:87" x14ac:dyDescent="0.2">
      <c r="CE5971"/>
      <c r="CF5971"/>
      <c r="CG5971"/>
      <c r="CH5971"/>
      <c r="CI5971"/>
    </row>
    <row r="5972" spans="83:87" x14ac:dyDescent="0.2">
      <c r="CE5972"/>
      <c r="CF5972"/>
      <c r="CG5972"/>
      <c r="CH5972"/>
      <c r="CI5972"/>
    </row>
    <row r="5973" spans="83:87" x14ac:dyDescent="0.2">
      <c r="CE5973"/>
      <c r="CF5973"/>
      <c r="CG5973"/>
      <c r="CH5973"/>
      <c r="CI5973"/>
    </row>
    <row r="5974" spans="83:87" x14ac:dyDescent="0.2">
      <c r="CE5974"/>
      <c r="CF5974"/>
      <c r="CG5974"/>
      <c r="CH5974"/>
      <c r="CI5974"/>
    </row>
    <row r="5975" spans="83:87" x14ac:dyDescent="0.2">
      <c r="CE5975"/>
      <c r="CF5975"/>
      <c r="CG5975"/>
      <c r="CH5975"/>
      <c r="CI5975"/>
    </row>
    <row r="5976" spans="83:87" x14ac:dyDescent="0.2">
      <c r="CE5976"/>
      <c r="CF5976"/>
      <c r="CG5976"/>
      <c r="CH5976"/>
      <c r="CI5976"/>
    </row>
    <row r="5977" spans="83:87" x14ac:dyDescent="0.2">
      <c r="CE5977"/>
      <c r="CF5977"/>
      <c r="CG5977"/>
      <c r="CH5977"/>
      <c r="CI5977"/>
    </row>
    <row r="5978" spans="83:87" x14ac:dyDescent="0.2">
      <c r="CE5978"/>
      <c r="CF5978"/>
      <c r="CG5978"/>
      <c r="CH5978"/>
      <c r="CI5978"/>
    </row>
    <row r="5979" spans="83:87" x14ac:dyDescent="0.2">
      <c r="CE5979"/>
      <c r="CF5979"/>
      <c r="CG5979"/>
      <c r="CH5979"/>
      <c r="CI5979"/>
    </row>
    <row r="5980" spans="83:87" x14ac:dyDescent="0.2">
      <c r="CE5980"/>
      <c r="CF5980"/>
      <c r="CG5980"/>
      <c r="CH5980"/>
      <c r="CI5980"/>
    </row>
    <row r="5981" spans="83:87" x14ac:dyDescent="0.2">
      <c r="CE5981"/>
      <c r="CF5981"/>
      <c r="CG5981"/>
      <c r="CH5981"/>
      <c r="CI5981"/>
    </row>
    <row r="5982" spans="83:87" x14ac:dyDescent="0.2">
      <c r="CE5982"/>
      <c r="CF5982"/>
      <c r="CG5982"/>
      <c r="CH5982"/>
      <c r="CI5982"/>
    </row>
    <row r="5983" spans="83:87" x14ac:dyDescent="0.2">
      <c r="CE5983"/>
      <c r="CF5983"/>
      <c r="CG5983"/>
      <c r="CH5983"/>
      <c r="CI5983"/>
    </row>
    <row r="5984" spans="83:87" x14ac:dyDescent="0.2">
      <c r="CE5984"/>
      <c r="CF5984"/>
      <c r="CG5984"/>
      <c r="CH5984"/>
      <c r="CI5984"/>
    </row>
    <row r="5985" spans="83:87" x14ac:dyDescent="0.2">
      <c r="CE5985"/>
      <c r="CF5985"/>
      <c r="CG5985"/>
      <c r="CH5985"/>
      <c r="CI5985"/>
    </row>
    <row r="5986" spans="83:87" x14ac:dyDescent="0.2">
      <c r="CE5986"/>
      <c r="CF5986"/>
      <c r="CG5986"/>
      <c r="CH5986"/>
      <c r="CI5986"/>
    </row>
    <row r="5987" spans="83:87" x14ac:dyDescent="0.2">
      <c r="CE5987"/>
      <c r="CF5987"/>
      <c r="CG5987"/>
      <c r="CH5987"/>
      <c r="CI5987"/>
    </row>
    <row r="5988" spans="83:87" x14ac:dyDescent="0.2">
      <c r="CE5988"/>
      <c r="CF5988"/>
      <c r="CG5988"/>
      <c r="CH5988"/>
      <c r="CI5988"/>
    </row>
    <row r="5989" spans="83:87" x14ac:dyDescent="0.2">
      <c r="CE5989"/>
      <c r="CF5989"/>
      <c r="CG5989"/>
      <c r="CH5989"/>
      <c r="CI5989"/>
    </row>
    <row r="5990" spans="83:87" x14ac:dyDescent="0.2">
      <c r="CE5990"/>
      <c r="CF5990"/>
      <c r="CG5990"/>
      <c r="CH5990"/>
      <c r="CI5990"/>
    </row>
    <row r="5991" spans="83:87" x14ac:dyDescent="0.2">
      <c r="CE5991"/>
      <c r="CF5991"/>
      <c r="CG5991"/>
      <c r="CH5991"/>
      <c r="CI5991"/>
    </row>
    <row r="5992" spans="83:87" x14ac:dyDescent="0.2">
      <c r="CE5992"/>
      <c r="CF5992"/>
      <c r="CG5992"/>
      <c r="CH5992"/>
      <c r="CI5992"/>
    </row>
    <row r="5993" spans="83:87" x14ac:dyDescent="0.2">
      <c r="CE5993"/>
      <c r="CF5993"/>
      <c r="CG5993"/>
      <c r="CH5993"/>
      <c r="CI5993"/>
    </row>
    <row r="5994" spans="83:87" x14ac:dyDescent="0.2">
      <c r="CE5994"/>
      <c r="CF5994"/>
      <c r="CG5994"/>
      <c r="CH5994"/>
      <c r="CI5994"/>
    </row>
    <row r="5995" spans="83:87" x14ac:dyDescent="0.2">
      <c r="CE5995"/>
      <c r="CF5995"/>
      <c r="CG5995"/>
      <c r="CH5995"/>
      <c r="CI5995"/>
    </row>
    <row r="5996" spans="83:87" x14ac:dyDescent="0.2">
      <c r="CE5996"/>
      <c r="CF5996"/>
      <c r="CG5996"/>
      <c r="CH5996"/>
      <c r="CI5996"/>
    </row>
    <row r="5997" spans="83:87" x14ac:dyDescent="0.2">
      <c r="CE5997"/>
      <c r="CF5997"/>
      <c r="CG5997"/>
      <c r="CH5997"/>
      <c r="CI5997"/>
    </row>
    <row r="5998" spans="83:87" x14ac:dyDescent="0.2">
      <c r="CE5998"/>
      <c r="CF5998"/>
      <c r="CG5998"/>
      <c r="CH5998"/>
      <c r="CI5998"/>
    </row>
    <row r="5999" spans="83:87" x14ac:dyDescent="0.2">
      <c r="CE5999"/>
      <c r="CF5999"/>
      <c r="CG5999"/>
      <c r="CH5999"/>
      <c r="CI5999"/>
    </row>
    <row r="6000" spans="83:87" x14ac:dyDescent="0.2">
      <c r="CE6000"/>
      <c r="CF6000"/>
      <c r="CG6000"/>
      <c r="CH6000"/>
      <c r="CI6000"/>
    </row>
    <row r="6001" spans="83:87" x14ac:dyDescent="0.2">
      <c r="CE6001"/>
      <c r="CF6001"/>
      <c r="CG6001"/>
      <c r="CH6001"/>
      <c r="CI6001"/>
    </row>
    <row r="6002" spans="83:87" x14ac:dyDescent="0.2">
      <c r="CE6002"/>
      <c r="CF6002"/>
      <c r="CG6002"/>
      <c r="CH6002"/>
      <c r="CI6002"/>
    </row>
    <row r="6003" spans="83:87" x14ac:dyDescent="0.2">
      <c r="CE6003"/>
      <c r="CF6003"/>
      <c r="CG6003"/>
      <c r="CH6003"/>
      <c r="CI6003"/>
    </row>
    <row r="6004" spans="83:87" x14ac:dyDescent="0.2">
      <c r="CE6004"/>
      <c r="CF6004"/>
      <c r="CG6004"/>
      <c r="CH6004"/>
      <c r="CI6004"/>
    </row>
    <row r="6005" spans="83:87" x14ac:dyDescent="0.2">
      <c r="CE6005"/>
      <c r="CF6005"/>
      <c r="CG6005"/>
      <c r="CH6005"/>
      <c r="CI6005"/>
    </row>
    <row r="6006" spans="83:87" x14ac:dyDescent="0.2">
      <c r="CE6006"/>
      <c r="CF6006"/>
      <c r="CG6006"/>
      <c r="CH6006"/>
      <c r="CI6006"/>
    </row>
    <row r="6007" spans="83:87" x14ac:dyDescent="0.2">
      <c r="CE6007"/>
      <c r="CF6007"/>
      <c r="CG6007"/>
      <c r="CH6007"/>
      <c r="CI6007"/>
    </row>
    <row r="6008" spans="83:87" x14ac:dyDescent="0.2">
      <c r="CE6008"/>
      <c r="CF6008"/>
      <c r="CG6008"/>
      <c r="CH6008"/>
      <c r="CI6008"/>
    </row>
    <row r="6009" spans="83:87" x14ac:dyDescent="0.2">
      <c r="CE6009"/>
      <c r="CF6009"/>
      <c r="CG6009"/>
      <c r="CH6009"/>
      <c r="CI6009"/>
    </row>
    <row r="6010" spans="83:87" x14ac:dyDescent="0.2">
      <c r="CE6010"/>
      <c r="CF6010"/>
      <c r="CG6010"/>
      <c r="CH6010"/>
      <c r="CI6010"/>
    </row>
    <row r="6011" spans="83:87" x14ac:dyDescent="0.2">
      <c r="CE6011"/>
      <c r="CF6011"/>
      <c r="CG6011"/>
      <c r="CH6011"/>
      <c r="CI6011"/>
    </row>
    <row r="6012" spans="83:87" x14ac:dyDescent="0.2">
      <c r="CE6012"/>
      <c r="CF6012"/>
      <c r="CG6012"/>
      <c r="CH6012"/>
      <c r="CI6012"/>
    </row>
    <row r="6013" spans="83:87" x14ac:dyDescent="0.2">
      <c r="CE6013"/>
      <c r="CF6013"/>
      <c r="CG6013"/>
      <c r="CH6013"/>
      <c r="CI6013"/>
    </row>
    <row r="6014" spans="83:87" x14ac:dyDescent="0.2">
      <c r="CE6014"/>
      <c r="CF6014"/>
      <c r="CG6014"/>
      <c r="CH6014"/>
      <c r="CI6014"/>
    </row>
    <row r="6015" spans="83:87" x14ac:dyDescent="0.2">
      <c r="CE6015"/>
      <c r="CF6015"/>
      <c r="CG6015"/>
      <c r="CH6015"/>
      <c r="CI6015"/>
    </row>
    <row r="6016" spans="83:87" x14ac:dyDescent="0.2">
      <c r="CE6016"/>
      <c r="CF6016"/>
      <c r="CG6016"/>
      <c r="CH6016"/>
      <c r="CI6016"/>
    </row>
    <row r="6017" spans="83:87" x14ac:dyDescent="0.2">
      <c r="CE6017"/>
      <c r="CF6017"/>
      <c r="CG6017"/>
      <c r="CH6017"/>
      <c r="CI6017"/>
    </row>
    <row r="6018" spans="83:87" x14ac:dyDescent="0.2">
      <c r="CE6018"/>
      <c r="CF6018"/>
      <c r="CG6018"/>
      <c r="CH6018"/>
      <c r="CI6018"/>
    </row>
    <row r="6019" spans="83:87" x14ac:dyDescent="0.2">
      <c r="CE6019"/>
      <c r="CF6019"/>
      <c r="CG6019"/>
      <c r="CH6019"/>
      <c r="CI6019"/>
    </row>
    <row r="6020" spans="83:87" x14ac:dyDescent="0.2">
      <c r="CE6020"/>
      <c r="CF6020"/>
      <c r="CG6020"/>
      <c r="CH6020"/>
      <c r="CI6020"/>
    </row>
    <row r="6021" spans="83:87" x14ac:dyDescent="0.2">
      <c r="CE6021"/>
      <c r="CF6021"/>
      <c r="CG6021"/>
      <c r="CH6021"/>
      <c r="CI6021"/>
    </row>
    <row r="6022" spans="83:87" x14ac:dyDescent="0.2">
      <c r="CE6022"/>
      <c r="CF6022"/>
      <c r="CG6022"/>
      <c r="CH6022"/>
      <c r="CI6022"/>
    </row>
    <row r="6023" spans="83:87" x14ac:dyDescent="0.2">
      <c r="CE6023"/>
      <c r="CF6023"/>
      <c r="CG6023"/>
      <c r="CH6023"/>
      <c r="CI6023"/>
    </row>
    <row r="6024" spans="83:87" x14ac:dyDescent="0.2">
      <c r="CE6024"/>
      <c r="CF6024"/>
      <c r="CG6024"/>
      <c r="CH6024"/>
      <c r="CI6024"/>
    </row>
    <row r="6025" spans="83:87" x14ac:dyDescent="0.2">
      <c r="CE6025"/>
      <c r="CF6025"/>
      <c r="CG6025"/>
      <c r="CH6025"/>
      <c r="CI6025"/>
    </row>
    <row r="6026" spans="83:87" x14ac:dyDescent="0.2">
      <c r="CE6026"/>
      <c r="CF6026"/>
      <c r="CG6026"/>
      <c r="CH6026"/>
      <c r="CI6026"/>
    </row>
    <row r="6027" spans="83:87" x14ac:dyDescent="0.2">
      <c r="CE6027"/>
      <c r="CF6027"/>
      <c r="CG6027"/>
      <c r="CH6027"/>
      <c r="CI6027"/>
    </row>
    <row r="6028" spans="83:87" x14ac:dyDescent="0.2">
      <c r="CE6028"/>
      <c r="CF6028"/>
      <c r="CG6028"/>
      <c r="CH6028"/>
      <c r="CI6028"/>
    </row>
    <row r="6029" spans="83:87" x14ac:dyDescent="0.2">
      <c r="CE6029"/>
      <c r="CF6029"/>
      <c r="CG6029"/>
      <c r="CH6029"/>
      <c r="CI6029"/>
    </row>
    <row r="6030" spans="83:87" x14ac:dyDescent="0.2">
      <c r="CE6030"/>
      <c r="CF6030"/>
      <c r="CG6030"/>
      <c r="CH6030"/>
      <c r="CI6030"/>
    </row>
    <row r="6031" spans="83:87" x14ac:dyDescent="0.2">
      <c r="CE6031"/>
      <c r="CF6031"/>
      <c r="CG6031"/>
      <c r="CH6031"/>
      <c r="CI6031"/>
    </row>
    <row r="6032" spans="83:87" x14ac:dyDescent="0.2">
      <c r="CE6032"/>
      <c r="CF6032"/>
      <c r="CG6032"/>
      <c r="CH6032"/>
      <c r="CI6032"/>
    </row>
    <row r="6033" spans="83:87" x14ac:dyDescent="0.2">
      <c r="CE6033"/>
      <c r="CF6033"/>
      <c r="CG6033"/>
      <c r="CH6033"/>
      <c r="CI6033"/>
    </row>
    <row r="6034" spans="83:87" x14ac:dyDescent="0.2">
      <c r="CE6034"/>
      <c r="CF6034"/>
      <c r="CG6034"/>
      <c r="CH6034"/>
      <c r="CI6034"/>
    </row>
    <row r="6035" spans="83:87" x14ac:dyDescent="0.2">
      <c r="CE6035"/>
      <c r="CF6035"/>
      <c r="CG6035"/>
      <c r="CH6035"/>
      <c r="CI6035"/>
    </row>
    <row r="6036" spans="83:87" x14ac:dyDescent="0.2">
      <c r="CE6036"/>
      <c r="CF6036"/>
      <c r="CG6036"/>
      <c r="CH6036"/>
      <c r="CI6036"/>
    </row>
    <row r="6037" spans="83:87" x14ac:dyDescent="0.2">
      <c r="CE6037"/>
      <c r="CF6037"/>
      <c r="CG6037"/>
      <c r="CH6037"/>
      <c r="CI6037"/>
    </row>
    <row r="6038" spans="83:87" x14ac:dyDescent="0.2">
      <c r="CE6038"/>
      <c r="CF6038"/>
      <c r="CG6038"/>
      <c r="CH6038"/>
      <c r="CI6038"/>
    </row>
    <row r="6039" spans="83:87" x14ac:dyDescent="0.2">
      <c r="CE6039"/>
      <c r="CF6039"/>
      <c r="CG6039"/>
      <c r="CH6039"/>
      <c r="CI6039"/>
    </row>
    <row r="6040" spans="83:87" x14ac:dyDescent="0.2">
      <c r="CE6040"/>
      <c r="CF6040"/>
      <c r="CG6040"/>
      <c r="CH6040"/>
      <c r="CI6040"/>
    </row>
    <row r="6041" spans="83:87" x14ac:dyDescent="0.2">
      <c r="CE6041"/>
      <c r="CF6041"/>
      <c r="CG6041"/>
      <c r="CH6041"/>
      <c r="CI6041"/>
    </row>
    <row r="6042" spans="83:87" x14ac:dyDescent="0.2">
      <c r="CE6042"/>
      <c r="CF6042"/>
      <c r="CG6042"/>
      <c r="CH6042"/>
      <c r="CI6042"/>
    </row>
    <row r="6043" spans="83:87" x14ac:dyDescent="0.2">
      <c r="CE6043"/>
      <c r="CF6043"/>
      <c r="CG6043"/>
      <c r="CH6043"/>
      <c r="CI6043"/>
    </row>
    <row r="6044" spans="83:87" x14ac:dyDescent="0.2">
      <c r="CE6044"/>
      <c r="CF6044"/>
      <c r="CG6044"/>
      <c r="CH6044"/>
      <c r="CI6044"/>
    </row>
    <row r="6045" spans="83:87" x14ac:dyDescent="0.2">
      <c r="CE6045"/>
      <c r="CF6045"/>
      <c r="CG6045"/>
      <c r="CH6045"/>
      <c r="CI6045"/>
    </row>
    <row r="6046" spans="83:87" x14ac:dyDescent="0.2">
      <c r="CE6046"/>
      <c r="CF6046"/>
      <c r="CG6046"/>
      <c r="CH6046"/>
      <c r="CI6046"/>
    </row>
    <row r="6047" spans="83:87" x14ac:dyDescent="0.2">
      <c r="CE6047"/>
      <c r="CF6047"/>
      <c r="CG6047"/>
      <c r="CH6047"/>
      <c r="CI6047"/>
    </row>
    <row r="6048" spans="83:87" x14ac:dyDescent="0.2">
      <c r="CE6048"/>
      <c r="CF6048"/>
      <c r="CG6048"/>
      <c r="CH6048"/>
      <c r="CI6048"/>
    </row>
    <row r="6049" spans="83:87" x14ac:dyDescent="0.2">
      <c r="CE6049"/>
      <c r="CF6049"/>
      <c r="CG6049"/>
      <c r="CH6049"/>
      <c r="CI6049"/>
    </row>
    <row r="6050" spans="83:87" x14ac:dyDescent="0.2">
      <c r="CE6050"/>
      <c r="CF6050"/>
      <c r="CG6050"/>
      <c r="CH6050"/>
      <c r="CI6050"/>
    </row>
    <row r="6051" spans="83:87" x14ac:dyDescent="0.2">
      <c r="CE6051"/>
      <c r="CF6051"/>
      <c r="CG6051"/>
      <c r="CH6051"/>
      <c r="CI6051"/>
    </row>
    <row r="6052" spans="83:87" x14ac:dyDescent="0.2">
      <c r="CE6052"/>
      <c r="CF6052"/>
      <c r="CG6052"/>
      <c r="CH6052"/>
      <c r="CI6052"/>
    </row>
    <row r="6053" spans="83:87" x14ac:dyDescent="0.2">
      <c r="CE6053"/>
      <c r="CF6053"/>
      <c r="CG6053"/>
      <c r="CH6053"/>
      <c r="CI6053"/>
    </row>
    <row r="6054" spans="83:87" x14ac:dyDescent="0.2">
      <c r="CE6054"/>
      <c r="CF6054"/>
      <c r="CG6054"/>
      <c r="CH6054"/>
      <c r="CI6054"/>
    </row>
    <row r="6055" spans="83:87" x14ac:dyDescent="0.2">
      <c r="CE6055"/>
      <c r="CF6055"/>
      <c r="CG6055"/>
      <c r="CH6055"/>
      <c r="CI6055"/>
    </row>
    <row r="6056" spans="83:87" x14ac:dyDescent="0.2">
      <c r="CE6056"/>
      <c r="CF6056"/>
      <c r="CG6056"/>
      <c r="CH6056"/>
      <c r="CI6056"/>
    </row>
    <row r="6057" spans="83:87" x14ac:dyDescent="0.2">
      <c r="CE6057"/>
      <c r="CF6057"/>
      <c r="CG6057"/>
      <c r="CH6057"/>
      <c r="CI6057"/>
    </row>
    <row r="6058" spans="83:87" x14ac:dyDescent="0.2">
      <c r="CE6058"/>
      <c r="CF6058"/>
      <c r="CG6058"/>
      <c r="CH6058"/>
      <c r="CI6058"/>
    </row>
    <row r="6059" spans="83:87" x14ac:dyDescent="0.2">
      <c r="CE6059"/>
      <c r="CF6059"/>
      <c r="CG6059"/>
      <c r="CH6059"/>
      <c r="CI6059"/>
    </row>
    <row r="6060" spans="83:87" x14ac:dyDescent="0.2">
      <c r="CE6060"/>
      <c r="CF6060"/>
      <c r="CG6060"/>
      <c r="CH6060"/>
      <c r="CI6060"/>
    </row>
    <row r="6061" spans="83:87" x14ac:dyDescent="0.2">
      <c r="CE6061"/>
      <c r="CF6061"/>
      <c r="CG6061"/>
      <c r="CH6061"/>
      <c r="CI6061"/>
    </row>
    <row r="6062" spans="83:87" x14ac:dyDescent="0.2">
      <c r="CE6062"/>
      <c r="CF6062"/>
      <c r="CG6062"/>
      <c r="CH6062"/>
      <c r="CI6062"/>
    </row>
    <row r="6063" spans="83:87" x14ac:dyDescent="0.2">
      <c r="CE6063"/>
      <c r="CF6063"/>
      <c r="CG6063"/>
      <c r="CH6063"/>
      <c r="CI6063"/>
    </row>
    <row r="6064" spans="83:87" x14ac:dyDescent="0.2">
      <c r="CE6064"/>
      <c r="CF6064"/>
      <c r="CG6064"/>
      <c r="CH6064"/>
      <c r="CI6064"/>
    </row>
    <row r="6065" spans="83:87" x14ac:dyDescent="0.2">
      <c r="CE6065"/>
      <c r="CF6065"/>
      <c r="CG6065"/>
      <c r="CH6065"/>
      <c r="CI6065"/>
    </row>
    <row r="6066" spans="83:87" x14ac:dyDescent="0.2">
      <c r="CE6066"/>
      <c r="CF6066"/>
      <c r="CG6066"/>
      <c r="CH6066"/>
      <c r="CI6066"/>
    </row>
    <row r="6067" spans="83:87" x14ac:dyDescent="0.2">
      <c r="CE6067"/>
      <c r="CF6067"/>
      <c r="CG6067"/>
      <c r="CH6067"/>
      <c r="CI6067"/>
    </row>
    <row r="6068" spans="83:87" x14ac:dyDescent="0.2">
      <c r="CE6068"/>
      <c r="CF6068"/>
      <c r="CG6068"/>
      <c r="CH6068"/>
      <c r="CI6068"/>
    </row>
    <row r="6069" spans="83:87" x14ac:dyDescent="0.2">
      <c r="CE6069"/>
      <c r="CF6069"/>
      <c r="CG6069"/>
      <c r="CH6069"/>
      <c r="CI6069"/>
    </row>
    <row r="6070" spans="83:87" x14ac:dyDescent="0.2">
      <c r="CE6070"/>
      <c r="CF6070"/>
      <c r="CG6070"/>
      <c r="CH6070"/>
      <c r="CI6070"/>
    </row>
    <row r="6071" spans="83:87" x14ac:dyDescent="0.2">
      <c r="CE6071"/>
      <c r="CF6071"/>
      <c r="CG6071"/>
      <c r="CH6071"/>
      <c r="CI6071"/>
    </row>
    <row r="6072" spans="83:87" x14ac:dyDescent="0.2">
      <c r="CE6072"/>
      <c r="CF6072"/>
      <c r="CG6072"/>
      <c r="CH6072"/>
      <c r="CI6072"/>
    </row>
    <row r="6073" spans="83:87" x14ac:dyDescent="0.2">
      <c r="CE6073"/>
      <c r="CF6073"/>
      <c r="CG6073"/>
      <c r="CH6073"/>
      <c r="CI6073"/>
    </row>
    <row r="6074" spans="83:87" x14ac:dyDescent="0.2">
      <c r="CE6074"/>
      <c r="CF6074"/>
      <c r="CG6074"/>
      <c r="CH6074"/>
      <c r="CI6074"/>
    </row>
    <row r="6075" spans="83:87" x14ac:dyDescent="0.2">
      <c r="CE6075"/>
      <c r="CF6075"/>
      <c r="CG6075"/>
      <c r="CH6075"/>
      <c r="CI6075"/>
    </row>
    <row r="6076" spans="83:87" x14ac:dyDescent="0.2">
      <c r="CE6076"/>
      <c r="CF6076"/>
      <c r="CG6076"/>
      <c r="CH6076"/>
      <c r="CI6076"/>
    </row>
    <row r="6077" spans="83:87" x14ac:dyDescent="0.2">
      <c r="CE6077"/>
      <c r="CF6077"/>
      <c r="CG6077"/>
      <c r="CH6077"/>
      <c r="CI6077"/>
    </row>
    <row r="6078" spans="83:87" x14ac:dyDescent="0.2">
      <c r="CE6078"/>
      <c r="CF6078"/>
      <c r="CG6078"/>
      <c r="CH6078"/>
      <c r="CI6078"/>
    </row>
    <row r="6079" spans="83:87" x14ac:dyDescent="0.2">
      <c r="CE6079"/>
      <c r="CF6079"/>
      <c r="CG6079"/>
      <c r="CH6079"/>
      <c r="CI6079"/>
    </row>
    <row r="6080" spans="83:87" x14ac:dyDescent="0.2">
      <c r="CE6080"/>
      <c r="CF6080"/>
      <c r="CG6080"/>
      <c r="CH6080"/>
      <c r="CI6080"/>
    </row>
    <row r="6081" spans="83:87" x14ac:dyDescent="0.2">
      <c r="CE6081"/>
      <c r="CF6081"/>
      <c r="CG6081"/>
      <c r="CH6081"/>
      <c r="CI6081"/>
    </row>
    <row r="6082" spans="83:87" x14ac:dyDescent="0.2">
      <c r="CE6082"/>
      <c r="CF6082"/>
      <c r="CG6082"/>
      <c r="CH6082"/>
      <c r="CI6082"/>
    </row>
    <row r="6083" spans="83:87" x14ac:dyDescent="0.2">
      <c r="CE6083"/>
      <c r="CF6083"/>
      <c r="CG6083"/>
      <c r="CH6083"/>
      <c r="CI6083"/>
    </row>
    <row r="6084" spans="83:87" x14ac:dyDescent="0.2">
      <c r="CE6084"/>
      <c r="CF6084"/>
      <c r="CG6084"/>
      <c r="CH6084"/>
      <c r="CI6084"/>
    </row>
    <row r="6085" spans="83:87" x14ac:dyDescent="0.2">
      <c r="CE6085"/>
      <c r="CF6085"/>
      <c r="CG6085"/>
      <c r="CH6085"/>
      <c r="CI6085"/>
    </row>
    <row r="6086" spans="83:87" x14ac:dyDescent="0.2">
      <c r="CE6086"/>
      <c r="CF6086"/>
      <c r="CG6086"/>
      <c r="CH6086"/>
      <c r="CI6086"/>
    </row>
    <row r="6087" spans="83:87" x14ac:dyDescent="0.2">
      <c r="CE6087"/>
      <c r="CF6087"/>
      <c r="CG6087"/>
      <c r="CH6087"/>
      <c r="CI6087"/>
    </row>
    <row r="6088" spans="83:87" x14ac:dyDescent="0.2">
      <c r="CE6088"/>
      <c r="CF6088"/>
      <c r="CG6088"/>
      <c r="CH6088"/>
      <c r="CI6088"/>
    </row>
    <row r="6089" spans="83:87" x14ac:dyDescent="0.2">
      <c r="CE6089"/>
      <c r="CF6089"/>
      <c r="CG6089"/>
      <c r="CH6089"/>
      <c r="CI6089"/>
    </row>
    <row r="6090" spans="83:87" x14ac:dyDescent="0.2">
      <c r="CE6090"/>
      <c r="CF6090"/>
      <c r="CG6090"/>
      <c r="CH6090"/>
      <c r="CI6090"/>
    </row>
    <row r="6091" spans="83:87" x14ac:dyDescent="0.2">
      <c r="CE6091"/>
      <c r="CF6091"/>
      <c r="CG6091"/>
      <c r="CH6091"/>
      <c r="CI6091"/>
    </row>
    <row r="6092" spans="83:87" x14ac:dyDescent="0.2">
      <c r="CE6092"/>
      <c r="CF6092"/>
      <c r="CG6092"/>
      <c r="CH6092"/>
      <c r="CI6092"/>
    </row>
    <row r="6093" spans="83:87" x14ac:dyDescent="0.2">
      <c r="CE6093"/>
      <c r="CF6093"/>
      <c r="CG6093"/>
      <c r="CH6093"/>
      <c r="CI6093"/>
    </row>
    <row r="6094" spans="83:87" x14ac:dyDescent="0.2">
      <c r="CE6094"/>
      <c r="CF6094"/>
      <c r="CG6094"/>
      <c r="CH6094"/>
      <c r="CI6094"/>
    </row>
    <row r="6095" spans="83:87" x14ac:dyDescent="0.2">
      <c r="CE6095"/>
      <c r="CF6095"/>
      <c r="CG6095"/>
      <c r="CH6095"/>
      <c r="CI6095"/>
    </row>
    <row r="6096" spans="83:87" x14ac:dyDescent="0.2">
      <c r="CE6096"/>
      <c r="CF6096"/>
      <c r="CG6096"/>
      <c r="CH6096"/>
      <c r="CI6096"/>
    </row>
    <row r="6097" spans="83:87" x14ac:dyDescent="0.2">
      <c r="CE6097"/>
      <c r="CF6097"/>
      <c r="CG6097"/>
      <c r="CH6097"/>
      <c r="CI6097"/>
    </row>
    <row r="6098" spans="83:87" x14ac:dyDescent="0.2">
      <c r="CE6098"/>
      <c r="CF6098"/>
      <c r="CG6098"/>
      <c r="CH6098"/>
      <c r="CI6098"/>
    </row>
    <row r="6099" spans="83:87" x14ac:dyDescent="0.2">
      <c r="CE6099"/>
      <c r="CF6099"/>
      <c r="CG6099"/>
      <c r="CH6099"/>
      <c r="CI6099"/>
    </row>
    <row r="6100" spans="83:87" x14ac:dyDescent="0.2">
      <c r="CE6100"/>
      <c r="CF6100"/>
      <c r="CG6100"/>
      <c r="CH6100"/>
      <c r="CI6100"/>
    </row>
    <row r="6101" spans="83:87" x14ac:dyDescent="0.2">
      <c r="CE6101"/>
      <c r="CF6101"/>
      <c r="CG6101"/>
      <c r="CH6101"/>
      <c r="CI6101"/>
    </row>
    <row r="6102" spans="83:87" x14ac:dyDescent="0.2">
      <c r="CE6102"/>
      <c r="CF6102"/>
      <c r="CG6102"/>
      <c r="CH6102"/>
      <c r="CI6102"/>
    </row>
    <row r="6103" spans="83:87" x14ac:dyDescent="0.2">
      <c r="CE6103"/>
      <c r="CF6103"/>
      <c r="CG6103"/>
      <c r="CH6103"/>
      <c r="CI6103"/>
    </row>
    <row r="6104" spans="83:87" x14ac:dyDescent="0.2">
      <c r="CE6104"/>
      <c r="CF6104"/>
      <c r="CG6104"/>
      <c r="CH6104"/>
      <c r="CI6104"/>
    </row>
    <row r="6105" spans="83:87" x14ac:dyDescent="0.2">
      <c r="CE6105"/>
      <c r="CF6105"/>
      <c r="CG6105"/>
      <c r="CH6105"/>
      <c r="CI6105"/>
    </row>
    <row r="6106" spans="83:87" x14ac:dyDescent="0.2">
      <c r="CE6106"/>
      <c r="CF6106"/>
      <c r="CG6106"/>
      <c r="CH6106"/>
      <c r="CI6106"/>
    </row>
    <row r="6107" spans="83:87" x14ac:dyDescent="0.2">
      <c r="CE6107"/>
      <c r="CF6107"/>
      <c r="CG6107"/>
      <c r="CH6107"/>
      <c r="CI6107"/>
    </row>
    <row r="6108" spans="83:87" x14ac:dyDescent="0.2">
      <c r="CE6108"/>
      <c r="CF6108"/>
      <c r="CG6108"/>
      <c r="CH6108"/>
      <c r="CI6108"/>
    </row>
    <row r="6109" spans="83:87" x14ac:dyDescent="0.2">
      <c r="CE6109"/>
      <c r="CF6109"/>
      <c r="CG6109"/>
      <c r="CH6109"/>
      <c r="CI6109"/>
    </row>
    <row r="6110" spans="83:87" x14ac:dyDescent="0.2">
      <c r="CE6110"/>
      <c r="CF6110"/>
      <c r="CG6110"/>
      <c r="CH6110"/>
      <c r="CI6110"/>
    </row>
    <row r="6111" spans="83:87" x14ac:dyDescent="0.2">
      <c r="CE6111"/>
      <c r="CF6111"/>
      <c r="CG6111"/>
      <c r="CH6111"/>
      <c r="CI6111"/>
    </row>
    <row r="6112" spans="83:87" x14ac:dyDescent="0.2">
      <c r="CE6112"/>
      <c r="CF6112"/>
      <c r="CG6112"/>
      <c r="CH6112"/>
      <c r="CI6112"/>
    </row>
    <row r="6113" spans="83:87" x14ac:dyDescent="0.2">
      <c r="CE6113"/>
      <c r="CF6113"/>
      <c r="CG6113"/>
      <c r="CH6113"/>
      <c r="CI6113"/>
    </row>
    <row r="6114" spans="83:87" x14ac:dyDescent="0.2">
      <c r="CE6114"/>
      <c r="CF6114"/>
      <c r="CG6114"/>
      <c r="CH6114"/>
      <c r="CI6114"/>
    </row>
    <row r="6115" spans="83:87" x14ac:dyDescent="0.2">
      <c r="CE6115"/>
      <c r="CF6115"/>
      <c r="CG6115"/>
      <c r="CH6115"/>
      <c r="CI6115"/>
    </row>
    <row r="6116" spans="83:87" x14ac:dyDescent="0.2">
      <c r="CE6116"/>
      <c r="CF6116"/>
      <c r="CG6116"/>
      <c r="CH6116"/>
      <c r="CI6116"/>
    </row>
    <row r="6117" spans="83:87" x14ac:dyDescent="0.2">
      <c r="CE6117"/>
      <c r="CF6117"/>
      <c r="CG6117"/>
      <c r="CH6117"/>
      <c r="CI6117"/>
    </row>
    <row r="6118" spans="83:87" x14ac:dyDescent="0.2">
      <c r="CE6118"/>
      <c r="CF6118"/>
      <c r="CG6118"/>
      <c r="CH6118"/>
      <c r="CI6118"/>
    </row>
    <row r="6119" spans="83:87" x14ac:dyDescent="0.2">
      <c r="CE6119"/>
      <c r="CF6119"/>
      <c r="CG6119"/>
      <c r="CH6119"/>
      <c r="CI6119"/>
    </row>
    <row r="6120" spans="83:87" x14ac:dyDescent="0.2">
      <c r="CE6120"/>
      <c r="CF6120"/>
      <c r="CG6120"/>
      <c r="CH6120"/>
      <c r="CI6120"/>
    </row>
    <row r="6121" spans="83:87" x14ac:dyDescent="0.2">
      <c r="CE6121"/>
      <c r="CF6121"/>
      <c r="CG6121"/>
      <c r="CH6121"/>
      <c r="CI6121"/>
    </row>
    <row r="6122" spans="83:87" x14ac:dyDescent="0.2">
      <c r="CE6122"/>
      <c r="CF6122"/>
      <c r="CG6122"/>
      <c r="CH6122"/>
      <c r="CI6122"/>
    </row>
    <row r="6123" spans="83:87" x14ac:dyDescent="0.2">
      <c r="CE6123"/>
      <c r="CF6123"/>
      <c r="CG6123"/>
      <c r="CH6123"/>
      <c r="CI6123"/>
    </row>
    <row r="6124" spans="83:87" x14ac:dyDescent="0.2">
      <c r="CE6124"/>
      <c r="CF6124"/>
      <c r="CG6124"/>
      <c r="CH6124"/>
      <c r="CI6124"/>
    </row>
    <row r="6125" spans="83:87" x14ac:dyDescent="0.2">
      <c r="CE6125"/>
      <c r="CF6125"/>
      <c r="CG6125"/>
      <c r="CH6125"/>
      <c r="CI6125"/>
    </row>
    <row r="6126" spans="83:87" x14ac:dyDescent="0.2">
      <c r="CE6126"/>
      <c r="CF6126"/>
      <c r="CG6126"/>
      <c r="CH6126"/>
      <c r="CI6126"/>
    </row>
    <row r="6127" spans="83:87" x14ac:dyDescent="0.2">
      <c r="CE6127"/>
      <c r="CF6127"/>
      <c r="CG6127"/>
      <c r="CH6127"/>
      <c r="CI6127"/>
    </row>
    <row r="6128" spans="83:87" x14ac:dyDescent="0.2">
      <c r="CE6128"/>
      <c r="CF6128"/>
      <c r="CG6128"/>
      <c r="CH6128"/>
      <c r="CI6128"/>
    </row>
    <row r="6129" spans="83:87" x14ac:dyDescent="0.2">
      <c r="CE6129"/>
      <c r="CF6129"/>
      <c r="CG6129"/>
      <c r="CH6129"/>
      <c r="CI6129"/>
    </row>
    <row r="6130" spans="83:87" x14ac:dyDescent="0.2">
      <c r="CE6130"/>
      <c r="CF6130"/>
      <c r="CG6130"/>
      <c r="CH6130"/>
      <c r="CI6130"/>
    </row>
    <row r="6131" spans="83:87" x14ac:dyDescent="0.2">
      <c r="CE6131"/>
      <c r="CF6131"/>
      <c r="CG6131"/>
      <c r="CH6131"/>
      <c r="CI6131"/>
    </row>
    <row r="6132" spans="83:87" x14ac:dyDescent="0.2">
      <c r="CE6132"/>
      <c r="CF6132"/>
      <c r="CG6132"/>
      <c r="CH6132"/>
      <c r="CI6132"/>
    </row>
    <row r="6133" spans="83:87" x14ac:dyDescent="0.2">
      <c r="CE6133"/>
      <c r="CF6133"/>
      <c r="CG6133"/>
      <c r="CH6133"/>
      <c r="CI6133"/>
    </row>
    <row r="6134" spans="83:87" x14ac:dyDescent="0.2">
      <c r="CE6134"/>
      <c r="CF6134"/>
      <c r="CG6134"/>
      <c r="CH6134"/>
      <c r="CI6134"/>
    </row>
    <row r="6135" spans="83:87" x14ac:dyDescent="0.2">
      <c r="CE6135"/>
      <c r="CF6135"/>
      <c r="CG6135"/>
      <c r="CH6135"/>
      <c r="CI6135"/>
    </row>
    <row r="6136" spans="83:87" x14ac:dyDescent="0.2">
      <c r="CE6136"/>
      <c r="CF6136"/>
      <c r="CG6136"/>
      <c r="CH6136"/>
      <c r="CI6136"/>
    </row>
    <row r="6137" spans="83:87" x14ac:dyDescent="0.2">
      <c r="CE6137"/>
      <c r="CF6137"/>
      <c r="CG6137"/>
      <c r="CH6137"/>
      <c r="CI6137"/>
    </row>
    <row r="6138" spans="83:87" x14ac:dyDescent="0.2">
      <c r="CE6138"/>
      <c r="CF6138"/>
      <c r="CG6138"/>
      <c r="CH6138"/>
      <c r="CI6138"/>
    </row>
    <row r="6139" spans="83:87" x14ac:dyDescent="0.2">
      <c r="CE6139"/>
      <c r="CF6139"/>
      <c r="CG6139"/>
      <c r="CH6139"/>
      <c r="CI6139"/>
    </row>
    <row r="6140" spans="83:87" x14ac:dyDescent="0.2">
      <c r="CE6140"/>
      <c r="CF6140"/>
      <c r="CG6140"/>
      <c r="CH6140"/>
      <c r="CI6140"/>
    </row>
    <row r="6141" spans="83:87" x14ac:dyDescent="0.2">
      <c r="CE6141"/>
      <c r="CF6141"/>
      <c r="CG6141"/>
      <c r="CH6141"/>
      <c r="CI6141"/>
    </row>
    <row r="6142" spans="83:87" x14ac:dyDescent="0.2">
      <c r="CE6142"/>
      <c r="CF6142"/>
      <c r="CG6142"/>
      <c r="CH6142"/>
      <c r="CI6142"/>
    </row>
    <row r="6143" spans="83:87" x14ac:dyDescent="0.2">
      <c r="CE6143"/>
      <c r="CF6143"/>
      <c r="CG6143"/>
      <c r="CH6143"/>
      <c r="CI6143"/>
    </row>
    <row r="6144" spans="83:87" x14ac:dyDescent="0.2">
      <c r="CE6144"/>
      <c r="CF6144"/>
      <c r="CG6144"/>
      <c r="CH6144"/>
      <c r="CI6144"/>
    </row>
    <row r="6145" spans="83:87" x14ac:dyDescent="0.2">
      <c r="CE6145"/>
      <c r="CF6145"/>
      <c r="CG6145"/>
      <c r="CH6145"/>
      <c r="CI6145"/>
    </row>
    <row r="6146" spans="83:87" x14ac:dyDescent="0.2">
      <c r="CE6146"/>
      <c r="CF6146"/>
      <c r="CG6146"/>
      <c r="CH6146"/>
      <c r="CI6146"/>
    </row>
    <row r="6147" spans="83:87" x14ac:dyDescent="0.2">
      <c r="CE6147"/>
      <c r="CF6147"/>
      <c r="CG6147"/>
      <c r="CH6147"/>
      <c r="CI6147"/>
    </row>
    <row r="6148" spans="83:87" x14ac:dyDescent="0.2">
      <c r="CE6148"/>
      <c r="CF6148"/>
      <c r="CG6148"/>
      <c r="CH6148"/>
      <c r="CI6148"/>
    </row>
    <row r="6149" spans="83:87" x14ac:dyDescent="0.2">
      <c r="CE6149"/>
      <c r="CF6149"/>
      <c r="CG6149"/>
      <c r="CH6149"/>
      <c r="CI6149"/>
    </row>
    <row r="6150" spans="83:87" x14ac:dyDescent="0.2">
      <c r="CE6150"/>
      <c r="CF6150"/>
      <c r="CG6150"/>
      <c r="CH6150"/>
      <c r="CI6150"/>
    </row>
    <row r="6151" spans="83:87" x14ac:dyDescent="0.2">
      <c r="CE6151"/>
      <c r="CF6151"/>
      <c r="CG6151"/>
      <c r="CH6151"/>
      <c r="CI6151"/>
    </row>
    <row r="6152" spans="83:87" x14ac:dyDescent="0.2">
      <c r="CE6152"/>
      <c r="CF6152"/>
      <c r="CG6152"/>
      <c r="CH6152"/>
      <c r="CI6152"/>
    </row>
    <row r="6153" spans="83:87" x14ac:dyDescent="0.2">
      <c r="CE6153"/>
      <c r="CF6153"/>
      <c r="CG6153"/>
      <c r="CH6153"/>
      <c r="CI6153"/>
    </row>
    <row r="6154" spans="83:87" x14ac:dyDescent="0.2">
      <c r="CE6154"/>
      <c r="CF6154"/>
      <c r="CG6154"/>
      <c r="CH6154"/>
      <c r="CI6154"/>
    </row>
    <row r="6155" spans="83:87" x14ac:dyDescent="0.2">
      <c r="CE6155"/>
      <c r="CF6155"/>
      <c r="CG6155"/>
      <c r="CH6155"/>
      <c r="CI6155"/>
    </row>
    <row r="6156" spans="83:87" x14ac:dyDescent="0.2">
      <c r="CE6156"/>
      <c r="CF6156"/>
      <c r="CG6156"/>
      <c r="CH6156"/>
      <c r="CI6156"/>
    </row>
    <row r="6157" spans="83:87" x14ac:dyDescent="0.2">
      <c r="CE6157"/>
      <c r="CF6157"/>
      <c r="CG6157"/>
      <c r="CH6157"/>
      <c r="CI6157"/>
    </row>
    <row r="6158" spans="83:87" x14ac:dyDescent="0.2">
      <c r="CE6158"/>
      <c r="CF6158"/>
      <c r="CG6158"/>
      <c r="CH6158"/>
      <c r="CI6158"/>
    </row>
    <row r="6159" spans="83:87" x14ac:dyDescent="0.2">
      <c r="CE6159"/>
      <c r="CF6159"/>
      <c r="CG6159"/>
      <c r="CH6159"/>
      <c r="CI6159"/>
    </row>
    <row r="6160" spans="83:87" x14ac:dyDescent="0.2">
      <c r="CE6160"/>
      <c r="CF6160"/>
      <c r="CG6160"/>
      <c r="CH6160"/>
      <c r="CI6160"/>
    </row>
    <row r="6161" spans="83:87" x14ac:dyDescent="0.2">
      <c r="CE6161"/>
      <c r="CF6161"/>
      <c r="CG6161"/>
      <c r="CH6161"/>
      <c r="CI6161"/>
    </row>
    <row r="6162" spans="83:87" x14ac:dyDescent="0.2">
      <c r="CE6162"/>
      <c r="CF6162"/>
      <c r="CG6162"/>
      <c r="CH6162"/>
      <c r="CI6162"/>
    </row>
    <row r="6163" spans="83:87" x14ac:dyDescent="0.2">
      <c r="CE6163"/>
      <c r="CF6163"/>
      <c r="CG6163"/>
      <c r="CH6163"/>
      <c r="CI6163"/>
    </row>
    <row r="6164" spans="83:87" x14ac:dyDescent="0.2">
      <c r="CE6164"/>
      <c r="CF6164"/>
      <c r="CG6164"/>
      <c r="CH6164"/>
      <c r="CI6164"/>
    </row>
    <row r="6165" spans="83:87" x14ac:dyDescent="0.2">
      <c r="CE6165"/>
      <c r="CF6165"/>
      <c r="CG6165"/>
      <c r="CH6165"/>
      <c r="CI6165"/>
    </row>
    <row r="6166" spans="83:87" x14ac:dyDescent="0.2">
      <c r="CE6166"/>
      <c r="CF6166"/>
      <c r="CG6166"/>
      <c r="CH6166"/>
      <c r="CI6166"/>
    </row>
    <row r="6167" spans="83:87" x14ac:dyDescent="0.2">
      <c r="CE6167"/>
      <c r="CF6167"/>
      <c r="CG6167"/>
      <c r="CH6167"/>
      <c r="CI6167"/>
    </row>
    <row r="6168" spans="83:87" x14ac:dyDescent="0.2">
      <c r="CE6168"/>
      <c r="CF6168"/>
      <c r="CG6168"/>
      <c r="CH6168"/>
      <c r="CI6168"/>
    </row>
    <row r="6169" spans="83:87" x14ac:dyDescent="0.2">
      <c r="CE6169"/>
      <c r="CF6169"/>
      <c r="CG6169"/>
      <c r="CH6169"/>
      <c r="CI6169"/>
    </row>
    <row r="6170" spans="83:87" x14ac:dyDescent="0.2">
      <c r="CE6170"/>
      <c r="CF6170"/>
      <c r="CG6170"/>
      <c r="CH6170"/>
      <c r="CI6170"/>
    </row>
    <row r="6171" spans="83:87" x14ac:dyDescent="0.2">
      <c r="CE6171"/>
      <c r="CF6171"/>
      <c r="CG6171"/>
      <c r="CH6171"/>
      <c r="CI6171"/>
    </row>
    <row r="6172" spans="83:87" x14ac:dyDescent="0.2">
      <c r="CE6172"/>
      <c r="CF6172"/>
      <c r="CG6172"/>
      <c r="CH6172"/>
      <c r="CI6172"/>
    </row>
    <row r="6173" spans="83:87" x14ac:dyDescent="0.2">
      <c r="CE6173"/>
      <c r="CF6173"/>
      <c r="CG6173"/>
      <c r="CH6173"/>
      <c r="CI6173"/>
    </row>
    <row r="6174" spans="83:87" x14ac:dyDescent="0.2">
      <c r="CE6174"/>
      <c r="CF6174"/>
      <c r="CG6174"/>
      <c r="CH6174"/>
      <c r="CI6174"/>
    </row>
    <row r="6175" spans="83:87" x14ac:dyDescent="0.2">
      <c r="CE6175"/>
      <c r="CF6175"/>
      <c r="CG6175"/>
      <c r="CH6175"/>
      <c r="CI6175"/>
    </row>
    <row r="6176" spans="83:87" x14ac:dyDescent="0.2">
      <c r="CE6176"/>
      <c r="CF6176"/>
      <c r="CG6176"/>
      <c r="CH6176"/>
      <c r="CI6176"/>
    </row>
    <row r="6177" spans="83:87" x14ac:dyDescent="0.2">
      <c r="CE6177"/>
      <c r="CF6177"/>
      <c r="CG6177"/>
      <c r="CH6177"/>
      <c r="CI6177"/>
    </row>
    <row r="6178" spans="83:87" x14ac:dyDescent="0.2">
      <c r="CE6178"/>
      <c r="CF6178"/>
      <c r="CG6178"/>
      <c r="CH6178"/>
      <c r="CI6178"/>
    </row>
    <row r="6179" spans="83:87" x14ac:dyDescent="0.2">
      <c r="CE6179"/>
      <c r="CF6179"/>
      <c r="CG6179"/>
      <c r="CH6179"/>
      <c r="CI6179"/>
    </row>
    <row r="6180" spans="83:87" x14ac:dyDescent="0.2">
      <c r="CE6180"/>
      <c r="CF6180"/>
      <c r="CG6180"/>
      <c r="CH6180"/>
      <c r="CI6180"/>
    </row>
    <row r="6181" spans="83:87" x14ac:dyDescent="0.2">
      <c r="CE6181"/>
      <c r="CF6181"/>
      <c r="CG6181"/>
      <c r="CH6181"/>
      <c r="CI6181"/>
    </row>
    <row r="6182" spans="83:87" x14ac:dyDescent="0.2">
      <c r="CE6182"/>
      <c r="CF6182"/>
      <c r="CG6182"/>
      <c r="CH6182"/>
      <c r="CI6182"/>
    </row>
    <row r="6183" spans="83:87" x14ac:dyDescent="0.2">
      <c r="CE6183"/>
      <c r="CF6183"/>
      <c r="CG6183"/>
      <c r="CH6183"/>
      <c r="CI6183"/>
    </row>
    <row r="6184" spans="83:87" x14ac:dyDescent="0.2">
      <c r="CE6184"/>
      <c r="CF6184"/>
      <c r="CG6184"/>
      <c r="CH6184"/>
      <c r="CI6184"/>
    </row>
    <row r="6185" spans="83:87" x14ac:dyDescent="0.2">
      <c r="CE6185"/>
      <c r="CF6185"/>
      <c r="CG6185"/>
      <c r="CH6185"/>
      <c r="CI6185"/>
    </row>
    <row r="6186" spans="83:87" x14ac:dyDescent="0.2">
      <c r="CE6186"/>
      <c r="CF6186"/>
      <c r="CG6186"/>
      <c r="CH6186"/>
      <c r="CI6186"/>
    </row>
    <row r="6187" spans="83:87" x14ac:dyDescent="0.2">
      <c r="CE6187"/>
      <c r="CF6187"/>
      <c r="CG6187"/>
      <c r="CH6187"/>
      <c r="CI6187"/>
    </row>
    <row r="6188" spans="83:87" x14ac:dyDescent="0.2">
      <c r="CE6188"/>
      <c r="CF6188"/>
      <c r="CG6188"/>
      <c r="CH6188"/>
      <c r="CI6188"/>
    </row>
    <row r="6189" spans="83:87" x14ac:dyDescent="0.2">
      <c r="CE6189"/>
      <c r="CF6189"/>
      <c r="CG6189"/>
      <c r="CH6189"/>
      <c r="CI6189"/>
    </row>
    <row r="6190" spans="83:87" x14ac:dyDescent="0.2">
      <c r="CE6190"/>
      <c r="CF6190"/>
      <c r="CG6190"/>
      <c r="CH6190"/>
      <c r="CI6190"/>
    </row>
    <row r="6191" spans="83:87" x14ac:dyDescent="0.2">
      <c r="CE6191"/>
      <c r="CF6191"/>
      <c r="CG6191"/>
      <c r="CH6191"/>
      <c r="CI6191"/>
    </row>
    <row r="6192" spans="83:87" x14ac:dyDescent="0.2">
      <c r="CE6192"/>
      <c r="CF6192"/>
      <c r="CG6192"/>
      <c r="CH6192"/>
      <c r="CI6192"/>
    </row>
    <row r="6193" spans="83:87" x14ac:dyDescent="0.2">
      <c r="CE6193"/>
      <c r="CF6193"/>
      <c r="CG6193"/>
      <c r="CH6193"/>
      <c r="CI6193"/>
    </row>
    <row r="6194" spans="83:87" x14ac:dyDescent="0.2">
      <c r="CE6194"/>
      <c r="CF6194"/>
      <c r="CG6194"/>
      <c r="CH6194"/>
      <c r="CI6194"/>
    </row>
    <row r="6195" spans="83:87" x14ac:dyDescent="0.2">
      <c r="CE6195"/>
      <c r="CF6195"/>
      <c r="CG6195"/>
      <c r="CH6195"/>
      <c r="CI6195"/>
    </row>
    <row r="6196" spans="83:87" x14ac:dyDescent="0.2">
      <c r="CE6196"/>
      <c r="CF6196"/>
      <c r="CG6196"/>
      <c r="CH6196"/>
      <c r="CI6196"/>
    </row>
    <row r="6197" spans="83:87" x14ac:dyDescent="0.2">
      <c r="CE6197"/>
      <c r="CF6197"/>
      <c r="CG6197"/>
      <c r="CH6197"/>
      <c r="CI6197"/>
    </row>
    <row r="6198" spans="83:87" x14ac:dyDescent="0.2">
      <c r="CE6198"/>
      <c r="CF6198"/>
      <c r="CG6198"/>
      <c r="CH6198"/>
      <c r="CI6198"/>
    </row>
    <row r="6199" spans="83:87" x14ac:dyDescent="0.2">
      <c r="CE6199"/>
      <c r="CF6199"/>
      <c r="CG6199"/>
      <c r="CH6199"/>
      <c r="CI6199"/>
    </row>
    <row r="6200" spans="83:87" x14ac:dyDescent="0.2">
      <c r="CE6200"/>
      <c r="CF6200"/>
      <c r="CG6200"/>
      <c r="CH6200"/>
      <c r="CI6200"/>
    </row>
    <row r="6201" spans="83:87" x14ac:dyDescent="0.2">
      <c r="CE6201"/>
      <c r="CF6201"/>
      <c r="CG6201"/>
      <c r="CH6201"/>
      <c r="CI6201"/>
    </row>
    <row r="6202" spans="83:87" x14ac:dyDescent="0.2">
      <c r="CE6202"/>
      <c r="CF6202"/>
      <c r="CG6202"/>
      <c r="CH6202"/>
      <c r="CI6202"/>
    </row>
    <row r="6203" spans="83:87" x14ac:dyDescent="0.2">
      <c r="CE6203"/>
      <c r="CF6203"/>
      <c r="CG6203"/>
      <c r="CH6203"/>
      <c r="CI6203"/>
    </row>
    <row r="6204" spans="83:87" x14ac:dyDescent="0.2">
      <c r="CE6204"/>
      <c r="CF6204"/>
      <c r="CG6204"/>
      <c r="CH6204"/>
      <c r="CI6204"/>
    </row>
    <row r="6205" spans="83:87" x14ac:dyDescent="0.2">
      <c r="CE6205"/>
      <c r="CF6205"/>
      <c r="CG6205"/>
      <c r="CH6205"/>
      <c r="CI6205"/>
    </row>
    <row r="6206" spans="83:87" x14ac:dyDescent="0.2">
      <c r="CE6206"/>
      <c r="CF6206"/>
      <c r="CG6206"/>
      <c r="CH6206"/>
      <c r="CI6206"/>
    </row>
    <row r="6207" spans="83:87" x14ac:dyDescent="0.2">
      <c r="CE6207"/>
      <c r="CF6207"/>
      <c r="CG6207"/>
      <c r="CH6207"/>
      <c r="CI6207"/>
    </row>
    <row r="6208" spans="83:87" x14ac:dyDescent="0.2">
      <c r="CE6208"/>
      <c r="CF6208"/>
      <c r="CG6208"/>
      <c r="CH6208"/>
      <c r="CI6208"/>
    </row>
    <row r="6209" spans="83:87" x14ac:dyDescent="0.2">
      <c r="CE6209"/>
      <c r="CF6209"/>
      <c r="CG6209"/>
      <c r="CH6209"/>
      <c r="CI6209"/>
    </row>
    <row r="6210" spans="83:87" x14ac:dyDescent="0.2">
      <c r="CE6210"/>
      <c r="CF6210"/>
      <c r="CG6210"/>
      <c r="CH6210"/>
      <c r="CI6210"/>
    </row>
    <row r="6211" spans="83:87" x14ac:dyDescent="0.2">
      <c r="CE6211"/>
      <c r="CF6211"/>
      <c r="CG6211"/>
      <c r="CH6211"/>
      <c r="CI6211"/>
    </row>
    <row r="6212" spans="83:87" x14ac:dyDescent="0.2">
      <c r="CE6212"/>
      <c r="CF6212"/>
      <c r="CG6212"/>
      <c r="CH6212"/>
      <c r="CI6212"/>
    </row>
    <row r="6213" spans="83:87" x14ac:dyDescent="0.2">
      <c r="CE6213"/>
      <c r="CF6213"/>
      <c r="CG6213"/>
      <c r="CH6213"/>
      <c r="CI6213"/>
    </row>
    <row r="6214" spans="83:87" x14ac:dyDescent="0.2">
      <c r="CE6214"/>
      <c r="CF6214"/>
      <c r="CG6214"/>
      <c r="CH6214"/>
      <c r="CI6214"/>
    </row>
    <row r="6215" spans="83:87" x14ac:dyDescent="0.2">
      <c r="CE6215"/>
      <c r="CF6215"/>
      <c r="CG6215"/>
      <c r="CH6215"/>
      <c r="CI6215"/>
    </row>
    <row r="6216" spans="83:87" x14ac:dyDescent="0.2">
      <c r="CE6216"/>
      <c r="CF6216"/>
      <c r="CG6216"/>
      <c r="CH6216"/>
      <c r="CI6216"/>
    </row>
    <row r="6217" spans="83:87" x14ac:dyDescent="0.2">
      <c r="CE6217"/>
      <c r="CF6217"/>
      <c r="CG6217"/>
      <c r="CH6217"/>
      <c r="CI6217"/>
    </row>
    <row r="6218" spans="83:87" x14ac:dyDescent="0.2">
      <c r="CE6218"/>
      <c r="CF6218"/>
      <c r="CG6218"/>
      <c r="CH6218"/>
      <c r="CI6218"/>
    </row>
    <row r="6219" spans="83:87" x14ac:dyDescent="0.2">
      <c r="CE6219"/>
      <c r="CF6219"/>
      <c r="CG6219"/>
      <c r="CH6219"/>
      <c r="CI6219"/>
    </row>
    <row r="6220" spans="83:87" x14ac:dyDescent="0.2">
      <c r="CE6220"/>
      <c r="CF6220"/>
      <c r="CG6220"/>
      <c r="CH6220"/>
      <c r="CI6220"/>
    </row>
    <row r="6221" spans="83:87" x14ac:dyDescent="0.2">
      <c r="CE6221"/>
      <c r="CF6221"/>
      <c r="CG6221"/>
      <c r="CH6221"/>
      <c r="CI6221"/>
    </row>
    <row r="6222" spans="83:87" x14ac:dyDescent="0.2">
      <c r="CE6222"/>
      <c r="CF6222"/>
      <c r="CG6222"/>
      <c r="CH6222"/>
      <c r="CI6222"/>
    </row>
    <row r="6223" spans="83:87" x14ac:dyDescent="0.2">
      <c r="CE6223"/>
      <c r="CF6223"/>
      <c r="CG6223"/>
      <c r="CH6223"/>
      <c r="CI6223"/>
    </row>
    <row r="6224" spans="83:87" x14ac:dyDescent="0.2">
      <c r="CE6224"/>
      <c r="CF6224"/>
      <c r="CG6224"/>
      <c r="CH6224"/>
      <c r="CI6224"/>
    </row>
    <row r="6225" spans="83:87" x14ac:dyDescent="0.2">
      <c r="CE6225"/>
      <c r="CF6225"/>
      <c r="CG6225"/>
      <c r="CH6225"/>
      <c r="CI6225"/>
    </row>
    <row r="6226" spans="83:87" x14ac:dyDescent="0.2">
      <c r="CE6226"/>
      <c r="CF6226"/>
      <c r="CG6226"/>
      <c r="CH6226"/>
      <c r="CI6226"/>
    </row>
    <row r="6227" spans="83:87" x14ac:dyDescent="0.2">
      <c r="CE6227"/>
      <c r="CF6227"/>
      <c r="CG6227"/>
      <c r="CH6227"/>
      <c r="CI6227"/>
    </row>
    <row r="6228" spans="83:87" x14ac:dyDescent="0.2">
      <c r="CE6228"/>
      <c r="CF6228"/>
      <c r="CG6228"/>
      <c r="CH6228"/>
      <c r="CI6228"/>
    </row>
    <row r="6229" spans="83:87" x14ac:dyDescent="0.2">
      <c r="CE6229"/>
      <c r="CF6229"/>
      <c r="CG6229"/>
      <c r="CH6229"/>
      <c r="CI6229"/>
    </row>
    <row r="6230" spans="83:87" x14ac:dyDescent="0.2">
      <c r="CE6230"/>
      <c r="CF6230"/>
      <c r="CG6230"/>
      <c r="CH6230"/>
      <c r="CI6230"/>
    </row>
    <row r="6231" spans="83:87" x14ac:dyDescent="0.2">
      <c r="CE6231"/>
      <c r="CF6231"/>
      <c r="CG6231"/>
      <c r="CH6231"/>
      <c r="CI6231"/>
    </row>
    <row r="6232" spans="83:87" x14ac:dyDescent="0.2">
      <c r="CE6232"/>
      <c r="CF6232"/>
      <c r="CG6232"/>
      <c r="CH6232"/>
      <c r="CI6232"/>
    </row>
    <row r="6233" spans="83:87" x14ac:dyDescent="0.2">
      <c r="CE6233"/>
      <c r="CF6233"/>
      <c r="CG6233"/>
      <c r="CH6233"/>
      <c r="CI6233"/>
    </row>
    <row r="6234" spans="83:87" x14ac:dyDescent="0.2">
      <c r="CE6234"/>
      <c r="CF6234"/>
      <c r="CG6234"/>
      <c r="CH6234"/>
      <c r="CI6234"/>
    </row>
    <row r="6235" spans="83:87" x14ac:dyDescent="0.2">
      <c r="CE6235"/>
      <c r="CF6235"/>
      <c r="CG6235"/>
      <c r="CH6235"/>
      <c r="CI6235"/>
    </row>
    <row r="6236" spans="83:87" x14ac:dyDescent="0.2">
      <c r="CE6236"/>
      <c r="CF6236"/>
      <c r="CG6236"/>
      <c r="CH6236"/>
      <c r="CI6236"/>
    </row>
    <row r="6237" spans="83:87" x14ac:dyDescent="0.2">
      <c r="CE6237"/>
      <c r="CF6237"/>
      <c r="CG6237"/>
      <c r="CH6237"/>
      <c r="CI6237"/>
    </row>
    <row r="6238" spans="83:87" x14ac:dyDescent="0.2">
      <c r="CE6238"/>
      <c r="CF6238"/>
      <c r="CG6238"/>
      <c r="CH6238"/>
      <c r="CI6238"/>
    </row>
    <row r="6239" spans="83:87" x14ac:dyDescent="0.2">
      <c r="CE6239"/>
      <c r="CF6239"/>
      <c r="CG6239"/>
      <c r="CH6239"/>
      <c r="CI6239"/>
    </row>
    <row r="6240" spans="83:87" x14ac:dyDescent="0.2">
      <c r="CE6240"/>
      <c r="CF6240"/>
      <c r="CG6240"/>
      <c r="CH6240"/>
      <c r="CI6240"/>
    </row>
    <row r="6241" spans="83:87" x14ac:dyDescent="0.2">
      <c r="CE6241"/>
      <c r="CF6241"/>
      <c r="CG6241"/>
      <c r="CH6241"/>
      <c r="CI6241"/>
    </row>
    <row r="6242" spans="83:87" x14ac:dyDescent="0.2">
      <c r="CE6242"/>
      <c r="CF6242"/>
      <c r="CG6242"/>
      <c r="CH6242"/>
      <c r="CI6242"/>
    </row>
    <row r="6243" spans="83:87" x14ac:dyDescent="0.2">
      <c r="CE6243"/>
      <c r="CF6243"/>
      <c r="CG6243"/>
      <c r="CH6243"/>
      <c r="CI6243"/>
    </row>
    <row r="6244" spans="83:87" x14ac:dyDescent="0.2">
      <c r="CE6244"/>
      <c r="CF6244"/>
      <c r="CG6244"/>
      <c r="CH6244"/>
      <c r="CI6244"/>
    </row>
    <row r="6245" spans="83:87" x14ac:dyDescent="0.2">
      <c r="CE6245"/>
      <c r="CF6245"/>
      <c r="CG6245"/>
      <c r="CH6245"/>
      <c r="CI6245"/>
    </row>
    <row r="6246" spans="83:87" x14ac:dyDescent="0.2">
      <c r="CE6246"/>
      <c r="CF6246"/>
      <c r="CG6246"/>
      <c r="CH6246"/>
      <c r="CI6246"/>
    </row>
    <row r="6247" spans="83:87" x14ac:dyDescent="0.2">
      <c r="CE6247"/>
      <c r="CF6247"/>
      <c r="CG6247"/>
      <c r="CH6247"/>
      <c r="CI6247"/>
    </row>
    <row r="6248" spans="83:87" x14ac:dyDescent="0.2">
      <c r="CE6248"/>
      <c r="CF6248"/>
      <c r="CG6248"/>
      <c r="CH6248"/>
      <c r="CI6248"/>
    </row>
    <row r="6249" spans="83:87" x14ac:dyDescent="0.2">
      <c r="CE6249"/>
      <c r="CF6249"/>
      <c r="CG6249"/>
      <c r="CH6249"/>
      <c r="CI6249"/>
    </row>
    <row r="6250" spans="83:87" x14ac:dyDescent="0.2">
      <c r="CE6250"/>
      <c r="CF6250"/>
      <c r="CG6250"/>
      <c r="CH6250"/>
      <c r="CI6250"/>
    </row>
    <row r="6251" spans="83:87" x14ac:dyDescent="0.2">
      <c r="CE6251"/>
      <c r="CF6251"/>
      <c r="CG6251"/>
      <c r="CH6251"/>
      <c r="CI6251"/>
    </row>
    <row r="6252" spans="83:87" x14ac:dyDescent="0.2">
      <c r="CE6252"/>
      <c r="CF6252"/>
      <c r="CG6252"/>
      <c r="CH6252"/>
      <c r="CI6252"/>
    </row>
    <row r="6253" spans="83:87" x14ac:dyDescent="0.2">
      <c r="CE6253"/>
      <c r="CF6253"/>
      <c r="CG6253"/>
      <c r="CH6253"/>
      <c r="CI6253"/>
    </row>
    <row r="6254" spans="83:87" x14ac:dyDescent="0.2">
      <c r="CE6254"/>
      <c r="CF6254"/>
      <c r="CG6254"/>
      <c r="CH6254"/>
      <c r="CI6254"/>
    </row>
    <row r="6255" spans="83:87" x14ac:dyDescent="0.2">
      <c r="CE6255"/>
      <c r="CF6255"/>
      <c r="CG6255"/>
      <c r="CH6255"/>
      <c r="CI6255"/>
    </row>
    <row r="6256" spans="83:87" x14ac:dyDescent="0.2">
      <c r="CE6256"/>
      <c r="CF6256"/>
      <c r="CG6256"/>
      <c r="CH6256"/>
      <c r="CI6256"/>
    </row>
    <row r="6257" spans="83:87" x14ac:dyDescent="0.2">
      <c r="CE6257"/>
      <c r="CF6257"/>
      <c r="CG6257"/>
      <c r="CH6257"/>
      <c r="CI6257"/>
    </row>
    <row r="6258" spans="83:87" x14ac:dyDescent="0.2">
      <c r="CE6258"/>
      <c r="CF6258"/>
      <c r="CG6258"/>
      <c r="CH6258"/>
      <c r="CI6258"/>
    </row>
    <row r="6259" spans="83:87" x14ac:dyDescent="0.2">
      <c r="CE6259"/>
      <c r="CF6259"/>
      <c r="CG6259"/>
      <c r="CH6259"/>
      <c r="CI6259"/>
    </row>
    <row r="6260" spans="83:87" x14ac:dyDescent="0.2">
      <c r="CE6260"/>
      <c r="CF6260"/>
      <c r="CG6260"/>
      <c r="CH6260"/>
      <c r="CI6260"/>
    </row>
    <row r="6261" spans="83:87" x14ac:dyDescent="0.2">
      <c r="CE6261"/>
      <c r="CF6261"/>
      <c r="CG6261"/>
      <c r="CH6261"/>
      <c r="CI6261"/>
    </row>
    <row r="6262" spans="83:87" x14ac:dyDescent="0.2">
      <c r="CE6262"/>
      <c r="CF6262"/>
      <c r="CG6262"/>
      <c r="CH6262"/>
      <c r="CI6262"/>
    </row>
    <row r="6263" spans="83:87" x14ac:dyDescent="0.2">
      <c r="CE6263"/>
      <c r="CF6263"/>
      <c r="CG6263"/>
      <c r="CH6263"/>
      <c r="CI6263"/>
    </row>
    <row r="6264" spans="83:87" x14ac:dyDescent="0.2">
      <c r="CE6264"/>
      <c r="CF6264"/>
      <c r="CG6264"/>
      <c r="CH6264"/>
      <c r="CI6264"/>
    </row>
    <row r="6265" spans="83:87" x14ac:dyDescent="0.2">
      <c r="CE6265"/>
      <c r="CF6265"/>
      <c r="CG6265"/>
      <c r="CH6265"/>
      <c r="CI6265"/>
    </row>
    <row r="6266" spans="83:87" x14ac:dyDescent="0.2">
      <c r="CE6266"/>
      <c r="CF6266"/>
      <c r="CG6266"/>
      <c r="CH6266"/>
      <c r="CI6266"/>
    </row>
    <row r="6267" spans="83:87" x14ac:dyDescent="0.2">
      <c r="CE6267"/>
      <c r="CF6267"/>
      <c r="CG6267"/>
      <c r="CH6267"/>
      <c r="CI6267"/>
    </row>
    <row r="6268" spans="83:87" x14ac:dyDescent="0.2">
      <c r="CE6268"/>
      <c r="CF6268"/>
      <c r="CG6268"/>
      <c r="CH6268"/>
      <c r="CI6268"/>
    </row>
    <row r="6269" spans="83:87" x14ac:dyDescent="0.2">
      <c r="CE6269"/>
      <c r="CF6269"/>
      <c r="CG6269"/>
      <c r="CH6269"/>
      <c r="CI6269"/>
    </row>
    <row r="6270" spans="83:87" x14ac:dyDescent="0.2">
      <c r="CE6270"/>
      <c r="CF6270"/>
      <c r="CG6270"/>
      <c r="CH6270"/>
      <c r="CI6270"/>
    </row>
    <row r="6271" spans="83:87" x14ac:dyDescent="0.2">
      <c r="CE6271"/>
      <c r="CF6271"/>
      <c r="CG6271"/>
      <c r="CH6271"/>
      <c r="CI6271"/>
    </row>
    <row r="6272" spans="83:87" x14ac:dyDescent="0.2">
      <c r="CE6272"/>
      <c r="CF6272"/>
      <c r="CG6272"/>
      <c r="CH6272"/>
      <c r="CI6272"/>
    </row>
    <row r="6273" spans="83:87" x14ac:dyDescent="0.2">
      <c r="CE6273"/>
      <c r="CF6273"/>
      <c r="CG6273"/>
      <c r="CH6273"/>
      <c r="CI6273"/>
    </row>
    <row r="6274" spans="83:87" x14ac:dyDescent="0.2">
      <c r="CE6274"/>
      <c r="CF6274"/>
      <c r="CG6274"/>
      <c r="CH6274"/>
      <c r="CI6274"/>
    </row>
    <row r="6275" spans="83:87" x14ac:dyDescent="0.2">
      <c r="CE6275"/>
      <c r="CF6275"/>
      <c r="CG6275"/>
      <c r="CH6275"/>
      <c r="CI6275"/>
    </row>
    <row r="6276" spans="83:87" x14ac:dyDescent="0.2">
      <c r="CE6276"/>
      <c r="CF6276"/>
      <c r="CG6276"/>
      <c r="CH6276"/>
      <c r="CI6276"/>
    </row>
    <row r="6277" spans="83:87" x14ac:dyDescent="0.2">
      <c r="CE6277"/>
      <c r="CF6277"/>
      <c r="CG6277"/>
      <c r="CH6277"/>
      <c r="CI6277"/>
    </row>
    <row r="6278" spans="83:87" x14ac:dyDescent="0.2">
      <c r="CE6278"/>
      <c r="CF6278"/>
      <c r="CG6278"/>
      <c r="CH6278"/>
      <c r="CI6278"/>
    </row>
    <row r="6279" spans="83:87" x14ac:dyDescent="0.2">
      <c r="CE6279"/>
      <c r="CF6279"/>
      <c r="CG6279"/>
      <c r="CH6279"/>
      <c r="CI6279"/>
    </row>
    <row r="6280" spans="83:87" x14ac:dyDescent="0.2">
      <c r="CE6280"/>
      <c r="CF6280"/>
      <c r="CG6280"/>
      <c r="CH6280"/>
      <c r="CI6280"/>
    </row>
    <row r="6281" spans="83:87" x14ac:dyDescent="0.2">
      <c r="CE6281"/>
      <c r="CF6281"/>
      <c r="CG6281"/>
      <c r="CH6281"/>
      <c r="CI6281"/>
    </row>
    <row r="6282" spans="83:87" x14ac:dyDescent="0.2">
      <c r="CE6282"/>
      <c r="CF6282"/>
      <c r="CG6282"/>
      <c r="CH6282"/>
      <c r="CI6282"/>
    </row>
    <row r="6283" spans="83:87" x14ac:dyDescent="0.2">
      <c r="CE6283"/>
      <c r="CF6283"/>
      <c r="CG6283"/>
      <c r="CH6283"/>
      <c r="CI6283"/>
    </row>
    <row r="6284" spans="83:87" x14ac:dyDescent="0.2">
      <c r="CE6284"/>
      <c r="CF6284"/>
      <c r="CG6284"/>
      <c r="CH6284"/>
      <c r="CI6284"/>
    </row>
    <row r="6285" spans="83:87" x14ac:dyDescent="0.2">
      <c r="CE6285"/>
      <c r="CF6285"/>
      <c r="CG6285"/>
      <c r="CH6285"/>
      <c r="CI6285"/>
    </row>
    <row r="6286" spans="83:87" x14ac:dyDescent="0.2">
      <c r="CE6286"/>
      <c r="CF6286"/>
      <c r="CG6286"/>
      <c r="CH6286"/>
      <c r="CI6286"/>
    </row>
    <row r="6287" spans="83:87" x14ac:dyDescent="0.2">
      <c r="CE6287"/>
      <c r="CF6287"/>
      <c r="CG6287"/>
      <c r="CH6287"/>
      <c r="CI6287"/>
    </row>
    <row r="6288" spans="83:87" x14ac:dyDescent="0.2">
      <c r="CE6288"/>
      <c r="CF6288"/>
      <c r="CG6288"/>
      <c r="CH6288"/>
      <c r="CI6288"/>
    </row>
    <row r="6289" spans="83:87" x14ac:dyDescent="0.2">
      <c r="CE6289"/>
      <c r="CF6289"/>
      <c r="CG6289"/>
      <c r="CH6289"/>
      <c r="CI6289"/>
    </row>
    <row r="6290" spans="83:87" x14ac:dyDescent="0.2">
      <c r="CE6290"/>
      <c r="CF6290"/>
      <c r="CG6290"/>
      <c r="CH6290"/>
      <c r="CI6290"/>
    </row>
    <row r="6291" spans="83:87" x14ac:dyDescent="0.2">
      <c r="CE6291"/>
      <c r="CF6291"/>
      <c r="CG6291"/>
      <c r="CH6291"/>
      <c r="CI6291"/>
    </row>
    <row r="6292" spans="83:87" x14ac:dyDescent="0.2">
      <c r="CE6292"/>
      <c r="CF6292"/>
      <c r="CG6292"/>
      <c r="CH6292"/>
      <c r="CI6292"/>
    </row>
    <row r="6293" spans="83:87" x14ac:dyDescent="0.2">
      <c r="CE6293"/>
      <c r="CF6293"/>
      <c r="CG6293"/>
      <c r="CH6293"/>
      <c r="CI6293"/>
    </row>
    <row r="6294" spans="83:87" x14ac:dyDescent="0.2">
      <c r="CE6294"/>
      <c r="CF6294"/>
      <c r="CG6294"/>
      <c r="CH6294"/>
      <c r="CI6294"/>
    </row>
    <row r="6295" spans="83:87" x14ac:dyDescent="0.2">
      <c r="CE6295"/>
      <c r="CF6295"/>
      <c r="CG6295"/>
      <c r="CH6295"/>
      <c r="CI6295"/>
    </row>
    <row r="6296" spans="83:87" x14ac:dyDescent="0.2">
      <c r="CE6296"/>
      <c r="CF6296"/>
      <c r="CG6296"/>
      <c r="CH6296"/>
      <c r="CI6296"/>
    </row>
    <row r="6297" spans="83:87" x14ac:dyDescent="0.2">
      <c r="CE6297"/>
      <c r="CF6297"/>
      <c r="CG6297"/>
      <c r="CH6297"/>
      <c r="CI6297"/>
    </row>
    <row r="6298" spans="83:87" x14ac:dyDescent="0.2">
      <c r="CE6298"/>
      <c r="CF6298"/>
      <c r="CG6298"/>
      <c r="CH6298"/>
      <c r="CI6298"/>
    </row>
    <row r="6299" spans="83:87" x14ac:dyDescent="0.2">
      <c r="CE6299"/>
      <c r="CF6299"/>
      <c r="CG6299"/>
      <c r="CH6299"/>
      <c r="CI6299"/>
    </row>
    <row r="6300" spans="83:87" x14ac:dyDescent="0.2">
      <c r="CE6300"/>
      <c r="CF6300"/>
      <c r="CG6300"/>
      <c r="CH6300"/>
      <c r="CI6300"/>
    </row>
    <row r="6301" spans="83:87" x14ac:dyDescent="0.2">
      <c r="CE6301"/>
      <c r="CF6301"/>
      <c r="CG6301"/>
      <c r="CH6301"/>
      <c r="CI6301"/>
    </row>
    <row r="6302" spans="83:87" x14ac:dyDescent="0.2">
      <c r="CE6302"/>
      <c r="CF6302"/>
      <c r="CG6302"/>
      <c r="CH6302"/>
      <c r="CI6302"/>
    </row>
    <row r="6303" spans="83:87" x14ac:dyDescent="0.2">
      <c r="CE6303"/>
      <c r="CF6303"/>
      <c r="CG6303"/>
      <c r="CH6303"/>
      <c r="CI6303"/>
    </row>
    <row r="6304" spans="83:87" x14ac:dyDescent="0.2">
      <c r="CE6304"/>
      <c r="CF6304"/>
      <c r="CG6304"/>
      <c r="CH6304"/>
      <c r="CI6304"/>
    </row>
    <row r="6305" spans="83:87" x14ac:dyDescent="0.2">
      <c r="CE6305"/>
      <c r="CF6305"/>
      <c r="CG6305"/>
      <c r="CH6305"/>
      <c r="CI6305"/>
    </row>
    <row r="6306" spans="83:87" x14ac:dyDescent="0.2">
      <c r="CE6306"/>
      <c r="CF6306"/>
      <c r="CG6306"/>
      <c r="CH6306"/>
      <c r="CI6306"/>
    </row>
    <row r="6307" spans="83:87" x14ac:dyDescent="0.2">
      <c r="CE6307"/>
      <c r="CF6307"/>
      <c r="CG6307"/>
      <c r="CH6307"/>
      <c r="CI6307"/>
    </row>
    <row r="6308" spans="83:87" x14ac:dyDescent="0.2">
      <c r="CE6308"/>
      <c r="CF6308"/>
      <c r="CG6308"/>
      <c r="CH6308"/>
      <c r="CI6308"/>
    </row>
    <row r="6309" spans="83:87" x14ac:dyDescent="0.2">
      <c r="CE6309"/>
      <c r="CF6309"/>
      <c r="CG6309"/>
      <c r="CH6309"/>
      <c r="CI6309"/>
    </row>
    <row r="6310" spans="83:87" x14ac:dyDescent="0.2">
      <c r="CE6310"/>
      <c r="CF6310"/>
      <c r="CG6310"/>
      <c r="CH6310"/>
      <c r="CI6310"/>
    </row>
    <row r="6311" spans="83:87" x14ac:dyDescent="0.2">
      <c r="CE6311"/>
      <c r="CF6311"/>
      <c r="CG6311"/>
      <c r="CH6311"/>
      <c r="CI6311"/>
    </row>
    <row r="6312" spans="83:87" x14ac:dyDescent="0.2">
      <c r="CE6312"/>
      <c r="CF6312"/>
      <c r="CG6312"/>
      <c r="CH6312"/>
      <c r="CI6312"/>
    </row>
    <row r="6313" spans="83:87" x14ac:dyDescent="0.2">
      <c r="CE6313"/>
      <c r="CF6313"/>
      <c r="CG6313"/>
      <c r="CH6313"/>
      <c r="CI6313"/>
    </row>
    <row r="6314" spans="83:87" x14ac:dyDescent="0.2">
      <c r="CE6314"/>
      <c r="CF6314"/>
      <c r="CG6314"/>
      <c r="CH6314"/>
      <c r="CI6314"/>
    </row>
    <row r="6315" spans="83:87" x14ac:dyDescent="0.2">
      <c r="CE6315"/>
      <c r="CF6315"/>
      <c r="CG6315"/>
      <c r="CH6315"/>
      <c r="CI6315"/>
    </row>
    <row r="6316" spans="83:87" x14ac:dyDescent="0.2">
      <c r="CE6316"/>
      <c r="CF6316"/>
      <c r="CG6316"/>
      <c r="CH6316"/>
      <c r="CI6316"/>
    </row>
    <row r="6317" spans="83:87" x14ac:dyDescent="0.2">
      <c r="CE6317"/>
      <c r="CF6317"/>
      <c r="CG6317"/>
      <c r="CH6317"/>
      <c r="CI6317"/>
    </row>
    <row r="6318" spans="83:87" x14ac:dyDescent="0.2">
      <c r="CE6318"/>
      <c r="CF6318"/>
      <c r="CG6318"/>
      <c r="CH6318"/>
      <c r="CI6318"/>
    </row>
    <row r="6319" spans="83:87" x14ac:dyDescent="0.2">
      <c r="CE6319"/>
      <c r="CF6319"/>
      <c r="CG6319"/>
      <c r="CH6319"/>
      <c r="CI6319"/>
    </row>
    <row r="6320" spans="83:87" x14ac:dyDescent="0.2">
      <c r="CE6320"/>
      <c r="CF6320"/>
      <c r="CG6320"/>
      <c r="CH6320"/>
      <c r="CI6320"/>
    </row>
    <row r="6321" spans="83:87" x14ac:dyDescent="0.2">
      <c r="CE6321"/>
      <c r="CF6321"/>
      <c r="CG6321"/>
      <c r="CH6321"/>
      <c r="CI6321"/>
    </row>
    <row r="6322" spans="83:87" x14ac:dyDescent="0.2">
      <c r="CE6322"/>
      <c r="CF6322"/>
      <c r="CG6322"/>
      <c r="CH6322"/>
      <c r="CI6322"/>
    </row>
    <row r="6323" spans="83:87" x14ac:dyDescent="0.2">
      <c r="CE6323"/>
      <c r="CF6323"/>
      <c r="CG6323"/>
      <c r="CH6323"/>
      <c r="CI6323"/>
    </row>
    <row r="6324" spans="83:87" x14ac:dyDescent="0.2">
      <c r="CE6324"/>
      <c r="CF6324"/>
      <c r="CG6324"/>
      <c r="CH6324"/>
      <c r="CI6324"/>
    </row>
    <row r="6325" spans="83:87" x14ac:dyDescent="0.2">
      <c r="CE6325"/>
      <c r="CF6325"/>
      <c r="CG6325"/>
      <c r="CH6325"/>
      <c r="CI6325"/>
    </row>
    <row r="6326" spans="83:87" x14ac:dyDescent="0.2">
      <c r="CE6326"/>
      <c r="CF6326"/>
      <c r="CG6326"/>
      <c r="CH6326"/>
      <c r="CI6326"/>
    </row>
    <row r="6327" spans="83:87" x14ac:dyDescent="0.2">
      <c r="CE6327"/>
      <c r="CF6327"/>
      <c r="CG6327"/>
      <c r="CH6327"/>
      <c r="CI6327"/>
    </row>
    <row r="6328" spans="83:87" x14ac:dyDescent="0.2">
      <c r="CE6328"/>
      <c r="CF6328"/>
      <c r="CG6328"/>
      <c r="CH6328"/>
      <c r="CI6328"/>
    </row>
    <row r="6329" spans="83:87" x14ac:dyDescent="0.2">
      <c r="CE6329"/>
      <c r="CF6329"/>
      <c r="CG6329"/>
      <c r="CH6329"/>
      <c r="CI6329"/>
    </row>
    <row r="6330" spans="83:87" x14ac:dyDescent="0.2">
      <c r="CE6330"/>
      <c r="CF6330"/>
      <c r="CG6330"/>
      <c r="CH6330"/>
      <c r="CI6330"/>
    </row>
    <row r="6331" spans="83:87" x14ac:dyDescent="0.2">
      <c r="CE6331"/>
      <c r="CF6331"/>
      <c r="CG6331"/>
      <c r="CH6331"/>
      <c r="CI6331"/>
    </row>
    <row r="6332" spans="83:87" x14ac:dyDescent="0.2">
      <c r="CE6332"/>
      <c r="CF6332"/>
      <c r="CG6332"/>
      <c r="CH6332"/>
      <c r="CI6332"/>
    </row>
    <row r="6333" spans="83:87" x14ac:dyDescent="0.2">
      <c r="CE6333"/>
      <c r="CF6333"/>
      <c r="CG6333"/>
      <c r="CH6333"/>
      <c r="CI6333"/>
    </row>
    <row r="6334" spans="83:87" x14ac:dyDescent="0.2">
      <c r="CE6334"/>
      <c r="CF6334"/>
      <c r="CG6334"/>
      <c r="CH6334"/>
      <c r="CI6334"/>
    </row>
    <row r="6335" spans="83:87" x14ac:dyDescent="0.2">
      <c r="CE6335"/>
      <c r="CF6335"/>
      <c r="CG6335"/>
      <c r="CH6335"/>
      <c r="CI6335"/>
    </row>
    <row r="6336" spans="83:87" x14ac:dyDescent="0.2">
      <c r="CE6336"/>
      <c r="CF6336"/>
      <c r="CG6336"/>
      <c r="CH6336"/>
      <c r="CI6336"/>
    </row>
    <row r="6337" spans="83:87" x14ac:dyDescent="0.2">
      <c r="CE6337"/>
      <c r="CF6337"/>
      <c r="CG6337"/>
      <c r="CH6337"/>
      <c r="CI6337"/>
    </row>
    <row r="6338" spans="83:87" x14ac:dyDescent="0.2">
      <c r="CE6338"/>
      <c r="CF6338"/>
      <c r="CG6338"/>
      <c r="CH6338"/>
      <c r="CI6338"/>
    </row>
    <row r="6339" spans="83:87" x14ac:dyDescent="0.2">
      <c r="CE6339"/>
      <c r="CF6339"/>
      <c r="CG6339"/>
      <c r="CH6339"/>
      <c r="CI6339"/>
    </row>
    <row r="6340" spans="83:87" x14ac:dyDescent="0.2">
      <c r="CE6340"/>
      <c r="CF6340"/>
      <c r="CG6340"/>
      <c r="CH6340"/>
      <c r="CI6340"/>
    </row>
    <row r="6341" spans="83:87" x14ac:dyDescent="0.2">
      <c r="CE6341"/>
      <c r="CF6341"/>
      <c r="CG6341"/>
      <c r="CH6341"/>
      <c r="CI6341"/>
    </row>
    <row r="6342" spans="83:87" x14ac:dyDescent="0.2">
      <c r="CE6342"/>
      <c r="CF6342"/>
      <c r="CG6342"/>
      <c r="CH6342"/>
      <c r="CI6342"/>
    </row>
    <row r="6343" spans="83:87" x14ac:dyDescent="0.2">
      <c r="CE6343"/>
      <c r="CF6343"/>
      <c r="CG6343"/>
      <c r="CH6343"/>
      <c r="CI6343"/>
    </row>
    <row r="6344" spans="83:87" x14ac:dyDescent="0.2">
      <c r="CE6344"/>
      <c r="CF6344"/>
      <c r="CG6344"/>
      <c r="CH6344"/>
      <c r="CI6344"/>
    </row>
    <row r="6345" spans="83:87" x14ac:dyDescent="0.2">
      <c r="CE6345"/>
      <c r="CF6345"/>
      <c r="CG6345"/>
      <c r="CH6345"/>
      <c r="CI6345"/>
    </row>
    <row r="6346" spans="83:87" x14ac:dyDescent="0.2">
      <c r="CE6346"/>
      <c r="CF6346"/>
      <c r="CG6346"/>
      <c r="CH6346"/>
      <c r="CI6346"/>
    </row>
    <row r="6347" spans="83:87" x14ac:dyDescent="0.2">
      <c r="CE6347"/>
      <c r="CF6347"/>
      <c r="CG6347"/>
      <c r="CH6347"/>
      <c r="CI6347"/>
    </row>
    <row r="6348" spans="83:87" x14ac:dyDescent="0.2">
      <c r="CE6348"/>
      <c r="CF6348"/>
      <c r="CG6348"/>
      <c r="CH6348"/>
      <c r="CI6348"/>
    </row>
    <row r="6349" spans="83:87" x14ac:dyDescent="0.2">
      <c r="CE6349"/>
      <c r="CF6349"/>
      <c r="CG6349"/>
      <c r="CH6349"/>
      <c r="CI6349"/>
    </row>
    <row r="6350" spans="83:87" x14ac:dyDescent="0.2">
      <c r="CE6350"/>
      <c r="CF6350"/>
      <c r="CG6350"/>
      <c r="CH6350"/>
      <c r="CI6350"/>
    </row>
    <row r="6351" spans="83:87" x14ac:dyDescent="0.2">
      <c r="CE6351"/>
      <c r="CF6351"/>
      <c r="CG6351"/>
      <c r="CH6351"/>
      <c r="CI6351"/>
    </row>
    <row r="6352" spans="83:87" x14ac:dyDescent="0.2">
      <c r="CE6352"/>
      <c r="CF6352"/>
      <c r="CG6352"/>
      <c r="CH6352"/>
      <c r="CI6352"/>
    </row>
    <row r="6353" spans="83:87" x14ac:dyDescent="0.2">
      <c r="CE6353"/>
      <c r="CF6353"/>
      <c r="CG6353"/>
      <c r="CH6353"/>
      <c r="CI6353"/>
    </row>
    <row r="6354" spans="83:87" x14ac:dyDescent="0.2">
      <c r="CE6354"/>
      <c r="CF6354"/>
      <c r="CG6354"/>
      <c r="CH6354"/>
      <c r="CI6354"/>
    </row>
    <row r="6355" spans="83:87" x14ac:dyDescent="0.2">
      <c r="CE6355"/>
      <c r="CF6355"/>
      <c r="CG6355"/>
      <c r="CH6355"/>
      <c r="CI6355"/>
    </row>
    <row r="6356" spans="83:87" x14ac:dyDescent="0.2">
      <c r="CE6356"/>
      <c r="CF6356"/>
      <c r="CG6356"/>
      <c r="CH6356"/>
      <c r="CI6356"/>
    </row>
    <row r="6357" spans="83:87" x14ac:dyDescent="0.2">
      <c r="CE6357"/>
      <c r="CF6357"/>
      <c r="CG6357"/>
      <c r="CH6357"/>
      <c r="CI6357"/>
    </row>
    <row r="6358" spans="83:87" x14ac:dyDescent="0.2">
      <c r="CE6358"/>
      <c r="CF6358"/>
      <c r="CG6358"/>
      <c r="CH6358"/>
      <c r="CI6358"/>
    </row>
    <row r="6359" spans="83:87" x14ac:dyDescent="0.2">
      <c r="CE6359"/>
      <c r="CF6359"/>
      <c r="CG6359"/>
      <c r="CH6359"/>
      <c r="CI6359"/>
    </row>
    <row r="6360" spans="83:87" x14ac:dyDescent="0.2">
      <c r="CE6360"/>
      <c r="CF6360"/>
      <c r="CG6360"/>
      <c r="CH6360"/>
      <c r="CI6360"/>
    </row>
    <row r="6361" spans="83:87" x14ac:dyDescent="0.2">
      <c r="CE6361"/>
      <c r="CF6361"/>
      <c r="CG6361"/>
      <c r="CH6361"/>
      <c r="CI6361"/>
    </row>
    <row r="6362" spans="83:87" x14ac:dyDescent="0.2">
      <c r="CE6362"/>
      <c r="CF6362"/>
      <c r="CG6362"/>
      <c r="CH6362"/>
      <c r="CI6362"/>
    </row>
    <row r="6363" spans="83:87" x14ac:dyDescent="0.2">
      <c r="CE6363"/>
      <c r="CF6363"/>
      <c r="CG6363"/>
      <c r="CH6363"/>
      <c r="CI6363"/>
    </row>
    <row r="6364" spans="83:87" x14ac:dyDescent="0.2">
      <c r="CE6364"/>
      <c r="CF6364"/>
      <c r="CG6364"/>
      <c r="CH6364"/>
      <c r="CI6364"/>
    </row>
    <row r="6365" spans="83:87" x14ac:dyDescent="0.2">
      <c r="CE6365"/>
      <c r="CF6365"/>
      <c r="CG6365"/>
      <c r="CH6365"/>
      <c r="CI6365"/>
    </row>
    <row r="6366" spans="83:87" x14ac:dyDescent="0.2">
      <c r="CE6366"/>
      <c r="CF6366"/>
      <c r="CG6366"/>
      <c r="CH6366"/>
      <c r="CI6366"/>
    </row>
    <row r="6367" spans="83:87" x14ac:dyDescent="0.2">
      <c r="CE6367"/>
      <c r="CF6367"/>
      <c r="CG6367"/>
      <c r="CH6367"/>
      <c r="CI6367"/>
    </row>
    <row r="6368" spans="83:87" x14ac:dyDescent="0.2">
      <c r="CE6368"/>
      <c r="CF6368"/>
      <c r="CG6368"/>
      <c r="CH6368"/>
      <c r="CI6368"/>
    </row>
    <row r="6369" spans="83:87" x14ac:dyDescent="0.2">
      <c r="CE6369"/>
      <c r="CF6369"/>
      <c r="CG6369"/>
      <c r="CH6369"/>
      <c r="CI6369"/>
    </row>
    <row r="6370" spans="83:87" x14ac:dyDescent="0.2">
      <c r="CE6370"/>
      <c r="CF6370"/>
      <c r="CG6370"/>
      <c r="CH6370"/>
      <c r="CI6370"/>
    </row>
    <row r="6371" spans="83:87" x14ac:dyDescent="0.2">
      <c r="CE6371"/>
      <c r="CF6371"/>
      <c r="CG6371"/>
      <c r="CH6371"/>
      <c r="CI6371"/>
    </row>
    <row r="6372" spans="83:87" x14ac:dyDescent="0.2">
      <c r="CE6372"/>
      <c r="CF6372"/>
      <c r="CG6372"/>
      <c r="CH6372"/>
      <c r="CI6372"/>
    </row>
    <row r="6373" spans="83:87" x14ac:dyDescent="0.2">
      <c r="CE6373"/>
      <c r="CF6373"/>
      <c r="CG6373"/>
      <c r="CH6373"/>
      <c r="CI6373"/>
    </row>
    <row r="6374" spans="83:87" x14ac:dyDescent="0.2">
      <c r="CE6374"/>
      <c r="CF6374"/>
      <c r="CG6374"/>
      <c r="CH6374"/>
      <c r="CI6374"/>
    </row>
    <row r="6375" spans="83:87" x14ac:dyDescent="0.2">
      <c r="CE6375"/>
      <c r="CF6375"/>
      <c r="CG6375"/>
      <c r="CH6375"/>
      <c r="CI6375"/>
    </row>
    <row r="6376" spans="83:87" x14ac:dyDescent="0.2">
      <c r="CE6376"/>
      <c r="CF6376"/>
      <c r="CG6376"/>
      <c r="CH6376"/>
      <c r="CI6376"/>
    </row>
    <row r="6377" spans="83:87" x14ac:dyDescent="0.2">
      <c r="CE6377"/>
      <c r="CF6377"/>
      <c r="CG6377"/>
      <c r="CH6377"/>
      <c r="CI6377"/>
    </row>
    <row r="6378" spans="83:87" x14ac:dyDescent="0.2">
      <c r="CE6378"/>
      <c r="CF6378"/>
      <c r="CG6378"/>
      <c r="CH6378"/>
      <c r="CI6378"/>
    </row>
    <row r="6379" spans="83:87" x14ac:dyDescent="0.2">
      <c r="CE6379"/>
      <c r="CF6379"/>
      <c r="CG6379"/>
      <c r="CH6379"/>
      <c r="CI6379"/>
    </row>
    <row r="6380" spans="83:87" x14ac:dyDescent="0.2">
      <c r="CE6380"/>
      <c r="CF6380"/>
      <c r="CG6380"/>
      <c r="CH6380"/>
      <c r="CI6380"/>
    </row>
    <row r="6381" spans="83:87" x14ac:dyDescent="0.2">
      <c r="CE6381"/>
      <c r="CF6381"/>
      <c r="CG6381"/>
      <c r="CH6381"/>
      <c r="CI6381"/>
    </row>
    <row r="6382" spans="83:87" x14ac:dyDescent="0.2">
      <c r="CE6382"/>
      <c r="CF6382"/>
      <c r="CG6382"/>
      <c r="CH6382"/>
      <c r="CI6382"/>
    </row>
    <row r="6383" spans="83:87" x14ac:dyDescent="0.2">
      <c r="CE6383"/>
      <c r="CF6383"/>
      <c r="CG6383"/>
      <c r="CH6383"/>
      <c r="CI6383"/>
    </row>
    <row r="6384" spans="83:87" x14ac:dyDescent="0.2">
      <c r="CE6384"/>
      <c r="CF6384"/>
      <c r="CG6384"/>
      <c r="CH6384"/>
      <c r="CI6384"/>
    </row>
    <row r="6385" spans="83:87" x14ac:dyDescent="0.2">
      <c r="CE6385"/>
      <c r="CF6385"/>
      <c r="CG6385"/>
      <c r="CH6385"/>
      <c r="CI6385"/>
    </row>
    <row r="6386" spans="83:87" x14ac:dyDescent="0.2">
      <c r="CE6386"/>
      <c r="CF6386"/>
      <c r="CG6386"/>
      <c r="CH6386"/>
      <c r="CI6386"/>
    </row>
    <row r="6387" spans="83:87" x14ac:dyDescent="0.2">
      <c r="CE6387"/>
      <c r="CF6387"/>
      <c r="CG6387"/>
      <c r="CH6387"/>
      <c r="CI6387"/>
    </row>
    <row r="6388" spans="83:87" x14ac:dyDescent="0.2">
      <c r="CE6388"/>
      <c r="CF6388"/>
      <c r="CG6388"/>
      <c r="CH6388"/>
      <c r="CI6388"/>
    </row>
    <row r="6389" spans="83:87" x14ac:dyDescent="0.2">
      <c r="CE6389"/>
      <c r="CF6389"/>
      <c r="CG6389"/>
      <c r="CH6389"/>
      <c r="CI6389"/>
    </row>
    <row r="6390" spans="83:87" x14ac:dyDescent="0.2">
      <c r="CE6390"/>
      <c r="CF6390"/>
      <c r="CG6390"/>
      <c r="CH6390"/>
      <c r="CI6390"/>
    </row>
    <row r="6391" spans="83:87" x14ac:dyDescent="0.2">
      <c r="CE6391"/>
      <c r="CF6391"/>
      <c r="CG6391"/>
      <c r="CH6391"/>
      <c r="CI6391"/>
    </row>
    <row r="6392" spans="83:87" x14ac:dyDescent="0.2">
      <c r="CE6392"/>
      <c r="CF6392"/>
      <c r="CG6392"/>
      <c r="CH6392"/>
      <c r="CI6392"/>
    </row>
    <row r="6393" spans="83:87" x14ac:dyDescent="0.2">
      <c r="CE6393"/>
      <c r="CF6393"/>
      <c r="CG6393"/>
      <c r="CH6393"/>
      <c r="CI6393"/>
    </row>
    <row r="6394" spans="83:87" x14ac:dyDescent="0.2">
      <c r="CE6394"/>
      <c r="CF6394"/>
      <c r="CG6394"/>
      <c r="CH6394"/>
      <c r="CI6394"/>
    </row>
    <row r="6395" spans="83:87" x14ac:dyDescent="0.2">
      <c r="CE6395"/>
      <c r="CF6395"/>
      <c r="CG6395"/>
      <c r="CH6395"/>
      <c r="CI6395"/>
    </row>
    <row r="6396" spans="83:87" x14ac:dyDescent="0.2">
      <c r="CE6396"/>
      <c r="CF6396"/>
      <c r="CG6396"/>
      <c r="CH6396"/>
      <c r="CI6396"/>
    </row>
    <row r="6397" spans="83:87" x14ac:dyDescent="0.2">
      <c r="CE6397"/>
      <c r="CF6397"/>
      <c r="CG6397"/>
      <c r="CH6397"/>
      <c r="CI6397"/>
    </row>
    <row r="6398" spans="83:87" x14ac:dyDescent="0.2">
      <c r="CE6398"/>
      <c r="CF6398"/>
      <c r="CG6398"/>
      <c r="CH6398"/>
      <c r="CI6398"/>
    </row>
    <row r="6399" spans="83:87" x14ac:dyDescent="0.2">
      <c r="CE6399"/>
      <c r="CF6399"/>
      <c r="CG6399"/>
      <c r="CH6399"/>
      <c r="CI6399"/>
    </row>
    <row r="6400" spans="83:87" x14ac:dyDescent="0.2">
      <c r="CE6400"/>
      <c r="CF6400"/>
      <c r="CG6400"/>
      <c r="CH6400"/>
      <c r="CI6400"/>
    </row>
    <row r="6401" spans="83:87" x14ac:dyDescent="0.2">
      <c r="CE6401"/>
      <c r="CF6401"/>
      <c r="CG6401"/>
      <c r="CH6401"/>
      <c r="CI6401"/>
    </row>
    <row r="6402" spans="83:87" x14ac:dyDescent="0.2">
      <c r="CE6402"/>
      <c r="CF6402"/>
      <c r="CG6402"/>
      <c r="CH6402"/>
      <c r="CI6402"/>
    </row>
    <row r="6403" spans="83:87" x14ac:dyDescent="0.2">
      <c r="CE6403"/>
      <c r="CF6403"/>
      <c r="CG6403"/>
      <c r="CH6403"/>
      <c r="CI6403"/>
    </row>
    <row r="6404" spans="83:87" x14ac:dyDescent="0.2">
      <c r="CE6404"/>
      <c r="CF6404"/>
      <c r="CG6404"/>
      <c r="CH6404"/>
      <c r="CI6404"/>
    </row>
    <row r="6405" spans="83:87" x14ac:dyDescent="0.2">
      <c r="CE6405"/>
      <c r="CF6405"/>
      <c r="CG6405"/>
      <c r="CH6405"/>
      <c r="CI6405"/>
    </row>
    <row r="6406" spans="83:87" x14ac:dyDescent="0.2">
      <c r="CE6406"/>
      <c r="CF6406"/>
      <c r="CG6406"/>
      <c r="CH6406"/>
      <c r="CI6406"/>
    </row>
    <row r="6407" spans="83:87" x14ac:dyDescent="0.2">
      <c r="CE6407"/>
      <c r="CF6407"/>
      <c r="CG6407"/>
      <c r="CH6407"/>
      <c r="CI6407"/>
    </row>
    <row r="6408" spans="83:87" x14ac:dyDescent="0.2">
      <c r="CE6408"/>
      <c r="CF6408"/>
      <c r="CG6408"/>
      <c r="CH6408"/>
      <c r="CI6408"/>
    </row>
    <row r="6409" spans="83:87" x14ac:dyDescent="0.2">
      <c r="CE6409"/>
      <c r="CF6409"/>
      <c r="CG6409"/>
      <c r="CH6409"/>
      <c r="CI6409"/>
    </row>
    <row r="6410" spans="83:87" x14ac:dyDescent="0.2">
      <c r="CE6410"/>
      <c r="CF6410"/>
      <c r="CG6410"/>
      <c r="CH6410"/>
      <c r="CI6410"/>
    </row>
    <row r="6411" spans="83:87" x14ac:dyDescent="0.2">
      <c r="CE6411"/>
      <c r="CF6411"/>
      <c r="CG6411"/>
      <c r="CH6411"/>
      <c r="CI6411"/>
    </row>
    <row r="6412" spans="83:87" x14ac:dyDescent="0.2">
      <c r="CE6412"/>
      <c r="CF6412"/>
      <c r="CG6412"/>
      <c r="CH6412"/>
      <c r="CI6412"/>
    </row>
    <row r="6413" spans="83:87" x14ac:dyDescent="0.2">
      <c r="CE6413"/>
      <c r="CF6413"/>
      <c r="CG6413"/>
      <c r="CH6413"/>
      <c r="CI6413"/>
    </row>
    <row r="6414" spans="83:87" x14ac:dyDescent="0.2">
      <c r="CE6414"/>
      <c r="CF6414"/>
      <c r="CG6414"/>
      <c r="CH6414"/>
      <c r="CI6414"/>
    </row>
    <row r="6415" spans="83:87" x14ac:dyDescent="0.2">
      <c r="CE6415"/>
      <c r="CF6415"/>
      <c r="CG6415"/>
      <c r="CH6415"/>
      <c r="CI6415"/>
    </row>
    <row r="6416" spans="83:87" x14ac:dyDescent="0.2">
      <c r="CE6416"/>
      <c r="CF6416"/>
      <c r="CG6416"/>
      <c r="CH6416"/>
      <c r="CI6416"/>
    </row>
    <row r="6417" spans="83:87" x14ac:dyDescent="0.2">
      <c r="CE6417"/>
      <c r="CF6417"/>
      <c r="CG6417"/>
      <c r="CH6417"/>
      <c r="CI6417"/>
    </row>
    <row r="6418" spans="83:87" x14ac:dyDescent="0.2">
      <c r="CE6418"/>
      <c r="CF6418"/>
      <c r="CG6418"/>
      <c r="CH6418"/>
      <c r="CI6418"/>
    </row>
    <row r="6419" spans="83:87" x14ac:dyDescent="0.2">
      <c r="CE6419"/>
      <c r="CF6419"/>
      <c r="CG6419"/>
      <c r="CH6419"/>
      <c r="CI6419"/>
    </row>
    <row r="6420" spans="83:87" x14ac:dyDescent="0.2">
      <c r="CE6420"/>
      <c r="CF6420"/>
      <c r="CG6420"/>
      <c r="CH6420"/>
      <c r="CI6420"/>
    </row>
    <row r="6421" spans="83:87" x14ac:dyDescent="0.2">
      <c r="CE6421"/>
      <c r="CF6421"/>
      <c r="CG6421"/>
      <c r="CH6421"/>
      <c r="CI6421"/>
    </row>
    <row r="6422" spans="83:87" x14ac:dyDescent="0.2">
      <c r="CE6422"/>
      <c r="CF6422"/>
      <c r="CG6422"/>
      <c r="CH6422"/>
      <c r="CI6422"/>
    </row>
    <row r="6423" spans="83:87" x14ac:dyDescent="0.2">
      <c r="CE6423"/>
      <c r="CF6423"/>
      <c r="CG6423"/>
      <c r="CH6423"/>
      <c r="CI6423"/>
    </row>
    <row r="6424" spans="83:87" x14ac:dyDescent="0.2">
      <c r="CE6424"/>
      <c r="CF6424"/>
      <c r="CG6424"/>
      <c r="CH6424"/>
      <c r="CI6424"/>
    </row>
    <row r="6425" spans="83:87" x14ac:dyDescent="0.2">
      <c r="CE6425"/>
      <c r="CF6425"/>
      <c r="CG6425"/>
      <c r="CH6425"/>
      <c r="CI6425"/>
    </row>
    <row r="6426" spans="83:87" x14ac:dyDescent="0.2">
      <c r="CE6426"/>
      <c r="CF6426"/>
      <c r="CG6426"/>
      <c r="CH6426"/>
      <c r="CI6426"/>
    </row>
    <row r="6427" spans="83:87" x14ac:dyDescent="0.2">
      <c r="CE6427"/>
      <c r="CF6427"/>
      <c r="CG6427"/>
      <c r="CH6427"/>
      <c r="CI6427"/>
    </row>
    <row r="6428" spans="83:87" x14ac:dyDescent="0.2">
      <c r="CE6428"/>
      <c r="CF6428"/>
      <c r="CG6428"/>
      <c r="CH6428"/>
      <c r="CI6428"/>
    </row>
    <row r="6429" spans="83:87" x14ac:dyDescent="0.2">
      <c r="CE6429"/>
      <c r="CF6429"/>
      <c r="CG6429"/>
      <c r="CH6429"/>
      <c r="CI6429"/>
    </row>
    <row r="6430" spans="83:87" x14ac:dyDescent="0.2">
      <c r="CE6430"/>
      <c r="CF6430"/>
      <c r="CG6430"/>
      <c r="CH6430"/>
      <c r="CI6430"/>
    </row>
    <row r="6431" spans="83:87" x14ac:dyDescent="0.2">
      <c r="CE6431"/>
      <c r="CF6431"/>
      <c r="CG6431"/>
      <c r="CH6431"/>
      <c r="CI6431"/>
    </row>
    <row r="6432" spans="83:87" x14ac:dyDescent="0.2">
      <c r="CE6432"/>
      <c r="CF6432"/>
      <c r="CG6432"/>
      <c r="CH6432"/>
      <c r="CI6432"/>
    </row>
    <row r="6433" spans="83:87" x14ac:dyDescent="0.2">
      <c r="CE6433"/>
      <c r="CF6433"/>
      <c r="CG6433"/>
      <c r="CH6433"/>
      <c r="CI6433"/>
    </row>
    <row r="6434" spans="83:87" x14ac:dyDescent="0.2">
      <c r="CE6434"/>
      <c r="CF6434"/>
      <c r="CG6434"/>
      <c r="CH6434"/>
      <c r="CI6434"/>
    </row>
    <row r="6435" spans="83:87" x14ac:dyDescent="0.2">
      <c r="CE6435"/>
      <c r="CF6435"/>
      <c r="CG6435"/>
      <c r="CH6435"/>
      <c r="CI6435"/>
    </row>
    <row r="6436" spans="83:87" x14ac:dyDescent="0.2">
      <c r="CE6436"/>
      <c r="CF6436"/>
      <c r="CG6436"/>
      <c r="CH6436"/>
      <c r="CI6436"/>
    </row>
    <row r="6437" spans="83:87" x14ac:dyDescent="0.2">
      <c r="CE6437"/>
      <c r="CF6437"/>
      <c r="CG6437"/>
      <c r="CH6437"/>
      <c r="CI6437"/>
    </row>
    <row r="6438" spans="83:87" x14ac:dyDescent="0.2">
      <c r="CE6438"/>
      <c r="CF6438"/>
      <c r="CG6438"/>
      <c r="CH6438"/>
      <c r="CI6438"/>
    </row>
    <row r="6439" spans="83:87" x14ac:dyDescent="0.2">
      <c r="CE6439"/>
      <c r="CF6439"/>
      <c r="CG6439"/>
      <c r="CH6439"/>
      <c r="CI6439"/>
    </row>
    <row r="6440" spans="83:87" x14ac:dyDescent="0.2">
      <c r="CE6440"/>
      <c r="CF6440"/>
      <c r="CG6440"/>
      <c r="CH6440"/>
      <c r="CI6440"/>
    </row>
    <row r="6441" spans="83:87" x14ac:dyDescent="0.2">
      <c r="CE6441"/>
      <c r="CF6441"/>
      <c r="CG6441"/>
      <c r="CH6441"/>
      <c r="CI6441"/>
    </row>
    <row r="6442" spans="83:87" x14ac:dyDescent="0.2">
      <c r="CE6442"/>
      <c r="CF6442"/>
      <c r="CG6442"/>
      <c r="CH6442"/>
      <c r="CI6442"/>
    </row>
    <row r="6443" spans="83:87" x14ac:dyDescent="0.2">
      <c r="CE6443"/>
      <c r="CF6443"/>
      <c r="CG6443"/>
      <c r="CH6443"/>
      <c r="CI6443"/>
    </row>
    <row r="6444" spans="83:87" x14ac:dyDescent="0.2">
      <c r="CE6444"/>
      <c r="CF6444"/>
      <c r="CG6444"/>
      <c r="CH6444"/>
      <c r="CI6444"/>
    </row>
    <row r="6445" spans="83:87" x14ac:dyDescent="0.2">
      <c r="CE6445"/>
      <c r="CF6445"/>
      <c r="CG6445"/>
      <c r="CH6445"/>
      <c r="CI6445"/>
    </row>
    <row r="6446" spans="83:87" x14ac:dyDescent="0.2">
      <c r="CE6446"/>
      <c r="CF6446"/>
      <c r="CG6446"/>
      <c r="CH6446"/>
      <c r="CI6446"/>
    </row>
    <row r="6447" spans="83:87" x14ac:dyDescent="0.2">
      <c r="CE6447"/>
      <c r="CF6447"/>
      <c r="CG6447"/>
      <c r="CH6447"/>
      <c r="CI6447"/>
    </row>
    <row r="6448" spans="83:87" x14ac:dyDescent="0.2">
      <c r="CE6448"/>
      <c r="CF6448"/>
      <c r="CG6448"/>
      <c r="CH6448"/>
      <c r="CI6448"/>
    </row>
    <row r="6449" spans="83:87" x14ac:dyDescent="0.2">
      <c r="CE6449"/>
      <c r="CF6449"/>
      <c r="CG6449"/>
      <c r="CH6449"/>
      <c r="CI6449"/>
    </row>
    <row r="6450" spans="83:87" x14ac:dyDescent="0.2">
      <c r="CE6450"/>
      <c r="CF6450"/>
      <c r="CG6450"/>
      <c r="CH6450"/>
      <c r="CI6450"/>
    </row>
    <row r="6451" spans="83:87" x14ac:dyDescent="0.2">
      <c r="CE6451"/>
      <c r="CF6451"/>
      <c r="CG6451"/>
      <c r="CH6451"/>
      <c r="CI6451"/>
    </row>
    <row r="6452" spans="83:87" x14ac:dyDescent="0.2">
      <c r="CE6452"/>
      <c r="CF6452"/>
      <c r="CG6452"/>
      <c r="CH6452"/>
      <c r="CI6452"/>
    </row>
    <row r="6453" spans="83:87" x14ac:dyDescent="0.2">
      <c r="CE6453"/>
      <c r="CF6453"/>
      <c r="CG6453"/>
      <c r="CH6453"/>
      <c r="CI6453"/>
    </row>
    <row r="6454" spans="83:87" x14ac:dyDescent="0.2">
      <c r="CE6454"/>
      <c r="CF6454"/>
      <c r="CG6454"/>
      <c r="CH6454"/>
      <c r="CI6454"/>
    </row>
    <row r="6455" spans="83:87" x14ac:dyDescent="0.2">
      <c r="CE6455"/>
      <c r="CF6455"/>
      <c r="CG6455"/>
      <c r="CH6455"/>
      <c r="CI6455"/>
    </row>
    <row r="6456" spans="83:87" x14ac:dyDescent="0.2">
      <c r="CE6456"/>
      <c r="CF6456"/>
      <c r="CG6456"/>
      <c r="CH6456"/>
      <c r="CI6456"/>
    </row>
    <row r="6457" spans="83:87" x14ac:dyDescent="0.2">
      <c r="CE6457"/>
      <c r="CF6457"/>
      <c r="CG6457"/>
      <c r="CH6457"/>
      <c r="CI6457"/>
    </row>
    <row r="6458" spans="83:87" x14ac:dyDescent="0.2">
      <c r="CE6458"/>
      <c r="CF6458"/>
      <c r="CG6458"/>
      <c r="CH6458"/>
      <c r="CI6458"/>
    </row>
    <row r="6459" spans="83:87" x14ac:dyDescent="0.2">
      <c r="CE6459"/>
      <c r="CF6459"/>
      <c r="CG6459"/>
      <c r="CH6459"/>
      <c r="CI6459"/>
    </row>
    <row r="6460" spans="83:87" x14ac:dyDescent="0.2">
      <c r="CE6460"/>
      <c r="CF6460"/>
      <c r="CG6460"/>
      <c r="CH6460"/>
      <c r="CI6460"/>
    </row>
    <row r="6461" spans="83:87" x14ac:dyDescent="0.2">
      <c r="CE6461"/>
      <c r="CF6461"/>
      <c r="CG6461"/>
      <c r="CH6461"/>
      <c r="CI6461"/>
    </row>
    <row r="6462" spans="83:87" x14ac:dyDescent="0.2">
      <c r="CE6462"/>
      <c r="CF6462"/>
      <c r="CG6462"/>
      <c r="CH6462"/>
      <c r="CI6462"/>
    </row>
    <row r="6463" spans="83:87" x14ac:dyDescent="0.2">
      <c r="CE6463"/>
      <c r="CF6463"/>
      <c r="CG6463"/>
      <c r="CH6463"/>
      <c r="CI6463"/>
    </row>
    <row r="6464" spans="83:87" x14ac:dyDescent="0.2">
      <c r="CE6464"/>
      <c r="CF6464"/>
      <c r="CG6464"/>
      <c r="CH6464"/>
      <c r="CI6464"/>
    </row>
    <row r="6465" spans="83:87" x14ac:dyDescent="0.2">
      <c r="CE6465"/>
      <c r="CF6465"/>
      <c r="CG6465"/>
      <c r="CH6465"/>
      <c r="CI6465"/>
    </row>
    <row r="6466" spans="83:87" x14ac:dyDescent="0.2">
      <c r="CE6466"/>
      <c r="CF6466"/>
      <c r="CG6466"/>
      <c r="CH6466"/>
      <c r="CI6466"/>
    </row>
    <row r="6467" spans="83:87" x14ac:dyDescent="0.2">
      <c r="CE6467"/>
      <c r="CF6467"/>
      <c r="CG6467"/>
      <c r="CH6467"/>
      <c r="CI6467"/>
    </row>
    <row r="6468" spans="83:87" x14ac:dyDescent="0.2">
      <c r="CE6468"/>
      <c r="CF6468"/>
      <c r="CG6468"/>
      <c r="CH6468"/>
      <c r="CI6468"/>
    </row>
    <row r="6469" spans="83:87" x14ac:dyDescent="0.2">
      <c r="CE6469"/>
      <c r="CF6469"/>
      <c r="CG6469"/>
      <c r="CH6469"/>
      <c r="CI6469"/>
    </row>
    <row r="6470" spans="83:87" x14ac:dyDescent="0.2">
      <c r="CE6470"/>
      <c r="CF6470"/>
      <c r="CG6470"/>
      <c r="CH6470"/>
      <c r="CI6470"/>
    </row>
    <row r="6471" spans="83:87" x14ac:dyDescent="0.2">
      <c r="CE6471"/>
      <c r="CF6471"/>
      <c r="CG6471"/>
      <c r="CH6471"/>
      <c r="CI6471"/>
    </row>
    <row r="6472" spans="83:87" x14ac:dyDescent="0.2">
      <c r="CE6472"/>
      <c r="CF6472"/>
      <c r="CG6472"/>
      <c r="CH6472"/>
      <c r="CI6472"/>
    </row>
    <row r="6473" spans="83:87" x14ac:dyDescent="0.2">
      <c r="CE6473"/>
      <c r="CF6473"/>
      <c r="CG6473"/>
      <c r="CH6473"/>
      <c r="CI6473"/>
    </row>
    <row r="6474" spans="83:87" x14ac:dyDescent="0.2">
      <c r="CE6474"/>
      <c r="CF6474"/>
      <c r="CG6474"/>
      <c r="CH6474"/>
      <c r="CI6474"/>
    </row>
    <row r="6475" spans="83:87" x14ac:dyDescent="0.2">
      <c r="CE6475"/>
      <c r="CF6475"/>
      <c r="CG6475"/>
      <c r="CH6475"/>
      <c r="CI6475"/>
    </row>
    <row r="6476" spans="83:87" x14ac:dyDescent="0.2">
      <c r="CE6476"/>
      <c r="CF6476"/>
      <c r="CG6476"/>
      <c r="CH6476"/>
      <c r="CI6476"/>
    </row>
    <row r="6477" spans="83:87" x14ac:dyDescent="0.2">
      <c r="CE6477"/>
      <c r="CF6477"/>
      <c r="CG6477"/>
      <c r="CH6477"/>
      <c r="CI6477"/>
    </row>
    <row r="6478" spans="83:87" x14ac:dyDescent="0.2">
      <c r="CE6478"/>
      <c r="CF6478"/>
      <c r="CG6478"/>
      <c r="CH6478"/>
      <c r="CI6478"/>
    </row>
    <row r="6479" spans="83:87" x14ac:dyDescent="0.2">
      <c r="CE6479"/>
      <c r="CF6479"/>
      <c r="CG6479"/>
      <c r="CH6479"/>
      <c r="CI6479"/>
    </row>
    <row r="6480" spans="83:87" x14ac:dyDescent="0.2">
      <c r="CE6480"/>
      <c r="CF6480"/>
      <c r="CG6480"/>
      <c r="CH6480"/>
      <c r="CI6480"/>
    </row>
    <row r="6481" spans="83:87" x14ac:dyDescent="0.2">
      <c r="CE6481"/>
      <c r="CF6481"/>
      <c r="CG6481"/>
      <c r="CH6481"/>
      <c r="CI6481"/>
    </row>
    <row r="6482" spans="83:87" x14ac:dyDescent="0.2">
      <c r="CE6482"/>
      <c r="CF6482"/>
      <c r="CG6482"/>
      <c r="CH6482"/>
      <c r="CI6482"/>
    </row>
    <row r="6483" spans="83:87" x14ac:dyDescent="0.2">
      <c r="CE6483"/>
      <c r="CF6483"/>
      <c r="CG6483"/>
      <c r="CH6483"/>
      <c r="CI6483"/>
    </row>
    <row r="6484" spans="83:87" x14ac:dyDescent="0.2">
      <c r="CE6484"/>
      <c r="CF6484"/>
      <c r="CG6484"/>
      <c r="CH6484"/>
      <c r="CI6484"/>
    </row>
    <row r="6485" spans="83:87" x14ac:dyDescent="0.2">
      <c r="CE6485"/>
      <c r="CF6485"/>
      <c r="CG6485"/>
      <c r="CH6485"/>
      <c r="CI6485"/>
    </row>
    <row r="6486" spans="83:87" x14ac:dyDescent="0.2">
      <c r="CE6486"/>
      <c r="CF6486"/>
      <c r="CG6486"/>
      <c r="CH6486"/>
      <c r="CI6486"/>
    </row>
    <row r="6487" spans="83:87" x14ac:dyDescent="0.2">
      <c r="CE6487"/>
      <c r="CF6487"/>
      <c r="CG6487"/>
      <c r="CH6487"/>
      <c r="CI6487"/>
    </row>
    <row r="6488" spans="83:87" x14ac:dyDescent="0.2">
      <c r="CE6488"/>
      <c r="CF6488"/>
      <c r="CG6488"/>
      <c r="CH6488"/>
      <c r="CI6488"/>
    </row>
    <row r="6489" spans="83:87" x14ac:dyDescent="0.2">
      <c r="CE6489"/>
      <c r="CF6489"/>
      <c r="CG6489"/>
      <c r="CH6489"/>
      <c r="CI6489"/>
    </row>
    <row r="6490" spans="83:87" x14ac:dyDescent="0.2">
      <c r="CE6490"/>
      <c r="CF6490"/>
      <c r="CG6490"/>
      <c r="CH6490"/>
      <c r="CI6490"/>
    </row>
    <row r="6491" spans="83:87" x14ac:dyDescent="0.2">
      <c r="CE6491"/>
      <c r="CF6491"/>
      <c r="CG6491"/>
      <c r="CH6491"/>
      <c r="CI6491"/>
    </row>
    <row r="6492" spans="83:87" x14ac:dyDescent="0.2">
      <c r="CE6492"/>
      <c r="CF6492"/>
      <c r="CG6492"/>
      <c r="CH6492"/>
      <c r="CI6492"/>
    </row>
    <row r="6493" spans="83:87" x14ac:dyDescent="0.2">
      <c r="CE6493"/>
      <c r="CF6493"/>
      <c r="CG6493"/>
      <c r="CH6493"/>
      <c r="CI6493"/>
    </row>
    <row r="6494" spans="83:87" x14ac:dyDescent="0.2">
      <c r="CE6494"/>
      <c r="CF6494"/>
      <c r="CG6494"/>
      <c r="CH6494"/>
      <c r="CI6494"/>
    </row>
    <row r="6495" spans="83:87" x14ac:dyDescent="0.2">
      <c r="CE6495"/>
      <c r="CF6495"/>
      <c r="CG6495"/>
      <c r="CH6495"/>
      <c r="CI6495"/>
    </row>
    <row r="6496" spans="83:87" x14ac:dyDescent="0.2">
      <c r="CE6496"/>
      <c r="CF6496"/>
      <c r="CG6496"/>
      <c r="CH6496"/>
      <c r="CI6496"/>
    </row>
    <row r="6497" spans="83:87" x14ac:dyDescent="0.2">
      <c r="CE6497"/>
      <c r="CF6497"/>
      <c r="CG6497"/>
      <c r="CH6497"/>
      <c r="CI6497"/>
    </row>
    <row r="6498" spans="83:87" x14ac:dyDescent="0.2">
      <c r="CE6498"/>
      <c r="CF6498"/>
      <c r="CG6498"/>
      <c r="CH6498"/>
      <c r="CI6498"/>
    </row>
    <row r="6499" spans="83:87" x14ac:dyDescent="0.2">
      <c r="CE6499"/>
      <c r="CF6499"/>
      <c r="CG6499"/>
      <c r="CH6499"/>
      <c r="CI6499"/>
    </row>
    <row r="6500" spans="83:87" x14ac:dyDescent="0.2">
      <c r="CE6500"/>
      <c r="CF6500"/>
      <c r="CG6500"/>
      <c r="CH6500"/>
      <c r="CI6500"/>
    </row>
    <row r="6501" spans="83:87" x14ac:dyDescent="0.2">
      <c r="CE6501"/>
      <c r="CF6501"/>
      <c r="CG6501"/>
      <c r="CH6501"/>
      <c r="CI6501"/>
    </row>
    <row r="6502" spans="83:87" x14ac:dyDescent="0.2">
      <c r="CE6502"/>
      <c r="CF6502"/>
      <c r="CG6502"/>
      <c r="CH6502"/>
      <c r="CI6502"/>
    </row>
    <row r="6503" spans="83:87" x14ac:dyDescent="0.2">
      <c r="CE6503"/>
      <c r="CF6503"/>
      <c r="CG6503"/>
      <c r="CH6503"/>
      <c r="CI6503"/>
    </row>
    <row r="6504" spans="83:87" x14ac:dyDescent="0.2">
      <c r="CE6504"/>
      <c r="CF6504"/>
      <c r="CG6504"/>
      <c r="CH6504"/>
      <c r="CI6504"/>
    </row>
    <row r="6505" spans="83:87" x14ac:dyDescent="0.2">
      <c r="CE6505"/>
      <c r="CF6505"/>
      <c r="CG6505"/>
      <c r="CH6505"/>
      <c r="CI6505"/>
    </row>
    <row r="6506" spans="83:87" x14ac:dyDescent="0.2">
      <c r="CE6506"/>
      <c r="CF6506"/>
      <c r="CG6506"/>
      <c r="CH6506"/>
      <c r="CI6506"/>
    </row>
    <row r="6507" spans="83:87" x14ac:dyDescent="0.2">
      <c r="CE6507"/>
      <c r="CF6507"/>
      <c r="CG6507"/>
      <c r="CH6507"/>
      <c r="CI6507"/>
    </row>
    <row r="6508" spans="83:87" x14ac:dyDescent="0.2">
      <c r="CE6508"/>
      <c r="CF6508"/>
      <c r="CG6508"/>
      <c r="CH6508"/>
      <c r="CI6508"/>
    </row>
    <row r="6509" spans="83:87" x14ac:dyDescent="0.2">
      <c r="CE6509"/>
      <c r="CF6509"/>
      <c r="CG6509"/>
      <c r="CH6509"/>
      <c r="CI6509"/>
    </row>
    <row r="6510" spans="83:87" x14ac:dyDescent="0.2">
      <c r="CE6510"/>
      <c r="CF6510"/>
      <c r="CG6510"/>
      <c r="CH6510"/>
      <c r="CI6510"/>
    </row>
    <row r="6511" spans="83:87" x14ac:dyDescent="0.2">
      <c r="CE6511"/>
      <c r="CF6511"/>
      <c r="CG6511"/>
      <c r="CH6511"/>
      <c r="CI6511"/>
    </row>
    <row r="6512" spans="83:87" x14ac:dyDescent="0.2">
      <c r="CE6512"/>
      <c r="CF6512"/>
      <c r="CG6512"/>
      <c r="CH6512"/>
      <c r="CI6512"/>
    </row>
    <row r="6513" spans="83:87" x14ac:dyDescent="0.2">
      <c r="CE6513"/>
      <c r="CF6513"/>
      <c r="CG6513"/>
      <c r="CH6513"/>
      <c r="CI6513"/>
    </row>
    <row r="6514" spans="83:87" x14ac:dyDescent="0.2">
      <c r="CE6514"/>
      <c r="CF6514"/>
      <c r="CG6514"/>
      <c r="CH6514"/>
      <c r="CI6514"/>
    </row>
    <row r="6515" spans="83:87" x14ac:dyDescent="0.2">
      <c r="CE6515"/>
      <c r="CF6515"/>
      <c r="CG6515"/>
      <c r="CH6515"/>
      <c r="CI6515"/>
    </row>
    <row r="6516" spans="83:87" x14ac:dyDescent="0.2">
      <c r="CE6516"/>
      <c r="CF6516"/>
      <c r="CG6516"/>
      <c r="CH6516"/>
      <c r="CI6516"/>
    </row>
    <row r="6517" spans="83:87" x14ac:dyDescent="0.2">
      <c r="CE6517"/>
      <c r="CF6517"/>
      <c r="CG6517"/>
      <c r="CH6517"/>
      <c r="CI6517"/>
    </row>
    <row r="6518" spans="83:87" x14ac:dyDescent="0.2">
      <c r="CE6518"/>
      <c r="CF6518"/>
      <c r="CG6518"/>
      <c r="CH6518"/>
      <c r="CI6518"/>
    </row>
    <row r="6519" spans="83:87" x14ac:dyDescent="0.2">
      <c r="CE6519"/>
      <c r="CF6519"/>
      <c r="CG6519"/>
      <c r="CH6519"/>
      <c r="CI6519"/>
    </row>
    <row r="6520" spans="83:87" x14ac:dyDescent="0.2">
      <c r="CE6520"/>
      <c r="CF6520"/>
      <c r="CG6520"/>
      <c r="CH6520"/>
      <c r="CI6520"/>
    </row>
    <row r="6521" spans="83:87" x14ac:dyDescent="0.2">
      <c r="CE6521"/>
      <c r="CF6521"/>
      <c r="CG6521"/>
      <c r="CH6521"/>
      <c r="CI6521"/>
    </row>
    <row r="6522" spans="83:87" x14ac:dyDescent="0.2">
      <c r="CE6522"/>
      <c r="CF6522"/>
      <c r="CG6522"/>
      <c r="CH6522"/>
      <c r="CI6522"/>
    </row>
    <row r="6523" spans="83:87" x14ac:dyDescent="0.2">
      <c r="CE6523"/>
      <c r="CF6523"/>
      <c r="CG6523"/>
      <c r="CH6523"/>
      <c r="CI6523"/>
    </row>
    <row r="6524" spans="83:87" x14ac:dyDescent="0.2">
      <c r="CE6524"/>
      <c r="CF6524"/>
      <c r="CG6524"/>
      <c r="CH6524"/>
      <c r="CI6524"/>
    </row>
    <row r="6525" spans="83:87" x14ac:dyDescent="0.2">
      <c r="CE6525"/>
      <c r="CF6525"/>
      <c r="CG6525"/>
      <c r="CH6525"/>
      <c r="CI6525"/>
    </row>
    <row r="6526" spans="83:87" x14ac:dyDescent="0.2">
      <c r="CE6526"/>
      <c r="CF6526"/>
      <c r="CG6526"/>
      <c r="CH6526"/>
      <c r="CI6526"/>
    </row>
    <row r="6527" spans="83:87" x14ac:dyDescent="0.2">
      <c r="CE6527"/>
      <c r="CF6527"/>
      <c r="CG6527"/>
      <c r="CH6527"/>
      <c r="CI6527"/>
    </row>
    <row r="6528" spans="83:87" x14ac:dyDescent="0.2">
      <c r="CE6528"/>
      <c r="CF6528"/>
      <c r="CG6528"/>
      <c r="CH6528"/>
      <c r="CI6528"/>
    </row>
    <row r="6529" spans="83:87" x14ac:dyDescent="0.2">
      <c r="CE6529"/>
      <c r="CF6529"/>
      <c r="CG6529"/>
      <c r="CH6529"/>
      <c r="CI6529"/>
    </row>
    <row r="6530" spans="83:87" x14ac:dyDescent="0.2">
      <c r="CE6530"/>
      <c r="CF6530"/>
      <c r="CG6530"/>
      <c r="CH6530"/>
      <c r="CI6530"/>
    </row>
    <row r="6531" spans="83:87" x14ac:dyDescent="0.2">
      <c r="CE6531"/>
      <c r="CF6531"/>
      <c r="CG6531"/>
      <c r="CH6531"/>
      <c r="CI6531"/>
    </row>
    <row r="6532" spans="83:87" x14ac:dyDescent="0.2">
      <c r="CE6532"/>
      <c r="CF6532"/>
      <c r="CG6532"/>
      <c r="CH6532"/>
      <c r="CI6532"/>
    </row>
    <row r="6533" spans="83:87" x14ac:dyDescent="0.2">
      <c r="CE6533"/>
      <c r="CF6533"/>
      <c r="CG6533"/>
      <c r="CH6533"/>
      <c r="CI6533"/>
    </row>
    <row r="6534" spans="83:87" x14ac:dyDescent="0.2">
      <c r="CE6534"/>
      <c r="CF6534"/>
      <c r="CG6534"/>
      <c r="CH6534"/>
      <c r="CI6534"/>
    </row>
    <row r="6535" spans="83:87" x14ac:dyDescent="0.2">
      <c r="CE6535"/>
      <c r="CF6535"/>
      <c r="CG6535"/>
      <c r="CH6535"/>
      <c r="CI6535"/>
    </row>
    <row r="6536" spans="83:87" x14ac:dyDescent="0.2">
      <c r="CE6536"/>
      <c r="CF6536"/>
      <c r="CG6536"/>
      <c r="CH6536"/>
      <c r="CI6536"/>
    </row>
    <row r="6537" spans="83:87" x14ac:dyDescent="0.2">
      <c r="CE6537"/>
      <c r="CF6537"/>
      <c r="CG6537"/>
      <c r="CH6537"/>
      <c r="CI6537"/>
    </row>
    <row r="6538" spans="83:87" x14ac:dyDescent="0.2">
      <c r="CE6538"/>
      <c r="CF6538"/>
      <c r="CG6538"/>
      <c r="CH6538"/>
      <c r="CI6538"/>
    </row>
    <row r="6539" spans="83:87" x14ac:dyDescent="0.2">
      <c r="CE6539"/>
      <c r="CF6539"/>
      <c r="CG6539"/>
      <c r="CH6539"/>
      <c r="CI6539"/>
    </row>
    <row r="6540" spans="83:87" x14ac:dyDescent="0.2">
      <c r="CE6540"/>
      <c r="CF6540"/>
      <c r="CG6540"/>
      <c r="CH6540"/>
      <c r="CI6540"/>
    </row>
    <row r="6541" spans="83:87" x14ac:dyDescent="0.2">
      <c r="CE6541"/>
      <c r="CF6541"/>
      <c r="CG6541"/>
      <c r="CH6541"/>
      <c r="CI6541"/>
    </row>
    <row r="6542" spans="83:87" x14ac:dyDescent="0.2">
      <c r="CE6542"/>
      <c r="CF6542"/>
      <c r="CG6542"/>
      <c r="CH6542"/>
      <c r="CI6542"/>
    </row>
    <row r="6543" spans="83:87" x14ac:dyDescent="0.2">
      <c r="CE6543"/>
      <c r="CF6543"/>
      <c r="CG6543"/>
      <c r="CH6543"/>
      <c r="CI6543"/>
    </row>
    <row r="6544" spans="83:87" x14ac:dyDescent="0.2">
      <c r="CE6544"/>
      <c r="CF6544"/>
      <c r="CG6544"/>
      <c r="CH6544"/>
      <c r="CI6544"/>
    </row>
    <row r="6545" spans="83:87" x14ac:dyDescent="0.2">
      <c r="CE6545"/>
      <c r="CF6545"/>
      <c r="CG6545"/>
      <c r="CH6545"/>
      <c r="CI6545"/>
    </row>
    <row r="6546" spans="83:87" x14ac:dyDescent="0.2">
      <c r="CE6546"/>
      <c r="CF6546"/>
      <c r="CG6546"/>
      <c r="CH6546"/>
      <c r="CI6546"/>
    </row>
    <row r="6547" spans="83:87" x14ac:dyDescent="0.2">
      <c r="CE6547"/>
      <c r="CF6547"/>
      <c r="CG6547"/>
      <c r="CH6547"/>
      <c r="CI6547"/>
    </row>
    <row r="6548" spans="83:87" x14ac:dyDescent="0.2">
      <c r="CE6548"/>
      <c r="CF6548"/>
      <c r="CG6548"/>
      <c r="CH6548"/>
      <c r="CI6548"/>
    </row>
    <row r="6549" spans="83:87" x14ac:dyDescent="0.2">
      <c r="CE6549"/>
      <c r="CF6549"/>
      <c r="CG6549"/>
      <c r="CH6549"/>
      <c r="CI6549"/>
    </row>
    <row r="6550" spans="83:87" x14ac:dyDescent="0.2">
      <c r="CE6550"/>
      <c r="CF6550"/>
      <c r="CG6550"/>
      <c r="CH6550"/>
      <c r="CI6550"/>
    </row>
    <row r="6551" spans="83:87" x14ac:dyDescent="0.2">
      <c r="CE6551"/>
      <c r="CF6551"/>
      <c r="CG6551"/>
      <c r="CH6551"/>
      <c r="CI6551"/>
    </row>
    <row r="6552" spans="83:87" x14ac:dyDescent="0.2">
      <c r="CE6552"/>
      <c r="CF6552"/>
      <c r="CG6552"/>
      <c r="CH6552"/>
      <c r="CI6552"/>
    </row>
    <row r="6553" spans="83:87" x14ac:dyDescent="0.2">
      <c r="CE6553"/>
      <c r="CF6553"/>
      <c r="CG6553"/>
      <c r="CH6553"/>
      <c r="CI6553"/>
    </row>
    <row r="6554" spans="83:87" x14ac:dyDescent="0.2">
      <c r="CE6554"/>
      <c r="CF6554"/>
      <c r="CG6554"/>
      <c r="CH6554"/>
      <c r="CI6554"/>
    </row>
    <row r="6555" spans="83:87" x14ac:dyDescent="0.2">
      <c r="CE6555"/>
      <c r="CF6555"/>
      <c r="CG6555"/>
      <c r="CH6555"/>
      <c r="CI6555"/>
    </row>
    <row r="6556" spans="83:87" x14ac:dyDescent="0.2">
      <c r="CE6556"/>
      <c r="CF6556"/>
      <c r="CG6556"/>
      <c r="CH6556"/>
      <c r="CI6556"/>
    </row>
    <row r="6557" spans="83:87" x14ac:dyDescent="0.2">
      <c r="CE6557"/>
      <c r="CF6557"/>
      <c r="CG6557"/>
      <c r="CH6557"/>
      <c r="CI6557"/>
    </row>
    <row r="6558" spans="83:87" x14ac:dyDescent="0.2">
      <c r="CE6558"/>
      <c r="CF6558"/>
      <c r="CG6558"/>
      <c r="CH6558"/>
      <c r="CI6558"/>
    </row>
    <row r="6559" spans="83:87" x14ac:dyDescent="0.2">
      <c r="CE6559"/>
      <c r="CF6559"/>
      <c r="CG6559"/>
      <c r="CH6559"/>
      <c r="CI6559"/>
    </row>
    <row r="6560" spans="83:87" x14ac:dyDescent="0.2">
      <c r="CE6560"/>
      <c r="CF6560"/>
      <c r="CG6560"/>
      <c r="CH6560"/>
      <c r="CI6560"/>
    </row>
    <row r="6561" spans="83:87" x14ac:dyDescent="0.2">
      <c r="CE6561"/>
      <c r="CF6561"/>
      <c r="CG6561"/>
      <c r="CH6561"/>
      <c r="CI6561"/>
    </row>
    <row r="6562" spans="83:87" x14ac:dyDescent="0.2">
      <c r="CE6562"/>
      <c r="CF6562"/>
      <c r="CG6562"/>
      <c r="CH6562"/>
      <c r="CI6562"/>
    </row>
    <row r="6563" spans="83:87" x14ac:dyDescent="0.2">
      <c r="CE6563"/>
      <c r="CF6563"/>
      <c r="CG6563"/>
      <c r="CH6563"/>
      <c r="CI6563"/>
    </row>
    <row r="6564" spans="83:87" x14ac:dyDescent="0.2">
      <c r="CE6564"/>
      <c r="CF6564"/>
      <c r="CG6564"/>
      <c r="CH6564"/>
      <c r="CI6564"/>
    </row>
    <row r="6565" spans="83:87" x14ac:dyDescent="0.2">
      <c r="CE6565"/>
      <c r="CF6565"/>
      <c r="CG6565"/>
      <c r="CH6565"/>
      <c r="CI6565"/>
    </row>
    <row r="6566" spans="83:87" x14ac:dyDescent="0.2">
      <c r="CE6566"/>
      <c r="CF6566"/>
      <c r="CG6566"/>
      <c r="CH6566"/>
      <c r="CI6566"/>
    </row>
    <row r="6567" spans="83:87" x14ac:dyDescent="0.2">
      <c r="CE6567"/>
      <c r="CF6567"/>
      <c r="CG6567"/>
      <c r="CH6567"/>
      <c r="CI6567"/>
    </row>
    <row r="6568" spans="83:87" x14ac:dyDescent="0.2">
      <c r="CE6568"/>
      <c r="CF6568"/>
      <c r="CG6568"/>
      <c r="CH6568"/>
      <c r="CI6568"/>
    </row>
    <row r="6569" spans="83:87" x14ac:dyDescent="0.2">
      <c r="CE6569"/>
      <c r="CF6569"/>
      <c r="CG6569"/>
      <c r="CH6569"/>
      <c r="CI6569"/>
    </row>
    <row r="6570" spans="83:87" x14ac:dyDescent="0.2">
      <c r="CE6570"/>
      <c r="CF6570"/>
      <c r="CG6570"/>
      <c r="CH6570"/>
      <c r="CI6570"/>
    </row>
    <row r="6571" spans="83:87" x14ac:dyDescent="0.2">
      <c r="CE6571"/>
      <c r="CF6571"/>
      <c r="CG6571"/>
      <c r="CH6571"/>
      <c r="CI6571"/>
    </row>
    <row r="6572" spans="83:87" x14ac:dyDescent="0.2">
      <c r="CE6572"/>
      <c r="CF6572"/>
      <c r="CG6572"/>
      <c r="CH6572"/>
      <c r="CI6572"/>
    </row>
    <row r="6573" spans="83:87" x14ac:dyDescent="0.2">
      <c r="CE6573"/>
      <c r="CF6573"/>
      <c r="CG6573"/>
      <c r="CH6573"/>
      <c r="CI6573"/>
    </row>
    <row r="6574" spans="83:87" x14ac:dyDescent="0.2">
      <c r="CE6574"/>
      <c r="CF6574"/>
      <c r="CG6574"/>
      <c r="CH6574"/>
      <c r="CI6574"/>
    </row>
    <row r="6575" spans="83:87" x14ac:dyDescent="0.2">
      <c r="CE6575"/>
      <c r="CF6575"/>
      <c r="CG6575"/>
      <c r="CH6575"/>
      <c r="CI6575"/>
    </row>
    <row r="6576" spans="83:87" x14ac:dyDescent="0.2">
      <c r="CE6576"/>
      <c r="CF6576"/>
      <c r="CG6576"/>
      <c r="CH6576"/>
      <c r="CI6576"/>
    </row>
    <row r="6577" spans="83:87" x14ac:dyDescent="0.2">
      <c r="CE6577"/>
      <c r="CF6577"/>
      <c r="CG6577"/>
      <c r="CH6577"/>
      <c r="CI6577"/>
    </row>
    <row r="6578" spans="83:87" x14ac:dyDescent="0.2">
      <c r="CE6578"/>
      <c r="CF6578"/>
      <c r="CG6578"/>
      <c r="CH6578"/>
      <c r="CI6578"/>
    </row>
    <row r="6579" spans="83:87" x14ac:dyDescent="0.2">
      <c r="CE6579"/>
      <c r="CF6579"/>
      <c r="CG6579"/>
      <c r="CH6579"/>
      <c r="CI6579"/>
    </row>
    <row r="6580" spans="83:87" x14ac:dyDescent="0.2">
      <c r="CE6580"/>
      <c r="CF6580"/>
      <c r="CG6580"/>
      <c r="CH6580"/>
      <c r="CI6580"/>
    </row>
    <row r="6581" spans="83:87" x14ac:dyDescent="0.2">
      <c r="CE6581"/>
      <c r="CF6581"/>
      <c r="CG6581"/>
      <c r="CH6581"/>
      <c r="CI6581"/>
    </row>
    <row r="6582" spans="83:87" x14ac:dyDescent="0.2">
      <c r="CE6582"/>
      <c r="CF6582"/>
      <c r="CG6582"/>
      <c r="CH6582"/>
      <c r="CI6582"/>
    </row>
    <row r="6583" spans="83:87" x14ac:dyDescent="0.2">
      <c r="CE6583"/>
      <c r="CF6583"/>
      <c r="CG6583"/>
      <c r="CH6583"/>
      <c r="CI6583"/>
    </row>
    <row r="6584" spans="83:87" x14ac:dyDescent="0.2">
      <c r="CE6584"/>
      <c r="CF6584"/>
      <c r="CG6584"/>
      <c r="CH6584"/>
      <c r="CI6584"/>
    </row>
    <row r="6585" spans="83:87" x14ac:dyDescent="0.2">
      <c r="CE6585"/>
      <c r="CF6585"/>
      <c r="CG6585"/>
      <c r="CH6585"/>
      <c r="CI6585"/>
    </row>
    <row r="6586" spans="83:87" x14ac:dyDescent="0.2">
      <c r="CE6586"/>
      <c r="CF6586"/>
      <c r="CG6586"/>
      <c r="CH6586"/>
      <c r="CI6586"/>
    </row>
    <row r="6587" spans="83:87" x14ac:dyDescent="0.2">
      <c r="CE6587"/>
      <c r="CF6587"/>
      <c r="CG6587"/>
      <c r="CH6587"/>
      <c r="CI6587"/>
    </row>
    <row r="6588" spans="83:87" x14ac:dyDescent="0.2">
      <c r="CE6588"/>
      <c r="CF6588"/>
      <c r="CG6588"/>
      <c r="CH6588"/>
      <c r="CI6588"/>
    </row>
    <row r="6589" spans="83:87" x14ac:dyDescent="0.2">
      <c r="CE6589"/>
      <c r="CF6589"/>
      <c r="CG6589"/>
      <c r="CH6589"/>
      <c r="CI6589"/>
    </row>
    <row r="6590" spans="83:87" x14ac:dyDescent="0.2">
      <c r="CE6590"/>
      <c r="CF6590"/>
      <c r="CG6590"/>
      <c r="CH6590"/>
      <c r="CI6590"/>
    </row>
    <row r="6591" spans="83:87" x14ac:dyDescent="0.2">
      <c r="CE6591"/>
      <c r="CF6591"/>
      <c r="CG6591"/>
      <c r="CH6591"/>
      <c r="CI6591"/>
    </row>
    <row r="6592" spans="83:87" x14ac:dyDescent="0.2">
      <c r="CE6592"/>
      <c r="CF6592"/>
      <c r="CG6592"/>
      <c r="CH6592"/>
      <c r="CI6592"/>
    </row>
    <row r="6593" spans="83:87" x14ac:dyDescent="0.2">
      <c r="CE6593"/>
      <c r="CF6593"/>
      <c r="CG6593"/>
      <c r="CH6593"/>
      <c r="CI6593"/>
    </row>
    <row r="6594" spans="83:87" x14ac:dyDescent="0.2">
      <c r="CE6594"/>
      <c r="CF6594"/>
      <c r="CG6594"/>
      <c r="CH6594"/>
      <c r="CI6594"/>
    </row>
    <row r="6595" spans="83:87" x14ac:dyDescent="0.2">
      <c r="CE6595"/>
      <c r="CF6595"/>
      <c r="CG6595"/>
      <c r="CH6595"/>
      <c r="CI6595"/>
    </row>
    <row r="6596" spans="83:87" x14ac:dyDescent="0.2">
      <c r="CE6596"/>
      <c r="CF6596"/>
      <c r="CG6596"/>
      <c r="CH6596"/>
      <c r="CI6596"/>
    </row>
    <row r="6597" spans="83:87" x14ac:dyDescent="0.2">
      <c r="CE6597"/>
      <c r="CF6597"/>
      <c r="CG6597"/>
      <c r="CH6597"/>
      <c r="CI6597"/>
    </row>
    <row r="6598" spans="83:87" x14ac:dyDescent="0.2">
      <c r="CE6598"/>
      <c r="CF6598"/>
      <c r="CG6598"/>
      <c r="CH6598"/>
      <c r="CI6598"/>
    </row>
    <row r="6599" spans="83:87" x14ac:dyDescent="0.2">
      <c r="CE6599"/>
      <c r="CF6599"/>
      <c r="CG6599"/>
      <c r="CH6599"/>
      <c r="CI6599"/>
    </row>
    <row r="6600" spans="83:87" x14ac:dyDescent="0.2">
      <c r="CE6600"/>
      <c r="CF6600"/>
      <c r="CG6600"/>
      <c r="CH6600"/>
      <c r="CI6600"/>
    </row>
    <row r="6601" spans="83:87" x14ac:dyDescent="0.2">
      <c r="CE6601"/>
      <c r="CF6601"/>
      <c r="CG6601"/>
      <c r="CH6601"/>
      <c r="CI6601"/>
    </row>
    <row r="6602" spans="83:87" x14ac:dyDescent="0.2">
      <c r="CE6602"/>
      <c r="CF6602"/>
      <c r="CG6602"/>
      <c r="CH6602"/>
      <c r="CI6602"/>
    </row>
    <row r="6603" spans="83:87" x14ac:dyDescent="0.2">
      <c r="CE6603"/>
      <c r="CF6603"/>
      <c r="CG6603"/>
      <c r="CH6603"/>
      <c r="CI6603"/>
    </row>
    <row r="6604" spans="83:87" x14ac:dyDescent="0.2">
      <c r="CE6604"/>
      <c r="CF6604"/>
      <c r="CG6604"/>
      <c r="CH6604"/>
      <c r="CI6604"/>
    </row>
    <row r="6605" spans="83:87" x14ac:dyDescent="0.2">
      <c r="CE6605"/>
      <c r="CF6605"/>
      <c r="CG6605"/>
      <c r="CH6605"/>
      <c r="CI6605"/>
    </row>
    <row r="6606" spans="83:87" x14ac:dyDescent="0.2">
      <c r="CE6606"/>
      <c r="CF6606"/>
      <c r="CG6606"/>
      <c r="CH6606"/>
      <c r="CI6606"/>
    </row>
    <row r="6607" spans="83:87" x14ac:dyDescent="0.2">
      <c r="CE6607"/>
      <c r="CF6607"/>
      <c r="CG6607"/>
      <c r="CH6607"/>
      <c r="CI6607"/>
    </row>
    <row r="6608" spans="83:87" x14ac:dyDescent="0.2">
      <c r="CE6608"/>
      <c r="CF6608"/>
      <c r="CG6608"/>
      <c r="CH6608"/>
      <c r="CI6608"/>
    </row>
    <row r="6609" spans="83:87" x14ac:dyDescent="0.2">
      <c r="CE6609"/>
      <c r="CF6609"/>
      <c r="CG6609"/>
      <c r="CH6609"/>
      <c r="CI6609"/>
    </row>
    <row r="6610" spans="83:87" x14ac:dyDescent="0.2">
      <c r="CE6610"/>
      <c r="CF6610"/>
      <c r="CG6610"/>
      <c r="CH6610"/>
      <c r="CI6610"/>
    </row>
    <row r="6611" spans="83:87" x14ac:dyDescent="0.2">
      <c r="CE6611"/>
      <c r="CF6611"/>
      <c r="CG6611"/>
      <c r="CH6611"/>
      <c r="CI6611"/>
    </row>
    <row r="6612" spans="83:87" x14ac:dyDescent="0.2">
      <c r="CE6612"/>
      <c r="CF6612"/>
      <c r="CG6612"/>
      <c r="CH6612"/>
      <c r="CI6612"/>
    </row>
    <row r="6613" spans="83:87" x14ac:dyDescent="0.2">
      <c r="CE6613"/>
      <c r="CF6613"/>
      <c r="CG6613"/>
      <c r="CH6613"/>
      <c r="CI6613"/>
    </row>
    <row r="6614" spans="83:87" x14ac:dyDescent="0.2">
      <c r="CE6614"/>
      <c r="CF6614"/>
      <c r="CG6614"/>
      <c r="CH6614"/>
      <c r="CI6614"/>
    </row>
    <row r="6615" spans="83:87" x14ac:dyDescent="0.2">
      <c r="CE6615"/>
      <c r="CF6615"/>
      <c r="CG6615"/>
      <c r="CH6615"/>
      <c r="CI6615"/>
    </row>
    <row r="6616" spans="83:87" x14ac:dyDescent="0.2">
      <c r="CE6616"/>
      <c r="CF6616"/>
      <c r="CG6616"/>
      <c r="CH6616"/>
      <c r="CI6616"/>
    </row>
    <row r="6617" spans="83:87" x14ac:dyDescent="0.2">
      <c r="CE6617"/>
      <c r="CF6617"/>
      <c r="CG6617"/>
      <c r="CH6617"/>
      <c r="CI6617"/>
    </row>
    <row r="6618" spans="83:87" x14ac:dyDescent="0.2">
      <c r="CE6618"/>
      <c r="CF6618"/>
      <c r="CG6618"/>
      <c r="CH6618"/>
      <c r="CI6618"/>
    </row>
    <row r="6619" spans="83:87" x14ac:dyDescent="0.2">
      <c r="CE6619"/>
      <c r="CF6619"/>
      <c r="CG6619"/>
      <c r="CH6619"/>
      <c r="CI6619"/>
    </row>
    <row r="6620" spans="83:87" x14ac:dyDescent="0.2">
      <c r="CE6620"/>
      <c r="CF6620"/>
      <c r="CG6620"/>
      <c r="CH6620"/>
      <c r="CI6620"/>
    </row>
    <row r="6621" spans="83:87" x14ac:dyDescent="0.2">
      <c r="CE6621"/>
      <c r="CF6621"/>
      <c r="CG6621"/>
      <c r="CH6621"/>
      <c r="CI6621"/>
    </row>
    <row r="6622" spans="83:87" x14ac:dyDescent="0.2">
      <c r="CE6622"/>
      <c r="CF6622"/>
      <c r="CG6622"/>
      <c r="CH6622"/>
      <c r="CI6622"/>
    </row>
    <row r="6623" spans="83:87" x14ac:dyDescent="0.2">
      <c r="CE6623"/>
      <c r="CF6623"/>
      <c r="CG6623"/>
      <c r="CH6623"/>
      <c r="CI6623"/>
    </row>
    <row r="6624" spans="83:87" x14ac:dyDescent="0.2">
      <c r="CE6624"/>
      <c r="CF6624"/>
      <c r="CG6624"/>
      <c r="CH6624"/>
      <c r="CI6624"/>
    </row>
    <row r="6625" spans="83:87" x14ac:dyDescent="0.2">
      <c r="CE6625"/>
      <c r="CF6625"/>
      <c r="CG6625"/>
      <c r="CH6625"/>
      <c r="CI6625"/>
    </row>
    <row r="6626" spans="83:87" x14ac:dyDescent="0.2">
      <c r="CE6626"/>
      <c r="CF6626"/>
      <c r="CG6626"/>
      <c r="CH6626"/>
      <c r="CI6626"/>
    </row>
    <row r="6627" spans="83:87" x14ac:dyDescent="0.2">
      <c r="CE6627"/>
      <c r="CF6627"/>
      <c r="CG6627"/>
      <c r="CH6627"/>
      <c r="CI6627"/>
    </row>
    <row r="6628" spans="83:87" x14ac:dyDescent="0.2">
      <c r="CE6628"/>
      <c r="CF6628"/>
      <c r="CG6628"/>
      <c r="CH6628"/>
      <c r="CI6628"/>
    </row>
    <row r="6629" spans="83:87" x14ac:dyDescent="0.2">
      <c r="CE6629"/>
      <c r="CF6629"/>
      <c r="CG6629"/>
      <c r="CH6629"/>
      <c r="CI6629"/>
    </row>
    <row r="6630" spans="83:87" x14ac:dyDescent="0.2">
      <c r="CE6630"/>
      <c r="CF6630"/>
      <c r="CG6630"/>
      <c r="CH6630"/>
      <c r="CI6630"/>
    </row>
    <row r="6631" spans="83:87" x14ac:dyDescent="0.2">
      <c r="CE6631"/>
      <c r="CF6631"/>
      <c r="CG6631"/>
      <c r="CH6631"/>
      <c r="CI6631"/>
    </row>
    <row r="6632" spans="83:87" x14ac:dyDescent="0.2">
      <c r="CE6632"/>
      <c r="CF6632"/>
      <c r="CG6632"/>
      <c r="CH6632"/>
      <c r="CI6632"/>
    </row>
    <row r="6633" spans="83:87" x14ac:dyDescent="0.2">
      <c r="CE6633"/>
      <c r="CF6633"/>
      <c r="CG6633"/>
      <c r="CH6633"/>
      <c r="CI6633"/>
    </row>
    <row r="6634" spans="83:87" x14ac:dyDescent="0.2">
      <c r="CE6634"/>
      <c r="CF6634"/>
      <c r="CG6634"/>
      <c r="CH6634"/>
      <c r="CI6634"/>
    </row>
    <row r="6635" spans="83:87" x14ac:dyDescent="0.2">
      <c r="CE6635"/>
      <c r="CF6635"/>
      <c r="CG6635"/>
      <c r="CH6635"/>
      <c r="CI6635"/>
    </row>
    <row r="6636" spans="83:87" x14ac:dyDescent="0.2">
      <c r="CE6636"/>
      <c r="CF6636"/>
      <c r="CG6636"/>
      <c r="CH6636"/>
      <c r="CI6636"/>
    </row>
    <row r="6637" spans="83:87" x14ac:dyDescent="0.2">
      <c r="CE6637"/>
      <c r="CF6637"/>
      <c r="CG6637"/>
      <c r="CH6637"/>
      <c r="CI6637"/>
    </row>
    <row r="6638" spans="83:87" x14ac:dyDescent="0.2">
      <c r="CE6638"/>
      <c r="CF6638"/>
      <c r="CG6638"/>
      <c r="CH6638"/>
      <c r="CI6638"/>
    </row>
    <row r="6639" spans="83:87" x14ac:dyDescent="0.2">
      <c r="CE6639"/>
      <c r="CF6639"/>
      <c r="CG6639"/>
      <c r="CH6639"/>
      <c r="CI6639"/>
    </row>
    <row r="6640" spans="83:87" x14ac:dyDescent="0.2">
      <c r="CE6640"/>
      <c r="CF6640"/>
      <c r="CG6640"/>
      <c r="CH6640"/>
      <c r="CI6640"/>
    </row>
    <row r="6641" spans="83:87" x14ac:dyDescent="0.2">
      <c r="CE6641"/>
      <c r="CF6641"/>
      <c r="CG6641"/>
      <c r="CH6641"/>
      <c r="CI6641"/>
    </row>
    <row r="6642" spans="83:87" x14ac:dyDescent="0.2">
      <c r="CE6642"/>
      <c r="CF6642"/>
      <c r="CG6642"/>
      <c r="CH6642"/>
      <c r="CI6642"/>
    </row>
    <row r="6643" spans="83:87" x14ac:dyDescent="0.2">
      <c r="CE6643"/>
      <c r="CF6643"/>
      <c r="CG6643"/>
      <c r="CH6643"/>
      <c r="CI6643"/>
    </row>
    <row r="6644" spans="83:87" x14ac:dyDescent="0.2">
      <c r="CE6644"/>
      <c r="CF6644"/>
      <c r="CG6644"/>
      <c r="CH6644"/>
      <c r="CI6644"/>
    </row>
    <row r="6645" spans="83:87" x14ac:dyDescent="0.2">
      <c r="CE6645"/>
      <c r="CF6645"/>
      <c r="CG6645"/>
      <c r="CH6645"/>
      <c r="CI6645"/>
    </row>
    <row r="6646" spans="83:87" x14ac:dyDescent="0.2">
      <c r="CE6646"/>
      <c r="CF6646"/>
      <c r="CG6646"/>
      <c r="CH6646"/>
      <c r="CI6646"/>
    </row>
    <row r="6647" spans="83:87" x14ac:dyDescent="0.2">
      <c r="CE6647"/>
      <c r="CF6647"/>
      <c r="CG6647"/>
      <c r="CH6647"/>
      <c r="CI6647"/>
    </row>
    <row r="6648" spans="83:87" x14ac:dyDescent="0.2">
      <c r="CE6648"/>
      <c r="CF6648"/>
      <c r="CG6648"/>
      <c r="CH6648"/>
      <c r="CI6648"/>
    </row>
    <row r="6649" spans="83:87" x14ac:dyDescent="0.2">
      <c r="CE6649"/>
      <c r="CF6649"/>
      <c r="CG6649"/>
      <c r="CH6649"/>
      <c r="CI6649"/>
    </row>
    <row r="6650" spans="83:87" x14ac:dyDescent="0.2">
      <c r="CE6650"/>
      <c r="CF6650"/>
      <c r="CG6650"/>
      <c r="CH6650"/>
      <c r="CI6650"/>
    </row>
    <row r="6651" spans="83:87" x14ac:dyDescent="0.2">
      <c r="CE6651"/>
      <c r="CF6651"/>
      <c r="CG6651"/>
      <c r="CH6651"/>
      <c r="CI6651"/>
    </row>
    <row r="6652" spans="83:87" x14ac:dyDescent="0.2">
      <c r="CE6652"/>
      <c r="CF6652"/>
      <c r="CG6652"/>
      <c r="CH6652"/>
      <c r="CI6652"/>
    </row>
    <row r="6653" spans="83:87" x14ac:dyDescent="0.2">
      <c r="CE6653"/>
      <c r="CF6653"/>
      <c r="CG6653"/>
      <c r="CH6653"/>
      <c r="CI6653"/>
    </row>
    <row r="6654" spans="83:87" x14ac:dyDescent="0.2">
      <c r="CE6654"/>
      <c r="CF6654"/>
      <c r="CG6654"/>
      <c r="CH6654"/>
      <c r="CI6654"/>
    </row>
    <row r="6655" spans="83:87" x14ac:dyDescent="0.2">
      <c r="CE6655"/>
      <c r="CF6655"/>
      <c r="CG6655"/>
      <c r="CH6655"/>
      <c r="CI6655"/>
    </row>
    <row r="6656" spans="83:87" x14ac:dyDescent="0.2">
      <c r="CE6656"/>
      <c r="CF6656"/>
      <c r="CG6656"/>
      <c r="CH6656"/>
      <c r="CI6656"/>
    </row>
    <row r="6657" spans="83:87" x14ac:dyDescent="0.2">
      <c r="CE6657"/>
      <c r="CF6657"/>
      <c r="CG6657"/>
      <c r="CH6657"/>
      <c r="CI6657"/>
    </row>
    <row r="6658" spans="83:87" x14ac:dyDescent="0.2">
      <c r="CE6658"/>
      <c r="CF6658"/>
      <c r="CG6658"/>
      <c r="CH6658"/>
      <c r="CI6658"/>
    </row>
    <row r="6659" spans="83:87" x14ac:dyDescent="0.2">
      <c r="CE6659"/>
      <c r="CF6659"/>
      <c r="CG6659"/>
      <c r="CH6659"/>
      <c r="CI6659"/>
    </row>
    <row r="6660" spans="83:87" x14ac:dyDescent="0.2">
      <c r="CE6660"/>
      <c r="CF6660"/>
      <c r="CG6660"/>
      <c r="CH6660"/>
      <c r="CI6660"/>
    </row>
    <row r="6661" spans="83:87" x14ac:dyDescent="0.2">
      <c r="CE6661"/>
      <c r="CF6661"/>
      <c r="CG6661"/>
      <c r="CH6661"/>
      <c r="CI6661"/>
    </row>
    <row r="6662" spans="83:87" x14ac:dyDescent="0.2">
      <c r="CE6662"/>
      <c r="CF6662"/>
      <c r="CG6662"/>
      <c r="CH6662"/>
      <c r="CI6662"/>
    </row>
    <row r="6663" spans="83:87" x14ac:dyDescent="0.2">
      <c r="CE6663"/>
      <c r="CF6663"/>
      <c r="CG6663"/>
      <c r="CH6663"/>
      <c r="CI6663"/>
    </row>
    <row r="6664" spans="83:87" x14ac:dyDescent="0.2">
      <c r="CE6664"/>
      <c r="CF6664"/>
      <c r="CG6664"/>
      <c r="CH6664"/>
      <c r="CI6664"/>
    </row>
    <row r="6665" spans="83:87" x14ac:dyDescent="0.2">
      <c r="CE6665"/>
      <c r="CF6665"/>
      <c r="CG6665"/>
      <c r="CH6665"/>
      <c r="CI6665"/>
    </row>
    <row r="6666" spans="83:87" x14ac:dyDescent="0.2">
      <c r="CE6666"/>
      <c r="CF6666"/>
      <c r="CG6666"/>
      <c r="CH6666"/>
      <c r="CI6666"/>
    </row>
    <row r="6667" spans="83:87" x14ac:dyDescent="0.2">
      <c r="CE6667"/>
      <c r="CF6667"/>
      <c r="CG6667"/>
      <c r="CH6667"/>
      <c r="CI6667"/>
    </row>
    <row r="6668" spans="83:87" x14ac:dyDescent="0.2">
      <c r="CE6668"/>
      <c r="CF6668"/>
      <c r="CG6668"/>
      <c r="CH6668"/>
      <c r="CI6668"/>
    </row>
    <row r="6669" spans="83:87" x14ac:dyDescent="0.2">
      <c r="CE6669"/>
      <c r="CF6669"/>
      <c r="CG6669"/>
      <c r="CH6669"/>
      <c r="CI6669"/>
    </row>
    <row r="6670" spans="83:87" x14ac:dyDescent="0.2">
      <c r="CE6670"/>
      <c r="CF6670"/>
      <c r="CG6670"/>
      <c r="CH6670"/>
      <c r="CI6670"/>
    </row>
    <row r="6671" spans="83:87" x14ac:dyDescent="0.2">
      <c r="CE6671"/>
      <c r="CF6671"/>
      <c r="CG6671"/>
      <c r="CH6671"/>
      <c r="CI6671"/>
    </row>
    <row r="6672" spans="83:87" x14ac:dyDescent="0.2">
      <c r="CE6672"/>
      <c r="CF6672"/>
      <c r="CG6672"/>
      <c r="CH6672"/>
      <c r="CI6672"/>
    </row>
    <row r="6673" spans="83:87" x14ac:dyDescent="0.2">
      <c r="CE6673"/>
      <c r="CF6673"/>
      <c r="CG6673"/>
      <c r="CH6673"/>
      <c r="CI6673"/>
    </row>
    <row r="6674" spans="83:87" x14ac:dyDescent="0.2">
      <c r="CE6674"/>
      <c r="CF6674"/>
      <c r="CG6674"/>
      <c r="CH6674"/>
      <c r="CI6674"/>
    </row>
    <row r="6675" spans="83:87" x14ac:dyDescent="0.2">
      <c r="CE6675"/>
      <c r="CF6675"/>
      <c r="CG6675"/>
      <c r="CH6675"/>
      <c r="CI6675"/>
    </row>
    <row r="6676" spans="83:87" x14ac:dyDescent="0.2">
      <c r="CE6676"/>
      <c r="CF6676"/>
      <c r="CG6676"/>
      <c r="CH6676"/>
      <c r="CI6676"/>
    </row>
    <row r="6677" spans="83:87" x14ac:dyDescent="0.2">
      <c r="CE6677"/>
      <c r="CF6677"/>
      <c r="CG6677"/>
      <c r="CH6677"/>
      <c r="CI6677"/>
    </row>
    <row r="6678" spans="83:87" x14ac:dyDescent="0.2">
      <c r="CE6678"/>
      <c r="CF6678"/>
      <c r="CG6678"/>
      <c r="CH6678"/>
      <c r="CI6678"/>
    </row>
    <row r="6679" spans="83:87" x14ac:dyDescent="0.2">
      <c r="CE6679"/>
      <c r="CF6679"/>
      <c r="CG6679"/>
      <c r="CH6679"/>
      <c r="CI6679"/>
    </row>
    <row r="6680" spans="83:87" x14ac:dyDescent="0.2">
      <c r="CE6680"/>
      <c r="CF6680"/>
      <c r="CG6680"/>
      <c r="CH6680"/>
      <c r="CI6680"/>
    </row>
    <row r="6681" spans="83:87" x14ac:dyDescent="0.2">
      <c r="CE6681"/>
      <c r="CF6681"/>
      <c r="CG6681"/>
      <c r="CH6681"/>
      <c r="CI6681"/>
    </row>
    <row r="6682" spans="83:87" x14ac:dyDescent="0.2">
      <c r="CE6682"/>
      <c r="CF6682"/>
      <c r="CG6682"/>
      <c r="CH6682"/>
      <c r="CI6682"/>
    </row>
    <row r="6683" spans="83:87" x14ac:dyDescent="0.2">
      <c r="CE6683"/>
      <c r="CF6683"/>
      <c r="CG6683"/>
      <c r="CH6683"/>
      <c r="CI6683"/>
    </row>
    <row r="6684" spans="83:87" x14ac:dyDescent="0.2">
      <c r="CE6684"/>
      <c r="CF6684"/>
      <c r="CG6684"/>
      <c r="CH6684"/>
      <c r="CI6684"/>
    </row>
    <row r="6685" spans="83:87" x14ac:dyDescent="0.2">
      <c r="CE6685"/>
      <c r="CF6685"/>
      <c r="CG6685"/>
      <c r="CH6685"/>
      <c r="CI6685"/>
    </row>
    <row r="6686" spans="83:87" x14ac:dyDescent="0.2">
      <c r="CE6686"/>
      <c r="CF6686"/>
      <c r="CG6686"/>
      <c r="CH6686"/>
      <c r="CI6686"/>
    </row>
    <row r="6687" spans="83:87" x14ac:dyDescent="0.2">
      <c r="CE6687"/>
      <c r="CF6687"/>
      <c r="CG6687"/>
      <c r="CH6687"/>
      <c r="CI6687"/>
    </row>
    <row r="6688" spans="83:87" x14ac:dyDescent="0.2">
      <c r="CE6688"/>
      <c r="CF6688"/>
      <c r="CG6688"/>
      <c r="CH6688"/>
      <c r="CI6688"/>
    </row>
    <row r="6689" spans="83:87" x14ac:dyDescent="0.2">
      <c r="CE6689"/>
      <c r="CF6689"/>
      <c r="CG6689"/>
      <c r="CH6689"/>
      <c r="CI6689"/>
    </row>
    <row r="6690" spans="83:87" x14ac:dyDescent="0.2">
      <c r="CE6690"/>
      <c r="CF6690"/>
      <c r="CG6690"/>
      <c r="CH6690"/>
      <c r="CI6690"/>
    </row>
    <row r="6691" spans="83:87" x14ac:dyDescent="0.2">
      <c r="CE6691"/>
      <c r="CF6691"/>
      <c r="CG6691"/>
      <c r="CH6691"/>
      <c r="CI6691"/>
    </row>
    <row r="6692" spans="83:87" x14ac:dyDescent="0.2">
      <c r="CE6692"/>
      <c r="CF6692"/>
      <c r="CG6692"/>
      <c r="CH6692"/>
      <c r="CI6692"/>
    </row>
    <row r="6693" spans="83:87" x14ac:dyDescent="0.2">
      <c r="CE6693"/>
      <c r="CF6693"/>
      <c r="CG6693"/>
      <c r="CH6693"/>
      <c r="CI6693"/>
    </row>
    <row r="6694" spans="83:87" x14ac:dyDescent="0.2">
      <c r="CE6694"/>
      <c r="CF6694"/>
      <c r="CG6694"/>
      <c r="CH6694"/>
      <c r="CI6694"/>
    </row>
    <row r="6695" spans="83:87" x14ac:dyDescent="0.2">
      <c r="CE6695"/>
      <c r="CF6695"/>
      <c r="CG6695"/>
      <c r="CH6695"/>
      <c r="CI6695"/>
    </row>
    <row r="6696" spans="83:87" x14ac:dyDescent="0.2">
      <c r="CE6696"/>
      <c r="CF6696"/>
      <c r="CG6696"/>
      <c r="CH6696"/>
      <c r="CI6696"/>
    </row>
    <row r="6697" spans="83:87" x14ac:dyDescent="0.2">
      <c r="CE6697"/>
      <c r="CF6697"/>
      <c r="CG6697"/>
      <c r="CH6697"/>
      <c r="CI6697"/>
    </row>
    <row r="6698" spans="83:87" x14ac:dyDescent="0.2">
      <c r="CE6698"/>
      <c r="CF6698"/>
      <c r="CG6698"/>
      <c r="CH6698"/>
      <c r="CI6698"/>
    </row>
    <row r="6699" spans="83:87" x14ac:dyDescent="0.2">
      <c r="CE6699"/>
      <c r="CF6699"/>
      <c r="CG6699"/>
      <c r="CH6699"/>
      <c r="CI6699"/>
    </row>
    <row r="6700" spans="83:87" x14ac:dyDescent="0.2">
      <c r="CE6700"/>
      <c r="CF6700"/>
      <c r="CG6700"/>
      <c r="CH6700"/>
      <c r="CI6700"/>
    </row>
    <row r="6701" spans="83:87" x14ac:dyDescent="0.2">
      <c r="CE6701"/>
      <c r="CF6701"/>
      <c r="CG6701"/>
      <c r="CH6701"/>
      <c r="CI6701"/>
    </row>
    <row r="6702" spans="83:87" x14ac:dyDescent="0.2">
      <c r="CE6702"/>
      <c r="CF6702"/>
      <c r="CG6702"/>
      <c r="CH6702"/>
      <c r="CI6702"/>
    </row>
    <row r="6703" spans="83:87" x14ac:dyDescent="0.2">
      <c r="CE6703"/>
      <c r="CF6703"/>
      <c r="CG6703"/>
      <c r="CH6703"/>
      <c r="CI6703"/>
    </row>
    <row r="6704" spans="83:87" x14ac:dyDescent="0.2">
      <c r="CE6704"/>
      <c r="CF6704"/>
      <c r="CG6704"/>
      <c r="CH6704"/>
      <c r="CI6704"/>
    </row>
    <row r="6705" spans="83:87" x14ac:dyDescent="0.2">
      <c r="CE6705"/>
      <c r="CF6705"/>
      <c r="CG6705"/>
      <c r="CH6705"/>
      <c r="CI6705"/>
    </row>
    <row r="6706" spans="83:87" x14ac:dyDescent="0.2">
      <c r="CE6706"/>
      <c r="CF6706"/>
      <c r="CG6706"/>
      <c r="CH6706"/>
      <c r="CI6706"/>
    </row>
    <row r="6707" spans="83:87" x14ac:dyDescent="0.2">
      <c r="CE6707"/>
      <c r="CF6707"/>
      <c r="CG6707"/>
      <c r="CH6707"/>
      <c r="CI6707"/>
    </row>
    <row r="6708" spans="83:87" x14ac:dyDescent="0.2">
      <c r="CE6708"/>
      <c r="CF6708"/>
      <c r="CG6708"/>
      <c r="CH6708"/>
      <c r="CI6708"/>
    </row>
    <row r="6709" spans="83:87" x14ac:dyDescent="0.2">
      <c r="CE6709"/>
      <c r="CF6709"/>
      <c r="CG6709"/>
      <c r="CH6709"/>
      <c r="CI6709"/>
    </row>
    <row r="6710" spans="83:87" x14ac:dyDescent="0.2">
      <c r="CE6710"/>
      <c r="CF6710"/>
      <c r="CG6710"/>
      <c r="CH6710"/>
      <c r="CI6710"/>
    </row>
    <row r="6711" spans="83:87" x14ac:dyDescent="0.2">
      <c r="CE6711"/>
      <c r="CF6711"/>
      <c r="CG6711"/>
      <c r="CH6711"/>
      <c r="CI6711"/>
    </row>
    <row r="6712" spans="83:87" x14ac:dyDescent="0.2">
      <c r="CE6712"/>
      <c r="CF6712"/>
      <c r="CG6712"/>
      <c r="CH6712"/>
      <c r="CI6712"/>
    </row>
    <row r="6713" spans="83:87" x14ac:dyDescent="0.2">
      <c r="CE6713"/>
      <c r="CF6713"/>
      <c r="CG6713"/>
      <c r="CH6713"/>
      <c r="CI6713"/>
    </row>
    <row r="6714" spans="83:87" x14ac:dyDescent="0.2">
      <c r="CE6714"/>
      <c r="CF6714"/>
      <c r="CG6714"/>
      <c r="CH6714"/>
      <c r="CI6714"/>
    </row>
    <row r="6715" spans="83:87" x14ac:dyDescent="0.2">
      <c r="CE6715"/>
      <c r="CF6715"/>
      <c r="CG6715"/>
      <c r="CH6715"/>
      <c r="CI6715"/>
    </row>
    <row r="6716" spans="83:87" x14ac:dyDescent="0.2">
      <c r="CE6716"/>
      <c r="CF6716"/>
      <c r="CG6716"/>
      <c r="CH6716"/>
      <c r="CI6716"/>
    </row>
    <row r="6717" spans="83:87" x14ac:dyDescent="0.2">
      <c r="CE6717"/>
      <c r="CF6717"/>
      <c r="CG6717"/>
      <c r="CH6717"/>
      <c r="CI6717"/>
    </row>
    <row r="6718" spans="83:87" x14ac:dyDescent="0.2">
      <c r="CE6718"/>
      <c r="CF6718"/>
      <c r="CG6718"/>
      <c r="CH6718"/>
      <c r="CI6718"/>
    </row>
    <row r="6719" spans="83:87" x14ac:dyDescent="0.2">
      <c r="CE6719"/>
      <c r="CF6719"/>
      <c r="CG6719"/>
      <c r="CH6719"/>
      <c r="CI6719"/>
    </row>
    <row r="6720" spans="83:87" x14ac:dyDescent="0.2">
      <c r="CE6720"/>
      <c r="CF6720"/>
      <c r="CG6720"/>
      <c r="CH6720"/>
      <c r="CI6720"/>
    </row>
    <row r="6721" spans="83:87" x14ac:dyDescent="0.2">
      <c r="CE6721"/>
      <c r="CF6721"/>
      <c r="CG6721"/>
      <c r="CH6721"/>
      <c r="CI6721"/>
    </row>
    <row r="6722" spans="83:87" x14ac:dyDescent="0.2">
      <c r="CE6722"/>
      <c r="CF6722"/>
      <c r="CG6722"/>
      <c r="CH6722"/>
      <c r="CI6722"/>
    </row>
    <row r="6723" spans="83:87" x14ac:dyDescent="0.2">
      <c r="CE6723"/>
      <c r="CF6723"/>
      <c r="CG6723"/>
      <c r="CH6723"/>
      <c r="CI6723"/>
    </row>
    <row r="6724" spans="83:87" x14ac:dyDescent="0.2">
      <c r="CE6724"/>
      <c r="CF6724"/>
      <c r="CG6724"/>
      <c r="CH6724"/>
      <c r="CI6724"/>
    </row>
    <row r="6725" spans="83:87" x14ac:dyDescent="0.2">
      <c r="CE6725"/>
      <c r="CF6725"/>
      <c r="CG6725"/>
      <c r="CH6725"/>
      <c r="CI6725"/>
    </row>
    <row r="6726" spans="83:87" x14ac:dyDescent="0.2">
      <c r="CE6726"/>
      <c r="CF6726"/>
      <c r="CG6726"/>
      <c r="CH6726"/>
      <c r="CI6726"/>
    </row>
    <row r="6727" spans="83:87" x14ac:dyDescent="0.2">
      <c r="CE6727"/>
      <c r="CF6727"/>
      <c r="CG6727"/>
      <c r="CH6727"/>
      <c r="CI6727"/>
    </row>
    <row r="6728" spans="83:87" x14ac:dyDescent="0.2">
      <c r="CE6728"/>
      <c r="CF6728"/>
      <c r="CG6728"/>
      <c r="CH6728"/>
      <c r="CI6728"/>
    </row>
    <row r="6729" spans="83:87" x14ac:dyDescent="0.2">
      <c r="CE6729"/>
      <c r="CF6729"/>
      <c r="CG6729"/>
      <c r="CH6729"/>
      <c r="CI6729"/>
    </row>
    <row r="6730" spans="83:87" x14ac:dyDescent="0.2">
      <c r="CE6730"/>
      <c r="CF6730"/>
      <c r="CG6730"/>
      <c r="CH6730"/>
      <c r="CI6730"/>
    </row>
    <row r="6731" spans="83:87" x14ac:dyDescent="0.2">
      <c r="CE6731"/>
      <c r="CF6731"/>
      <c r="CG6731"/>
      <c r="CH6731"/>
      <c r="CI6731"/>
    </row>
    <row r="6732" spans="83:87" x14ac:dyDescent="0.2">
      <c r="CE6732"/>
      <c r="CF6732"/>
      <c r="CG6732"/>
      <c r="CH6732"/>
      <c r="CI6732"/>
    </row>
    <row r="6733" spans="83:87" x14ac:dyDescent="0.2">
      <c r="CE6733"/>
      <c r="CF6733"/>
      <c r="CG6733"/>
      <c r="CH6733"/>
      <c r="CI6733"/>
    </row>
    <row r="6734" spans="83:87" x14ac:dyDescent="0.2">
      <c r="CE6734"/>
      <c r="CF6734"/>
      <c r="CG6734"/>
      <c r="CH6734"/>
      <c r="CI6734"/>
    </row>
    <row r="6735" spans="83:87" x14ac:dyDescent="0.2">
      <c r="CE6735"/>
      <c r="CF6735"/>
      <c r="CG6735"/>
      <c r="CH6735"/>
      <c r="CI6735"/>
    </row>
    <row r="6736" spans="83:87" x14ac:dyDescent="0.2">
      <c r="CE6736"/>
      <c r="CF6736"/>
      <c r="CG6736"/>
      <c r="CH6736"/>
      <c r="CI6736"/>
    </row>
    <row r="6737" spans="83:87" x14ac:dyDescent="0.2">
      <c r="CE6737"/>
      <c r="CF6737"/>
      <c r="CG6737"/>
      <c r="CH6737"/>
      <c r="CI6737"/>
    </row>
    <row r="6738" spans="83:87" x14ac:dyDescent="0.2">
      <c r="CE6738"/>
      <c r="CF6738"/>
      <c r="CG6738"/>
      <c r="CH6738"/>
      <c r="CI6738"/>
    </row>
    <row r="6739" spans="83:87" x14ac:dyDescent="0.2">
      <c r="CE6739"/>
      <c r="CF6739"/>
      <c r="CG6739"/>
      <c r="CH6739"/>
      <c r="CI6739"/>
    </row>
    <row r="6740" spans="83:87" x14ac:dyDescent="0.2">
      <c r="CE6740"/>
      <c r="CF6740"/>
      <c r="CG6740"/>
      <c r="CH6740"/>
      <c r="CI6740"/>
    </row>
    <row r="6741" spans="83:87" x14ac:dyDescent="0.2">
      <c r="CE6741"/>
      <c r="CF6741"/>
      <c r="CG6741"/>
      <c r="CH6741"/>
      <c r="CI6741"/>
    </row>
    <row r="6742" spans="83:87" x14ac:dyDescent="0.2">
      <c r="CE6742"/>
      <c r="CF6742"/>
      <c r="CG6742"/>
      <c r="CH6742"/>
      <c r="CI6742"/>
    </row>
    <row r="6743" spans="83:87" x14ac:dyDescent="0.2">
      <c r="CE6743"/>
      <c r="CF6743"/>
      <c r="CG6743"/>
      <c r="CH6743"/>
      <c r="CI6743"/>
    </row>
    <row r="6744" spans="83:87" x14ac:dyDescent="0.2">
      <c r="CE6744"/>
      <c r="CF6744"/>
      <c r="CG6744"/>
      <c r="CH6744"/>
      <c r="CI6744"/>
    </row>
    <row r="6745" spans="83:87" x14ac:dyDescent="0.2">
      <c r="CE6745"/>
      <c r="CF6745"/>
      <c r="CG6745"/>
      <c r="CH6745"/>
      <c r="CI6745"/>
    </row>
    <row r="6746" spans="83:87" x14ac:dyDescent="0.2">
      <c r="CE6746"/>
      <c r="CF6746"/>
      <c r="CG6746"/>
      <c r="CH6746"/>
      <c r="CI6746"/>
    </row>
    <row r="6747" spans="83:87" x14ac:dyDescent="0.2">
      <c r="CE6747"/>
      <c r="CF6747"/>
      <c r="CG6747"/>
      <c r="CH6747"/>
      <c r="CI6747"/>
    </row>
    <row r="6748" spans="83:87" x14ac:dyDescent="0.2">
      <c r="CE6748"/>
      <c r="CF6748"/>
      <c r="CG6748"/>
      <c r="CH6748"/>
      <c r="CI6748"/>
    </row>
    <row r="6749" spans="83:87" x14ac:dyDescent="0.2">
      <c r="CE6749"/>
      <c r="CF6749"/>
      <c r="CG6749"/>
      <c r="CH6749"/>
      <c r="CI6749"/>
    </row>
    <row r="6750" spans="83:87" x14ac:dyDescent="0.2">
      <c r="CE6750"/>
      <c r="CF6750"/>
      <c r="CG6750"/>
      <c r="CH6750"/>
      <c r="CI6750"/>
    </row>
    <row r="6751" spans="83:87" x14ac:dyDescent="0.2">
      <c r="CE6751"/>
      <c r="CF6751"/>
      <c r="CG6751"/>
      <c r="CH6751"/>
      <c r="CI6751"/>
    </row>
    <row r="6752" spans="83:87" x14ac:dyDescent="0.2">
      <c r="CE6752"/>
      <c r="CF6752"/>
      <c r="CG6752"/>
      <c r="CH6752"/>
      <c r="CI6752"/>
    </row>
    <row r="6753" spans="83:87" x14ac:dyDescent="0.2">
      <c r="CE6753"/>
      <c r="CF6753"/>
      <c r="CG6753"/>
      <c r="CH6753"/>
      <c r="CI6753"/>
    </row>
    <row r="6754" spans="83:87" x14ac:dyDescent="0.2">
      <c r="CE6754"/>
      <c r="CF6754"/>
      <c r="CG6754"/>
      <c r="CH6754"/>
      <c r="CI6754"/>
    </row>
    <row r="6755" spans="83:87" x14ac:dyDescent="0.2">
      <c r="CE6755"/>
      <c r="CF6755"/>
      <c r="CG6755"/>
      <c r="CH6755"/>
      <c r="CI6755"/>
    </row>
    <row r="6756" spans="83:87" x14ac:dyDescent="0.2">
      <c r="CE6756"/>
      <c r="CF6756"/>
      <c r="CG6756"/>
      <c r="CH6756"/>
      <c r="CI6756"/>
    </row>
    <row r="6757" spans="83:87" x14ac:dyDescent="0.2">
      <c r="CE6757"/>
      <c r="CF6757"/>
      <c r="CG6757"/>
      <c r="CH6757"/>
      <c r="CI6757"/>
    </row>
    <row r="6758" spans="83:87" x14ac:dyDescent="0.2">
      <c r="CE6758"/>
      <c r="CF6758"/>
      <c r="CG6758"/>
      <c r="CH6758"/>
      <c r="CI6758"/>
    </row>
    <row r="6759" spans="83:87" x14ac:dyDescent="0.2">
      <c r="CE6759"/>
      <c r="CF6759"/>
      <c r="CG6759"/>
      <c r="CH6759"/>
      <c r="CI6759"/>
    </row>
    <row r="6760" spans="83:87" x14ac:dyDescent="0.2">
      <c r="CE6760"/>
      <c r="CF6760"/>
      <c r="CG6760"/>
      <c r="CH6760"/>
      <c r="CI6760"/>
    </row>
    <row r="6761" spans="83:87" x14ac:dyDescent="0.2">
      <c r="CE6761"/>
      <c r="CF6761"/>
      <c r="CG6761"/>
      <c r="CH6761"/>
      <c r="CI6761"/>
    </row>
    <row r="6762" spans="83:87" x14ac:dyDescent="0.2">
      <c r="CE6762"/>
      <c r="CF6762"/>
      <c r="CG6762"/>
      <c r="CH6762"/>
      <c r="CI6762"/>
    </row>
    <row r="6763" spans="83:87" x14ac:dyDescent="0.2">
      <c r="CE6763"/>
      <c r="CF6763"/>
      <c r="CG6763"/>
      <c r="CH6763"/>
      <c r="CI6763"/>
    </row>
    <row r="6764" spans="83:87" x14ac:dyDescent="0.2">
      <c r="CE6764"/>
      <c r="CF6764"/>
      <c r="CG6764"/>
      <c r="CH6764"/>
      <c r="CI6764"/>
    </row>
    <row r="6765" spans="83:87" x14ac:dyDescent="0.2">
      <c r="CE6765"/>
      <c r="CF6765"/>
      <c r="CG6765"/>
      <c r="CH6765"/>
      <c r="CI6765"/>
    </row>
    <row r="6766" spans="83:87" x14ac:dyDescent="0.2">
      <c r="CE6766"/>
      <c r="CF6766"/>
      <c r="CG6766"/>
      <c r="CH6766"/>
      <c r="CI6766"/>
    </row>
    <row r="6767" spans="83:87" x14ac:dyDescent="0.2">
      <c r="CE6767"/>
      <c r="CF6767"/>
      <c r="CG6767"/>
      <c r="CH6767"/>
      <c r="CI6767"/>
    </row>
    <row r="6768" spans="83:87" x14ac:dyDescent="0.2">
      <c r="CE6768"/>
      <c r="CF6768"/>
      <c r="CG6768"/>
      <c r="CH6768"/>
      <c r="CI6768"/>
    </row>
    <row r="6769" spans="83:87" x14ac:dyDescent="0.2">
      <c r="CE6769"/>
      <c r="CF6769"/>
      <c r="CG6769"/>
      <c r="CH6769"/>
      <c r="CI6769"/>
    </row>
    <row r="6770" spans="83:87" x14ac:dyDescent="0.2">
      <c r="CE6770"/>
      <c r="CF6770"/>
      <c r="CG6770"/>
      <c r="CH6770"/>
      <c r="CI6770"/>
    </row>
    <row r="6771" spans="83:87" x14ac:dyDescent="0.2">
      <c r="CE6771"/>
      <c r="CF6771"/>
      <c r="CG6771"/>
      <c r="CH6771"/>
      <c r="CI6771"/>
    </row>
    <row r="6772" spans="83:87" x14ac:dyDescent="0.2">
      <c r="CE6772"/>
      <c r="CF6772"/>
      <c r="CG6772"/>
      <c r="CH6772"/>
      <c r="CI6772"/>
    </row>
    <row r="6773" spans="83:87" x14ac:dyDescent="0.2">
      <c r="CE6773"/>
      <c r="CF6773"/>
      <c r="CG6773"/>
      <c r="CH6773"/>
      <c r="CI6773"/>
    </row>
    <row r="6774" spans="83:87" x14ac:dyDescent="0.2">
      <c r="CE6774"/>
      <c r="CF6774"/>
      <c r="CG6774"/>
      <c r="CH6774"/>
      <c r="CI6774"/>
    </row>
    <row r="6775" spans="83:87" x14ac:dyDescent="0.2">
      <c r="CE6775"/>
      <c r="CF6775"/>
      <c r="CG6775"/>
      <c r="CH6775"/>
      <c r="CI6775"/>
    </row>
    <row r="6776" spans="83:87" x14ac:dyDescent="0.2">
      <c r="CE6776"/>
      <c r="CF6776"/>
      <c r="CG6776"/>
      <c r="CH6776"/>
      <c r="CI6776"/>
    </row>
    <row r="6777" spans="83:87" x14ac:dyDescent="0.2">
      <c r="CE6777"/>
      <c r="CF6777"/>
      <c r="CG6777"/>
      <c r="CH6777"/>
      <c r="CI6777"/>
    </row>
    <row r="6778" spans="83:87" x14ac:dyDescent="0.2">
      <c r="CE6778"/>
      <c r="CF6778"/>
      <c r="CG6778"/>
      <c r="CH6778"/>
      <c r="CI6778"/>
    </row>
    <row r="6779" spans="83:87" x14ac:dyDescent="0.2">
      <c r="CE6779"/>
      <c r="CF6779"/>
      <c r="CG6779"/>
      <c r="CH6779"/>
      <c r="CI6779"/>
    </row>
    <row r="6780" spans="83:87" x14ac:dyDescent="0.2">
      <c r="CE6780"/>
      <c r="CF6780"/>
      <c r="CG6780"/>
      <c r="CH6780"/>
      <c r="CI6780"/>
    </row>
    <row r="6781" spans="83:87" x14ac:dyDescent="0.2">
      <c r="CE6781"/>
      <c r="CF6781"/>
      <c r="CG6781"/>
      <c r="CH6781"/>
      <c r="CI6781"/>
    </row>
    <row r="6782" spans="83:87" x14ac:dyDescent="0.2">
      <c r="CE6782"/>
      <c r="CF6782"/>
      <c r="CG6782"/>
      <c r="CH6782"/>
      <c r="CI6782"/>
    </row>
    <row r="6783" spans="83:87" x14ac:dyDescent="0.2">
      <c r="CE6783"/>
      <c r="CF6783"/>
      <c r="CG6783"/>
      <c r="CH6783"/>
      <c r="CI6783"/>
    </row>
    <row r="6784" spans="83:87" x14ac:dyDescent="0.2">
      <c r="CE6784"/>
      <c r="CF6784"/>
      <c r="CG6784"/>
      <c r="CH6784"/>
      <c r="CI6784"/>
    </row>
    <row r="6785" spans="83:87" x14ac:dyDescent="0.2">
      <c r="CE6785"/>
      <c r="CF6785"/>
      <c r="CG6785"/>
      <c r="CH6785"/>
      <c r="CI6785"/>
    </row>
    <row r="6786" spans="83:87" x14ac:dyDescent="0.2">
      <c r="CE6786"/>
      <c r="CF6786"/>
      <c r="CG6786"/>
      <c r="CH6786"/>
      <c r="CI6786"/>
    </row>
    <row r="6787" spans="83:87" x14ac:dyDescent="0.2">
      <c r="CE6787"/>
      <c r="CF6787"/>
      <c r="CG6787"/>
      <c r="CH6787"/>
      <c r="CI6787"/>
    </row>
    <row r="6788" spans="83:87" x14ac:dyDescent="0.2">
      <c r="CE6788"/>
      <c r="CF6788"/>
      <c r="CG6788"/>
      <c r="CH6788"/>
      <c r="CI6788"/>
    </row>
    <row r="6789" spans="83:87" x14ac:dyDescent="0.2">
      <c r="CE6789"/>
      <c r="CF6789"/>
      <c r="CG6789"/>
      <c r="CH6789"/>
      <c r="CI6789"/>
    </row>
    <row r="6790" spans="83:87" x14ac:dyDescent="0.2">
      <c r="CE6790"/>
      <c r="CF6790"/>
      <c r="CG6790"/>
      <c r="CH6790"/>
      <c r="CI6790"/>
    </row>
    <row r="6791" spans="83:87" x14ac:dyDescent="0.2">
      <c r="CE6791"/>
      <c r="CF6791"/>
      <c r="CG6791"/>
      <c r="CH6791"/>
      <c r="CI6791"/>
    </row>
    <row r="6792" spans="83:87" x14ac:dyDescent="0.2">
      <c r="CE6792"/>
      <c r="CF6792"/>
      <c r="CG6792"/>
      <c r="CH6792"/>
      <c r="CI6792"/>
    </row>
    <row r="6793" spans="83:87" x14ac:dyDescent="0.2">
      <c r="CE6793"/>
      <c r="CF6793"/>
      <c r="CG6793"/>
      <c r="CH6793"/>
      <c r="CI6793"/>
    </row>
    <row r="6794" spans="83:87" x14ac:dyDescent="0.2">
      <c r="CE6794"/>
      <c r="CF6794"/>
      <c r="CG6794"/>
      <c r="CH6794"/>
      <c r="CI6794"/>
    </row>
    <row r="6795" spans="83:87" x14ac:dyDescent="0.2">
      <c r="CE6795"/>
      <c r="CF6795"/>
      <c r="CG6795"/>
      <c r="CH6795"/>
      <c r="CI6795"/>
    </row>
    <row r="6796" spans="83:87" x14ac:dyDescent="0.2">
      <c r="CE6796"/>
      <c r="CF6796"/>
      <c r="CG6796"/>
      <c r="CH6796"/>
      <c r="CI6796"/>
    </row>
    <row r="6797" spans="83:87" x14ac:dyDescent="0.2">
      <c r="CE6797"/>
      <c r="CF6797"/>
      <c r="CG6797"/>
      <c r="CH6797"/>
      <c r="CI6797"/>
    </row>
    <row r="6798" spans="83:87" x14ac:dyDescent="0.2">
      <c r="CE6798"/>
      <c r="CF6798"/>
      <c r="CG6798"/>
      <c r="CH6798"/>
      <c r="CI6798"/>
    </row>
    <row r="6799" spans="83:87" x14ac:dyDescent="0.2">
      <c r="CE6799"/>
      <c r="CF6799"/>
      <c r="CG6799"/>
      <c r="CH6799"/>
      <c r="CI6799"/>
    </row>
    <row r="6800" spans="83:87" x14ac:dyDescent="0.2">
      <c r="CE6800"/>
      <c r="CF6800"/>
      <c r="CG6800"/>
      <c r="CH6800"/>
      <c r="CI6800"/>
    </row>
    <row r="6801" spans="83:87" x14ac:dyDescent="0.2">
      <c r="CE6801"/>
      <c r="CF6801"/>
      <c r="CG6801"/>
      <c r="CH6801"/>
      <c r="CI6801"/>
    </row>
    <row r="6802" spans="83:87" x14ac:dyDescent="0.2">
      <c r="CE6802"/>
      <c r="CF6802"/>
      <c r="CG6802"/>
      <c r="CH6802"/>
      <c r="CI6802"/>
    </row>
    <row r="6803" spans="83:87" x14ac:dyDescent="0.2">
      <c r="CE6803"/>
      <c r="CF6803"/>
      <c r="CG6803"/>
      <c r="CH6803"/>
      <c r="CI6803"/>
    </row>
    <row r="6804" spans="83:87" x14ac:dyDescent="0.2">
      <c r="CE6804"/>
      <c r="CF6804"/>
      <c r="CG6804"/>
      <c r="CH6804"/>
      <c r="CI6804"/>
    </row>
    <row r="6805" spans="83:87" x14ac:dyDescent="0.2">
      <c r="CE6805"/>
      <c r="CF6805"/>
      <c r="CG6805"/>
      <c r="CH6805"/>
      <c r="CI6805"/>
    </row>
    <row r="6806" spans="83:87" x14ac:dyDescent="0.2">
      <c r="CE6806"/>
      <c r="CF6806"/>
      <c r="CG6806"/>
      <c r="CH6806"/>
      <c r="CI6806"/>
    </row>
    <row r="6807" spans="83:87" x14ac:dyDescent="0.2">
      <c r="CE6807"/>
      <c r="CF6807"/>
      <c r="CG6807"/>
      <c r="CH6807"/>
      <c r="CI6807"/>
    </row>
    <row r="6808" spans="83:87" x14ac:dyDescent="0.2">
      <c r="CE6808"/>
      <c r="CF6808"/>
      <c r="CG6808"/>
      <c r="CH6808"/>
      <c r="CI6808"/>
    </row>
    <row r="6809" spans="83:87" x14ac:dyDescent="0.2">
      <c r="CE6809"/>
      <c r="CF6809"/>
      <c r="CG6809"/>
      <c r="CH6809"/>
      <c r="CI6809"/>
    </row>
    <row r="6810" spans="83:87" x14ac:dyDescent="0.2">
      <c r="CE6810"/>
      <c r="CF6810"/>
      <c r="CG6810"/>
      <c r="CH6810"/>
      <c r="CI6810"/>
    </row>
    <row r="6811" spans="83:87" x14ac:dyDescent="0.2">
      <c r="CE6811"/>
      <c r="CF6811"/>
      <c r="CG6811"/>
      <c r="CH6811"/>
      <c r="CI6811"/>
    </row>
    <row r="6812" spans="83:87" x14ac:dyDescent="0.2">
      <c r="CE6812"/>
      <c r="CF6812"/>
      <c r="CG6812"/>
      <c r="CH6812"/>
      <c r="CI6812"/>
    </row>
    <row r="6813" spans="83:87" x14ac:dyDescent="0.2">
      <c r="CE6813"/>
      <c r="CF6813"/>
      <c r="CG6813"/>
      <c r="CH6813"/>
      <c r="CI6813"/>
    </row>
    <row r="6814" spans="83:87" x14ac:dyDescent="0.2">
      <c r="CE6814"/>
      <c r="CF6814"/>
      <c r="CG6814"/>
      <c r="CH6814"/>
      <c r="CI6814"/>
    </row>
    <row r="6815" spans="83:87" x14ac:dyDescent="0.2">
      <c r="CE6815"/>
      <c r="CF6815"/>
      <c r="CG6815"/>
      <c r="CH6815"/>
      <c r="CI6815"/>
    </row>
    <row r="6816" spans="83:87" x14ac:dyDescent="0.2">
      <c r="CE6816"/>
      <c r="CF6816"/>
      <c r="CG6816"/>
      <c r="CH6816"/>
      <c r="CI6816"/>
    </row>
    <row r="6817" spans="83:87" x14ac:dyDescent="0.2">
      <c r="CE6817"/>
      <c r="CF6817"/>
      <c r="CG6817"/>
      <c r="CH6817"/>
      <c r="CI6817"/>
    </row>
    <row r="6818" spans="83:87" x14ac:dyDescent="0.2">
      <c r="CE6818"/>
      <c r="CF6818"/>
      <c r="CG6818"/>
      <c r="CH6818"/>
      <c r="CI6818"/>
    </row>
    <row r="6819" spans="83:87" x14ac:dyDescent="0.2">
      <c r="CE6819"/>
      <c r="CF6819"/>
      <c r="CG6819"/>
      <c r="CH6819"/>
      <c r="CI6819"/>
    </row>
    <row r="6820" spans="83:87" x14ac:dyDescent="0.2">
      <c r="CE6820"/>
      <c r="CF6820"/>
      <c r="CG6820"/>
      <c r="CH6820"/>
      <c r="CI6820"/>
    </row>
    <row r="6821" spans="83:87" x14ac:dyDescent="0.2">
      <c r="CE6821"/>
      <c r="CF6821"/>
      <c r="CG6821"/>
      <c r="CH6821"/>
      <c r="CI6821"/>
    </row>
    <row r="6822" spans="83:87" x14ac:dyDescent="0.2">
      <c r="CE6822"/>
      <c r="CF6822"/>
      <c r="CG6822"/>
      <c r="CH6822"/>
      <c r="CI6822"/>
    </row>
    <row r="6823" spans="83:87" x14ac:dyDescent="0.2">
      <c r="CE6823"/>
      <c r="CF6823"/>
      <c r="CG6823"/>
      <c r="CH6823"/>
      <c r="CI6823"/>
    </row>
    <row r="6824" spans="83:87" x14ac:dyDescent="0.2">
      <c r="CE6824"/>
      <c r="CF6824"/>
      <c r="CG6824"/>
      <c r="CH6824"/>
      <c r="CI6824"/>
    </row>
    <row r="6825" spans="83:87" x14ac:dyDescent="0.2">
      <c r="CE6825"/>
      <c r="CF6825"/>
      <c r="CG6825"/>
      <c r="CH6825"/>
      <c r="CI6825"/>
    </row>
    <row r="6826" spans="83:87" x14ac:dyDescent="0.2">
      <c r="CE6826"/>
      <c r="CF6826"/>
      <c r="CG6826"/>
      <c r="CH6826"/>
      <c r="CI6826"/>
    </row>
    <row r="6827" spans="83:87" x14ac:dyDescent="0.2">
      <c r="CE6827"/>
      <c r="CF6827"/>
      <c r="CG6827"/>
      <c r="CH6827"/>
      <c r="CI6827"/>
    </row>
    <row r="6828" spans="83:87" x14ac:dyDescent="0.2">
      <c r="CE6828"/>
      <c r="CF6828"/>
      <c r="CG6828"/>
      <c r="CH6828"/>
      <c r="CI6828"/>
    </row>
    <row r="6829" spans="83:87" x14ac:dyDescent="0.2">
      <c r="CE6829"/>
      <c r="CF6829"/>
      <c r="CG6829"/>
      <c r="CH6829"/>
      <c r="CI6829"/>
    </row>
    <row r="6830" spans="83:87" x14ac:dyDescent="0.2">
      <c r="CE6830"/>
      <c r="CF6830"/>
      <c r="CG6830"/>
      <c r="CH6830"/>
      <c r="CI6830"/>
    </row>
    <row r="6831" spans="83:87" x14ac:dyDescent="0.2">
      <c r="CE6831"/>
      <c r="CF6831"/>
      <c r="CG6831"/>
      <c r="CH6831"/>
      <c r="CI6831"/>
    </row>
    <row r="6832" spans="83:87" x14ac:dyDescent="0.2">
      <c r="CE6832"/>
      <c r="CF6832"/>
      <c r="CG6832"/>
      <c r="CH6832"/>
      <c r="CI6832"/>
    </row>
    <row r="6833" spans="83:87" x14ac:dyDescent="0.2">
      <c r="CE6833"/>
      <c r="CF6833"/>
      <c r="CG6833"/>
      <c r="CH6833"/>
      <c r="CI6833"/>
    </row>
    <row r="6834" spans="83:87" x14ac:dyDescent="0.2">
      <c r="CE6834"/>
      <c r="CF6834"/>
      <c r="CG6834"/>
      <c r="CH6834"/>
      <c r="CI6834"/>
    </row>
    <row r="6835" spans="83:87" x14ac:dyDescent="0.2">
      <c r="CE6835"/>
      <c r="CF6835"/>
      <c r="CG6835"/>
      <c r="CH6835"/>
      <c r="CI6835"/>
    </row>
    <row r="6836" spans="83:87" x14ac:dyDescent="0.2">
      <c r="CE6836"/>
      <c r="CF6836"/>
      <c r="CG6836"/>
      <c r="CH6836"/>
      <c r="CI6836"/>
    </row>
    <row r="6837" spans="83:87" x14ac:dyDescent="0.2">
      <c r="CE6837"/>
      <c r="CF6837"/>
      <c r="CG6837"/>
      <c r="CH6837"/>
      <c r="CI6837"/>
    </row>
    <row r="6838" spans="83:87" x14ac:dyDescent="0.2">
      <c r="CE6838"/>
      <c r="CF6838"/>
      <c r="CG6838"/>
      <c r="CH6838"/>
      <c r="CI6838"/>
    </row>
    <row r="6839" spans="83:87" x14ac:dyDescent="0.2">
      <c r="CE6839"/>
      <c r="CF6839"/>
      <c r="CG6839"/>
      <c r="CH6839"/>
      <c r="CI6839"/>
    </row>
    <row r="6840" spans="83:87" x14ac:dyDescent="0.2">
      <c r="CE6840"/>
      <c r="CF6840"/>
      <c r="CG6840"/>
      <c r="CH6840"/>
      <c r="CI6840"/>
    </row>
    <row r="6841" spans="83:87" x14ac:dyDescent="0.2">
      <c r="CE6841"/>
      <c r="CF6841"/>
      <c r="CG6841"/>
      <c r="CH6841"/>
      <c r="CI6841"/>
    </row>
    <row r="6842" spans="83:87" x14ac:dyDescent="0.2">
      <c r="CE6842"/>
      <c r="CF6842"/>
      <c r="CG6842"/>
      <c r="CH6842"/>
      <c r="CI6842"/>
    </row>
    <row r="6843" spans="83:87" x14ac:dyDescent="0.2">
      <c r="CE6843"/>
      <c r="CF6843"/>
      <c r="CG6843"/>
      <c r="CH6843"/>
      <c r="CI6843"/>
    </row>
    <row r="6844" spans="83:87" x14ac:dyDescent="0.2">
      <c r="CE6844"/>
      <c r="CF6844"/>
      <c r="CG6844"/>
      <c r="CH6844"/>
      <c r="CI6844"/>
    </row>
    <row r="6845" spans="83:87" x14ac:dyDescent="0.2">
      <c r="CE6845"/>
      <c r="CF6845"/>
      <c r="CG6845"/>
      <c r="CH6845"/>
      <c r="CI6845"/>
    </row>
    <row r="6846" spans="83:87" x14ac:dyDescent="0.2">
      <c r="CE6846"/>
      <c r="CF6846"/>
      <c r="CG6846"/>
      <c r="CH6846"/>
      <c r="CI6846"/>
    </row>
    <row r="6847" spans="83:87" x14ac:dyDescent="0.2">
      <c r="CE6847"/>
      <c r="CF6847"/>
      <c r="CG6847"/>
      <c r="CH6847"/>
      <c r="CI6847"/>
    </row>
    <row r="6848" spans="83:87" x14ac:dyDescent="0.2">
      <c r="CE6848"/>
      <c r="CF6848"/>
      <c r="CG6848"/>
      <c r="CH6848"/>
      <c r="CI6848"/>
    </row>
    <row r="6849" spans="83:87" x14ac:dyDescent="0.2">
      <c r="CE6849"/>
      <c r="CF6849"/>
      <c r="CG6849"/>
      <c r="CH6849"/>
      <c r="CI6849"/>
    </row>
    <row r="6850" spans="83:87" x14ac:dyDescent="0.2">
      <c r="CE6850"/>
      <c r="CF6850"/>
      <c r="CG6850"/>
      <c r="CH6850"/>
      <c r="CI6850"/>
    </row>
    <row r="6851" spans="83:87" x14ac:dyDescent="0.2">
      <c r="CE6851"/>
      <c r="CF6851"/>
      <c r="CG6851"/>
      <c r="CH6851"/>
      <c r="CI6851"/>
    </row>
    <row r="6852" spans="83:87" x14ac:dyDescent="0.2">
      <c r="CE6852"/>
      <c r="CF6852"/>
      <c r="CG6852"/>
      <c r="CH6852"/>
      <c r="CI6852"/>
    </row>
    <row r="6853" spans="83:87" x14ac:dyDescent="0.2">
      <c r="CE6853"/>
      <c r="CF6853"/>
      <c r="CG6853"/>
      <c r="CH6853"/>
      <c r="CI6853"/>
    </row>
    <row r="6854" spans="83:87" x14ac:dyDescent="0.2">
      <c r="CE6854"/>
      <c r="CF6854"/>
      <c r="CG6854"/>
      <c r="CH6854"/>
      <c r="CI6854"/>
    </row>
    <row r="6855" spans="83:87" x14ac:dyDescent="0.2">
      <c r="CE6855"/>
      <c r="CF6855"/>
      <c r="CG6855"/>
      <c r="CH6855"/>
      <c r="CI6855"/>
    </row>
    <row r="6856" spans="83:87" x14ac:dyDescent="0.2">
      <c r="CE6856"/>
      <c r="CF6856"/>
      <c r="CG6856"/>
      <c r="CH6856"/>
      <c r="CI6856"/>
    </row>
    <row r="6857" spans="83:87" x14ac:dyDescent="0.2">
      <c r="CE6857"/>
      <c r="CF6857"/>
      <c r="CG6857"/>
      <c r="CH6857"/>
      <c r="CI6857"/>
    </row>
    <row r="6858" spans="83:87" x14ac:dyDescent="0.2">
      <c r="CE6858"/>
      <c r="CF6858"/>
      <c r="CG6858"/>
      <c r="CH6858"/>
      <c r="CI6858"/>
    </row>
    <row r="6859" spans="83:87" x14ac:dyDescent="0.2">
      <c r="CE6859"/>
      <c r="CF6859"/>
      <c r="CG6859"/>
      <c r="CH6859"/>
      <c r="CI6859"/>
    </row>
    <row r="6860" spans="83:87" x14ac:dyDescent="0.2">
      <c r="CE6860"/>
      <c r="CF6860"/>
      <c r="CG6860"/>
      <c r="CH6860"/>
      <c r="CI6860"/>
    </row>
    <row r="6861" spans="83:87" x14ac:dyDescent="0.2">
      <c r="CE6861"/>
      <c r="CF6861"/>
      <c r="CG6861"/>
      <c r="CH6861"/>
      <c r="CI6861"/>
    </row>
    <row r="6862" spans="83:87" x14ac:dyDescent="0.2">
      <c r="CE6862"/>
      <c r="CF6862"/>
      <c r="CG6862"/>
      <c r="CH6862"/>
      <c r="CI6862"/>
    </row>
    <row r="6863" spans="83:87" x14ac:dyDescent="0.2">
      <c r="CE6863"/>
      <c r="CF6863"/>
      <c r="CG6863"/>
      <c r="CH6863"/>
      <c r="CI6863"/>
    </row>
    <row r="6864" spans="83:87" x14ac:dyDescent="0.2">
      <c r="CE6864"/>
      <c r="CF6864"/>
      <c r="CG6864"/>
      <c r="CH6864"/>
      <c r="CI6864"/>
    </row>
    <row r="6865" spans="83:87" x14ac:dyDescent="0.2">
      <c r="CE6865"/>
      <c r="CF6865"/>
      <c r="CG6865"/>
      <c r="CH6865"/>
      <c r="CI6865"/>
    </row>
    <row r="6866" spans="83:87" x14ac:dyDescent="0.2">
      <c r="CE6866"/>
      <c r="CF6866"/>
      <c r="CG6866"/>
      <c r="CH6866"/>
      <c r="CI6866"/>
    </row>
    <row r="6867" spans="83:87" x14ac:dyDescent="0.2">
      <c r="CE6867"/>
      <c r="CF6867"/>
      <c r="CG6867"/>
      <c r="CH6867"/>
      <c r="CI6867"/>
    </row>
    <row r="6868" spans="83:87" x14ac:dyDescent="0.2">
      <c r="CE6868"/>
      <c r="CF6868"/>
      <c r="CG6868"/>
      <c r="CH6868"/>
      <c r="CI6868"/>
    </row>
    <row r="6869" spans="83:87" x14ac:dyDescent="0.2">
      <c r="CE6869"/>
      <c r="CF6869"/>
      <c r="CG6869"/>
      <c r="CH6869"/>
      <c r="CI6869"/>
    </row>
    <row r="6870" spans="83:87" x14ac:dyDescent="0.2">
      <c r="CE6870"/>
      <c r="CF6870"/>
      <c r="CG6870"/>
      <c r="CH6870"/>
      <c r="CI6870"/>
    </row>
    <row r="6871" spans="83:87" x14ac:dyDescent="0.2">
      <c r="CE6871"/>
      <c r="CF6871"/>
      <c r="CG6871"/>
      <c r="CH6871"/>
      <c r="CI6871"/>
    </row>
    <row r="6872" spans="83:87" x14ac:dyDescent="0.2">
      <c r="CE6872"/>
      <c r="CF6872"/>
      <c r="CG6872"/>
      <c r="CH6872"/>
      <c r="CI6872"/>
    </row>
    <row r="6873" spans="83:87" x14ac:dyDescent="0.2">
      <c r="CE6873"/>
      <c r="CF6873"/>
      <c r="CG6873"/>
      <c r="CH6873"/>
      <c r="CI6873"/>
    </row>
    <row r="6874" spans="83:87" x14ac:dyDescent="0.2">
      <c r="CE6874"/>
      <c r="CF6874"/>
      <c r="CG6874"/>
      <c r="CH6874"/>
      <c r="CI6874"/>
    </row>
    <row r="6875" spans="83:87" x14ac:dyDescent="0.2">
      <c r="CE6875"/>
      <c r="CF6875"/>
      <c r="CG6875"/>
      <c r="CH6875"/>
      <c r="CI6875"/>
    </row>
    <row r="6876" spans="83:87" x14ac:dyDescent="0.2">
      <c r="CE6876"/>
      <c r="CF6876"/>
      <c r="CG6876"/>
      <c r="CH6876"/>
      <c r="CI6876"/>
    </row>
    <row r="6877" spans="83:87" x14ac:dyDescent="0.2">
      <c r="CE6877"/>
      <c r="CF6877"/>
      <c r="CG6877"/>
      <c r="CH6877"/>
      <c r="CI6877"/>
    </row>
    <row r="6878" spans="83:87" x14ac:dyDescent="0.2">
      <c r="CE6878"/>
      <c r="CF6878"/>
      <c r="CG6878"/>
      <c r="CH6878"/>
      <c r="CI6878"/>
    </row>
    <row r="6879" spans="83:87" x14ac:dyDescent="0.2">
      <c r="CE6879"/>
      <c r="CF6879"/>
      <c r="CG6879"/>
      <c r="CH6879"/>
      <c r="CI6879"/>
    </row>
    <row r="6880" spans="83:87" x14ac:dyDescent="0.2">
      <c r="CE6880"/>
      <c r="CF6880"/>
      <c r="CG6880"/>
      <c r="CH6880"/>
      <c r="CI6880"/>
    </row>
    <row r="6881" spans="83:87" x14ac:dyDescent="0.2">
      <c r="CE6881"/>
      <c r="CF6881"/>
      <c r="CG6881"/>
      <c r="CH6881"/>
      <c r="CI6881"/>
    </row>
    <row r="6882" spans="83:87" x14ac:dyDescent="0.2">
      <c r="CE6882"/>
      <c r="CF6882"/>
      <c r="CG6882"/>
      <c r="CH6882"/>
      <c r="CI6882"/>
    </row>
    <row r="6883" spans="83:87" x14ac:dyDescent="0.2">
      <c r="CE6883"/>
      <c r="CF6883"/>
      <c r="CG6883"/>
      <c r="CH6883"/>
      <c r="CI6883"/>
    </row>
    <row r="6884" spans="83:87" x14ac:dyDescent="0.2">
      <c r="CE6884"/>
      <c r="CF6884"/>
      <c r="CG6884"/>
      <c r="CH6884"/>
      <c r="CI6884"/>
    </row>
    <row r="6885" spans="83:87" x14ac:dyDescent="0.2">
      <c r="CE6885"/>
      <c r="CF6885"/>
      <c r="CG6885"/>
      <c r="CH6885"/>
      <c r="CI6885"/>
    </row>
    <row r="6886" spans="83:87" x14ac:dyDescent="0.2">
      <c r="CE6886"/>
      <c r="CF6886"/>
      <c r="CG6886"/>
      <c r="CH6886"/>
      <c r="CI6886"/>
    </row>
    <row r="6887" spans="83:87" x14ac:dyDescent="0.2">
      <c r="CE6887"/>
      <c r="CF6887"/>
      <c r="CG6887"/>
      <c r="CH6887"/>
      <c r="CI6887"/>
    </row>
    <row r="6888" spans="83:87" x14ac:dyDescent="0.2">
      <c r="CE6888"/>
      <c r="CF6888"/>
      <c r="CG6888"/>
      <c r="CH6888"/>
      <c r="CI6888"/>
    </row>
    <row r="6889" spans="83:87" x14ac:dyDescent="0.2">
      <c r="CE6889"/>
      <c r="CF6889"/>
      <c r="CG6889"/>
      <c r="CH6889"/>
      <c r="CI6889"/>
    </row>
    <row r="6890" spans="83:87" x14ac:dyDescent="0.2">
      <c r="CE6890"/>
      <c r="CF6890"/>
      <c r="CG6890"/>
      <c r="CH6890"/>
      <c r="CI6890"/>
    </row>
    <row r="6891" spans="83:87" x14ac:dyDescent="0.2">
      <c r="CE6891"/>
      <c r="CF6891"/>
      <c r="CG6891"/>
      <c r="CH6891"/>
      <c r="CI6891"/>
    </row>
    <row r="6892" spans="83:87" x14ac:dyDescent="0.2">
      <c r="CE6892"/>
      <c r="CF6892"/>
      <c r="CG6892"/>
      <c r="CH6892"/>
      <c r="CI6892"/>
    </row>
    <row r="6893" spans="83:87" x14ac:dyDescent="0.2">
      <c r="CE6893"/>
      <c r="CF6893"/>
      <c r="CG6893"/>
      <c r="CH6893"/>
      <c r="CI6893"/>
    </row>
    <row r="6894" spans="83:87" x14ac:dyDescent="0.2">
      <c r="CE6894"/>
      <c r="CF6894"/>
      <c r="CG6894"/>
      <c r="CH6894"/>
      <c r="CI6894"/>
    </row>
    <row r="6895" spans="83:87" x14ac:dyDescent="0.2">
      <c r="CE6895"/>
      <c r="CF6895"/>
      <c r="CG6895"/>
      <c r="CH6895"/>
      <c r="CI6895"/>
    </row>
    <row r="6896" spans="83:87" x14ac:dyDescent="0.2">
      <c r="CE6896"/>
      <c r="CF6896"/>
      <c r="CG6896"/>
      <c r="CH6896"/>
      <c r="CI6896"/>
    </row>
    <row r="6897" spans="83:87" x14ac:dyDescent="0.2">
      <c r="CE6897"/>
      <c r="CF6897"/>
      <c r="CG6897"/>
      <c r="CH6897"/>
      <c r="CI6897"/>
    </row>
    <row r="6898" spans="83:87" x14ac:dyDescent="0.2">
      <c r="CE6898"/>
      <c r="CF6898"/>
      <c r="CG6898"/>
      <c r="CH6898"/>
      <c r="CI6898"/>
    </row>
    <row r="6899" spans="83:87" x14ac:dyDescent="0.2">
      <c r="CE6899"/>
      <c r="CF6899"/>
      <c r="CG6899"/>
      <c r="CH6899"/>
      <c r="CI6899"/>
    </row>
    <row r="6900" spans="83:87" x14ac:dyDescent="0.2">
      <c r="CE6900"/>
      <c r="CF6900"/>
      <c r="CG6900"/>
      <c r="CH6900"/>
      <c r="CI6900"/>
    </row>
    <row r="6901" spans="83:87" x14ac:dyDescent="0.2">
      <c r="CE6901"/>
      <c r="CF6901"/>
      <c r="CG6901"/>
      <c r="CH6901"/>
      <c r="CI6901"/>
    </row>
    <row r="6902" spans="83:87" x14ac:dyDescent="0.2">
      <c r="CE6902"/>
      <c r="CF6902"/>
      <c r="CG6902"/>
      <c r="CH6902"/>
      <c r="CI6902"/>
    </row>
    <row r="6903" spans="83:87" x14ac:dyDescent="0.2">
      <c r="CE6903"/>
      <c r="CF6903"/>
      <c r="CG6903"/>
      <c r="CH6903"/>
      <c r="CI6903"/>
    </row>
    <row r="6904" spans="83:87" x14ac:dyDescent="0.2">
      <c r="CE6904"/>
      <c r="CF6904"/>
      <c r="CG6904"/>
      <c r="CH6904"/>
      <c r="CI6904"/>
    </row>
    <row r="6905" spans="83:87" x14ac:dyDescent="0.2">
      <c r="CE6905"/>
      <c r="CF6905"/>
      <c r="CG6905"/>
      <c r="CH6905"/>
      <c r="CI6905"/>
    </row>
    <row r="6906" spans="83:87" x14ac:dyDescent="0.2">
      <c r="CE6906"/>
      <c r="CF6906"/>
      <c r="CG6906"/>
      <c r="CH6906"/>
      <c r="CI6906"/>
    </row>
    <row r="6907" spans="83:87" x14ac:dyDescent="0.2">
      <c r="CE6907"/>
      <c r="CF6907"/>
      <c r="CG6907"/>
      <c r="CH6907"/>
      <c r="CI6907"/>
    </row>
    <row r="6908" spans="83:87" x14ac:dyDescent="0.2">
      <c r="CE6908"/>
      <c r="CF6908"/>
      <c r="CG6908"/>
      <c r="CH6908"/>
      <c r="CI6908"/>
    </row>
    <row r="6909" spans="83:87" x14ac:dyDescent="0.2">
      <c r="CE6909"/>
      <c r="CF6909"/>
      <c r="CG6909"/>
      <c r="CH6909"/>
      <c r="CI6909"/>
    </row>
    <row r="6910" spans="83:87" x14ac:dyDescent="0.2">
      <c r="CE6910"/>
      <c r="CF6910"/>
      <c r="CG6910"/>
      <c r="CH6910"/>
      <c r="CI6910"/>
    </row>
    <row r="6911" spans="83:87" x14ac:dyDescent="0.2">
      <c r="CE6911"/>
      <c r="CF6911"/>
      <c r="CG6911"/>
      <c r="CH6911"/>
      <c r="CI6911"/>
    </row>
    <row r="6912" spans="83:87" x14ac:dyDescent="0.2">
      <c r="CE6912"/>
      <c r="CF6912"/>
      <c r="CG6912"/>
      <c r="CH6912"/>
      <c r="CI6912"/>
    </row>
    <row r="6913" spans="83:87" x14ac:dyDescent="0.2">
      <c r="CE6913"/>
      <c r="CF6913"/>
      <c r="CG6913"/>
      <c r="CH6913"/>
      <c r="CI6913"/>
    </row>
    <row r="6914" spans="83:87" x14ac:dyDescent="0.2">
      <c r="CE6914"/>
      <c r="CF6914"/>
      <c r="CG6914"/>
      <c r="CH6914"/>
      <c r="CI6914"/>
    </row>
    <row r="6915" spans="83:87" x14ac:dyDescent="0.2">
      <c r="CE6915"/>
      <c r="CF6915"/>
      <c r="CG6915"/>
      <c r="CH6915"/>
      <c r="CI6915"/>
    </row>
    <row r="6916" spans="83:87" x14ac:dyDescent="0.2">
      <c r="CE6916"/>
      <c r="CF6916"/>
      <c r="CG6916"/>
      <c r="CH6916"/>
      <c r="CI6916"/>
    </row>
    <row r="6917" spans="83:87" x14ac:dyDescent="0.2">
      <c r="CE6917"/>
      <c r="CF6917"/>
      <c r="CG6917"/>
      <c r="CH6917"/>
      <c r="CI6917"/>
    </row>
    <row r="6918" spans="83:87" x14ac:dyDescent="0.2">
      <c r="CE6918"/>
      <c r="CF6918"/>
      <c r="CG6918"/>
      <c r="CH6918"/>
      <c r="CI6918"/>
    </row>
    <row r="6919" spans="83:87" x14ac:dyDescent="0.2">
      <c r="CE6919"/>
      <c r="CF6919"/>
      <c r="CG6919"/>
      <c r="CH6919"/>
      <c r="CI6919"/>
    </row>
    <row r="6920" spans="83:87" x14ac:dyDescent="0.2">
      <c r="CE6920"/>
      <c r="CF6920"/>
      <c r="CG6920"/>
      <c r="CH6920"/>
      <c r="CI6920"/>
    </row>
    <row r="6921" spans="83:87" x14ac:dyDescent="0.2">
      <c r="CE6921"/>
      <c r="CF6921"/>
      <c r="CG6921"/>
      <c r="CH6921"/>
      <c r="CI6921"/>
    </row>
    <row r="6922" spans="83:87" x14ac:dyDescent="0.2">
      <c r="CE6922"/>
      <c r="CF6922"/>
      <c r="CG6922"/>
      <c r="CH6922"/>
      <c r="CI6922"/>
    </row>
    <row r="6923" spans="83:87" x14ac:dyDescent="0.2">
      <c r="CE6923"/>
      <c r="CF6923"/>
      <c r="CG6923"/>
      <c r="CH6923"/>
      <c r="CI6923"/>
    </row>
    <row r="6924" spans="83:87" x14ac:dyDescent="0.2">
      <c r="CE6924"/>
      <c r="CF6924"/>
      <c r="CG6924"/>
      <c r="CH6924"/>
      <c r="CI6924"/>
    </row>
    <row r="6925" spans="83:87" x14ac:dyDescent="0.2">
      <c r="CE6925"/>
      <c r="CF6925"/>
      <c r="CG6925"/>
      <c r="CH6925"/>
      <c r="CI6925"/>
    </row>
    <row r="6926" spans="83:87" x14ac:dyDescent="0.2">
      <c r="CE6926"/>
      <c r="CF6926"/>
      <c r="CG6926"/>
      <c r="CH6926"/>
      <c r="CI6926"/>
    </row>
    <row r="6927" spans="83:87" x14ac:dyDescent="0.2">
      <c r="CE6927"/>
      <c r="CF6927"/>
      <c r="CG6927"/>
      <c r="CH6927"/>
      <c r="CI6927"/>
    </row>
    <row r="6928" spans="83:87" x14ac:dyDescent="0.2">
      <c r="CE6928"/>
      <c r="CF6928"/>
      <c r="CG6928"/>
      <c r="CH6928"/>
      <c r="CI6928"/>
    </row>
    <row r="6929" spans="83:87" x14ac:dyDescent="0.2">
      <c r="CE6929"/>
      <c r="CF6929"/>
      <c r="CG6929"/>
      <c r="CH6929"/>
      <c r="CI6929"/>
    </row>
    <row r="6930" spans="83:87" x14ac:dyDescent="0.2">
      <c r="CE6930"/>
      <c r="CF6930"/>
      <c r="CG6930"/>
      <c r="CH6930"/>
      <c r="CI6930"/>
    </row>
    <row r="6931" spans="83:87" x14ac:dyDescent="0.2">
      <c r="CE6931"/>
      <c r="CF6931"/>
      <c r="CG6931"/>
      <c r="CH6931"/>
      <c r="CI6931"/>
    </row>
    <row r="6932" spans="83:87" x14ac:dyDescent="0.2">
      <c r="CE6932"/>
      <c r="CF6932"/>
      <c r="CG6932"/>
      <c r="CH6932"/>
      <c r="CI6932"/>
    </row>
    <row r="6933" spans="83:87" x14ac:dyDescent="0.2">
      <c r="CE6933"/>
      <c r="CF6933"/>
      <c r="CG6933"/>
      <c r="CH6933"/>
      <c r="CI6933"/>
    </row>
    <row r="6934" spans="83:87" x14ac:dyDescent="0.2">
      <c r="CE6934"/>
      <c r="CF6934"/>
      <c r="CG6934"/>
      <c r="CH6934"/>
      <c r="CI6934"/>
    </row>
    <row r="6935" spans="83:87" x14ac:dyDescent="0.2">
      <c r="CE6935"/>
      <c r="CF6935"/>
      <c r="CG6935"/>
      <c r="CH6935"/>
      <c r="CI6935"/>
    </row>
    <row r="6936" spans="83:87" x14ac:dyDescent="0.2">
      <c r="CE6936"/>
      <c r="CF6936"/>
      <c r="CG6936"/>
      <c r="CH6936"/>
      <c r="CI6936"/>
    </row>
    <row r="6937" spans="83:87" x14ac:dyDescent="0.2">
      <c r="CE6937"/>
      <c r="CF6937"/>
      <c r="CG6937"/>
      <c r="CH6937"/>
      <c r="CI6937"/>
    </row>
    <row r="6938" spans="83:87" x14ac:dyDescent="0.2">
      <c r="CE6938"/>
      <c r="CF6938"/>
      <c r="CG6938"/>
      <c r="CH6938"/>
      <c r="CI6938"/>
    </row>
    <row r="6939" spans="83:87" x14ac:dyDescent="0.2">
      <c r="CE6939"/>
      <c r="CF6939"/>
      <c r="CG6939"/>
      <c r="CH6939"/>
      <c r="CI6939"/>
    </row>
    <row r="6940" spans="83:87" x14ac:dyDescent="0.2">
      <c r="CE6940"/>
      <c r="CF6940"/>
      <c r="CG6940"/>
      <c r="CH6940"/>
      <c r="CI6940"/>
    </row>
    <row r="6941" spans="83:87" x14ac:dyDescent="0.2">
      <c r="CE6941"/>
      <c r="CF6941"/>
      <c r="CG6941"/>
      <c r="CH6941"/>
      <c r="CI6941"/>
    </row>
    <row r="6942" spans="83:87" x14ac:dyDescent="0.2">
      <c r="CE6942"/>
      <c r="CF6942"/>
      <c r="CG6942"/>
      <c r="CH6942"/>
      <c r="CI6942"/>
    </row>
    <row r="6943" spans="83:87" x14ac:dyDescent="0.2">
      <c r="CE6943"/>
      <c r="CF6943"/>
      <c r="CG6943"/>
      <c r="CH6943"/>
      <c r="CI6943"/>
    </row>
    <row r="6944" spans="83:87" x14ac:dyDescent="0.2">
      <c r="CE6944"/>
      <c r="CF6944"/>
      <c r="CG6944"/>
      <c r="CH6944"/>
      <c r="CI6944"/>
    </row>
    <row r="6945" spans="83:87" x14ac:dyDescent="0.2">
      <c r="CE6945"/>
      <c r="CF6945"/>
      <c r="CG6945"/>
      <c r="CH6945"/>
      <c r="CI6945"/>
    </row>
    <row r="6946" spans="83:87" x14ac:dyDescent="0.2">
      <c r="CE6946"/>
      <c r="CF6946"/>
      <c r="CG6946"/>
      <c r="CH6946"/>
      <c r="CI6946"/>
    </row>
    <row r="6947" spans="83:87" x14ac:dyDescent="0.2">
      <c r="CE6947"/>
      <c r="CF6947"/>
      <c r="CG6947"/>
      <c r="CH6947"/>
      <c r="CI6947"/>
    </row>
    <row r="6948" spans="83:87" x14ac:dyDescent="0.2">
      <c r="CE6948"/>
      <c r="CF6948"/>
      <c r="CG6948"/>
      <c r="CH6948"/>
      <c r="CI6948"/>
    </row>
    <row r="6949" spans="83:87" x14ac:dyDescent="0.2">
      <c r="CE6949"/>
      <c r="CF6949"/>
      <c r="CG6949"/>
      <c r="CH6949"/>
      <c r="CI6949"/>
    </row>
    <row r="6950" spans="83:87" x14ac:dyDescent="0.2">
      <c r="CE6950"/>
      <c r="CF6950"/>
      <c r="CG6950"/>
      <c r="CH6950"/>
      <c r="CI6950"/>
    </row>
    <row r="6951" spans="83:87" x14ac:dyDescent="0.2">
      <c r="CE6951"/>
      <c r="CF6951"/>
      <c r="CG6951"/>
      <c r="CH6951"/>
      <c r="CI6951"/>
    </row>
    <row r="6952" spans="83:87" x14ac:dyDescent="0.2">
      <c r="CE6952"/>
      <c r="CF6952"/>
      <c r="CG6952"/>
      <c r="CH6952"/>
      <c r="CI6952"/>
    </row>
    <row r="6953" spans="83:87" x14ac:dyDescent="0.2">
      <c r="CE6953"/>
      <c r="CF6953"/>
      <c r="CG6953"/>
      <c r="CH6953"/>
      <c r="CI6953"/>
    </row>
    <row r="6954" spans="83:87" x14ac:dyDescent="0.2">
      <c r="CE6954"/>
      <c r="CF6954"/>
      <c r="CG6954"/>
      <c r="CH6954"/>
      <c r="CI6954"/>
    </row>
    <row r="6955" spans="83:87" x14ac:dyDescent="0.2">
      <c r="CE6955"/>
      <c r="CF6955"/>
      <c r="CG6955"/>
      <c r="CH6955"/>
      <c r="CI6955"/>
    </row>
    <row r="6956" spans="83:87" x14ac:dyDescent="0.2">
      <c r="CE6956"/>
      <c r="CF6956"/>
      <c r="CG6956"/>
      <c r="CH6956"/>
      <c r="CI6956"/>
    </row>
    <row r="6957" spans="83:87" x14ac:dyDescent="0.2">
      <c r="CE6957"/>
      <c r="CF6957"/>
      <c r="CG6957"/>
      <c r="CH6957"/>
      <c r="CI6957"/>
    </row>
    <row r="6958" spans="83:87" x14ac:dyDescent="0.2">
      <c r="CE6958"/>
      <c r="CF6958"/>
      <c r="CG6958"/>
      <c r="CH6958"/>
      <c r="CI6958"/>
    </row>
    <row r="6959" spans="83:87" x14ac:dyDescent="0.2">
      <c r="CE6959"/>
      <c r="CF6959"/>
      <c r="CG6959"/>
      <c r="CH6959"/>
      <c r="CI6959"/>
    </row>
    <row r="6960" spans="83:87" x14ac:dyDescent="0.2">
      <c r="CE6960"/>
      <c r="CF6960"/>
      <c r="CG6960"/>
      <c r="CH6960"/>
      <c r="CI6960"/>
    </row>
    <row r="6961" spans="83:87" x14ac:dyDescent="0.2">
      <c r="CE6961"/>
      <c r="CF6961"/>
      <c r="CG6961"/>
      <c r="CH6961"/>
      <c r="CI6961"/>
    </row>
    <row r="6962" spans="83:87" x14ac:dyDescent="0.2">
      <c r="CE6962"/>
      <c r="CF6962"/>
      <c r="CG6962"/>
      <c r="CH6962"/>
      <c r="CI6962"/>
    </row>
    <row r="6963" spans="83:87" x14ac:dyDescent="0.2">
      <c r="CE6963"/>
      <c r="CF6963"/>
      <c r="CG6963"/>
      <c r="CH6963"/>
      <c r="CI6963"/>
    </row>
    <row r="6964" spans="83:87" x14ac:dyDescent="0.2">
      <c r="CE6964"/>
      <c r="CF6964"/>
      <c r="CG6964"/>
      <c r="CH6964"/>
      <c r="CI6964"/>
    </row>
    <row r="6965" spans="83:87" x14ac:dyDescent="0.2">
      <c r="CE6965"/>
      <c r="CF6965"/>
      <c r="CG6965"/>
      <c r="CH6965"/>
      <c r="CI6965"/>
    </row>
    <row r="6966" spans="83:87" x14ac:dyDescent="0.2">
      <c r="CE6966"/>
      <c r="CF6966"/>
      <c r="CG6966"/>
      <c r="CH6966"/>
      <c r="CI6966"/>
    </row>
    <row r="6967" spans="83:87" x14ac:dyDescent="0.2">
      <c r="CE6967"/>
      <c r="CF6967"/>
      <c r="CG6967"/>
      <c r="CH6967"/>
      <c r="CI6967"/>
    </row>
    <row r="6968" spans="83:87" x14ac:dyDescent="0.2">
      <c r="CE6968"/>
      <c r="CF6968"/>
      <c r="CG6968"/>
      <c r="CH6968"/>
      <c r="CI6968"/>
    </row>
    <row r="6969" spans="83:87" x14ac:dyDescent="0.2">
      <c r="CE6969"/>
      <c r="CF6969"/>
      <c r="CG6969"/>
      <c r="CH6969"/>
      <c r="CI6969"/>
    </row>
    <row r="6970" spans="83:87" x14ac:dyDescent="0.2">
      <c r="CE6970"/>
      <c r="CF6970"/>
      <c r="CG6970"/>
      <c r="CH6970"/>
      <c r="CI6970"/>
    </row>
    <row r="6971" spans="83:87" x14ac:dyDescent="0.2">
      <c r="CE6971"/>
      <c r="CF6971"/>
      <c r="CG6971"/>
      <c r="CH6971"/>
      <c r="CI6971"/>
    </row>
    <row r="6972" spans="83:87" x14ac:dyDescent="0.2">
      <c r="CE6972"/>
      <c r="CF6972"/>
      <c r="CG6972"/>
      <c r="CH6972"/>
      <c r="CI6972"/>
    </row>
    <row r="6973" spans="83:87" x14ac:dyDescent="0.2">
      <c r="CE6973"/>
      <c r="CF6973"/>
      <c r="CG6973"/>
      <c r="CH6973"/>
      <c r="CI6973"/>
    </row>
    <row r="6974" spans="83:87" x14ac:dyDescent="0.2">
      <c r="CE6974"/>
      <c r="CF6974"/>
      <c r="CG6974"/>
      <c r="CH6974"/>
      <c r="CI6974"/>
    </row>
    <row r="6975" spans="83:87" x14ac:dyDescent="0.2">
      <c r="CE6975"/>
      <c r="CF6975"/>
      <c r="CG6975"/>
      <c r="CH6975"/>
      <c r="CI6975"/>
    </row>
    <row r="6976" spans="83:87" x14ac:dyDescent="0.2">
      <c r="CE6976"/>
      <c r="CF6976"/>
      <c r="CG6976"/>
      <c r="CH6976"/>
      <c r="CI6976"/>
    </row>
    <row r="6977" spans="83:87" x14ac:dyDescent="0.2">
      <c r="CE6977"/>
      <c r="CF6977"/>
      <c r="CG6977"/>
      <c r="CH6977"/>
      <c r="CI6977"/>
    </row>
    <row r="6978" spans="83:87" x14ac:dyDescent="0.2">
      <c r="CE6978"/>
      <c r="CF6978"/>
      <c r="CG6978"/>
      <c r="CH6978"/>
      <c r="CI6978"/>
    </row>
    <row r="6979" spans="83:87" x14ac:dyDescent="0.2">
      <c r="CE6979"/>
      <c r="CF6979"/>
      <c r="CG6979"/>
      <c r="CH6979"/>
      <c r="CI6979"/>
    </row>
    <row r="6980" spans="83:87" x14ac:dyDescent="0.2">
      <c r="CE6980"/>
      <c r="CF6980"/>
      <c r="CG6980"/>
      <c r="CH6980"/>
      <c r="CI6980"/>
    </row>
    <row r="6981" spans="83:87" x14ac:dyDescent="0.2">
      <c r="CE6981"/>
      <c r="CF6981"/>
      <c r="CG6981"/>
      <c r="CH6981"/>
      <c r="CI6981"/>
    </row>
    <row r="6982" spans="83:87" x14ac:dyDescent="0.2">
      <c r="CE6982"/>
      <c r="CF6982"/>
      <c r="CG6982"/>
      <c r="CH6982"/>
      <c r="CI6982"/>
    </row>
    <row r="6983" spans="83:87" x14ac:dyDescent="0.2">
      <c r="CE6983"/>
      <c r="CF6983"/>
      <c r="CG6983"/>
      <c r="CH6983"/>
      <c r="CI6983"/>
    </row>
    <row r="6984" spans="83:87" x14ac:dyDescent="0.2">
      <c r="CE6984"/>
      <c r="CF6984"/>
      <c r="CG6984"/>
      <c r="CH6984"/>
      <c r="CI6984"/>
    </row>
    <row r="6985" spans="83:87" x14ac:dyDescent="0.2">
      <c r="CE6985"/>
      <c r="CF6985"/>
      <c r="CG6985"/>
      <c r="CH6985"/>
      <c r="CI6985"/>
    </row>
    <row r="6986" spans="83:87" x14ac:dyDescent="0.2">
      <c r="CE6986"/>
      <c r="CF6986"/>
      <c r="CG6986"/>
      <c r="CH6986"/>
      <c r="CI6986"/>
    </row>
    <row r="6987" spans="83:87" x14ac:dyDescent="0.2">
      <c r="CE6987"/>
      <c r="CF6987"/>
      <c r="CG6987"/>
      <c r="CH6987"/>
      <c r="CI6987"/>
    </row>
    <row r="6988" spans="83:87" x14ac:dyDescent="0.2">
      <c r="CE6988"/>
      <c r="CF6988"/>
      <c r="CG6988"/>
      <c r="CH6988"/>
      <c r="CI6988"/>
    </row>
    <row r="6989" spans="83:87" x14ac:dyDescent="0.2">
      <c r="CE6989"/>
      <c r="CF6989"/>
      <c r="CG6989"/>
      <c r="CH6989"/>
      <c r="CI6989"/>
    </row>
    <row r="6990" spans="83:87" x14ac:dyDescent="0.2">
      <c r="CE6990"/>
      <c r="CF6990"/>
      <c r="CG6990"/>
      <c r="CH6990"/>
      <c r="CI6990"/>
    </row>
    <row r="6991" spans="83:87" x14ac:dyDescent="0.2">
      <c r="CE6991"/>
      <c r="CF6991"/>
      <c r="CG6991"/>
      <c r="CH6991"/>
      <c r="CI6991"/>
    </row>
    <row r="6992" spans="83:87" x14ac:dyDescent="0.2">
      <c r="CE6992"/>
      <c r="CF6992"/>
      <c r="CG6992"/>
      <c r="CH6992"/>
      <c r="CI6992"/>
    </row>
    <row r="6993" spans="83:87" x14ac:dyDescent="0.2">
      <c r="CE6993"/>
      <c r="CF6993"/>
      <c r="CG6993"/>
      <c r="CH6993"/>
      <c r="CI6993"/>
    </row>
    <row r="6994" spans="83:87" x14ac:dyDescent="0.2">
      <c r="CE6994"/>
      <c r="CF6994"/>
      <c r="CG6994"/>
      <c r="CH6994"/>
      <c r="CI6994"/>
    </row>
    <row r="6995" spans="83:87" x14ac:dyDescent="0.2">
      <c r="CE6995"/>
      <c r="CF6995"/>
      <c r="CG6995"/>
      <c r="CH6995"/>
      <c r="CI6995"/>
    </row>
    <row r="6996" spans="83:87" x14ac:dyDescent="0.2">
      <c r="CE6996"/>
      <c r="CF6996"/>
      <c r="CG6996"/>
      <c r="CH6996"/>
      <c r="CI6996"/>
    </row>
    <row r="6997" spans="83:87" x14ac:dyDescent="0.2">
      <c r="CE6997"/>
      <c r="CF6997"/>
      <c r="CG6997"/>
      <c r="CH6997"/>
      <c r="CI6997"/>
    </row>
    <row r="6998" spans="83:87" x14ac:dyDescent="0.2">
      <c r="CE6998"/>
      <c r="CF6998"/>
      <c r="CG6998"/>
      <c r="CH6998"/>
      <c r="CI6998"/>
    </row>
    <row r="6999" spans="83:87" x14ac:dyDescent="0.2">
      <c r="CE6999"/>
      <c r="CF6999"/>
      <c r="CG6999"/>
      <c r="CH6999"/>
      <c r="CI6999"/>
    </row>
    <row r="7000" spans="83:87" x14ac:dyDescent="0.2">
      <c r="CE7000"/>
      <c r="CF7000"/>
      <c r="CG7000"/>
      <c r="CH7000"/>
      <c r="CI7000"/>
    </row>
    <row r="7001" spans="83:87" x14ac:dyDescent="0.2">
      <c r="CE7001"/>
      <c r="CF7001"/>
      <c r="CG7001"/>
      <c r="CH7001"/>
      <c r="CI7001"/>
    </row>
    <row r="7002" spans="83:87" x14ac:dyDescent="0.2">
      <c r="CE7002"/>
      <c r="CF7002"/>
      <c r="CG7002"/>
      <c r="CH7002"/>
      <c r="CI7002"/>
    </row>
    <row r="7003" spans="83:87" x14ac:dyDescent="0.2">
      <c r="CE7003"/>
      <c r="CF7003"/>
      <c r="CG7003"/>
      <c r="CH7003"/>
      <c r="CI7003"/>
    </row>
    <row r="7004" spans="83:87" x14ac:dyDescent="0.2">
      <c r="CE7004"/>
      <c r="CF7004"/>
      <c r="CG7004"/>
      <c r="CH7004"/>
      <c r="CI7004"/>
    </row>
    <row r="7005" spans="83:87" x14ac:dyDescent="0.2">
      <c r="CE7005"/>
      <c r="CF7005"/>
      <c r="CG7005"/>
      <c r="CH7005"/>
      <c r="CI7005"/>
    </row>
    <row r="7006" spans="83:87" x14ac:dyDescent="0.2">
      <c r="CE7006"/>
      <c r="CF7006"/>
      <c r="CG7006"/>
      <c r="CH7006"/>
      <c r="CI7006"/>
    </row>
    <row r="7007" spans="83:87" x14ac:dyDescent="0.2">
      <c r="CE7007"/>
      <c r="CF7007"/>
      <c r="CG7007"/>
      <c r="CH7007"/>
      <c r="CI7007"/>
    </row>
    <row r="7008" spans="83:87" x14ac:dyDescent="0.2">
      <c r="CE7008"/>
      <c r="CF7008"/>
      <c r="CG7008"/>
      <c r="CH7008"/>
      <c r="CI7008"/>
    </row>
    <row r="7009" spans="83:87" x14ac:dyDescent="0.2">
      <c r="CE7009"/>
      <c r="CF7009"/>
      <c r="CG7009"/>
      <c r="CH7009"/>
      <c r="CI7009"/>
    </row>
    <row r="7010" spans="83:87" x14ac:dyDescent="0.2">
      <c r="CE7010"/>
      <c r="CF7010"/>
      <c r="CG7010"/>
      <c r="CH7010"/>
      <c r="CI7010"/>
    </row>
    <row r="7011" spans="83:87" x14ac:dyDescent="0.2">
      <c r="CE7011"/>
      <c r="CF7011"/>
      <c r="CG7011"/>
      <c r="CH7011"/>
      <c r="CI7011"/>
    </row>
    <row r="7012" spans="83:87" x14ac:dyDescent="0.2">
      <c r="CE7012"/>
      <c r="CF7012"/>
      <c r="CG7012"/>
      <c r="CH7012"/>
      <c r="CI7012"/>
    </row>
    <row r="7013" spans="83:87" x14ac:dyDescent="0.2">
      <c r="CE7013"/>
      <c r="CF7013"/>
      <c r="CG7013"/>
      <c r="CH7013"/>
      <c r="CI7013"/>
    </row>
    <row r="7014" spans="83:87" x14ac:dyDescent="0.2">
      <c r="CE7014"/>
      <c r="CF7014"/>
      <c r="CG7014"/>
      <c r="CH7014"/>
      <c r="CI7014"/>
    </row>
    <row r="7015" spans="83:87" x14ac:dyDescent="0.2">
      <c r="CE7015"/>
      <c r="CF7015"/>
      <c r="CG7015"/>
      <c r="CH7015"/>
      <c r="CI7015"/>
    </row>
    <row r="7016" spans="83:87" x14ac:dyDescent="0.2">
      <c r="CE7016"/>
      <c r="CF7016"/>
      <c r="CG7016"/>
      <c r="CH7016"/>
      <c r="CI7016"/>
    </row>
    <row r="7017" spans="83:87" x14ac:dyDescent="0.2">
      <c r="CE7017"/>
      <c r="CF7017"/>
      <c r="CG7017"/>
      <c r="CH7017"/>
      <c r="CI7017"/>
    </row>
    <row r="7018" spans="83:87" x14ac:dyDescent="0.2">
      <c r="CE7018"/>
      <c r="CF7018"/>
      <c r="CG7018"/>
      <c r="CH7018"/>
      <c r="CI7018"/>
    </row>
    <row r="7019" spans="83:87" x14ac:dyDescent="0.2">
      <c r="CE7019"/>
      <c r="CF7019"/>
      <c r="CG7019"/>
      <c r="CH7019"/>
      <c r="CI7019"/>
    </row>
    <row r="7020" spans="83:87" x14ac:dyDescent="0.2">
      <c r="CE7020"/>
      <c r="CF7020"/>
      <c r="CG7020"/>
      <c r="CH7020"/>
      <c r="CI7020"/>
    </row>
    <row r="7021" spans="83:87" x14ac:dyDescent="0.2">
      <c r="CE7021"/>
      <c r="CF7021"/>
      <c r="CG7021"/>
      <c r="CH7021"/>
      <c r="CI7021"/>
    </row>
    <row r="7022" spans="83:87" x14ac:dyDescent="0.2">
      <c r="CE7022"/>
      <c r="CF7022"/>
      <c r="CG7022"/>
      <c r="CH7022"/>
      <c r="CI7022"/>
    </row>
    <row r="7023" spans="83:87" x14ac:dyDescent="0.2">
      <c r="CE7023"/>
      <c r="CF7023"/>
      <c r="CG7023"/>
      <c r="CH7023"/>
      <c r="CI7023"/>
    </row>
    <row r="7024" spans="83:87" x14ac:dyDescent="0.2">
      <c r="CE7024"/>
      <c r="CF7024"/>
      <c r="CG7024"/>
      <c r="CH7024"/>
      <c r="CI7024"/>
    </row>
    <row r="7025" spans="83:87" x14ac:dyDescent="0.2">
      <c r="CE7025"/>
      <c r="CF7025"/>
      <c r="CG7025"/>
      <c r="CH7025"/>
      <c r="CI7025"/>
    </row>
    <row r="7026" spans="83:87" x14ac:dyDescent="0.2">
      <c r="CE7026"/>
      <c r="CF7026"/>
      <c r="CG7026"/>
      <c r="CH7026"/>
      <c r="CI7026"/>
    </row>
    <row r="7027" spans="83:87" x14ac:dyDescent="0.2">
      <c r="CE7027"/>
      <c r="CF7027"/>
      <c r="CG7027"/>
      <c r="CH7027"/>
      <c r="CI7027"/>
    </row>
    <row r="7028" spans="83:87" x14ac:dyDescent="0.2">
      <c r="CE7028"/>
      <c r="CF7028"/>
      <c r="CG7028"/>
      <c r="CH7028"/>
      <c r="CI7028"/>
    </row>
    <row r="7029" spans="83:87" x14ac:dyDescent="0.2">
      <c r="CE7029"/>
      <c r="CF7029"/>
      <c r="CG7029"/>
      <c r="CH7029"/>
      <c r="CI7029"/>
    </row>
    <row r="7030" spans="83:87" x14ac:dyDescent="0.2">
      <c r="CE7030"/>
      <c r="CF7030"/>
      <c r="CG7030"/>
      <c r="CH7030"/>
      <c r="CI7030"/>
    </row>
    <row r="7031" spans="83:87" x14ac:dyDescent="0.2">
      <c r="CE7031"/>
      <c r="CF7031"/>
      <c r="CG7031"/>
      <c r="CH7031"/>
      <c r="CI7031"/>
    </row>
    <row r="7032" spans="83:87" x14ac:dyDescent="0.2">
      <c r="CE7032"/>
      <c r="CF7032"/>
      <c r="CG7032"/>
      <c r="CH7032"/>
      <c r="CI7032"/>
    </row>
    <row r="7033" spans="83:87" x14ac:dyDescent="0.2">
      <c r="CE7033"/>
      <c r="CF7033"/>
      <c r="CG7033"/>
      <c r="CH7033"/>
      <c r="CI7033"/>
    </row>
    <row r="7034" spans="83:87" x14ac:dyDescent="0.2">
      <c r="CE7034"/>
      <c r="CF7034"/>
      <c r="CG7034"/>
      <c r="CH7034"/>
      <c r="CI7034"/>
    </row>
    <row r="7035" spans="83:87" x14ac:dyDescent="0.2">
      <c r="CE7035"/>
      <c r="CF7035"/>
      <c r="CG7035"/>
      <c r="CH7035"/>
      <c r="CI7035"/>
    </row>
    <row r="7036" spans="83:87" x14ac:dyDescent="0.2">
      <c r="CE7036"/>
      <c r="CF7036"/>
      <c r="CG7036"/>
      <c r="CH7036"/>
      <c r="CI7036"/>
    </row>
    <row r="7037" spans="83:87" x14ac:dyDescent="0.2">
      <c r="CE7037"/>
      <c r="CF7037"/>
      <c r="CG7037"/>
      <c r="CH7037"/>
      <c r="CI7037"/>
    </row>
    <row r="7038" spans="83:87" x14ac:dyDescent="0.2">
      <c r="CE7038"/>
      <c r="CF7038"/>
      <c r="CG7038"/>
      <c r="CH7038"/>
      <c r="CI7038"/>
    </row>
    <row r="7039" spans="83:87" x14ac:dyDescent="0.2">
      <c r="CE7039"/>
      <c r="CF7039"/>
      <c r="CG7039"/>
      <c r="CH7039"/>
      <c r="CI7039"/>
    </row>
    <row r="7040" spans="83:87" x14ac:dyDescent="0.2">
      <c r="CE7040"/>
      <c r="CF7040"/>
      <c r="CG7040"/>
      <c r="CH7040"/>
      <c r="CI7040"/>
    </row>
    <row r="7041" spans="83:87" x14ac:dyDescent="0.2">
      <c r="CE7041"/>
      <c r="CF7041"/>
      <c r="CG7041"/>
      <c r="CH7041"/>
      <c r="CI7041"/>
    </row>
    <row r="7042" spans="83:87" x14ac:dyDescent="0.2">
      <c r="CE7042"/>
      <c r="CF7042"/>
      <c r="CG7042"/>
      <c r="CH7042"/>
      <c r="CI7042"/>
    </row>
    <row r="7043" spans="83:87" x14ac:dyDescent="0.2">
      <c r="CE7043"/>
      <c r="CF7043"/>
      <c r="CG7043"/>
      <c r="CH7043"/>
      <c r="CI7043"/>
    </row>
    <row r="7044" spans="83:87" x14ac:dyDescent="0.2">
      <c r="CE7044"/>
      <c r="CF7044"/>
      <c r="CG7044"/>
      <c r="CH7044"/>
      <c r="CI7044"/>
    </row>
    <row r="7045" spans="83:87" x14ac:dyDescent="0.2">
      <c r="CE7045"/>
      <c r="CF7045"/>
      <c r="CG7045"/>
      <c r="CH7045"/>
      <c r="CI7045"/>
    </row>
    <row r="7046" spans="83:87" x14ac:dyDescent="0.2">
      <c r="CE7046"/>
      <c r="CF7046"/>
      <c r="CG7046"/>
      <c r="CH7046"/>
      <c r="CI7046"/>
    </row>
    <row r="7047" spans="83:87" x14ac:dyDescent="0.2">
      <c r="CE7047"/>
      <c r="CF7047"/>
      <c r="CG7047"/>
      <c r="CH7047"/>
      <c r="CI7047"/>
    </row>
    <row r="7048" spans="83:87" x14ac:dyDescent="0.2">
      <c r="CE7048"/>
      <c r="CF7048"/>
      <c r="CG7048"/>
      <c r="CH7048"/>
      <c r="CI7048"/>
    </row>
    <row r="7049" spans="83:87" x14ac:dyDescent="0.2">
      <c r="CE7049"/>
      <c r="CF7049"/>
      <c r="CG7049"/>
      <c r="CH7049"/>
      <c r="CI7049"/>
    </row>
    <row r="7050" spans="83:87" x14ac:dyDescent="0.2">
      <c r="CE7050"/>
      <c r="CF7050"/>
      <c r="CG7050"/>
      <c r="CH7050"/>
      <c r="CI7050"/>
    </row>
    <row r="7051" spans="83:87" x14ac:dyDescent="0.2">
      <c r="CE7051"/>
      <c r="CF7051"/>
      <c r="CG7051"/>
      <c r="CH7051"/>
      <c r="CI7051"/>
    </row>
    <row r="7052" spans="83:87" x14ac:dyDescent="0.2">
      <c r="CE7052"/>
      <c r="CF7052"/>
      <c r="CG7052"/>
      <c r="CH7052"/>
      <c r="CI7052"/>
    </row>
    <row r="7053" spans="83:87" x14ac:dyDescent="0.2">
      <c r="CE7053"/>
      <c r="CF7053"/>
      <c r="CG7053"/>
      <c r="CH7053"/>
      <c r="CI7053"/>
    </row>
    <row r="7054" spans="83:87" x14ac:dyDescent="0.2">
      <c r="CE7054"/>
      <c r="CF7054"/>
      <c r="CG7054"/>
      <c r="CH7054"/>
      <c r="CI7054"/>
    </row>
    <row r="7055" spans="83:87" x14ac:dyDescent="0.2">
      <c r="CE7055"/>
      <c r="CF7055"/>
      <c r="CG7055"/>
      <c r="CH7055"/>
      <c r="CI7055"/>
    </row>
    <row r="7056" spans="83:87" x14ac:dyDescent="0.2">
      <c r="CE7056"/>
      <c r="CF7056"/>
      <c r="CG7056"/>
      <c r="CH7056"/>
      <c r="CI7056"/>
    </row>
    <row r="7057" spans="83:87" x14ac:dyDescent="0.2">
      <c r="CE7057"/>
      <c r="CF7057"/>
      <c r="CG7057"/>
      <c r="CH7057"/>
      <c r="CI7057"/>
    </row>
    <row r="7058" spans="83:87" x14ac:dyDescent="0.2">
      <c r="CE7058"/>
      <c r="CF7058"/>
      <c r="CG7058"/>
      <c r="CH7058"/>
      <c r="CI7058"/>
    </row>
    <row r="7059" spans="83:87" x14ac:dyDescent="0.2">
      <c r="CE7059"/>
      <c r="CF7059"/>
      <c r="CG7059"/>
      <c r="CH7059"/>
      <c r="CI7059"/>
    </row>
    <row r="7060" spans="83:87" x14ac:dyDescent="0.2">
      <c r="CE7060"/>
      <c r="CF7060"/>
      <c r="CG7060"/>
      <c r="CH7060"/>
      <c r="CI7060"/>
    </row>
    <row r="7061" spans="83:87" x14ac:dyDescent="0.2">
      <c r="CE7061"/>
      <c r="CF7061"/>
      <c r="CG7061"/>
      <c r="CH7061"/>
      <c r="CI7061"/>
    </row>
    <row r="7062" spans="83:87" x14ac:dyDescent="0.2">
      <c r="CE7062"/>
      <c r="CF7062"/>
      <c r="CG7062"/>
      <c r="CH7062"/>
      <c r="CI7062"/>
    </row>
    <row r="7063" spans="83:87" x14ac:dyDescent="0.2">
      <c r="CE7063"/>
      <c r="CF7063"/>
      <c r="CG7063"/>
      <c r="CH7063"/>
      <c r="CI7063"/>
    </row>
    <row r="7064" spans="83:87" x14ac:dyDescent="0.2">
      <c r="CE7064"/>
      <c r="CF7064"/>
      <c r="CG7064"/>
      <c r="CH7064"/>
      <c r="CI7064"/>
    </row>
    <row r="7065" spans="83:87" x14ac:dyDescent="0.2">
      <c r="CE7065"/>
      <c r="CF7065"/>
      <c r="CG7065"/>
      <c r="CH7065"/>
      <c r="CI7065"/>
    </row>
    <row r="7066" spans="83:87" x14ac:dyDescent="0.2">
      <c r="CE7066"/>
      <c r="CF7066"/>
      <c r="CG7066"/>
      <c r="CH7066"/>
      <c r="CI7066"/>
    </row>
    <row r="7067" spans="83:87" x14ac:dyDescent="0.2">
      <c r="CE7067"/>
      <c r="CF7067"/>
      <c r="CG7067"/>
      <c r="CH7067"/>
      <c r="CI7067"/>
    </row>
    <row r="7068" spans="83:87" x14ac:dyDescent="0.2">
      <c r="CE7068"/>
      <c r="CF7068"/>
      <c r="CG7068"/>
      <c r="CH7068"/>
      <c r="CI7068"/>
    </row>
    <row r="7069" spans="83:87" x14ac:dyDescent="0.2">
      <c r="CE7069"/>
      <c r="CF7069"/>
      <c r="CG7069"/>
      <c r="CH7069"/>
      <c r="CI7069"/>
    </row>
    <row r="7070" spans="83:87" x14ac:dyDescent="0.2">
      <c r="CE7070"/>
      <c r="CF7070"/>
      <c r="CG7070"/>
      <c r="CH7070"/>
      <c r="CI7070"/>
    </row>
    <row r="7071" spans="83:87" x14ac:dyDescent="0.2">
      <c r="CE7071"/>
      <c r="CF7071"/>
      <c r="CG7071"/>
      <c r="CH7071"/>
      <c r="CI7071"/>
    </row>
    <row r="7072" spans="83:87" x14ac:dyDescent="0.2">
      <c r="CE7072"/>
      <c r="CF7072"/>
      <c r="CG7072"/>
      <c r="CH7072"/>
      <c r="CI7072"/>
    </row>
    <row r="7073" spans="83:87" x14ac:dyDescent="0.2">
      <c r="CE7073"/>
      <c r="CF7073"/>
      <c r="CG7073"/>
      <c r="CH7073"/>
      <c r="CI7073"/>
    </row>
    <row r="7074" spans="83:87" x14ac:dyDescent="0.2">
      <c r="CE7074"/>
      <c r="CF7074"/>
      <c r="CG7074"/>
      <c r="CH7074"/>
      <c r="CI7074"/>
    </row>
    <row r="7075" spans="83:87" x14ac:dyDescent="0.2">
      <c r="CE7075"/>
      <c r="CF7075"/>
      <c r="CG7075"/>
      <c r="CH7075"/>
      <c r="CI7075"/>
    </row>
    <row r="7076" spans="83:87" x14ac:dyDescent="0.2">
      <c r="CE7076"/>
      <c r="CF7076"/>
      <c r="CG7076"/>
      <c r="CH7076"/>
      <c r="CI7076"/>
    </row>
    <row r="7077" spans="83:87" x14ac:dyDescent="0.2">
      <c r="CE7077"/>
      <c r="CF7077"/>
      <c r="CG7077"/>
      <c r="CH7077"/>
      <c r="CI7077"/>
    </row>
    <row r="7078" spans="83:87" x14ac:dyDescent="0.2">
      <c r="CE7078"/>
      <c r="CF7078"/>
      <c r="CG7078"/>
      <c r="CH7078"/>
      <c r="CI7078"/>
    </row>
    <row r="7079" spans="83:87" x14ac:dyDescent="0.2">
      <c r="CE7079"/>
      <c r="CF7079"/>
      <c r="CG7079"/>
      <c r="CH7079"/>
      <c r="CI7079"/>
    </row>
    <row r="7080" spans="83:87" x14ac:dyDescent="0.2">
      <c r="CE7080"/>
      <c r="CF7080"/>
      <c r="CG7080"/>
      <c r="CH7080"/>
      <c r="CI7080"/>
    </row>
    <row r="7081" spans="83:87" x14ac:dyDescent="0.2">
      <c r="CE7081"/>
      <c r="CF7081"/>
      <c r="CG7081"/>
      <c r="CH7081"/>
      <c r="CI7081"/>
    </row>
    <row r="7082" spans="83:87" x14ac:dyDescent="0.2">
      <c r="CE7082"/>
      <c r="CF7082"/>
      <c r="CG7082"/>
      <c r="CH7082"/>
      <c r="CI7082"/>
    </row>
    <row r="7083" spans="83:87" x14ac:dyDescent="0.2">
      <c r="CE7083"/>
      <c r="CF7083"/>
      <c r="CG7083"/>
      <c r="CH7083"/>
      <c r="CI7083"/>
    </row>
    <row r="7084" spans="83:87" x14ac:dyDescent="0.2">
      <c r="CE7084"/>
      <c r="CF7084"/>
      <c r="CG7084"/>
      <c r="CH7084"/>
      <c r="CI7084"/>
    </row>
    <row r="7085" spans="83:87" x14ac:dyDescent="0.2">
      <c r="CE7085"/>
      <c r="CF7085"/>
      <c r="CG7085"/>
      <c r="CH7085"/>
      <c r="CI7085"/>
    </row>
    <row r="7086" spans="83:87" x14ac:dyDescent="0.2">
      <c r="CE7086"/>
      <c r="CF7086"/>
      <c r="CG7086"/>
      <c r="CH7086"/>
      <c r="CI7086"/>
    </row>
    <row r="7087" spans="83:87" x14ac:dyDescent="0.2">
      <c r="CE7087"/>
      <c r="CF7087"/>
      <c r="CG7087"/>
      <c r="CH7087"/>
      <c r="CI7087"/>
    </row>
    <row r="7088" spans="83:87" x14ac:dyDescent="0.2">
      <c r="CE7088"/>
      <c r="CF7088"/>
      <c r="CG7088"/>
      <c r="CH7088"/>
      <c r="CI7088"/>
    </row>
    <row r="7089" spans="83:87" x14ac:dyDescent="0.2">
      <c r="CE7089"/>
      <c r="CF7089"/>
      <c r="CG7089"/>
      <c r="CH7089"/>
      <c r="CI7089"/>
    </row>
    <row r="7090" spans="83:87" x14ac:dyDescent="0.2">
      <c r="CE7090"/>
      <c r="CF7090"/>
      <c r="CG7090"/>
      <c r="CH7090"/>
      <c r="CI7090"/>
    </row>
    <row r="7091" spans="83:87" x14ac:dyDescent="0.2">
      <c r="CE7091"/>
      <c r="CF7091"/>
      <c r="CG7091"/>
      <c r="CH7091"/>
      <c r="CI7091"/>
    </row>
    <row r="7092" spans="83:87" x14ac:dyDescent="0.2">
      <c r="CE7092"/>
      <c r="CF7092"/>
      <c r="CG7092"/>
      <c r="CH7092"/>
      <c r="CI7092"/>
    </row>
    <row r="7093" spans="83:87" x14ac:dyDescent="0.2">
      <c r="CE7093"/>
      <c r="CF7093"/>
      <c r="CG7093"/>
      <c r="CH7093"/>
      <c r="CI7093"/>
    </row>
    <row r="7094" spans="83:87" x14ac:dyDescent="0.2">
      <c r="CE7094"/>
      <c r="CF7094"/>
      <c r="CG7094"/>
      <c r="CH7094"/>
      <c r="CI7094"/>
    </row>
    <row r="7095" spans="83:87" x14ac:dyDescent="0.2">
      <c r="CE7095"/>
      <c r="CF7095"/>
      <c r="CG7095"/>
      <c r="CH7095"/>
      <c r="CI7095"/>
    </row>
    <row r="7096" spans="83:87" x14ac:dyDescent="0.2">
      <c r="CE7096"/>
      <c r="CF7096"/>
      <c r="CG7096"/>
      <c r="CH7096"/>
      <c r="CI7096"/>
    </row>
    <row r="7097" spans="83:87" x14ac:dyDescent="0.2">
      <c r="CE7097"/>
      <c r="CF7097"/>
      <c r="CG7097"/>
      <c r="CH7097"/>
      <c r="CI7097"/>
    </row>
    <row r="7098" spans="83:87" x14ac:dyDescent="0.2">
      <c r="CE7098"/>
      <c r="CF7098"/>
      <c r="CG7098"/>
      <c r="CH7098"/>
      <c r="CI7098"/>
    </row>
    <row r="7099" spans="83:87" x14ac:dyDescent="0.2">
      <c r="CE7099"/>
      <c r="CF7099"/>
      <c r="CG7099"/>
      <c r="CH7099"/>
      <c r="CI7099"/>
    </row>
    <row r="7100" spans="83:87" x14ac:dyDescent="0.2">
      <c r="CE7100"/>
      <c r="CF7100"/>
      <c r="CG7100"/>
      <c r="CH7100"/>
      <c r="CI7100"/>
    </row>
    <row r="7101" spans="83:87" x14ac:dyDescent="0.2">
      <c r="CE7101"/>
      <c r="CF7101"/>
      <c r="CG7101"/>
      <c r="CH7101"/>
      <c r="CI7101"/>
    </row>
    <row r="7102" spans="83:87" x14ac:dyDescent="0.2">
      <c r="CE7102"/>
      <c r="CF7102"/>
      <c r="CG7102"/>
      <c r="CH7102"/>
      <c r="CI7102"/>
    </row>
    <row r="7103" spans="83:87" x14ac:dyDescent="0.2">
      <c r="CE7103"/>
      <c r="CF7103"/>
      <c r="CG7103"/>
      <c r="CH7103"/>
      <c r="CI7103"/>
    </row>
    <row r="7104" spans="83:87" x14ac:dyDescent="0.2">
      <c r="CE7104"/>
      <c r="CF7104"/>
      <c r="CG7104"/>
      <c r="CH7104"/>
      <c r="CI7104"/>
    </row>
    <row r="7105" spans="83:87" x14ac:dyDescent="0.2">
      <c r="CE7105"/>
      <c r="CF7105"/>
      <c r="CG7105"/>
      <c r="CH7105"/>
      <c r="CI7105"/>
    </row>
    <row r="7106" spans="83:87" x14ac:dyDescent="0.2">
      <c r="CE7106"/>
      <c r="CF7106"/>
      <c r="CG7106"/>
      <c r="CH7106"/>
      <c r="CI7106"/>
    </row>
    <row r="7107" spans="83:87" x14ac:dyDescent="0.2">
      <c r="CE7107"/>
      <c r="CF7107"/>
      <c r="CG7107"/>
      <c r="CH7107"/>
      <c r="CI7107"/>
    </row>
    <row r="7108" spans="83:87" x14ac:dyDescent="0.2">
      <c r="CE7108"/>
      <c r="CF7108"/>
      <c r="CG7108"/>
      <c r="CH7108"/>
      <c r="CI7108"/>
    </row>
    <row r="7109" spans="83:87" x14ac:dyDescent="0.2">
      <c r="CE7109"/>
      <c r="CF7109"/>
      <c r="CG7109"/>
      <c r="CH7109"/>
      <c r="CI7109"/>
    </row>
    <row r="7110" spans="83:87" x14ac:dyDescent="0.2">
      <c r="CE7110"/>
      <c r="CF7110"/>
      <c r="CG7110"/>
      <c r="CH7110"/>
      <c r="CI7110"/>
    </row>
    <row r="7111" spans="83:87" x14ac:dyDescent="0.2">
      <c r="CE7111"/>
      <c r="CF7111"/>
      <c r="CG7111"/>
      <c r="CH7111"/>
      <c r="CI7111"/>
    </row>
    <row r="7112" spans="83:87" x14ac:dyDescent="0.2">
      <c r="CE7112"/>
      <c r="CF7112"/>
      <c r="CG7112"/>
      <c r="CH7112"/>
      <c r="CI7112"/>
    </row>
    <row r="7113" spans="83:87" x14ac:dyDescent="0.2">
      <c r="CE7113"/>
      <c r="CF7113"/>
      <c r="CG7113"/>
      <c r="CH7113"/>
      <c r="CI7113"/>
    </row>
    <row r="7114" spans="83:87" x14ac:dyDescent="0.2">
      <c r="CE7114"/>
      <c r="CF7114"/>
      <c r="CG7114"/>
      <c r="CH7114"/>
      <c r="CI7114"/>
    </row>
    <row r="7115" spans="83:87" x14ac:dyDescent="0.2">
      <c r="CE7115"/>
      <c r="CF7115"/>
      <c r="CG7115"/>
      <c r="CH7115"/>
      <c r="CI7115"/>
    </row>
    <row r="7116" spans="83:87" x14ac:dyDescent="0.2">
      <c r="CE7116"/>
      <c r="CF7116"/>
      <c r="CG7116"/>
      <c r="CH7116"/>
      <c r="CI7116"/>
    </row>
    <row r="7117" spans="83:87" x14ac:dyDescent="0.2">
      <c r="CE7117"/>
      <c r="CF7117"/>
      <c r="CG7117"/>
      <c r="CH7117"/>
      <c r="CI7117"/>
    </row>
    <row r="7118" spans="83:87" x14ac:dyDescent="0.2">
      <c r="CE7118"/>
      <c r="CF7118"/>
      <c r="CG7118"/>
      <c r="CH7118"/>
      <c r="CI7118"/>
    </row>
    <row r="7119" spans="83:87" x14ac:dyDescent="0.2">
      <c r="CE7119"/>
      <c r="CF7119"/>
      <c r="CG7119"/>
      <c r="CH7119"/>
      <c r="CI7119"/>
    </row>
    <row r="7120" spans="83:87" x14ac:dyDescent="0.2">
      <c r="CE7120"/>
      <c r="CF7120"/>
      <c r="CG7120"/>
      <c r="CH7120"/>
      <c r="CI7120"/>
    </row>
    <row r="7121" spans="83:87" x14ac:dyDescent="0.2">
      <c r="CE7121"/>
      <c r="CF7121"/>
      <c r="CG7121"/>
      <c r="CH7121"/>
      <c r="CI7121"/>
    </row>
    <row r="7122" spans="83:87" x14ac:dyDescent="0.2">
      <c r="CE7122"/>
      <c r="CF7122"/>
      <c r="CG7122"/>
      <c r="CH7122"/>
      <c r="CI7122"/>
    </row>
    <row r="7123" spans="83:87" x14ac:dyDescent="0.2">
      <c r="CE7123"/>
      <c r="CF7123"/>
      <c r="CG7123"/>
      <c r="CH7123"/>
      <c r="CI7123"/>
    </row>
    <row r="7124" spans="83:87" x14ac:dyDescent="0.2">
      <c r="CE7124"/>
      <c r="CF7124"/>
      <c r="CG7124"/>
      <c r="CH7124"/>
      <c r="CI7124"/>
    </row>
    <row r="7125" spans="83:87" x14ac:dyDescent="0.2">
      <c r="CE7125"/>
      <c r="CF7125"/>
      <c r="CG7125"/>
      <c r="CH7125"/>
      <c r="CI7125"/>
    </row>
    <row r="7126" spans="83:87" x14ac:dyDescent="0.2">
      <c r="CE7126"/>
      <c r="CF7126"/>
      <c r="CG7126"/>
      <c r="CH7126"/>
      <c r="CI7126"/>
    </row>
    <row r="7127" spans="83:87" x14ac:dyDescent="0.2">
      <c r="CE7127"/>
      <c r="CF7127"/>
      <c r="CG7127"/>
      <c r="CH7127"/>
      <c r="CI7127"/>
    </row>
    <row r="7128" spans="83:87" x14ac:dyDescent="0.2">
      <c r="CE7128"/>
      <c r="CF7128"/>
      <c r="CG7128"/>
      <c r="CH7128"/>
      <c r="CI7128"/>
    </row>
    <row r="7129" spans="83:87" x14ac:dyDescent="0.2">
      <c r="CE7129"/>
      <c r="CF7129"/>
      <c r="CG7129"/>
      <c r="CH7129"/>
      <c r="CI7129"/>
    </row>
    <row r="7130" spans="83:87" x14ac:dyDescent="0.2">
      <c r="CE7130"/>
      <c r="CF7130"/>
      <c r="CG7130"/>
      <c r="CH7130"/>
      <c r="CI7130"/>
    </row>
    <row r="7131" spans="83:87" x14ac:dyDescent="0.2">
      <c r="CE7131"/>
      <c r="CF7131"/>
      <c r="CG7131"/>
      <c r="CH7131"/>
      <c r="CI7131"/>
    </row>
    <row r="7132" spans="83:87" x14ac:dyDescent="0.2">
      <c r="CE7132"/>
      <c r="CF7132"/>
      <c r="CG7132"/>
      <c r="CH7132"/>
      <c r="CI7132"/>
    </row>
    <row r="7133" spans="83:87" x14ac:dyDescent="0.2">
      <c r="CE7133"/>
      <c r="CF7133"/>
      <c r="CG7133"/>
      <c r="CH7133"/>
      <c r="CI7133"/>
    </row>
    <row r="7134" spans="83:87" x14ac:dyDescent="0.2">
      <c r="CE7134"/>
      <c r="CF7134"/>
      <c r="CG7134"/>
      <c r="CH7134"/>
      <c r="CI7134"/>
    </row>
    <row r="7135" spans="83:87" x14ac:dyDescent="0.2">
      <c r="CE7135"/>
      <c r="CF7135"/>
      <c r="CG7135"/>
      <c r="CH7135"/>
      <c r="CI7135"/>
    </row>
    <row r="7136" spans="83:87" x14ac:dyDescent="0.2">
      <c r="CE7136"/>
      <c r="CF7136"/>
      <c r="CG7136"/>
      <c r="CH7136"/>
      <c r="CI7136"/>
    </row>
    <row r="7137" spans="83:87" x14ac:dyDescent="0.2">
      <c r="CE7137"/>
      <c r="CF7137"/>
      <c r="CG7137"/>
      <c r="CH7137"/>
      <c r="CI7137"/>
    </row>
    <row r="7138" spans="83:87" x14ac:dyDescent="0.2">
      <c r="CE7138"/>
      <c r="CF7138"/>
      <c r="CG7138"/>
      <c r="CH7138"/>
      <c r="CI7138"/>
    </row>
    <row r="7139" spans="83:87" x14ac:dyDescent="0.2">
      <c r="CE7139"/>
      <c r="CF7139"/>
      <c r="CG7139"/>
      <c r="CH7139"/>
      <c r="CI7139"/>
    </row>
    <row r="7140" spans="83:87" x14ac:dyDescent="0.2">
      <c r="CE7140"/>
      <c r="CF7140"/>
      <c r="CG7140"/>
      <c r="CH7140"/>
      <c r="CI7140"/>
    </row>
    <row r="7141" spans="83:87" x14ac:dyDescent="0.2">
      <c r="CE7141"/>
      <c r="CF7141"/>
      <c r="CG7141"/>
      <c r="CH7141"/>
      <c r="CI7141"/>
    </row>
    <row r="7142" spans="83:87" x14ac:dyDescent="0.2">
      <c r="CE7142"/>
      <c r="CF7142"/>
      <c r="CG7142"/>
      <c r="CH7142"/>
      <c r="CI7142"/>
    </row>
    <row r="7143" spans="83:87" x14ac:dyDescent="0.2">
      <c r="CE7143"/>
      <c r="CF7143"/>
      <c r="CG7143"/>
      <c r="CH7143"/>
      <c r="CI7143"/>
    </row>
    <row r="7144" spans="83:87" x14ac:dyDescent="0.2">
      <c r="CE7144"/>
      <c r="CF7144"/>
      <c r="CG7144"/>
      <c r="CH7144"/>
      <c r="CI7144"/>
    </row>
    <row r="7145" spans="83:87" x14ac:dyDescent="0.2">
      <c r="CE7145"/>
      <c r="CF7145"/>
      <c r="CG7145"/>
      <c r="CH7145"/>
      <c r="CI7145"/>
    </row>
    <row r="7146" spans="83:87" x14ac:dyDescent="0.2">
      <c r="CE7146"/>
      <c r="CF7146"/>
      <c r="CG7146"/>
      <c r="CH7146"/>
      <c r="CI7146"/>
    </row>
    <row r="7147" spans="83:87" x14ac:dyDescent="0.2">
      <c r="CE7147"/>
      <c r="CF7147"/>
      <c r="CG7147"/>
      <c r="CH7147"/>
      <c r="CI7147"/>
    </row>
    <row r="7148" spans="83:87" x14ac:dyDescent="0.2">
      <c r="CE7148"/>
      <c r="CF7148"/>
      <c r="CG7148"/>
      <c r="CH7148"/>
      <c r="CI7148"/>
    </row>
    <row r="7149" spans="83:87" x14ac:dyDescent="0.2">
      <c r="CE7149"/>
      <c r="CF7149"/>
      <c r="CG7149"/>
      <c r="CH7149"/>
      <c r="CI7149"/>
    </row>
    <row r="7150" spans="83:87" x14ac:dyDescent="0.2">
      <c r="CE7150"/>
      <c r="CF7150"/>
      <c r="CG7150"/>
      <c r="CH7150"/>
      <c r="CI7150"/>
    </row>
    <row r="7151" spans="83:87" x14ac:dyDescent="0.2">
      <c r="CE7151"/>
      <c r="CF7151"/>
      <c r="CG7151"/>
      <c r="CH7151"/>
      <c r="CI7151"/>
    </row>
    <row r="7152" spans="83:87" x14ac:dyDescent="0.2">
      <c r="CE7152"/>
      <c r="CF7152"/>
      <c r="CG7152"/>
      <c r="CH7152"/>
      <c r="CI7152"/>
    </row>
    <row r="7153" spans="83:87" x14ac:dyDescent="0.2">
      <c r="CE7153"/>
      <c r="CF7153"/>
      <c r="CG7153"/>
      <c r="CH7153"/>
      <c r="CI7153"/>
    </row>
    <row r="7154" spans="83:87" x14ac:dyDescent="0.2">
      <c r="CE7154"/>
      <c r="CF7154"/>
      <c r="CG7154"/>
      <c r="CH7154"/>
      <c r="CI7154"/>
    </row>
    <row r="7155" spans="83:87" x14ac:dyDescent="0.2">
      <c r="CE7155"/>
      <c r="CF7155"/>
      <c r="CG7155"/>
      <c r="CH7155"/>
      <c r="CI7155"/>
    </row>
    <row r="7156" spans="83:87" x14ac:dyDescent="0.2">
      <c r="CE7156"/>
      <c r="CF7156"/>
      <c r="CG7156"/>
      <c r="CH7156"/>
      <c r="CI7156"/>
    </row>
    <row r="7157" spans="83:87" x14ac:dyDescent="0.2">
      <c r="CE7157"/>
      <c r="CF7157"/>
      <c r="CG7157"/>
      <c r="CH7157"/>
      <c r="CI7157"/>
    </row>
    <row r="7158" spans="83:87" x14ac:dyDescent="0.2">
      <c r="CE7158"/>
      <c r="CF7158"/>
      <c r="CG7158"/>
      <c r="CH7158"/>
      <c r="CI7158"/>
    </row>
    <row r="7159" spans="83:87" x14ac:dyDescent="0.2">
      <c r="CE7159"/>
      <c r="CF7159"/>
      <c r="CG7159"/>
      <c r="CH7159"/>
      <c r="CI7159"/>
    </row>
    <row r="7160" spans="83:87" x14ac:dyDescent="0.2">
      <c r="CE7160"/>
      <c r="CF7160"/>
      <c r="CG7160"/>
      <c r="CH7160"/>
      <c r="CI7160"/>
    </row>
    <row r="7161" spans="83:87" x14ac:dyDescent="0.2">
      <c r="CE7161"/>
      <c r="CF7161"/>
      <c r="CG7161"/>
      <c r="CH7161"/>
      <c r="CI7161"/>
    </row>
    <row r="7162" spans="83:87" x14ac:dyDescent="0.2">
      <c r="CE7162"/>
      <c r="CF7162"/>
      <c r="CG7162"/>
      <c r="CH7162"/>
      <c r="CI7162"/>
    </row>
    <row r="7163" spans="83:87" x14ac:dyDescent="0.2">
      <c r="CE7163"/>
      <c r="CF7163"/>
      <c r="CG7163"/>
      <c r="CH7163"/>
      <c r="CI7163"/>
    </row>
    <row r="7164" spans="83:87" x14ac:dyDescent="0.2">
      <c r="CE7164"/>
      <c r="CF7164"/>
      <c r="CG7164"/>
      <c r="CH7164"/>
      <c r="CI7164"/>
    </row>
    <row r="7165" spans="83:87" x14ac:dyDescent="0.2">
      <c r="CE7165"/>
      <c r="CF7165"/>
      <c r="CG7165"/>
      <c r="CH7165"/>
      <c r="CI7165"/>
    </row>
    <row r="7166" spans="83:87" x14ac:dyDescent="0.2">
      <c r="CE7166"/>
      <c r="CF7166"/>
      <c r="CG7166"/>
      <c r="CH7166"/>
      <c r="CI7166"/>
    </row>
    <row r="7167" spans="83:87" x14ac:dyDescent="0.2">
      <c r="CE7167"/>
      <c r="CF7167"/>
      <c r="CG7167"/>
      <c r="CH7167"/>
      <c r="CI7167"/>
    </row>
    <row r="7168" spans="83:87" x14ac:dyDescent="0.2">
      <c r="CE7168"/>
      <c r="CF7168"/>
      <c r="CG7168"/>
      <c r="CH7168"/>
      <c r="CI7168"/>
    </row>
    <row r="7169" spans="83:87" x14ac:dyDescent="0.2">
      <c r="CE7169"/>
      <c r="CF7169"/>
      <c r="CG7169"/>
      <c r="CH7169"/>
      <c r="CI7169"/>
    </row>
    <row r="7170" spans="83:87" x14ac:dyDescent="0.2">
      <c r="CE7170"/>
      <c r="CF7170"/>
      <c r="CG7170"/>
      <c r="CH7170"/>
      <c r="CI7170"/>
    </row>
    <row r="7171" spans="83:87" x14ac:dyDescent="0.2">
      <c r="CE7171"/>
      <c r="CF7171"/>
      <c r="CG7171"/>
      <c r="CH7171"/>
      <c r="CI7171"/>
    </row>
    <row r="7172" spans="83:87" x14ac:dyDescent="0.2">
      <c r="CE7172"/>
      <c r="CF7172"/>
      <c r="CG7172"/>
      <c r="CH7172"/>
      <c r="CI7172"/>
    </row>
    <row r="7173" spans="83:87" x14ac:dyDescent="0.2">
      <c r="CE7173"/>
      <c r="CF7173"/>
      <c r="CG7173"/>
      <c r="CH7173"/>
      <c r="CI7173"/>
    </row>
    <row r="7174" spans="83:87" x14ac:dyDescent="0.2">
      <c r="CE7174"/>
      <c r="CF7174"/>
      <c r="CG7174"/>
      <c r="CH7174"/>
      <c r="CI7174"/>
    </row>
    <row r="7175" spans="83:87" x14ac:dyDescent="0.2">
      <c r="CE7175"/>
      <c r="CF7175"/>
      <c r="CG7175"/>
      <c r="CH7175"/>
      <c r="CI7175"/>
    </row>
    <row r="7176" spans="83:87" x14ac:dyDescent="0.2">
      <c r="CE7176"/>
      <c r="CF7176"/>
      <c r="CG7176"/>
      <c r="CH7176"/>
      <c r="CI7176"/>
    </row>
    <row r="7177" spans="83:87" x14ac:dyDescent="0.2">
      <c r="CE7177"/>
      <c r="CF7177"/>
      <c r="CG7177"/>
      <c r="CH7177"/>
      <c r="CI7177"/>
    </row>
    <row r="7178" spans="83:87" x14ac:dyDescent="0.2">
      <c r="CE7178"/>
      <c r="CF7178"/>
      <c r="CG7178"/>
      <c r="CH7178"/>
      <c r="CI7178"/>
    </row>
    <row r="7179" spans="83:87" x14ac:dyDescent="0.2">
      <c r="CE7179"/>
      <c r="CF7179"/>
      <c r="CG7179"/>
      <c r="CH7179"/>
      <c r="CI7179"/>
    </row>
    <row r="7180" spans="83:87" x14ac:dyDescent="0.2">
      <c r="CE7180"/>
      <c r="CF7180"/>
      <c r="CG7180"/>
      <c r="CH7180"/>
      <c r="CI7180"/>
    </row>
    <row r="7181" spans="83:87" x14ac:dyDescent="0.2">
      <c r="CE7181"/>
      <c r="CF7181"/>
      <c r="CG7181"/>
      <c r="CH7181"/>
      <c r="CI7181"/>
    </row>
    <row r="7182" spans="83:87" x14ac:dyDescent="0.2">
      <c r="CE7182"/>
      <c r="CF7182"/>
      <c r="CG7182"/>
      <c r="CH7182"/>
      <c r="CI7182"/>
    </row>
    <row r="7183" spans="83:87" x14ac:dyDescent="0.2">
      <c r="CE7183"/>
      <c r="CF7183"/>
      <c r="CG7183"/>
      <c r="CH7183"/>
      <c r="CI7183"/>
    </row>
    <row r="7184" spans="83:87" x14ac:dyDescent="0.2">
      <c r="CE7184"/>
      <c r="CF7184"/>
      <c r="CG7184"/>
      <c r="CH7184"/>
      <c r="CI7184"/>
    </row>
    <row r="7185" spans="83:87" x14ac:dyDescent="0.2">
      <c r="CE7185"/>
      <c r="CF7185"/>
      <c r="CG7185"/>
      <c r="CH7185"/>
      <c r="CI7185"/>
    </row>
    <row r="7186" spans="83:87" x14ac:dyDescent="0.2">
      <c r="CE7186"/>
      <c r="CF7186"/>
      <c r="CG7186"/>
      <c r="CH7186"/>
      <c r="CI7186"/>
    </row>
    <row r="7187" spans="83:87" x14ac:dyDescent="0.2">
      <c r="CE7187"/>
      <c r="CF7187"/>
      <c r="CG7187"/>
      <c r="CH7187"/>
      <c r="CI7187"/>
    </row>
    <row r="7188" spans="83:87" x14ac:dyDescent="0.2">
      <c r="CE7188"/>
      <c r="CF7188"/>
      <c r="CG7188"/>
      <c r="CH7188"/>
      <c r="CI7188"/>
    </row>
    <row r="7189" spans="83:87" x14ac:dyDescent="0.2">
      <c r="CE7189"/>
      <c r="CF7189"/>
      <c r="CG7189"/>
      <c r="CH7189"/>
      <c r="CI7189"/>
    </row>
    <row r="7190" spans="83:87" x14ac:dyDescent="0.2">
      <c r="CE7190"/>
      <c r="CF7190"/>
      <c r="CG7190"/>
      <c r="CH7190"/>
      <c r="CI7190"/>
    </row>
    <row r="7191" spans="83:87" x14ac:dyDescent="0.2">
      <c r="CE7191"/>
      <c r="CF7191"/>
      <c r="CG7191"/>
      <c r="CH7191"/>
      <c r="CI7191"/>
    </row>
    <row r="7192" spans="83:87" x14ac:dyDescent="0.2">
      <c r="CE7192"/>
      <c r="CF7192"/>
      <c r="CG7192"/>
      <c r="CH7192"/>
      <c r="CI7192"/>
    </row>
    <row r="7193" spans="83:87" x14ac:dyDescent="0.2">
      <c r="CE7193"/>
      <c r="CF7193"/>
      <c r="CG7193"/>
      <c r="CH7193"/>
      <c r="CI7193"/>
    </row>
    <row r="7194" spans="83:87" x14ac:dyDescent="0.2">
      <c r="CE7194"/>
      <c r="CF7194"/>
      <c r="CG7194"/>
      <c r="CH7194"/>
      <c r="CI7194"/>
    </row>
    <row r="7195" spans="83:87" x14ac:dyDescent="0.2">
      <c r="CE7195"/>
      <c r="CF7195"/>
      <c r="CG7195"/>
      <c r="CH7195"/>
      <c r="CI7195"/>
    </row>
    <row r="7196" spans="83:87" x14ac:dyDescent="0.2">
      <c r="CE7196"/>
      <c r="CF7196"/>
      <c r="CG7196"/>
      <c r="CH7196"/>
      <c r="CI7196"/>
    </row>
    <row r="7197" spans="83:87" x14ac:dyDescent="0.2">
      <c r="CE7197"/>
      <c r="CF7197"/>
      <c r="CG7197"/>
      <c r="CH7197"/>
      <c r="CI7197"/>
    </row>
    <row r="7198" spans="83:87" x14ac:dyDescent="0.2">
      <c r="CE7198"/>
      <c r="CF7198"/>
      <c r="CG7198"/>
      <c r="CH7198"/>
      <c r="CI7198"/>
    </row>
    <row r="7199" spans="83:87" x14ac:dyDescent="0.2">
      <c r="CE7199"/>
      <c r="CF7199"/>
      <c r="CG7199"/>
      <c r="CH7199"/>
      <c r="CI7199"/>
    </row>
    <row r="7200" spans="83:87" x14ac:dyDescent="0.2">
      <c r="CE7200"/>
      <c r="CF7200"/>
      <c r="CG7200"/>
      <c r="CH7200"/>
      <c r="CI7200"/>
    </row>
    <row r="7201" spans="83:87" x14ac:dyDescent="0.2">
      <c r="CE7201"/>
      <c r="CF7201"/>
      <c r="CG7201"/>
      <c r="CH7201"/>
      <c r="CI7201"/>
    </row>
    <row r="7202" spans="83:87" x14ac:dyDescent="0.2">
      <c r="CE7202"/>
      <c r="CF7202"/>
      <c r="CG7202"/>
      <c r="CH7202"/>
      <c r="CI7202"/>
    </row>
    <row r="7203" spans="83:87" x14ac:dyDescent="0.2">
      <c r="CE7203"/>
      <c r="CF7203"/>
      <c r="CG7203"/>
      <c r="CH7203"/>
      <c r="CI7203"/>
    </row>
    <row r="7204" spans="83:87" x14ac:dyDescent="0.2">
      <c r="CE7204"/>
      <c r="CF7204"/>
      <c r="CG7204"/>
      <c r="CH7204"/>
      <c r="CI7204"/>
    </row>
    <row r="7205" spans="83:87" x14ac:dyDescent="0.2">
      <c r="CE7205"/>
      <c r="CF7205"/>
      <c r="CG7205"/>
      <c r="CH7205"/>
      <c r="CI7205"/>
    </row>
    <row r="7206" spans="83:87" x14ac:dyDescent="0.2">
      <c r="CE7206"/>
      <c r="CF7206"/>
      <c r="CG7206"/>
      <c r="CH7206"/>
      <c r="CI7206"/>
    </row>
    <row r="7207" spans="83:87" x14ac:dyDescent="0.2">
      <c r="CE7207"/>
      <c r="CF7207"/>
      <c r="CG7207"/>
      <c r="CH7207"/>
      <c r="CI7207"/>
    </row>
    <row r="7208" spans="83:87" x14ac:dyDescent="0.2">
      <c r="CE7208"/>
      <c r="CF7208"/>
      <c r="CG7208"/>
      <c r="CH7208"/>
      <c r="CI7208"/>
    </row>
    <row r="7209" spans="83:87" x14ac:dyDescent="0.2">
      <c r="CE7209"/>
      <c r="CF7209"/>
      <c r="CG7209"/>
      <c r="CH7209"/>
      <c r="CI7209"/>
    </row>
    <row r="7210" spans="83:87" x14ac:dyDescent="0.2">
      <c r="CE7210"/>
      <c r="CF7210"/>
      <c r="CG7210"/>
      <c r="CH7210"/>
      <c r="CI7210"/>
    </row>
    <row r="7211" spans="83:87" x14ac:dyDescent="0.2">
      <c r="CE7211"/>
      <c r="CF7211"/>
      <c r="CG7211"/>
      <c r="CH7211"/>
      <c r="CI7211"/>
    </row>
    <row r="7212" spans="83:87" x14ac:dyDescent="0.2">
      <c r="CE7212"/>
      <c r="CF7212"/>
      <c r="CG7212"/>
      <c r="CH7212"/>
      <c r="CI7212"/>
    </row>
    <row r="7213" spans="83:87" x14ac:dyDescent="0.2">
      <c r="CE7213"/>
      <c r="CF7213"/>
      <c r="CG7213"/>
      <c r="CH7213"/>
      <c r="CI7213"/>
    </row>
    <row r="7214" spans="83:87" x14ac:dyDescent="0.2">
      <c r="CE7214"/>
      <c r="CF7214"/>
      <c r="CG7214"/>
      <c r="CH7214"/>
      <c r="CI7214"/>
    </row>
    <row r="7215" spans="83:87" x14ac:dyDescent="0.2">
      <c r="CE7215"/>
      <c r="CF7215"/>
      <c r="CG7215"/>
      <c r="CH7215"/>
      <c r="CI7215"/>
    </row>
    <row r="7216" spans="83:87" x14ac:dyDescent="0.2">
      <c r="CE7216"/>
      <c r="CF7216"/>
      <c r="CG7216"/>
      <c r="CH7216"/>
      <c r="CI7216"/>
    </row>
    <row r="7217" spans="83:87" x14ac:dyDescent="0.2">
      <c r="CE7217"/>
      <c r="CF7217"/>
      <c r="CG7217"/>
      <c r="CH7217"/>
      <c r="CI7217"/>
    </row>
    <row r="7218" spans="83:87" x14ac:dyDescent="0.2">
      <c r="CE7218"/>
      <c r="CF7218"/>
      <c r="CG7218"/>
      <c r="CH7218"/>
      <c r="CI7218"/>
    </row>
    <row r="7219" spans="83:87" x14ac:dyDescent="0.2">
      <c r="CE7219"/>
      <c r="CF7219"/>
      <c r="CG7219"/>
      <c r="CH7219"/>
      <c r="CI7219"/>
    </row>
    <row r="7220" spans="83:87" x14ac:dyDescent="0.2">
      <c r="CE7220"/>
      <c r="CF7220"/>
      <c r="CG7220"/>
      <c r="CH7220"/>
      <c r="CI7220"/>
    </row>
    <row r="7221" spans="83:87" x14ac:dyDescent="0.2">
      <c r="CE7221"/>
      <c r="CF7221"/>
      <c r="CG7221"/>
      <c r="CH7221"/>
      <c r="CI7221"/>
    </row>
    <row r="7222" spans="83:87" x14ac:dyDescent="0.2">
      <c r="CE7222"/>
      <c r="CF7222"/>
      <c r="CG7222"/>
      <c r="CH7222"/>
      <c r="CI7222"/>
    </row>
    <row r="7223" spans="83:87" x14ac:dyDescent="0.2">
      <c r="CE7223"/>
      <c r="CF7223"/>
      <c r="CG7223"/>
      <c r="CH7223"/>
      <c r="CI7223"/>
    </row>
    <row r="7224" spans="83:87" x14ac:dyDescent="0.2">
      <c r="CE7224"/>
      <c r="CF7224"/>
      <c r="CG7224"/>
      <c r="CH7224"/>
      <c r="CI7224"/>
    </row>
    <row r="7225" spans="83:87" x14ac:dyDescent="0.2">
      <c r="CE7225"/>
      <c r="CF7225"/>
      <c r="CG7225"/>
      <c r="CH7225"/>
      <c r="CI7225"/>
    </row>
    <row r="7226" spans="83:87" x14ac:dyDescent="0.2">
      <c r="CE7226"/>
      <c r="CF7226"/>
      <c r="CG7226"/>
      <c r="CH7226"/>
      <c r="CI7226"/>
    </row>
    <row r="7227" spans="83:87" x14ac:dyDescent="0.2">
      <c r="CE7227"/>
      <c r="CF7227"/>
      <c r="CG7227"/>
      <c r="CH7227"/>
      <c r="CI7227"/>
    </row>
    <row r="7228" spans="83:87" x14ac:dyDescent="0.2">
      <c r="CE7228"/>
      <c r="CF7228"/>
      <c r="CG7228"/>
      <c r="CH7228"/>
      <c r="CI7228"/>
    </row>
    <row r="7229" spans="83:87" x14ac:dyDescent="0.2">
      <c r="CE7229"/>
      <c r="CF7229"/>
      <c r="CG7229"/>
      <c r="CH7229"/>
      <c r="CI7229"/>
    </row>
    <row r="7230" spans="83:87" x14ac:dyDescent="0.2">
      <c r="CE7230"/>
      <c r="CF7230"/>
      <c r="CG7230"/>
      <c r="CH7230"/>
      <c r="CI7230"/>
    </row>
    <row r="7231" spans="83:87" x14ac:dyDescent="0.2">
      <c r="CE7231"/>
      <c r="CF7231"/>
      <c r="CG7231"/>
      <c r="CH7231"/>
      <c r="CI7231"/>
    </row>
    <row r="7232" spans="83:87" x14ac:dyDescent="0.2">
      <c r="CE7232"/>
      <c r="CF7232"/>
      <c r="CG7232"/>
      <c r="CH7232"/>
      <c r="CI7232"/>
    </row>
    <row r="7233" spans="83:87" x14ac:dyDescent="0.2">
      <c r="CE7233"/>
      <c r="CF7233"/>
      <c r="CG7233"/>
      <c r="CH7233"/>
      <c r="CI7233"/>
    </row>
    <row r="7234" spans="83:87" x14ac:dyDescent="0.2">
      <c r="CE7234"/>
      <c r="CF7234"/>
      <c r="CG7234"/>
      <c r="CH7234"/>
      <c r="CI7234"/>
    </row>
    <row r="7235" spans="83:87" x14ac:dyDescent="0.2">
      <c r="CE7235"/>
      <c r="CF7235"/>
      <c r="CG7235"/>
      <c r="CH7235"/>
      <c r="CI7235"/>
    </row>
    <row r="7236" spans="83:87" x14ac:dyDescent="0.2">
      <c r="CE7236"/>
      <c r="CF7236"/>
      <c r="CG7236"/>
      <c r="CH7236"/>
      <c r="CI7236"/>
    </row>
    <row r="7237" spans="83:87" x14ac:dyDescent="0.2">
      <c r="CE7237"/>
      <c r="CF7237"/>
      <c r="CG7237"/>
      <c r="CH7237"/>
      <c r="CI7237"/>
    </row>
    <row r="7238" spans="83:87" x14ac:dyDescent="0.2">
      <c r="CE7238"/>
      <c r="CF7238"/>
      <c r="CG7238"/>
      <c r="CH7238"/>
      <c r="CI7238"/>
    </row>
    <row r="7239" spans="83:87" x14ac:dyDescent="0.2">
      <c r="CE7239"/>
      <c r="CF7239"/>
      <c r="CG7239"/>
      <c r="CH7239"/>
      <c r="CI7239"/>
    </row>
    <row r="7240" spans="83:87" x14ac:dyDescent="0.2">
      <c r="CE7240"/>
      <c r="CF7240"/>
      <c r="CG7240"/>
      <c r="CH7240"/>
      <c r="CI7240"/>
    </row>
    <row r="7241" spans="83:87" x14ac:dyDescent="0.2">
      <c r="CE7241"/>
      <c r="CF7241"/>
      <c r="CG7241"/>
      <c r="CH7241"/>
      <c r="CI7241"/>
    </row>
    <row r="7242" spans="83:87" x14ac:dyDescent="0.2">
      <c r="CE7242"/>
      <c r="CF7242"/>
      <c r="CG7242"/>
      <c r="CH7242"/>
      <c r="CI7242"/>
    </row>
    <row r="7243" spans="83:87" x14ac:dyDescent="0.2">
      <c r="CE7243"/>
      <c r="CF7243"/>
      <c r="CG7243"/>
      <c r="CH7243"/>
      <c r="CI7243"/>
    </row>
    <row r="7244" spans="83:87" x14ac:dyDescent="0.2">
      <c r="CE7244"/>
      <c r="CF7244"/>
      <c r="CG7244"/>
      <c r="CH7244"/>
      <c r="CI7244"/>
    </row>
    <row r="7245" spans="83:87" x14ac:dyDescent="0.2">
      <c r="CE7245"/>
      <c r="CF7245"/>
      <c r="CG7245"/>
      <c r="CH7245"/>
      <c r="CI7245"/>
    </row>
    <row r="7246" spans="83:87" x14ac:dyDescent="0.2">
      <c r="CE7246"/>
      <c r="CF7246"/>
      <c r="CG7246"/>
      <c r="CH7246"/>
      <c r="CI7246"/>
    </row>
    <row r="7247" spans="83:87" x14ac:dyDescent="0.2">
      <c r="CE7247"/>
      <c r="CF7247"/>
      <c r="CG7247"/>
      <c r="CH7247"/>
      <c r="CI7247"/>
    </row>
    <row r="7248" spans="83:87" x14ac:dyDescent="0.2">
      <c r="CE7248"/>
      <c r="CF7248"/>
      <c r="CG7248"/>
      <c r="CH7248"/>
      <c r="CI7248"/>
    </row>
    <row r="7249" spans="83:87" x14ac:dyDescent="0.2">
      <c r="CE7249"/>
      <c r="CF7249"/>
      <c r="CG7249"/>
      <c r="CH7249"/>
      <c r="CI7249"/>
    </row>
    <row r="7250" spans="83:87" x14ac:dyDescent="0.2">
      <c r="CE7250"/>
      <c r="CF7250"/>
      <c r="CG7250"/>
      <c r="CH7250"/>
      <c r="CI7250"/>
    </row>
    <row r="7251" spans="83:87" x14ac:dyDescent="0.2">
      <c r="CE7251"/>
      <c r="CF7251"/>
      <c r="CG7251"/>
      <c r="CH7251"/>
      <c r="CI7251"/>
    </row>
    <row r="7252" spans="83:87" x14ac:dyDescent="0.2">
      <c r="CE7252"/>
      <c r="CF7252"/>
      <c r="CG7252"/>
      <c r="CH7252"/>
      <c r="CI7252"/>
    </row>
    <row r="7253" spans="83:87" x14ac:dyDescent="0.2">
      <c r="CE7253"/>
      <c r="CF7253"/>
      <c r="CG7253"/>
      <c r="CH7253"/>
      <c r="CI7253"/>
    </row>
    <row r="7254" spans="83:87" x14ac:dyDescent="0.2">
      <c r="CE7254"/>
      <c r="CF7254"/>
      <c r="CG7254"/>
      <c r="CH7254"/>
      <c r="CI7254"/>
    </row>
    <row r="7255" spans="83:87" x14ac:dyDescent="0.2">
      <c r="CE7255"/>
      <c r="CF7255"/>
      <c r="CG7255"/>
      <c r="CH7255"/>
      <c r="CI7255"/>
    </row>
    <row r="7256" spans="83:87" x14ac:dyDescent="0.2">
      <c r="CE7256"/>
      <c r="CF7256"/>
      <c r="CG7256"/>
      <c r="CH7256"/>
      <c r="CI7256"/>
    </row>
    <row r="7257" spans="83:87" x14ac:dyDescent="0.2">
      <c r="CE7257"/>
      <c r="CF7257"/>
      <c r="CG7257"/>
      <c r="CH7257"/>
      <c r="CI7257"/>
    </row>
    <row r="7258" spans="83:87" x14ac:dyDescent="0.2">
      <c r="CE7258"/>
      <c r="CF7258"/>
      <c r="CG7258"/>
      <c r="CH7258"/>
      <c r="CI7258"/>
    </row>
    <row r="7259" spans="83:87" x14ac:dyDescent="0.2">
      <c r="CE7259"/>
      <c r="CF7259"/>
      <c r="CG7259"/>
      <c r="CH7259"/>
      <c r="CI7259"/>
    </row>
    <row r="7260" spans="83:87" x14ac:dyDescent="0.2">
      <c r="CE7260"/>
      <c r="CF7260"/>
      <c r="CG7260"/>
      <c r="CH7260"/>
      <c r="CI7260"/>
    </row>
    <row r="7261" spans="83:87" x14ac:dyDescent="0.2">
      <c r="CE7261"/>
      <c r="CF7261"/>
      <c r="CG7261"/>
      <c r="CH7261"/>
      <c r="CI7261"/>
    </row>
    <row r="7262" spans="83:87" x14ac:dyDescent="0.2">
      <c r="CE7262"/>
      <c r="CF7262"/>
      <c r="CG7262"/>
      <c r="CH7262"/>
      <c r="CI7262"/>
    </row>
    <row r="7263" spans="83:87" x14ac:dyDescent="0.2">
      <c r="CE7263"/>
      <c r="CF7263"/>
      <c r="CG7263"/>
      <c r="CH7263"/>
      <c r="CI7263"/>
    </row>
    <row r="7264" spans="83:87" x14ac:dyDescent="0.2">
      <c r="CE7264"/>
      <c r="CF7264"/>
      <c r="CG7264"/>
      <c r="CH7264"/>
      <c r="CI7264"/>
    </row>
    <row r="7265" spans="83:87" x14ac:dyDescent="0.2">
      <c r="CE7265"/>
      <c r="CF7265"/>
      <c r="CG7265"/>
      <c r="CH7265"/>
      <c r="CI7265"/>
    </row>
    <row r="7266" spans="83:87" x14ac:dyDescent="0.2">
      <c r="CE7266"/>
      <c r="CF7266"/>
      <c r="CG7266"/>
      <c r="CH7266"/>
      <c r="CI7266"/>
    </row>
    <row r="7267" spans="83:87" x14ac:dyDescent="0.2">
      <c r="CE7267"/>
      <c r="CF7267"/>
      <c r="CG7267"/>
      <c r="CH7267"/>
      <c r="CI7267"/>
    </row>
    <row r="7268" spans="83:87" x14ac:dyDescent="0.2">
      <c r="CE7268"/>
      <c r="CF7268"/>
      <c r="CG7268"/>
      <c r="CH7268"/>
      <c r="CI7268"/>
    </row>
    <row r="7269" spans="83:87" x14ac:dyDescent="0.2">
      <c r="CE7269"/>
      <c r="CF7269"/>
      <c r="CG7269"/>
      <c r="CH7269"/>
      <c r="CI7269"/>
    </row>
    <row r="7270" spans="83:87" x14ac:dyDescent="0.2">
      <c r="CE7270"/>
      <c r="CF7270"/>
      <c r="CG7270"/>
      <c r="CH7270"/>
      <c r="CI7270"/>
    </row>
    <row r="7271" spans="83:87" x14ac:dyDescent="0.2">
      <c r="CE7271"/>
      <c r="CF7271"/>
      <c r="CG7271"/>
      <c r="CH7271"/>
      <c r="CI7271"/>
    </row>
    <row r="7272" spans="83:87" x14ac:dyDescent="0.2">
      <c r="CE7272"/>
      <c r="CF7272"/>
      <c r="CG7272"/>
      <c r="CH7272"/>
      <c r="CI7272"/>
    </row>
    <row r="7273" spans="83:87" x14ac:dyDescent="0.2">
      <c r="CE7273"/>
      <c r="CF7273"/>
      <c r="CG7273"/>
      <c r="CH7273"/>
      <c r="CI7273"/>
    </row>
    <row r="7274" spans="83:87" x14ac:dyDescent="0.2">
      <c r="CE7274"/>
      <c r="CF7274"/>
      <c r="CG7274"/>
      <c r="CH7274"/>
      <c r="CI7274"/>
    </row>
    <row r="7275" spans="83:87" x14ac:dyDescent="0.2">
      <c r="CE7275"/>
      <c r="CF7275"/>
      <c r="CG7275"/>
      <c r="CH7275"/>
      <c r="CI7275"/>
    </row>
    <row r="7276" spans="83:87" x14ac:dyDescent="0.2">
      <c r="CE7276"/>
      <c r="CF7276"/>
      <c r="CG7276"/>
      <c r="CH7276"/>
      <c r="CI7276"/>
    </row>
    <row r="7277" spans="83:87" x14ac:dyDescent="0.2">
      <c r="CE7277"/>
      <c r="CF7277"/>
      <c r="CG7277"/>
      <c r="CH7277"/>
      <c r="CI7277"/>
    </row>
    <row r="7278" spans="83:87" x14ac:dyDescent="0.2">
      <c r="CE7278"/>
      <c r="CF7278"/>
      <c r="CG7278"/>
      <c r="CH7278"/>
      <c r="CI7278"/>
    </row>
    <row r="7279" spans="83:87" x14ac:dyDescent="0.2">
      <c r="CE7279"/>
      <c r="CF7279"/>
      <c r="CG7279"/>
      <c r="CH7279"/>
      <c r="CI7279"/>
    </row>
    <row r="7280" spans="83:87" x14ac:dyDescent="0.2">
      <c r="CE7280"/>
      <c r="CF7280"/>
      <c r="CG7280"/>
      <c r="CH7280"/>
      <c r="CI7280"/>
    </row>
    <row r="7281" spans="83:87" x14ac:dyDescent="0.2">
      <c r="CE7281"/>
      <c r="CF7281"/>
      <c r="CG7281"/>
      <c r="CH7281"/>
      <c r="CI7281"/>
    </row>
    <row r="7282" spans="83:87" x14ac:dyDescent="0.2">
      <c r="CE7282"/>
      <c r="CF7282"/>
      <c r="CG7282"/>
      <c r="CH7282"/>
      <c r="CI7282"/>
    </row>
    <row r="7283" spans="83:87" x14ac:dyDescent="0.2">
      <c r="CE7283"/>
      <c r="CF7283"/>
      <c r="CG7283"/>
      <c r="CH7283"/>
      <c r="CI7283"/>
    </row>
    <row r="7284" spans="83:87" x14ac:dyDescent="0.2">
      <c r="CE7284"/>
      <c r="CF7284"/>
      <c r="CG7284"/>
      <c r="CH7284"/>
      <c r="CI7284"/>
    </row>
    <row r="7285" spans="83:87" x14ac:dyDescent="0.2">
      <c r="CE7285"/>
      <c r="CF7285"/>
      <c r="CG7285"/>
      <c r="CH7285"/>
      <c r="CI7285"/>
    </row>
    <row r="7286" spans="83:87" x14ac:dyDescent="0.2">
      <c r="CE7286"/>
      <c r="CF7286"/>
      <c r="CG7286"/>
      <c r="CH7286"/>
      <c r="CI7286"/>
    </row>
    <row r="7287" spans="83:87" x14ac:dyDescent="0.2">
      <c r="CE7287"/>
      <c r="CF7287"/>
      <c r="CG7287"/>
      <c r="CH7287"/>
      <c r="CI7287"/>
    </row>
    <row r="7288" spans="83:87" x14ac:dyDescent="0.2">
      <c r="CE7288"/>
      <c r="CF7288"/>
      <c r="CG7288"/>
      <c r="CH7288"/>
      <c r="CI7288"/>
    </row>
    <row r="7289" spans="83:87" x14ac:dyDescent="0.2">
      <c r="CE7289"/>
      <c r="CF7289"/>
      <c r="CG7289"/>
      <c r="CH7289"/>
      <c r="CI7289"/>
    </row>
    <row r="7290" spans="83:87" x14ac:dyDescent="0.2">
      <c r="CE7290"/>
      <c r="CF7290"/>
      <c r="CG7290"/>
      <c r="CH7290"/>
      <c r="CI7290"/>
    </row>
    <row r="7291" spans="83:87" x14ac:dyDescent="0.2">
      <c r="CE7291"/>
      <c r="CF7291"/>
      <c r="CG7291"/>
      <c r="CH7291"/>
      <c r="CI7291"/>
    </row>
    <row r="7292" spans="83:87" x14ac:dyDescent="0.2">
      <c r="CE7292"/>
      <c r="CF7292"/>
      <c r="CG7292"/>
      <c r="CH7292"/>
      <c r="CI7292"/>
    </row>
    <row r="7293" spans="83:87" x14ac:dyDescent="0.2">
      <c r="CE7293"/>
      <c r="CF7293"/>
      <c r="CG7293"/>
      <c r="CH7293"/>
      <c r="CI7293"/>
    </row>
    <row r="7294" spans="83:87" x14ac:dyDescent="0.2">
      <c r="CE7294"/>
      <c r="CF7294"/>
      <c r="CG7294"/>
      <c r="CH7294"/>
      <c r="CI7294"/>
    </row>
    <row r="7295" spans="83:87" x14ac:dyDescent="0.2">
      <c r="CE7295"/>
      <c r="CF7295"/>
      <c r="CG7295"/>
      <c r="CH7295"/>
      <c r="CI7295"/>
    </row>
    <row r="7296" spans="83:87" x14ac:dyDescent="0.2">
      <c r="CE7296"/>
      <c r="CF7296"/>
      <c r="CG7296"/>
      <c r="CH7296"/>
      <c r="CI7296"/>
    </row>
    <row r="7297" spans="83:87" x14ac:dyDescent="0.2">
      <c r="CE7297"/>
      <c r="CF7297"/>
      <c r="CG7297"/>
      <c r="CH7297"/>
      <c r="CI7297"/>
    </row>
    <row r="7298" spans="83:87" x14ac:dyDescent="0.2">
      <c r="CE7298"/>
      <c r="CF7298"/>
      <c r="CG7298"/>
      <c r="CH7298"/>
      <c r="CI7298"/>
    </row>
    <row r="7299" spans="83:87" x14ac:dyDescent="0.2">
      <c r="CE7299"/>
      <c r="CF7299"/>
      <c r="CG7299"/>
      <c r="CH7299"/>
      <c r="CI7299"/>
    </row>
    <row r="7300" spans="83:87" x14ac:dyDescent="0.2">
      <c r="CE7300"/>
      <c r="CF7300"/>
      <c r="CG7300"/>
      <c r="CH7300"/>
      <c r="CI7300"/>
    </row>
    <row r="7301" spans="83:87" x14ac:dyDescent="0.2">
      <c r="CE7301"/>
      <c r="CF7301"/>
      <c r="CG7301"/>
      <c r="CH7301"/>
      <c r="CI7301"/>
    </row>
    <row r="7302" spans="83:87" x14ac:dyDescent="0.2">
      <c r="CE7302"/>
      <c r="CF7302"/>
      <c r="CG7302"/>
      <c r="CH7302"/>
      <c r="CI7302"/>
    </row>
    <row r="7303" spans="83:87" x14ac:dyDescent="0.2">
      <c r="CE7303"/>
      <c r="CF7303"/>
      <c r="CG7303"/>
      <c r="CH7303"/>
      <c r="CI7303"/>
    </row>
    <row r="7304" spans="83:87" x14ac:dyDescent="0.2">
      <c r="CE7304"/>
      <c r="CF7304"/>
      <c r="CG7304"/>
      <c r="CH7304"/>
      <c r="CI7304"/>
    </row>
    <row r="7305" spans="83:87" x14ac:dyDescent="0.2">
      <c r="CE7305"/>
      <c r="CF7305"/>
      <c r="CG7305"/>
      <c r="CH7305"/>
      <c r="CI7305"/>
    </row>
    <row r="7306" spans="83:87" x14ac:dyDescent="0.2">
      <c r="CE7306"/>
      <c r="CF7306"/>
      <c r="CG7306"/>
      <c r="CH7306"/>
      <c r="CI7306"/>
    </row>
    <row r="7307" spans="83:87" x14ac:dyDescent="0.2">
      <c r="CE7307"/>
      <c r="CF7307"/>
      <c r="CG7307"/>
      <c r="CH7307"/>
      <c r="CI7307"/>
    </row>
    <row r="7308" spans="83:87" x14ac:dyDescent="0.2">
      <c r="CE7308"/>
      <c r="CF7308"/>
      <c r="CG7308"/>
      <c r="CH7308"/>
      <c r="CI7308"/>
    </row>
    <row r="7309" spans="83:87" x14ac:dyDescent="0.2">
      <c r="CE7309"/>
      <c r="CF7309"/>
      <c r="CG7309"/>
      <c r="CH7309"/>
      <c r="CI7309"/>
    </row>
    <row r="7310" spans="83:87" x14ac:dyDescent="0.2">
      <c r="CE7310"/>
      <c r="CF7310"/>
      <c r="CG7310"/>
      <c r="CH7310"/>
      <c r="CI7310"/>
    </row>
    <row r="7311" spans="83:87" x14ac:dyDescent="0.2">
      <c r="CE7311"/>
      <c r="CF7311"/>
      <c r="CG7311"/>
      <c r="CH7311"/>
      <c r="CI7311"/>
    </row>
    <row r="7312" spans="83:87" x14ac:dyDescent="0.2">
      <c r="CE7312"/>
      <c r="CF7312"/>
      <c r="CG7312"/>
      <c r="CH7312"/>
      <c r="CI7312"/>
    </row>
    <row r="7313" spans="83:87" x14ac:dyDescent="0.2">
      <c r="CE7313"/>
      <c r="CF7313"/>
      <c r="CG7313"/>
      <c r="CH7313"/>
      <c r="CI7313"/>
    </row>
    <row r="7314" spans="83:87" x14ac:dyDescent="0.2">
      <c r="CE7314"/>
      <c r="CF7314"/>
      <c r="CG7314"/>
      <c r="CH7314"/>
      <c r="CI7314"/>
    </row>
    <row r="7315" spans="83:87" x14ac:dyDescent="0.2">
      <c r="CE7315"/>
      <c r="CF7315"/>
      <c r="CG7315"/>
      <c r="CH7315"/>
      <c r="CI7315"/>
    </row>
    <row r="7316" spans="83:87" x14ac:dyDescent="0.2">
      <c r="CE7316"/>
      <c r="CF7316"/>
      <c r="CG7316"/>
      <c r="CH7316"/>
      <c r="CI7316"/>
    </row>
    <row r="7317" spans="83:87" x14ac:dyDescent="0.2">
      <c r="CE7317"/>
      <c r="CF7317"/>
      <c r="CG7317"/>
      <c r="CH7317"/>
      <c r="CI7317"/>
    </row>
    <row r="7318" spans="83:87" x14ac:dyDescent="0.2">
      <c r="CE7318"/>
      <c r="CF7318"/>
      <c r="CG7318"/>
      <c r="CH7318"/>
      <c r="CI7318"/>
    </row>
    <row r="7319" spans="83:87" x14ac:dyDescent="0.2">
      <c r="CE7319"/>
      <c r="CF7319"/>
      <c r="CG7319"/>
      <c r="CH7319"/>
      <c r="CI7319"/>
    </row>
    <row r="7320" spans="83:87" x14ac:dyDescent="0.2">
      <c r="CE7320"/>
      <c r="CF7320"/>
      <c r="CG7320"/>
      <c r="CH7320"/>
      <c r="CI7320"/>
    </row>
    <row r="7321" spans="83:87" x14ac:dyDescent="0.2">
      <c r="CE7321"/>
      <c r="CF7321"/>
      <c r="CG7321"/>
      <c r="CH7321"/>
      <c r="CI7321"/>
    </row>
    <row r="7322" spans="83:87" x14ac:dyDescent="0.2">
      <c r="CE7322"/>
      <c r="CF7322"/>
      <c r="CG7322"/>
      <c r="CH7322"/>
      <c r="CI7322"/>
    </row>
    <row r="7323" spans="83:87" x14ac:dyDescent="0.2">
      <c r="CE7323"/>
      <c r="CF7323"/>
      <c r="CG7323"/>
      <c r="CH7323"/>
      <c r="CI7323"/>
    </row>
    <row r="7324" spans="83:87" x14ac:dyDescent="0.2">
      <c r="CE7324"/>
      <c r="CF7324"/>
      <c r="CG7324"/>
      <c r="CH7324"/>
      <c r="CI7324"/>
    </row>
    <row r="7325" spans="83:87" x14ac:dyDescent="0.2">
      <c r="CE7325"/>
      <c r="CF7325"/>
      <c r="CG7325"/>
      <c r="CH7325"/>
      <c r="CI7325"/>
    </row>
    <row r="7326" spans="83:87" x14ac:dyDescent="0.2">
      <c r="CE7326"/>
      <c r="CF7326"/>
      <c r="CG7326"/>
      <c r="CH7326"/>
      <c r="CI7326"/>
    </row>
    <row r="7327" spans="83:87" x14ac:dyDescent="0.2">
      <c r="CE7327"/>
      <c r="CF7327"/>
      <c r="CG7327"/>
      <c r="CH7327"/>
      <c r="CI7327"/>
    </row>
    <row r="7328" spans="83:87" x14ac:dyDescent="0.2">
      <c r="CE7328"/>
      <c r="CF7328"/>
      <c r="CG7328"/>
      <c r="CH7328"/>
      <c r="CI7328"/>
    </row>
    <row r="7329" spans="83:87" x14ac:dyDescent="0.2">
      <c r="CE7329"/>
      <c r="CF7329"/>
      <c r="CG7329"/>
      <c r="CH7329"/>
      <c r="CI7329"/>
    </row>
    <row r="7330" spans="83:87" x14ac:dyDescent="0.2">
      <c r="CE7330"/>
      <c r="CF7330"/>
      <c r="CG7330"/>
      <c r="CH7330"/>
      <c r="CI7330"/>
    </row>
    <row r="7331" spans="83:87" x14ac:dyDescent="0.2">
      <c r="CE7331"/>
      <c r="CF7331"/>
      <c r="CG7331"/>
      <c r="CH7331"/>
      <c r="CI7331"/>
    </row>
    <row r="7332" spans="83:87" x14ac:dyDescent="0.2">
      <c r="CE7332"/>
      <c r="CF7332"/>
      <c r="CG7332"/>
      <c r="CH7332"/>
      <c r="CI7332"/>
    </row>
    <row r="7333" spans="83:87" x14ac:dyDescent="0.2">
      <c r="CE7333"/>
      <c r="CF7333"/>
      <c r="CG7333"/>
      <c r="CH7333"/>
      <c r="CI7333"/>
    </row>
    <row r="7334" spans="83:87" x14ac:dyDescent="0.2">
      <c r="CE7334"/>
      <c r="CF7334"/>
      <c r="CG7334"/>
      <c r="CH7334"/>
      <c r="CI7334"/>
    </row>
    <row r="7335" spans="83:87" x14ac:dyDescent="0.2">
      <c r="CE7335"/>
      <c r="CF7335"/>
      <c r="CG7335"/>
      <c r="CH7335"/>
      <c r="CI7335"/>
    </row>
    <row r="7336" spans="83:87" x14ac:dyDescent="0.2">
      <c r="CE7336"/>
      <c r="CF7336"/>
      <c r="CG7336"/>
      <c r="CH7336"/>
      <c r="CI7336"/>
    </row>
    <row r="7337" spans="83:87" x14ac:dyDescent="0.2">
      <c r="CE7337"/>
      <c r="CF7337"/>
      <c r="CG7337"/>
      <c r="CH7337"/>
      <c r="CI7337"/>
    </row>
    <row r="7338" spans="83:87" x14ac:dyDescent="0.2">
      <c r="CE7338"/>
      <c r="CF7338"/>
      <c r="CG7338"/>
      <c r="CH7338"/>
      <c r="CI7338"/>
    </row>
    <row r="7339" spans="83:87" x14ac:dyDescent="0.2">
      <c r="CE7339"/>
      <c r="CF7339"/>
      <c r="CG7339"/>
      <c r="CH7339"/>
      <c r="CI7339"/>
    </row>
    <row r="7340" spans="83:87" x14ac:dyDescent="0.2">
      <c r="CE7340"/>
      <c r="CF7340"/>
      <c r="CG7340"/>
      <c r="CH7340"/>
      <c r="CI7340"/>
    </row>
    <row r="7341" spans="83:87" x14ac:dyDescent="0.2">
      <c r="CE7341"/>
      <c r="CF7341"/>
      <c r="CG7341"/>
      <c r="CH7341"/>
      <c r="CI7341"/>
    </row>
    <row r="7342" spans="83:87" x14ac:dyDescent="0.2">
      <c r="CE7342"/>
      <c r="CF7342"/>
      <c r="CG7342"/>
      <c r="CH7342"/>
      <c r="CI7342"/>
    </row>
    <row r="7343" spans="83:87" x14ac:dyDescent="0.2">
      <c r="CE7343"/>
      <c r="CF7343"/>
      <c r="CG7343"/>
      <c r="CH7343"/>
      <c r="CI7343"/>
    </row>
    <row r="7344" spans="83:87" x14ac:dyDescent="0.2">
      <c r="CE7344"/>
      <c r="CF7344"/>
      <c r="CG7344"/>
      <c r="CH7344"/>
      <c r="CI7344"/>
    </row>
    <row r="7345" spans="83:87" x14ac:dyDescent="0.2">
      <c r="CE7345"/>
      <c r="CF7345"/>
      <c r="CG7345"/>
      <c r="CH7345"/>
      <c r="CI7345"/>
    </row>
    <row r="7346" spans="83:87" x14ac:dyDescent="0.2">
      <c r="CE7346"/>
      <c r="CF7346"/>
      <c r="CG7346"/>
      <c r="CH7346"/>
      <c r="CI7346"/>
    </row>
    <row r="7347" spans="83:87" x14ac:dyDescent="0.2">
      <c r="CE7347"/>
      <c r="CF7347"/>
      <c r="CG7347"/>
      <c r="CH7347"/>
      <c r="CI7347"/>
    </row>
    <row r="7348" spans="83:87" x14ac:dyDescent="0.2">
      <c r="CE7348"/>
      <c r="CF7348"/>
      <c r="CG7348"/>
      <c r="CH7348"/>
      <c r="CI7348"/>
    </row>
    <row r="7349" spans="83:87" x14ac:dyDescent="0.2">
      <c r="CE7349"/>
      <c r="CF7349"/>
      <c r="CG7349"/>
      <c r="CH7349"/>
      <c r="CI7349"/>
    </row>
    <row r="7350" spans="83:87" x14ac:dyDescent="0.2">
      <c r="CE7350"/>
      <c r="CF7350"/>
      <c r="CG7350"/>
      <c r="CH7350"/>
      <c r="CI7350"/>
    </row>
    <row r="7351" spans="83:87" x14ac:dyDescent="0.2">
      <c r="CE7351"/>
      <c r="CF7351"/>
      <c r="CG7351"/>
      <c r="CH7351"/>
      <c r="CI7351"/>
    </row>
    <row r="7352" spans="83:87" x14ac:dyDescent="0.2">
      <c r="CE7352"/>
      <c r="CF7352"/>
      <c r="CG7352"/>
      <c r="CH7352"/>
      <c r="CI7352"/>
    </row>
    <row r="7353" spans="83:87" x14ac:dyDescent="0.2">
      <c r="CE7353"/>
      <c r="CF7353"/>
      <c r="CG7353"/>
      <c r="CH7353"/>
      <c r="CI7353"/>
    </row>
    <row r="7354" spans="83:87" x14ac:dyDescent="0.2">
      <c r="CE7354"/>
      <c r="CF7354"/>
      <c r="CG7354"/>
      <c r="CH7354"/>
      <c r="CI7354"/>
    </row>
    <row r="7355" spans="83:87" x14ac:dyDescent="0.2">
      <c r="CE7355"/>
      <c r="CF7355"/>
      <c r="CG7355"/>
      <c r="CH7355"/>
      <c r="CI7355"/>
    </row>
    <row r="7356" spans="83:87" x14ac:dyDescent="0.2">
      <c r="CE7356"/>
      <c r="CF7356"/>
      <c r="CG7356"/>
      <c r="CH7356"/>
      <c r="CI7356"/>
    </row>
    <row r="7357" spans="83:87" x14ac:dyDescent="0.2">
      <c r="CE7357"/>
      <c r="CF7357"/>
      <c r="CG7357"/>
      <c r="CH7357"/>
      <c r="CI7357"/>
    </row>
    <row r="7358" spans="83:87" x14ac:dyDescent="0.2">
      <c r="CE7358"/>
      <c r="CF7358"/>
      <c r="CG7358"/>
      <c r="CH7358"/>
      <c r="CI7358"/>
    </row>
    <row r="7359" spans="83:87" x14ac:dyDescent="0.2">
      <c r="CE7359"/>
      <c r="CF7359"/>
      <c r="CG7359"/>
      <c r="CH7359"/>
      <c r="CI7359"/>
    </row>
    <row r="7360" spans="83:87" x14ac:dyDescent="0.2">
      <c r="CE7360"/>
      <c r="CF7360"/>
      <c r="CG7360"/>
      <c r="CH7360"/>
      <c r="CI7360"/>
    </row>
    <row r="7361" spans="83:87" x14ac:dyDescent="0.2">
      <c r="CE7361"/>
      <c r="CF7361"/>
      <c r="CG7361"/>
      <c r="CH7361"/>
      <c r="CI7361"/>
    </row>
    <row r="7362" spans="83:87" x14ac:dyDescent="0.2">
      <c r="CE7362"/>
      <c r="CF7362"/>
      <c r="CG7362"/>
      <c r="CH7362"/>
      <c r="CI7362"/>
    </row>
    <row r="7363" spans="83:87" x14ac:dyDescent="0.2">
      <c r="CE7363"/>
      <c r="CF7363"/>
      <c r="CG7363"/>
      <c r="CH7363"/>
      <c r="CI7363"/>
    </row>
    <row r="7364" spans="83:87" x14ac:dyDescent="0.2">
      <c r="CE7364"/>
      <c r="CF7364"/>
      <c r="CG7364"/>
      <c r="CH7364"/>
      <c r="CI7364"/>
    </row>
    <row r="7365" spans="83:87" x14ac:dyDescent="0.2">
      <c r="CE7365"/>
      <c r="CF7365"/>
      <c r="CG7365"/>
      <c r="CH7365"/>
      <c r="CI7365"/>
    </row>
    <row r="7366" spans="83:87" x14ac:dyDescent="0.2">
      <c r="CE7366"/>
      <c r="CF7366"/>
      <c r="CG7366"/>
      <c r="CH7366"/>
      <c r="CI7366"/>
    </row>
    <row r="7367" spans="83:87" x14ac:dyDescent="0.2">
      <c r="CE7367"/>
      <c r="CF7367"/>
      <c r="CG7367"/>
      <c r="CH7367"/>
      <c r="CI7367"/>
    </row>
    <row r="7368" spans="83:87" x14ac:dyDescent="0.2">
      <c r="CE7368"/>
      <c r="CF7368"/>
      <c r="CG7368"/>
      <c r="CH7368"/>
      <c r="CI7368"/>
    </row>
    <row r="7369" spans="83:87" x14ac:dyDescent="0.2">
      <c r="CE7369"/>
      <c r="CF7369"/>
      <c r="CG7369"/>
      <c r="CH7369"/>
      <c r="CI7369"/>
    </row>
    <row r="7370" spans="83:87" x14ac:dyDescent="0.2">
      <c r="CE7370"/>
      <c r="CF7370"/>
      <c r="CG7370"/>
      <c r="CH7370"/>
      <c r="CI7370"/>
    </row>
    <row r="7371" spans="83:87" x14ac:dyDescent="0.2">
      <c r="CE7371"/>
      <c r="CF7371"/>
      <c r="CG7371"/>
      <c r="CH7371"/>
      <c r="CI7371"/>
    </row>
    <row r="7372" spans="83:87" x14ac:dyDescent="0.2">
      <c r="CE7372"/>
      <c r="CF7372"/>
      <c r="CG7372"/>
      <c r="CH7372"/>
      <c r="CI7372"/>
    </row>
    <row r="7373" spans="83:87" x14ac:dyDescent="0.2">
      <c r="CE7373"/>
      <c r="CF7373"/>
      <c r="CG7373"/>
      <c r="CH7373"/>
      <c r="CI7373"/>
    </row>
    <row r="7374" spans="83:87" x14ac:dyDescent="0.2">
      <c r="CE7374"/>
      <c r="CF7374"/>
      <c r="CG7374"/>
      <c r="CH7374"/>
      <c r="CI7374"/>
    </row>
    <row r="7375" spans="83:87" x14ac:dyDescent="0.2">
      <c r="CE7375"/>
      <c r="CF7375"/>
      <c r="CG7375"/>
      <c r="CH7375"/>
      <c r="CI7375"/>
    </row>
    <row r="7376" spans="83:87" x14ac:dyDescent="0.2">
      <c r="CE7376"/>
      <c r="CF7376"/>
      <c r="CG7376"/>
      <c r="CH7376"/>
      <c r="CI7376"/>
    </row>
    <row r="7377" spans="83:87" x14ac:dyDescent="0.2">
      <c r="CE7377"/>
      <c r="CF7377"/>
      <c r="CG7377"/>
      <c r="CH7377"/>
      <c r="CI7377"/>
    </row>
    <row r="7378" spans="83:87" x14ac:dyDescent="0.2">
      <c r="CE7378"/>
      <c r="CF7378"/>
      <c r="CG7378"/>
      <c r="CH7378"/>
      <c r="CI7378"/>
    </row>
    <row r="7379" spans="83:87" x14ac:dyDescent="0.2">
      <c r="CE7379"/>
      <c r="CF7379"/>
      <c r="CG7379"/>
      <c r="CH7379"/>
      <c r="CI7379"/>
    </row>
    <row r="7380" spans="83:87" x14ac:dyDescent="0.2">
      <c r="CE7380"/>
      <c r="CF7380"/>
      <c r="CG7380"/>
      <c r="CH7380"/>
      <c r="CI7380"/>
    </row>
    <row r="7381" spans="83:87" x14ac:dyDescent="0.2">
      <c r="CE7381"/>
      <c r="CF7381"/>
      <c r="CG7381"/>
      <c r="CH7381"/>
      <c r="CI7381"/>
    </row>
    <row r="7382" spans="83:87" x14ac:dyDescent="0.2">
      <c r="CE7382"/>
      <c r="CF7382"/>
      <c r="CG7382"/>
      <c r="CH7382"/>
      <c r="CI7382"/>
    </row>
    <row r="7383" spans="83:87" x14ac:dyDescent="0.2">
      <c r="CE7383"/>
      <c r="CF7383"/>
      <c r="CG7383"/>
      <c r="CH7383"/>
      <c r="CI7383"/>
    </row>
    <row r="7384" spans="83:87" x14ac:dyDescent="0.2">
      <c r="CE7384"/>
      <c r="CF7384"/>
      <c r="CG7384"/>
      <c r="CH7384"/>
      <c r="CI7384"/>
    </row>
    <row r="7385" spans="83:87" x14ac:dyDescent="0.2">
      <c r="CE7385"/>
      <c r="CF7385"/>
      <c r="CG7385"/>
      <c r="CH7385"/>
      <c r="CI7385"/>
    </row>
    <row r="7386" spans="83:87" x14ac:dyDescent="0.2">
      <c r="CE7386"/>
      <c r="CF7386"/>
      <c r="CG7386"/>
      <c r="CH7386"/>
      <c r="CI7386"/>
    </row>
    <row r="7387" spans="83:87" x14ac:dyDescent="0.2">
      <c r="CE7387"/>
      <c r="CF7387"/>
      <c r="CG7387"/>
      <c r="CH7387"/>
      <c r="CI7387"/>
    </row>
    <row r="7388" spans="83:87" x14ac:dyDescent="0.2">
      <c r="CE7388"/>
      <c r="CF7388"/>
      <c r="CG7388"/>
      <c r="CH7388"/>
      <c r="CI7388"/>
    </row>
    <row r="7389" spans="83:87" x14ac:dyDescent="0.2">
      <c r="CE7389"/>
      <c r="CF7389"/>
      <c r="CG7389"/>
      <c r="CH7389"/>
      <c r="CI7389"/>
    </row>
    <row r="7390" spans="83:87" x14ac:dyDescent="0.2">
      <c r="CE7390"/>
      <c r="CF7390"/>
      <c r="CG7390"/>
      <c r="CH7390"/>
      <c r="CI7390"/>
    </row>
    <row r="7391" spans="83:87" x14ac:dyDescent="0.2">
      <c r="CE7391"/>
      <c r="CF7391"/>
      <c r="CG7391"/>
      <c r="CH7391"/>
      <c r="CI7391"/>
    </row>
    <row r="7392" spans="83:87" x14ac:dyDescent="0.2">
      <c r="CE7392"/>
      <c r="CF7392"/>
      <c r="CG7392"/>
      <c r="CH7392"/>
      <c r="CI7392"/>
    </row>
    <row r="7393" spans="83:87" x14ac:dyDescent="0.2">
      <c r="CE7393"/>
      <c r="CF7393"/>
      <c r="CG7393"/>
      <c r="CH7393"/>
      <c r="CI7393"/>
    </row>
    <row r="7394" spans="83:87" x14ac:dyDescent="0.2">
      <c r="CE7394"/>
      <c r="CF7394"/>
      <c r="CG7394"/>
      <c r="CH7394"/>
      <c r="CI7394"/>
    </row>
    <row r="7395" spans="83:87" x14ac:dyDescent="0.2">
      <c r="CE7395"/>
      <c r="CF7395"/>
      <c r="CG7395"/>
      <c r="CH7395"/>
      <c r="CI7395"/>
    </row>
    <row r="7396" spans="83:87" x14ac:dyDescent="0.2">
      <c r="CE7396"/>
      <c r="CF7396"/>
      <c r="CG7396"/>
      <c r="CH7396"/>
      <c r="CI7396"/>
    </row>
    <row r="7397" spans="83:87" x14ac:dyDescent="0.2">
      <c r="CE7397"/>
      <c r="CF7397"/>
      <c r="CG7397"/>
      <c r="CH7397"/>
      <c r="CI7397"/>
    </row>
    <row r="7398" spans="83:87" x14ac:dyDescent="0.2">
      <c r="CE7398"/>
      <c r="CF7398"/>
      <c r="CG7398"/>
      <c r="CH7398"/>
      <c r="CI7398"/>
    </row>
    <row r="7399" spans="83:87" x14ac:dyDescent="0.2">
      <c r="CE7399"/>
      <c r="CF7399"/>
      <c r="CG7399"/>
      <c r="CH7399"/>
      <c r="CI7399"/>
    </row>
    <row r="7400" spans="83:87" x14ac:dyDescent="0.2">
      <c r="CE7400"/>
      <c r="CF7400"/>
      <c r="CG7400"/>
      <c r="CH7400"/>
      <c r="CI7400"/>
    </row>
    <row r="7401" spans="83:87" x14ac:dyDescent="0.2">
      <c r="CE7401"/>
      <c r="CF7401"/>
      <c r="CG7401"/>
      <c r="CH7401"/>
      <c r="CI7401"/>
    </row>
    <row r="7402" spans="83:87" x14ac:dyDescent="0.2">
      <c r="CE7402"/>
      <c r="CF7402"/>
      <c r="CG7402"/>
      <c r="CH7402"/>
      <c r="CI7402"/>
    </row>
    <row r="7403" spans="83:87" x14ac:dyDescent="0.2">
      <c r="CE7403"/>
      <c r="CF7403"/>
      <c r="CG7403"/>
      <c r="CH7403"/>
      <c r="CI7403"/>
    </row>
    <row r="7404" spans="83:87" x14ac:dyDescent="0.2">
      <c r="CE7404"/>
      <c r="CF7404"/>
      <c r="CG7404"/>
      <c r="CH7404"/>
      <c r="CI7404"/>
    </row>
    <row r="7405" spans="83:87" x14ac:dyDescent="0.2">
      <c r="CE7405"/>
      <c r="CF7405"/>
      <c r="CG7405"/>
      <c r="CH7405"/>
      <c r="CI7405"/>
    </row>
    <row r="7406" spans="83:87" x14ac:dyDescent="0.2">
      <c r="CE7406"/>
      <c r="CF7406"/>
      <c r="CG7406"/>
      <c r="CH7406"/>
      <c r="CI7406"/>
    </row>
    <row r="7407" spans="83:87" x14ac:dyDescent="0.2">
      <c r="CE7407"/>
      <c r="CF7407"/>
      <c r="CG7407"/>
      <c r="CH7407"/>
      <c r="CI7407"/>
    </row>
    <row r="7408" spans="83:87" x14ac:dyDescent="0.2">
      <c r="CE7408"/>
      <c r="CF7408"/>
      <c r="CG7408"/>
      <c r="CH7408"/>
      <c r="CI7408"/>
    </row>
    <row r="7409" spans="83:87" x14ac:dyDescent="0.2">
      <c r="CE7409"/>
      <c r="CF7409"/>
      <c r="CG7409"/>
      <c r="CH7409"/>
      <c r="CI7409"/>
    </row>
    <row r="7410" spans="83:87" x14ac:dyDescent="0.2">
      <c r="CE7410"/>
      <c r="CF7410"/>
      <c r="CG7410"/>
      <c r="CH7410"/>
      <c r="CI7410"/>
    </row>
    <row r="7411" spans="83:87" x14ac:dyDescent="0.2">
      <c r="CE7411"/>
      <c r="CF7411"/>
      <c r="CG7411"/>
      <c r="CH7411"/>
      <c r="CI7411"/>
    </row>
    <row r="7412" spans="83:87" x14ac:dyDescent="0.2">
      <c r="CE7412"/>
      <c r="CF7412"/>
      <c r="CG7412"/>
      <c r="CH7412"/>
      <c r="CI7412"/>
    </row>
    <row r="7413" spans="83:87" x14ac:dyDescent="0.2">
      <c r="CE7413"/>
      <c r="CF7413"/>
      <c r="CG7413"/>
      <c r="CH7413"/>
      <c r="CI7413"/>
    </row>
    <row r="7414" spans="83:87" x14ac:dyDescent="0.2">
      <c r="CE7414"/>
      <c r="CF7414"/>
      <c r="CG7414"/>
      <c r="CH7414"/>
      <c r="CI7414"/>
    </row>
    <row r="7415" spans="83:87" x14ac:dyDescent="0.2">
      <c r="CE7415"/>
      <c r="CF7415"/>
      <c r="CG7415"/>
      <c r="CH7415"/>
      <c r="CI7415"/>
    </row>
    <row r="7416" spans="83:87" x14ac:dyDescent="0.2">
      <c r="CE7416"/>
      <c r="CF7416"/>
      <c r="CG7416"/>
      <c r="CH7416"/>
      <c r="CI7416"/>
    </row>
    <row r="7417" spans="83:87" x14ac:dyDescent="0.2">
      <c r="CE7417"/>
      <c r="CF7417"/>
      <c r="CG7417"/>
      <c r="CH7417"/>
      <c r="CI7417"/>
    </row>
    <row r="7418" spans="83:87" x14ac:dyDescent="0.2">
      <c r="CE7418"/>
      <c r="CF7418"/>
      <c r="CG7418"/>
      <c r="CH7418"/>
      <c r="CI7418"/>
    </row>
    <row r="7419" spans="83:87" x14ac:dyDescent="0.2">
      <c r="CE7419"/>
      <c r="CF7419"/>
      <c r="CG7419"/>
      <c r="CH7419"/>
      <c r="CI7419"/>
    </row>
    <row r="7420" spans="83:87" x14ac:dyDescent="0.2">
      <c r="CE7420"/>
      <c r="CF7420"/>
      <c r="CG7420"/>
      <c r="CH7420"/>
      <c r="CI7420"/>
    </row>
    <row r="7421" spans="83:87" x14ac:dyDescent="0.2">
      <c r="CE7421"/>
      <c r="CF7421"/>
      <c r="CG7421"/>
      <c r="CH7421"/>
      <c r="CI7421"/>
    </row>
    <row r="7422" spans="83:87" x14ac:dyDescent="0.2">
      <c r="CE7422"/>
      <c r="CF7422"/>
      <c r="CG7422"/>
      <c r="CH7422"/>
      <c r="CI7422"/>
    </row>
    <row r="7423" spans="83:87" x14ac:dyDescent="0.2">
      <c r="CE7423"/>
      <c r="CF7423"/>
      <c r="CG7423"/>
      <c r="CH7423"/>
      <c r="CI7423"/>
    </row>
    <row r="7424" spans="83:87" x14ac:dyDescent="0.2">
      <c r="CE7424"/>
      <c r="CF7424"/>
      <c r="CG7424"/>
      <c r="CH7424"/>
      <c r="CI7424"/>
    </row>
    <row r="7425" spans="83:87" x14ac:dyDescent="0.2">
      <c r="CE7425"/>
      <c r="CF7425"/>
      <c r="CG7425"/>
      <c r="CH7425"/>
      <c r="CI7425"/>
    </row>
    <row r="7426" spans="83:87" x14ac:dyDescent="0.2">
      <c r="CE7426"/>
      <c r="CF7426"/>
      <c r="CG7426"/>
      <c r="CH7426"/>
      <c r="CI7426"/>
    </row>
    <row r="7427" spans="83:87" x14ac:dyDescent="0.2">
      <c r="CE7427"/>
      <c r="CF7427"/>
      <c r="CG7427"/>
      <c r="CH7427"/>
      <c r="CI7427"/>
    </row>
    <row r="7428" spans="83:87" x14ac:dyDescent="0.2">
      <c r="CE7428"/>
      <c r="CF7428"/>
      <c r="CG7428"/>
      <c r="CH7428"/>
      <c r="CI7428"/>
    </row>
    <row r="7429" spans="83:87" x14ac:dyDescent="0.2">
      <c r="CE7429"/>
      <c r="CF7429"/>
      <c r="CG7429"/>
      <c r="CH7429"/>
      <c r="CI7429"/>
    </row>
    <row r="7430" spans="83:87" x14ac:dyDescent="0.2">
      <c r="CE7430"/>
      <c r="CF7430"/>
      <c r="CG7430"/>
      <c r="CH7430"/>
      <c r="CI7430"/>
    </row>
    <row r="7431" spans="83:87" x14ac:dyDescent="0.2">
      <c r="CE7431"/>
      <c r="CF7431"/>
      <c r="CG7431"/>
      <c r="CH7431"/>
      <c r="CI7431"/>
    </row>
    <row r="7432" spans="83:87" x14ac:dyDescent="0.2">
      <c r="CE7432"/>
      <c r="CF7432"/>
      <c r="CG7432"/>
      <c r="CH7432"/>
      <c r="CI7432"/>
    </row>
    <row r="7433" spans="83:87" x14ac:dyDescent="0.2">
      <c r="CE7433"/>
      <c r="CF7433"/>
      <c r="CG7433"/>
      <c r="CH7433"/>
      <c r="CI7433"/>
    </row>
    <row r="7434" spans="83:87" x14ac:dyDescent="0.2">
      <c r="CE7434"/>
      <c r="CF7434"/>
      <c r="CG7434"/>
      <c r="CH7434"/>
      <c r="CI7434"/>
    </row>
    <row r="7435" spans="83:87" x14ac:dyDescent="0.2">
      <c r="CE7435"/>
      <c r="CF7435"/>
      <c r="CG7435"/>
      <c r="CH7435"/>
      <c r="CI7435"/>
    </row>
    <row r="7436" spans="83:87" x14ac:dyDescent="0.2">
      <c r="CE7436"/>
      <c r="CF7436"/>
      <c r="CG7436"/>
      <c r="CH7436"/>
      <c r="CI7436"/>
    </row>
    <row r="7437" spans="83:87" x14ac:dyDescent="0.2">
      <c r="CE7437"/>
      <c r="CF7437"/>
      <c r="CG7437"/>
      <c r="CH7437"/>
      <c r="CI7437"/>
    </row>
    <row r="7438" spans="83:87" x14ac:dyDescent="0.2">
      <c r="CE7438"/>
      <c r="CF7438"/>
      <c r="CG7438"/>
      <c r="CH7438"/>
      <c r="CI7438"/>
    </row>
    <row r="7439" spans="83:87" x14ac:dyDescent="0.2">
      <c r="CE7439"/>
      <c r="CF7439"/>
      <c r="CG7439"/>
      <c r="CH7439"/>
      <c r="CI7439"/>
    </row>
    <row r="7440" spans="83:87" x14ac:dyDescent="0.2">
      <c r="CE7440"/>
      <c r="CF7440"/>
      <c r="CG7440"/>
      <c r="CH7440"/>
      <c r="CI7440"/>
    </row>
    <row r="7441" spans="83:87" x14ac:dyDescent="0.2">
      <c r="CE7441"/>
      <c r="CF7441"/>
      <c r="CG7441"/>
      <c r="CH7441"/>
      <c r="CI7441"/>
    </row>
    <row r="7442" spans="83:87" x14ac:dyDescent="0.2">
      <c r="CE7442"/>
      <c r="CF7442"/>
      <c r="CG7442"/>
      <c r="CH7442"/>
      <c r="CI7442"/>
    </row>
    <row r="7443" spans="83:87" x14ac:dyDescent="0.2">
      <c r="CE7443"/>
      <c r="CF7443"/>
      <c r="CG7443"/>
      <c r="CH7443"/>
      <c r="CI7443"/>
    </row>
    <row r="7444" spans="83:87" x14ac:dyDescent="0.2">
      <c r="CE7444"/>
      <c r="CF7444"/>
      <c r="CG7444"/>
      <c r="CH7444"/>
      <c r="CI7444"/>
    </row>
    <row r="7445" spans="83:87" x14ac:dyDescent="0.2">
      <c r="CE7445"/>
      <c r="CF7445"/>
      <c r="CG7445"/>
      <c r="CH7445"/>
      <c r="CI7445"/>
    </row>
    <row r="7446" spans="83:87" x14ac:dyDescent="0.2">
      <c r="CE7446"/>
      <c r="CF7446"/>
      <c r="CG7446"/>
      <c r="CH7446"/>
      <c r="CI7446"/>
    </row>
    <row r="7447" spans="83:87" x14ac:dyDescent="0.2">
      <c r="CE7447"/>
      <c r="CF7447"/>
      <c r="CG7447"/>
      <c r="CH7447"/>
      <c r="CI7447"/>
    </row>
    <row r="7448" spans="83:87" x14ac:dyDescent="0.2">
      <c r="CE7448"/>
      <c r="CF7448"/>
      <c r="CG7448"/>
      <c r="CH7448"/>
      <c r="CI7448"/>
    </row>
    <row r="7449" spans="83:87" x14ac:dyDescent="0.2">
      <c r="CE7449"/>
      <c r="CF7449"/>
      <c r="CG7449"/>
      <c r="CH7449"/>
      <c r="CI7449"/>
    </row>
    <row r="7450" spans="83:87" x14ac:dyDescent="0.2">
      <c r="CE7450"/>
      <c r="CF7450"/>
      <c r="CG7450"/>
      <c r="CH7450"/>
      <c r="CI7450"/>
    </row>
    <row r="7451" spans="83:87" x14ac:dyDescent="0.2">
      <c r="CE7451"/>
      <c r="CF7451"/>
      <c r="CG7451"/>
      <c r="CH7451"/>
      <c r="CI7451"/>
    </row>
    <row r="7452" spans="83:87" x14ac:dyDescent="0.2">
      <c r="CE7452"/>
      <c r="CF7452"/>
      <c r="CG7452"/>
      <c r="CH7452"/>
      <c r="CI7452"/>
    </row>
    <row r="7453" spans="83:87" x14ac:dyDescent="0.2">
      <c r="CE7453"/>
      <c r="CF7453"/>
      <c r="CG7453"/>
      <c r="CH7453"/>
      <c r="CI7453"/>
    </row>
    <row r="7454" spans="83:87" x14ac:dyDescent="0.2">
      <c r="CE7454"/>
      <c r="CF7454"/>
      <c r="CG7454"/>
      <c r="CH7454"/>
      <c r="CI7454"/>
    </row>
    <row r="7455" spans="83:87" x14ac:dyDescent="0.2">
      <c r="CE7455"/>
      <c r="CF7455"/>
      <c r="CG7455"/>
      <c r="CH7455"/>
      <c r="CI7455"/>
    </row>
    <row r="7456" spans="83:87" x14ac:dyDescent="0.2">
      <c r="CE7456"/>
      <c r="CF7456"/>
      <c r="CG7456"/>
      <c r="CH7456"/>
      <c r="CI7456"/>
    </row>
    <row r="7457" spans="83:87" x14ac:dyDescent="0.2">
      <c r="CE7457"/>
      <c r="CF7457"/>
      <c r="CG7457"/>
      <c r="CH7457"/>
      <c r="CI7457"/>
    </row>
    <row r="7458" spans="83:87" x14ac:dyDescent="0.2">
      <c r="CE7458"/>
      <c r="CF7458"/>
      <c r="CG7458"/>
      <c r="CH7458"/>
      <c r="CI7458"/>
    </row>
    <row r="7459" spans="83:87" x14ac:dyDescent="0.2">
      <c r="CE7459"/>
      <c r="CF7459"/>
      <c r="CG7459"/>
      <c r="CH7459"/>
      <c r="CI7459"/>
    </row>
    <row r="7460" spans="83:87" x14ac:dyDescent="0.2">
      <c r="CE7460"/>
      <c r="CF7460"/>
      <c r="CG7460"/>
      <c r="CH7460"/>
      <c r="CI7460"/>
    </row>
    <row r="7461" spans="83:87" x14ac:dyDescent="0.2">
      <c r="CE7461"/>
      <c r="CF7461"/>
      <c r="CG7461"/>
      <c r="CH7461"/>
      <c r="CI7461"/>
    </row>
    <row r="7462" spans="83:87" x14ac:dyDescent="0.2">
      <c r="CE7462"/>
      <c r="CF7462"/>
      <c r="CG7462"/>
      <c r="CH7462"/>
      <c r="CI7462"/>
    </row>
    <row r="7463" spans="83:87" x14ac:dyDescent="0.2">
      <c r="CE7463"/>
      <c r="CF7463"/>
      <c r="CG7463"/>
      <c r="CH7463"/>
      <c r="CI7463"/>
    </row>
    <row r="7464" spans="83:87" x14ac:dyDescent="0.2">
      <c r="CE7464"/>
      <c r="CF7464"/>
      <c r="CG7464"/>
      <c r="CH7464"/>
      <c r="CI7464"/>
    </row>
    <row r="7465" spans="83:87" x14ac:dyDescent="0.2">
      <c r="CE7465"/>
      <c r="CF7465"/>
      <c r="CG7465"/>
      <c r="CH7465"/>
      <c r="CI7465"/>
    </row>
    <row r="7466" spans="83:87" x14ac:dyDescent="0.2">
      <c r="CE7466"/>
      <c r="CF7466"/>
      <c r="CG7466"/>
      <c r="CH7466"/>
      <c r="CI7466"/>
    </row>
    <row r="7467" spans="83:87" x14ac:dyDescent="0.2">
      <c r="CE7467"/>
      <c r="CF7467"/>
      <c r="CG7467"/>
      <c r="CH7467"/>
      <c r="CI7467"/>
    </row>
    <row r="7468" spans="83:87" x14ac:dyDescent="0.2">
      <c r="CE7468"/>
      <c r="CF7468"/>
      <c r="CG7468"/>
      <c r="CH7468"/>
      <c r="CI7468"/>
    </row>
    <row r="7469" spans="83:87" x14ac:dyDescent="0.2">
      <c r="CE7469"/>
      <c r="CF7469"/>
      <c r="CG7469"/>
      <c r="CH7469"/>
      <c r="CI7469"/>
    </row>
    <row r="7470" spans="83:87" x14ac:dyDescent="0.2">
      <c r="CE7470"/>
      <c r="CF7470"/>
      <c r="CG7470"/>
      <c r="CH7470"/>
      <c r="CI7470"/>
    </row>
    <row r="7471" spans="83:87" x14ac:dyDescent="0.2">
      <c r="CE7471"/>
      <c r="CF7471"/>
      <c r="CG7471"/>
      <c r="CH7471"/>
      <c r="CI7471"/>
    </row>
    <row r="7472" spans="83:87" x14ac:dyDescent="0.2">
      <c r="CE7472"/>
      <c r="CF7472"/>
      <c r="CG7472"/>
      <c r="CH7472"/>
      <c r="CI7472"/>
    </row>
    <row r="7473" spans="83:87" x14ac:dyDescent="0.2">
      <c r="CE7473"/>
      <c r="CF7473"/>
      <c r="CG7473"/>
      <c r="CH7473"/>
      <c r="CI7473"/>
    </row>
    <row r="7474" spans="83:87" x14ac:dyDescent="0.2">
      <c r="CE7474"/>
      <c r="CF7474"/>
      <c r="CG7474"/>
      <c r="CH7474"/>
      <c r="CI7474"/>
    </row>
    <row r="7475" spans="83:87" x14ac:dyDescent="0.2">
      <c r="CE7475"/>
      <c r="CF7475"/>
      <c r="CG7475"/>
      <c r="CH7475"/>
      <c r="CI7475"/>
    </row>
    <row r="7476" spans="83:87" x14ac:dyDescent="0.2">
      <c r="CE7476"/>
      <c r="CF7476"/>
      <c r="CG7476"/>
      <c r="CH7476"/>
      <c r="CI7476"/>
    </row>
    <row r="7477" spans="83:87" x14ac:dyDescent="0.2">
      <c r="CE7477"/>
      <c r="CF7477"/>
      <c r="CG7477"/>
      <c r="CH7477"/>
      <c r="CI7477"/>
    </row>
    <row r="7478" spans="83:87" x14ac:dyDescent="0.2">
      <c r="CE7478"/>
      <c r="CF7478"/>
      <c r="CG7478"/>
      <c r="CH7478"/>
      <c r="CI7478"/>
    </row>
    <row r="7479" spans="83:87" x14ac:dyDescent="0.2">
      <c r="CE7479"/>
      <c r="CF7479"/>
      <c r="CG7479"/>
      <c r="CH7479"/>
      <c r="CI7479"/>
    </row>
    <row r="7480" spans="83:87" x14ac:dyDescent="0.2">
      <c r="CE7480"/>
      <c r="CF7480"/>
      <c r="CG7480"/>
      <c r="CH7480"/>
      <c r="CI7480"/>
    </row>
    <row r="7481" spans="83:87" x14ac:dyDescent="0.2">
      <c r="CE7481"/>
      <c r="CF7481"/>
      <c r="CG7481"/>
      <c r="CH7481"/>
      <c r="CI7481"/>
    </row>
    <row r="7482" spans="83:87" x14ac:dyDescent="0.2">
      <c r="CE7482"/>
      <c r="CF7482"/>
      <c r="CG7482"/>
      <c r="CH7482"/>
      <c r="CI7482"/>
    </row>
    <row r="7483" spans="83:87" x14ac:dyDescent="0.2">
      <c r="CE7483"/>
      <c r="CF7483"/>
      <c r="CG7483"/>
      <c r="CH7483"/>
      <c r="CI7483"/>
    </row>
    <row r="7484" spans="83:87" x14ac:dyDescent="0.2">
      <c r="CE7484"/>
      <c r="CF7484"/>
      <c r="CG7484"/>
      <c r="CH7484"/>
      <c r="CI7484"/>
    </row>
    <row r="7485" spans="83:87" x14ac:dyDescent="0.2">
      <c r="CE7485"/>
      <c r="CF7485"/>
      <c r="CG7485"/>
      <c r="CH7485"/>
      <c r="CI7485"/>
    </row>
    <row r="7486" spans="83:87" x14ac:dyDescent="0.2">
      <c r="CE7486"/>
      <c r="CF7486"/>
      <c r="CG7486"/>
      <c r="CH7486"/>
      <c r="CI7486"/>
    </row>
    <row r="7487" spans="83:87" x14ac:dyDescent="0.2">
      <c r="CE7487"/>
      <c r="CF7487"/>
      <c r="CG7487"/>
      <c r="CH7487"/>
      <c r="CI7487"/>
    </row>
    <row r="7488" spans="83:87" x14ac:dyDescent="0.2">
      <c r="CE7488"/>
      <c r="CF7488"/>
      <c r="CG7488"/>
      <c r="CH7488"/>
      <c r="CI7488"/>
    </row>
    <row r="7489" spans="83:87" x14ac:dyDescent="0.2">
      <c r="CE7489"/>
      <c r="CF7489"/>
      <c r="CG7489"/>
      <c r="CH7489"/>
      <c r="CI7489"/>
    </row>
    <row r="7490" spans="83:87" x14ac:dyDescent="0.2">
      <c r="CE7490"/>
      <c r="CF7490"/>
      <c r="CG7490"/>
      <c r="CH7490"/>
      <c r="CI7490"/>
    </row>
    <row r="7491" spans="83:87" x14ac:dyDescent="0.2">
      <c r="CE7491"/>
      <c r="CF7491"/>
      <c r="CG7491"/>
      <c r="CH7491"/>
      <c r="CI7491"/>
    </row>
    <row r="7492" spans="83:87" x14ac:dyDescent="0.2">
      <c r="CE7492"/>
      <c r="CF7492"/>
      <c r="CG7492"/>
      <c r="CH7492"/>
      <c r="CI7492"/>
    </row>
    <row r="7493" spans="83:87" x14ac:dyDescent="0.2">
      <c r="CE7493"/>
      <c r="CF7493"/>
      <c r="CG7493"/>
      <c r="CH7493"/>
      <c r="CI7493"/>
    </row>
    <row r="7494" spans="83:87" x14ac:dyDescent="0.2">
      <c r="CE7494"/>
      <c r="CF7494"/>
      <c r="CG7494"/>
      <c r="CH7494"/>
      <c r="CI7494"/>
    </row>
    <row r="7495" spans="83:87" x14ac:dyDescent="0.2">
      <c r="CE7495"/>
      <c r="CF7495"/>
      <c r="CG7495"/>
      <c r="CH7495"/>
      <c r="CI7495"/>
    </row>
    <row r="7496" spans="83:87" x14ac:dyDescent="0.2">
      <c r="CE7496"/>
      <c r="CF7496"/>
      <c r="CG7496"/>
      <c r="CH7496"/>
      <c r="CI7496"/>
    </row>
    <row r="7497" spans="83:87" x14ac:dyDescent="0.2">
      <c r="CE7497"/>
      <c r="CF7497"/>
      <c r="CG7497"/>
      <c r="CH7497"/>
      <c r="CI7497"/>
    </row>
    <row r="7498" spans="83:87" x14ac:dyDescent="0.2">
      <c r="CE7498"/>
      <c r="CF7498"/>
      <c r="CG7498"/>
      <c r="CH7498"/>
      <c r="CI7498"/>
    </row>
    <row r="7499" spans="83:87" x14ac:dyDescent="0.2">
      <c r="CE7499"/>
      <c r="CF7499"/>
      <c r="CG7499"/>
      <c r="CH7499"/>
      <c r="CI7499"/>
    </row>
    <row r="7500" spans="83:87" x14ac:dyDescent="0.2">
      <c r="CE7500"/>
      <c r="CF7500"/>
      <c r="CG7500"/>
      <c r="CH7500"/>
      <c r="CI7500"/>
    </row>
    <row r="7501" spans="83:87" x14ac:dyDescent="0.2">
      <c r="CE7501"/>
      <c r="CF7501"/>
      <c r="CG7501"/>
      <c r="CH7501"/>
      <c r="CI7501"/>
    </row>
    <row r="7502" spans="83:87" x14ac:dyDescent="0.2">
      <c r="CE7502"/>
      <c r="CF7502"/>
      <c r="CG7502"/>
      <c r="CH7502"/>
      <c r="CI7502"/>
    </row>
    <row r="7503" spans="83:87" x14ac:dyDescent="0.2">
      <c r="CE7503"/>
      <c r="CF7503"/>
      <c r="CG7503"/>
      <c r="CH7503"/>
      <c r="CI7503"/>
    </row>
    <row r="7504" spans="83:87" x14ac:dyDescent="0.2">
      <c r="CE7504"/>
      <c r="CF7504"/>
      <c r="CG7504"/>
      <c r="CH7504"/>
      <c r="CI7504"/>
    </row>
    <row r="7505" spans="83:87" x14ac:dyDescent="0.2">
      <c r="CE7505"/>
      <c r="CF7505"/>
      <c r="CG7505"/>
      <c r="CH7505"/>
      <c r="CI7505"/>
    </row>
    <row r="7506" spans="83:87" x14ac:dyDescent="0.2">
      <c r="CE7506"/>
      <c r="CF7506"/>
      <c r="CG7506"/>
      <c r="CH7506"/>
      <c r="CI7506"/>
    </row>
    <row r="7507" spans="83:87" x14ac:dyDescent="0.2">
      <c r="CE7507"/>
      <c r="CF7507"/>
      <c r="CG7507"/>
      <c r="CH7507"/>
      <c r="CI7507"/>
    </row>
    <row r="7508" spans="83:87" x14ac:dyDescent="0.2">
      <c r="CE7508"/>
      <c r="CF7508"/>
      <c r="CG7508"/>
      <c r="CH7508"/>
      <c r="CI7508"/>
    </row>
    <row r="7509" spans="83:87" x14ac:dyDescent="0.2">
      <c r="CE7509"/>
      <c r="CF7509"/>
      <c r="CG7509"/>
      <c r="CH7509"/>
      <c r="CI7509"/>
    </row>
    <row r="7510" spans="83:87" x14ac:dyDescent="0.2">
      <c r="CE7510"/>
      <c r="CF7510"/>
      <c r="CG7510"/>
      <c r="CH7510"/>
      <c r="CI7510"/>
    </row>
    <row r="7511" spans="83:87" x14ac:dyDescent="0.2">
      <c r="CE7511"/>
      <c r="CF7511"/>
      <c r="CG7511"/>
      <c r="CH7511"/>
      <c r="CI7511"/>
    </row>
    <row r="7512" spans="83:87" x14ac:dyDescent="0.2">
      <c r="CE7512"/>
      <c r="CF7512"/>
      <c r="CG7512"/>
      <c r="CH7512"/>
      <c r="CI7512"/>
    </row>
    <row r="7513" spans="83:87" x14ac:dyDescent="0.2">
      <c r="CE7513"/>
      <c r="CF7513"/>
      <c r="CG7513"/>
      <c r="CH7513"/>
      <c r="CI7513"/>
    </row>
    <row r="7514" spans="83:87" x14ac:dyDescent="0.2">
      <c r="CE7514"/>
      <c r="CF7514"/>
      <c r="CG7514"/>
      <c r="CH7514"/>
      <c r="CI7514"/>
    </row>
    <row r="7515" spans="83:87" x14ac:dyDescent="0.2">
      <c r="CE7515"/>
      <c r="CF7515"/>
      <c r="CG7515"/>
      <c r="CH7515"/>
      <c r="CI7515"/>
    </row>
    <row r="7516" spans="83:87" x14ac:dyDescent="0.2">
      <c r="CE7516"/>
      <c r="CF7516"/>
      <c r="CG7516"/>
      <c r="CH7516"/>
      <c r="CI7516"/>
    </row>
    <row r="7517" spans="83:87" x14ac:dyDescent="0.2">
      <c r="CE7517"/>
      <c r="CF7517"/>
      <c r="CG7517"/>
      <c r="CH7517"/>
      <c r="CI7517"/>
    </row>
    <row r="7518" spans="83:87" x14ac:dyDescent="0.2">
      <c r="CE7518"/>
      <c r="CF7518"/>
      <c r="CG7518"/>
      <c r="CH7518"/>
      <c r="CI7518"/>
    </row>
    <row r="7519" spans="83:87" x14ac:dyDescent="0.2">
      <c r="CE7519"/>
      <c r="CF7519"/>
      <c r="CG7519"/>
      <c r="CH7519"/>
      <c r="CI7519"/>
    </row>
    <row r="7520" spans="83:87" x14ac:dyDescent="0.2">
      <c r="CE7520"/>
      <c r="CF7520"/>
      <c r="CG7520"/>
      <c r="CH7520"/>
      <c r="CI7520"/>
    </row>
    <row r="7521" spans="83:87" x14ac:dyDescent="0.2">
      <c r="CE7521"/>
      <c r="CF7521"/>
      <c r="CG7521"/>
      <c r="CH7521"/>
      <c r="CI7521"/>
    </row>
    <row r="7522" spans="83:87" x14ac:dyDescent="0.2">
      <c r="CE7522"/>
      <c r="CF7522"/>
      <c r="CG7522"/>
      <c r="CH7522"/>
      <c r="CI7522"/>
    </row>
    <row r="7523" spans="83:87" x14ac:dyDescent="0.2">
      <c r="CE7523"/>
      <c r="CF7523"/>
      <c r="CG7523"/>
      <c r="CH7523"/>
      <c r="CI7523"/>
    </row>
    <row r="7524" spans="83:87" x14ac:dyDescent="0.2">
      <c r="CE7524"/>
      <c r="CF7524"/>
      <c r="CG7524"/>
      <c r="CH7524"/>
      <c r="CI7524"/>
    </row>
    <row r="7525" spans="83:87" x14ac:dyDescent="0.2">
      <c r="CE7525"/>
      <c r="CF7525"/>
      <c r="CG7525"/>
      <c r="CH7525"/>
      <c r="CI7525"/>
    </row>
    <row r="7526" spans="83:87" x14ac:dyDescent="0.2">
      <c r="CE7526"/>
      <c r="CF7526"/>
      <c r="CG7526"/>
      <c r="CH7526"/>
      <c r="CI7526"/>
    </row>
    <row r="7527" spans="83:87" x14ac:dyDescent="0.2">
      <c r="CE7527"/>
      <c r="CF7527"/>
      <c r="CG7527"/>
      <c r="CH7527"/>
      <c r="CI7527"/>
    </row>
    <row r="7528" spans="83:87" x14ac:dyDescent="0.2">
      <c r="CE7528"/>
      <c r="CF7528"/>
      <c r="CG7528"/>
      <c r="CH7528"/>
      <c r="CI7528"/>
    </row>
    <row r="7529" spans="83:87" x14ac:dyDescent="0.2">
      <c r="CE7529"/>
      <c r="CF7529"/>
      <c r="CG7529"/>
      <c r="CH7529"/>
      <c r="CI7529"/>
    </row>
    <row r="7530" spans="83:87" x14ac:dyDescent="0.2">
      <c r="CE7530"/>
      <c r="CF7530"/>
      <c r="CG7530"/>
      <c r="CH7530"/>
      <c r="CI7530"/>
    </row>
    <row r="7531" spans="83:87" x14ac:dyDescent="0.2">
      <c r="CE7531"/>
      <c r="CF7531"/>
      <c r="CG7531"/>
      <c r="CH7531"/>
      <c r="CI7531"/>
    </row>
    <row r="7532" spans="83:87" x14ac:dyDescent="0.2">
      <c r="CE7532"/>
      <c r="CF7532"/>
      <c r="CG7532"/>
      <c r="CH7532"/>
      <c r="CI7532"/>
    </row>
    <row r="7533" spans="83:87" x14ac:dyDescent="0.2">
      <c r="CE7533"/>
      <c r="CF7533"/>
      <c r="CG7533"/>
      <c r="CH7533"/>
      <c r="CI7533"/>
    </row>
    <row r="7534" spans="83:87" x14ac:dyDescent="0.2">
      <c r="CE7534"/>
      <c r="CF7534"/>
      <c r="CG7534"/>
      <c r="CH7534"/>
      <c r="CI7534"/>
    </row>
    <row r="7535" spans="83:87" x14ac:dyDescent="0.2">
      <c r="CE7535"/>
      <c r="CF7535"/>
      <c r="CG7535"/>
      <c r="CH7535"/>
      <c r="CI7535"/>
    </row>
    <row r="7536" spans="83:87" x14ac:dyDescent="0.2">
      <c r="CE7536"/>
      <c r="CF7536"/>
      <c r="CG7536"/>
      <c r="CH7536"/>
      <c r="CI7536"/>
    </row>
    <row r="7537" spans="83:87" x14ac:dyDescent="0.2">
      <c r="CE7537"/>
      <c r="CF7537"/>
      <c r="CG7537"/>
      <c r="CH7537"/>
      <c r="CI7537"/>
    </row>
    <row r="7538" spans="83:87" x14ac:dyDescent="0.2">
      <c r="CE7538"/>
      <c r="CF7538"/>
      <c r="CG7538"/>
      <c r="CH7538"/>
      <c r="CI7538"/>
    </row>
    <row r="7539" spans="83:87" x14ac:dyDescent="0.2">
      <c r="CE7539"/>
      <c r="CF7539"/>
      <c r="CG7539"/>
      <c r="CH7539"/>
      <c r="CI7539"/>
    </row>
    <row r="7540" spans="83:87" x14ac:dyDescent="0.2">
      <c r="CE7540"/>
      <c r="CF7540"/>
      <c r="CG7540"/>
      <c r="CH7540"/>
      <c r="CI7540"/>
    </row>
    <row r="7541" spans="83:87" x14ac:dyDescent="0.2">
      <c r="CE7541"/>
      <c r="CF7541"/>
      <c r="CG7541"/>
      <c r="CH7541"/>
      <c r="CI7541"/>
    </row>
    <row r="7542" spans="83:87" x14ac:dyDescent="0.2">
      <c r="CE7542"/>
      <c r="CF7542"/>
      <c r="CG7542"/>
      <c r="CH7542"/>
      <c r="CI7542"/>
    </row>
    <row r="7543" spans="83:87" x14ac:dyDescent="0.2">
      <c r="CE7543"/>
      <c r="CF7543"/>
      <c r="CG7543"/>
      <c r="CH7543"/>
      <c r="CI7543"/>
    </row>
    <row r="7544" spans="83:87" x14ac:dyDescent="0.2">
      <c r="CE7544"/>
      <c r="CF7544"/>
      <c r="CG7544"/>
      <c r="CH7544"/>
      <c r="CI7544"/>
    </row>
    <row r="7545" spans="83:87" x14ac:dyDescent="0.2">
      <c r="CE7545"/>
      <c r="CF7545"/>
      <c r="CG7545"/>
      <c r="CH7545"/>
      <c r="CI7545"/>
    </row>
    <row r="7546" spans="83:87" x14ac:dyDescent="0.2">
      <c r="CE7546"/>
      <c r="CF7546"/>
      <c r="CG7546"/>
      <c r="CH7546"/>
      <c r="CI7546"/>
    </row>
    <row r="7547" spans="83:87" x14ac:dyDescent="0.2">
      <c r="CE7547"/>
      <c r="CF7547"/>
      <c r="CG7547"/>
      <c r="CH7547"/>
      <c r="CI7547"/>
    </row>
    <row r="7548" spans="83:87" x14ac:dyDescent="0.2">
      <c r="CE7548"/>
      <c r="CF7548"/>
      <c r="CG7548"/>
      <c r="CH7548"/>
      <c r="CI7548"/>
    </row>
    <row r="7549" spans="83:87" x14ac:dyDescent="0.2">
      <c r="CE7549"/>
      <c r="CF7549"/>
      <c r="CG7549"/>
      <c r="CH7549"/>
      <c r="CI7549"/>
    </row>
    <row r="7550" spans="83:87" x14ac:dyDescent="0.2">
      <c r="CE7550"/>
      <c r="CF7550"/>
      <c r="CG7550"/>
      <c r="CH7550"/>
      <c r="CI7550"/>
    </row>
    <row r="7551" spans="83:87" x14ac:dyDescent="0.2">
      <c r="CE7551"/>
      <c r="CF7551"/>
      <c r="CG7551"/>
      <c r="CH7551"/>
      <c r="CI7551"/>
    </row>
    <row r="7552" spans="83:87" x14ac:dyDescent="0.2">
      <c r="CE7552"/>
      <c r="CF7552"/>
      <c r="CG7552"/>
      <c r="CH7552"/>
      <c r="CI7552"/>
    </row>
    <row r="7553" spans="83:87" x14ac:dyDescent="0.2">
      <c r="CE7553"/>
      <c r="CF7553"/>
      <c r="CG7553"/>
      <c r="CH7553"/>
      <c r="CI7553"/>
    </row>
    <row r="7554" spans="83:87" x14ac:dyDescent="0.2">
      <c r="CE7554"/>
      <c r="CF7554"/>
      <c r="CG7554"/>
      <c r="CH7554"/>
      <c r="CI7554"/>
    </row>
    <row r="7555" spans="83:87" x14ac:dyDescent="0.2">
      <c r="CE7555"/>
      <c r="CF7555"/>
      <c r="CG7555"/>
      <c r="CH7555"/>
      <c r="CI7555"/>
    </row>
    <row r="7556" spans="83:87" x14ac:dyDescent="0.2">
      <c r="CE7556"/>
      <c r="CF7556"/>
      <c r="CG7556"/>
      <c r="CH7556"/>
      <c r="CI7556"/>
    </row>
    <row r="7557" spans="83:87" x14ac:dyDescent="0.2">
      <c r="CE7557"/>
      <c r="CF7557"/>
      <c r="CG7557"/>
      <c r="CH7557"/>
      <c r="CI7557"/>
    </row>
    <row r="7558" spans="83:87" x14ac:dyDescent="0.2">
      <c r="CE7558"/>
      <c r="CF7558"/>
      <c r="CG7558"/>
      <c r="CH7558"/>
      <c r="CI7558"/>
    </row>
    <row r="7559" spans="83:87" x14ac:dyDescent="0.2">
      <c r="CE7559"/>
      <c r="CF7559"/>
      <c r="CG7559"/>
      <c r="CH7559"/>
      <c r="CI7559"/>
    </row>
    <row r="7560" spans="83:87" x14ac:dyDescent="0.2">
      <c r="CE7560"/>
      <c r="CF7560"/>
      <c r="CG7560"/>
      <c r="CH7560"/>
      <c r="CI7560"/>
    </row>
    <row r="7561" spans="83:87" x14ac:dyDescent="0.2">
      <c r="CE7561"/>
      <c r="CF7561"/>
      <c r="CG7561"/>
      <c r="CH7561"/>
      <c r="CI7561"/>
    </row>
    <row r="7562" spans="83:87" x14ac:dyDescent="0.2">
      <c r="CE7562"/>
      <c r="CF7562"/>
      <c r="CG7562"/>
      <c r="CH7562"/>
      <c r="CI7562"/>
    </row>
    <row r="7563" spans="83:87" x14ac:dyDescent="0.2">
      <c r="CE7563"/>
      <c r="CF7563"/>
      <c r="CG7563"/>
      <c r="CH7563"/>
      <c r="CI7563"/>
    </row>
    <row r="7564" spans="83:87" x14ac:dyDescent="0.2">
      <c r="CE7564"/>
      <c r="CF7564"/>
      <c r="CG7564"/>
      <c r="CH7564"/>
      <c r="CI7564"/>
    </row>
    <row r="7565" spans="83:87" x14ac:dyDescent="0.2">
      <c r="CE7565"/>
      <c r="CF7565"/>
      <c r="CG7565"/>
      <c r="CH7565"/>
      <c r="CI7565"/>
    </row>
    <row r="7566" spans="83:87" x14ac:dyDescent="0.2">
      <c r="CE7566"/>
      <c r="CF7566"/>
      <c r="CG7566"/>
      <c r="CH7566"/>
      <c r="CI7566"/>
    </row>
    <row r="7567" spans="83:87" x14ac:dyDescent="0.2">
      <c r="CE7567"/>
      <c r="CF7567"/>
      <c r="CG7567"/>
      <c r="CH7567"/>
      <c r="CI7567"/>
    </row>
    <row r="7568" spans="83:87" x14ac:dyDescent="0.2">
      <c r="CE7568"/>
      <c r="CF7568"/>
      <c r="CG7568"/>
      <c r="CH7568"/>
      <c r="CI7568"/>
    </row>
    <row r="7569" spans="83:87" x14ac:dyDescent="0.2">
      <c r="CE7569"/>
      <c r="CF7569"/>
      <c r="CG7569"/>
      <c r="CH7569"/>
      <c r="CI7569"/>
    </row>
    <row r="7570" spans="83:87" x14ac:dyDescent="0.2">
      <c r="CE7570"/>
      <c r="CF7570"/>
      <c r="CG7570"/>
      <c r="CH7570"/>
      <c r="CI7570"/>
    </row>
    <row r="7571" spans="83:87" x14ac:dyDescent="0.2">
      <c r="CE7571"/>
      <c r="CF7571"/>
      <c r="CG7571"/>
      <c r="CH7571"/>
      <c r="CI7571"/>
    </row>
    <row r="7572" spans="83:87" x14ac:dyDescent="0.2">
      <c r="CE7572"/>
      <c r="CF7572"/>
      <c r="CG7572"/>
      <c r="CH7572"/>
      <c r="CI7572"/>
    </row>
    <row r="7573" spans="83:87" x14ac:dyDescent="0.2">
      <c r="CE7573"/>
      <c r="CF7573"/>
      <c r="CG7573"/>
      <c r="CH7573"/>
      <c r="CI7573"/>
    </row>
    <row r="7574" spans="83:87" x14ac:dyDescent="0.2">
      <c r="CE7574"/>
      <c r="CF7574"/>
      <c r="CG7574"/>
      <c r="CH7574"/>
      <c r="CI7574"/>
    </row>
    <row r="7575" spans="83:87" x14ac:dyDescent="0.2">
      <c r="CE7575"/>
      <c r="CF7575"/>
      <c r="CG7575"/>
      <c r="CH7575"/>
      <c r="CI7575"/>
    </row>
    <row r="7576" spans="83:87" x14ac:dyDescent="0.2">
      <c r="CE7576"/>
      <c r="CF7576"/>
      <c r="CG7576"/>
      <c r="CH7576"/>
      <c r="CI7576"/>
    </row>
    <row r="7577" spans="83:87" x14ac:dyDescent="0.2">
      <c r="CE7577"/>
      <c r="CF7577"/>
      <c r="CG7577"/>
      <c r="CH7577"/>
      <c r="CI7577"/>
    </row>
    <row r="7578" spans="83:87" x14ac:dyDescent="0.2">
      <c r="CE7578"/>
      <c r="CF7578"/>
      <c r="CG7578"/>
      <c r="CH7578"/>
      <c r="CI7578"/>
    </row>
    <row r="7579" spans="83:87" x14ac:dyDescent="0.2">
      <c r="CE7579"/>
      <c r="CF7579"/>
      <c r="CG7579"/>
      <c r="CH7579"/>
      <c r="CI7579"/>
    </row>
    <row r="7580" spans="83:87" x14ac:dyDescent="0.2">
      <c r="CE7580"/>
      <c r="CF7580"/>
      <c r="CG7580"/>
      <c r="CH7580"/>
      <c r="CI7580"/>
    </row>
    <row r="7581" spans="83:87" x14ac:dyDescent="0.2">
      <c r="CE7581"/>
      <c r="CF7581"/>
      <c r="CG7581"/>
      <c r="CH7581"/>
      <c r="CI7581"/>
    </row>
    <row r="7582" spans="83:87" x14ac:dyDescent="0.2">
      <c r="CE7582"/>
      <c r="CF7582"/>
      <c r="CG7582"/>
      <c r="CH7582"/>
      <c r="CI7582"/>
    </row>
    <row r="7583" spans="83:87" x14ac:dyDescent="0.2">
      <c r="CE7583"/>
      <c r="CF7583"/>
      <c r="CG7583"/>
      <c r="CH7583"/>
      <c r="CI7583"/>
    </row>
    <row r="7584" spans="83:87" x14ac:dyDescent="0.2">
      <c r="CE7584"/>
      <c r="CF7584"/>
      <c r="CG7584"/>
      <c r="CH7584"/>
      <c r="CI7584"/>
    </row>
    <row r="7585" spans="83:87" x14ac:dyDescent="0.2">
      <c r="CE7585"/>
      <c r="CF7585"/>
      <c r="CG7585"/>
      <c r="CH7585"/>
      <c r="CI7585"/>
    </row>
    <row r="7586" spans="83:87" x14ac:dyDescent="0.2">
      <c r="CE7586"/>
      <c r="CF7586"/>
      <c r="CG7586"/>
      <c r="CH7586"/>
      <c r="CI7586"/>
    </row>
    <row r="7587" spans="83:87" x14ac:dyDescent="0.2">
      <c r="CE7587"/>
      <c r="CF7587"/>
      <c r="CG7587"/>
      <c r="CH7587"/>
      <c r="CI7587"/>
    </row>
    <row r="7588" spans="83:87" x14ac:dyDescent="0.2">
      <c r="CE7588"/>
      <c r="CF7588"/>
      <c r="CG7588"/>
      <c r="CH7588"/>
      <c r="CI7588"/>
    </row>
    <row r="7589" spans="83:87" x14ac:dyDescent="0.2">
      <c r="CE7589"/>
      <c r="CF7589"/>
      <c r="CG7589"/>
      <c r="CH7589"/>
      <c r="CI7589"/>
    </row>
    <row r="7590" spans="83:87" x14ac:dyDescent="0.2">
      <c r="CE7590"/>
      <c r="CF7590"/>
      <c r="CG7590"/>
      <c r="CH7590"/>
      <c r="CI7590"/>
    </row>
    <row r="7591" spans="83:87" x14ac:dyDescent="0.2">
      <c r="CE7591"/>
      <c r="CF7591"/>
      <c r="CG7591"/>
      <c r="CH7591"/>
      <c r="CI7591"/>
    </row>
    <row r="7592" spans="83:87" x14ac:dyDescent="0.2">
      <c r="CE7592"/>
      <c r="CF7592"/>
      <c r="CG7592"/>
      <c r="CH7592"/>
      <c r="CI7592"/>
    </row>
    <row r="7593" spans="83:87" x14ac:dyDescent="0.2">
      <c r="CE7593"/>
      <c r="CF7593"/>
      <c r="CG7593"/>
      <c r="CH7593"/>
      <c r="CI7593"/>
    </row>
    <row r="7594" spans="83:87" x14ac:dyDescent="0.2">
      <c r="CE7594"/>
      <c r="CF7594"/>
      <c r="CG7594"/>
      <c r="CH7594"/>
      <c r="CI7594"/>
    </row>
    <row r="7595" spans="83:87" x14ac:dyDescent="0.2">
      <c r="CE7595"/>
      <c r="CF7595"/>
      <c r="CG7595"/>
      <c r="CH7595"/>
      <c r="CI7595"/>
    </row>
    <row r="7596" spans="83:87" x14ac:dyDescent="0.2">
      <c r="CE7596"/>
      <c r="CF7596"/>
      <c r="CG7596"/>
      <c r="CH7596"/>
      <c r="CI7596"/>
    </row>
    <row r="7597" spans="83:87" x14ac:dyDescent="0.2">
      <c r="CE7597"/>
      <c r="CF7597"/>
      <c r="CG7597"/>
      <c r="CH7597"/>
      <c r="CI7597"/>
    </row>
    <row r="7598" spans="83:87" x14ac:dyDescent="0.2">
      <c r="CE7598"/>
      <c r="CF7598"/>
      <c r="CG7598"/>
      <c r="CH7598"/>
      <c r="CI7598"/>
    </row>
    <row r="7599" spans="83:87" x14ac:dyDescent="0.2">
      <c r="CE7599"/>
      <c r="CF7599"/>
      <c r="CG7599"/>
      <c r="CH7599"/>
      <c r="CI7599"/>
    </row>
    <row r="7600" spans="83:87" x14ac:dyDescent="0.2">
      <c r="CE7600"/>
      <c r="CF7600"/>
      <c r="CG7600"/>
      <c r="CH7600"/>
      <c r="CI7600"/>
    </row>
    <row r="7601" spans="83:87" x14ac:dyDescent="0.2">
      <c r="CE7601"/>
      <c r="CF7601"/>
      <c r="CG7601"/>
      <c r="CH7601"/>
      <c r="CI7601"/>
    </row>
    <row r="7602" spans="83:87" x14ac:dyDescent="0.2">
      <c r="CE7602"/>
      <c r="CF7602"/>
      <c r="CG7602"/>
      <c r="CH7602"/>
      <c r="CI7602"/>
    </row>
    <row r="7603" spans="83:87" x14ac:dyDescent="0.2">
      <c r="CE7603"/>
      <c r="CF7603"/>
      <c r="CG7603"/>
      <c r="CH7603"/>
      <c r="CI7603"/>
    </row>
    <row r="7604" spans="83:87" x14ac:dyDescent="0.2">
      <c r="CE7604"/>
      <c r="CF7604"/>
      <c r="CG7604"/>
      <c r="CH7604"/>
      <c r="CI7604"/>
    </row>
    <row r="7605" spans="83:87" x14ac:dyDescent="0.2">
      <c r="CE7605"/>
      <c r="CF7605"/>
      <c r="CG7605"/>
      <c r="CH7605"/>
      <c r="CI7605"/>
    </row>
    <row r="7606" spans="83:87" x14ac:dyDescent="0.2">
      <c r="CE7606"/>
      <c r="CF7606"/>
      <c r="CG7606"/>
      <c r="CH7606"/>
      <c r="CI7606"/>
    </row>
    <row r="7607" spans="83:87" x14ac:dyDescent="0.2">
      <c r="CE7607"/>
      <c r="CF7607"/>
      <c r="CG7607"/>
      <c r="CH7607"/>
      <c r="CI7607"/>
    </row>
    <row r="7608" spans="83:87" x14ac:dyDescent="0.2">
      <c r="CE7608"/>
      <c r="CF7608"/>
      <c r="CG7608"/>
      <c r="CH7608"/>
      <c r="CI7608"/>
    </row>
    <row r="7609" spans="83:87" x14ac:dyDescent="0.2">
      <c r="CE7609"/>
      <c r="CF7609"/>
      <c r="CG7609"/>
      <c r="CH7609"/>
      <c r="CI7609"/>
    </row>
    <row r="7610" spans="83:87" x14ac:dyDescent="0.2">
      <c r="CE7610"/>
      <c r="CF7610"/>
      <c r="CG7610"/>
      <c r="CH7610"/>
      <c r="CI7610"/>
    </row>
    <row r="7611" spans="83:87" x14ac:dyDescent="0.2">
      <c r="CE7611"/>
      <c r="CF7611"/>
      <c r="CG7611"/>
      <c r="CH7611"/>
      <c r="CI7611"/>
    </row>
    <row r="7612" spans="83:87" x14ac:dyDescent="0.2">
      <c r="CE7612"/>
      <c r="CF7612"/>
      <c r="CG7612"/>
      <c r="CH7612"/>
      <c r="CI7612"/>
    </row>
    <row r="7613" spans="83:87" x14ac:dyDescent="0.2">
      <c r="CE7613"/>
      <c r="CF7613"/>
      <c r="CG7613"/>
      <c r="CH7613"/>
      <c r="CI7613"/>
    </row>
    <row r="7614" spans="83:87" x14ac:dyDescent="0.2">
      <c r="CE7614"/>
      <c r="CF7614"/>
      <c r="CG7614"/>
      <c r="CH7614"/>
      <c r="CI7614"/>
    </row>
    <row r="7615" spans="83:87" x14ac:dyDescent="0.2">
      <c r="CE7615"/>
      <c r="CF7615"/>
      <c r="CG7615"/>
      <c r="CH7615"/>
      <c r="CI7615"/>
    </row>
    <row r="7616" spans="83:87" x14ac:dyDescent="0.2">
      <c r="CE7616"/>
      <c r="CF7616"/>
      <c r="CG7616"/>
      <c r="CH7616"/>
      <c r="CI7616"/>
    </row>
    <row r="7617" spans="83:87" x14ac:dyDescent="0.2">
      <c r="CE7617"/>
      <c r="CF7617"/>
      <c r="CG7617"/>
      <c r="CH7617"/>
      <c r="CI7617"/>
    </row>
    <row r="7618" spans="83:87" x14ac:dyDescent="0.2">
      <c r="CE7618"/>
      <c r="CF7618"/>
      <c r="CG7618"/>
      <c r="CH7618"/>
      <c r="CI7618"/>
    </row>
    <row r="7619" spans="83:87" x14ac:dyDescent="0.2">
      <c r="CE7619"/>
      <c r="CF7619"/>
      <c r="CG7619"/>
      <c r="CH7619"/>
      <c r="CI7619"/>
    </row>
    <row r="7620" spans="83:87" x14ac:dyDescent="0.2">
      <c r="CE7620"/>
      <c r="CF7620"/>
      <c r="CG7620"/>
      <c r="CH7620"/>
      <c r="CI7620"/>
    </row>
    <row r="7621" spans="83:87" x14ac:dyDescent="0.2">
      <c r="CE7621"/>
      <c r="CF7621"/>
      <c r="CG7621"/>
      <c r="CH7621"/>
      <c r="CI7621"/>
    </row>
    <row r="7622" spans="83:87" x14ac:dyDescent="0.2">
      <c r="CE7622"/>
      <c r="CF7622"/>
      <c r="CG7622"/>
      <c r="CH7622"/>
      <c r="CI7622"/>
    </row>
    <row r="7623" spans="83:87" x14ac:dyDescent="0.2">
      <c r="CE7623"/>
      <c r="CF7623"/>
      <c r="CG7623"/>
      <c r="CH7623"/>
      <c r="CI7623"/>
    </row>
    <row r="7624" spans="83:87" x14ac:dyDescent="0.2">
      <c r="CE7624"/>
      <c r="CF7624"/>
      <c r="CG7624"/>
      <c r="CH7624"/>
      <c r="CI7624"/>
    </row>
    <row r="7625" spans="83:87" x14ac:dyDescent="0.2">
      <c r="CE7625"/>
      <c r="CF7625"/>
      <c r="CG7625"/>
      <c r="CH7625"/>
      <c r="CI7625"/>
    </row>
    <row r="7626" spans="83:87" x14ac:dyDescent="0.2">
      <c r="CE7626"/>
      <c r="CF7626"/>
      <c r="CG7626"/>
      <c r="CH7626"/>
      <c r="CI7626"/>
    </row>
    <row r="7627" spans="83:87" x14ac:dyDescent="0.2">
      <c r="CE7627"/>
      <c r="CF7627"/>
      <c r="CG7627"/>
      <c r="CH7627"/>
      <c r="CI7627"/>
    </row>
    <row r="7628" spans="83:87" x14ac:dyDescent="0.2">
      <c r="CE7628"/>
      <c r="CF7628"/>
      <c r="CG7628"/>
      <c r="CH7628"/>
      <c r="CI7628"/>
    </row>
    <row r="7629" spans="83:87" x14ac:dyDescent="0.2">
      <c r="CE7629"/>
      <c r="CF7629"/>
      <c r="CG7629"/>
      <c r="CH7629"/>
      <c r="CI7629"/>
    </row>
    <row r="7630" spans="83:87" x14ac:dyDescent="0.2">
      <c r="CE7630"/>
      <c r="CF7630"/>
      <c r="CG7630"/>
      <c r="CH7630"/>
      <c r="CI7630"/>
    </row>
    <row r="7631" spans="83:87" x14ac:dyDescent="0.2">
      <c r="CE7631"/>
      <c r="CF7631"/>
      <c r="CG7631"/>
      <c r="CH7631"/>
      <c r="CI7631"/>
    </row>
    <row r="7632" spans="83:87" x14ac:dyDescent="0.2">
      <c r="CE7632"/>
      <c r="CF7632"/>
      <c r="CG7632"/>
      <c r="CH7632"/>
      <c r="CI7632"/>
    </row>
    <row r="7633" spans="83:87" x14ac:dyDescent="0.2">
      <c r="CE7633"/>
      <c r="CF7633"/>
      <c r="CG7633"/>
      <c r="CH7633"/>
      <c r="CI7633"/>
    </row>
    <row r="7634" spans="83:87" x14ac:dyDescent="0.2">
      <c r="CE7634"/>
      <c r="CF7634"/>
      <c r="CG7634"/>
      <c r="CH7634"/>
      <c r="CI7634"/>
    </row>
    <row r="7635" spans="83:87" x14ac:dyDescent="0.2">
      <c r="CE7635"/>
      <c r="CF7635"/>
      <c r="CG7635"/>
      <c r="CH7635"/>
      <c r="CI7635"/>
    </row>
    <row r="7636" spans="83:87" x14ac:dyDescent="0.2">
      <c r="CE7636"/>
      <c r="CF7636"/>
      <c r="CG7636"/>
      <c r="CH7636"/>
      <c r="CI7636"/>
    </row>
    <row r="7637" spans="83:87" x14ac:dyDescent="0.2">
      <c r="CE7637"/>
      <c r="CF7637"/>
      <c r="CG7637"/>
      <c r="CH7637"/>
      <c r="CI7637"/>
    </row>
    <row r="7638" spans="83:87" x14ac:dyDescent="0.2">
      <c r="CE7638"/>
      <c r="CF7638"/>
      <c r="CG7638"/>
      <c r="CH7638"/>
      <c r="CI7638"/>
    </row>
    <row r="7639" spans="83:87" x14ac:dyDescent="0.2">
      <c r="CE7639"/>
      <c r="CF7639"/>
      <c r="CG7639"/>
      <c r="CH7639"/>
      <c r="CI7639"/>
    </row>
    <row r="7640" spans="83:87" x14ac:dyDescent="0.2">
      <c r="CE7640"/>
      <c r="CF7640"/>
      <c r="CG7640"/>
      <c r="CH7640"/>
      <c r="CI7640"/>
    </row>
    <row r="7641" spans="83:87" x14ac:dyDescent="0.2">
      <c r="CE7641"/>
      <c r="CF7641"/>
      <c r="CG7641"/>
      <c r="CH7641"/>
      <c r="CI7641"/>
    </row>
    <row r="7642" spans="83:87" x14ac:dyDescent="0.2">
      <c r="CE7642"/>
      <c r="CF7642"/>
      <c r="CG7642"/>
      <c r="CH7642"/>
      <c r="CI7642"/>
    </row>
    <row r="7643" spans="83:87" x14ac:dyDescent="0.2">
      <c r="CE7643"/>
      <c r="CF7643"/>
      <c r="CG7643"/>
      <c r="CH7643"/>
      <c r="CI7643"/>
    </row>
    <row r="7644" spans="83:87" x14ac:dyDescent="0.2">
      <c r="CE7644"/>
      <c r="CF7644"/>
      <c r="CG7644"/>
      <c r="CH7644"/>
      <c r="CI7644"/>
    </row>
    <row r="7645" spans="83:87" x14ac:dyDescent="0.2">
      <c r="CE7645"/>
      <c r="CF7645"/>
      <c r="CG7645"/>
      <c r="CH7645"/>
      <c r="CI7645"/>
    </row>
    <row r="7646" spans="83:87" x14ac:dyDescent="0.2">
      <c r="CE7646"/>
      <c r="CF7646"/>
      <c r="CG7646"/>
      <c r="CH7646"/>
      <c r="CI7646"/>
    </row>
    <row r="7647" spans="83:87" x14ac:dyDescent="0.2">
      <c r="CE7647"/>
      <c r="CF7647"/>
      <c r="CG7647"/>
      <c r="CH7647"/>
      <c r="CI7647"/>
    </row>
    <row r="7648" spans="83:87" x14ac:dyDescent="0.2">
      <c r="CE7648"/>
      <c r="CF7648"/>
      <c r="CG7648"/>
      <c r="CH7648"/>
      <c r="CI7648"/>
    </row>
    <row r="7649" spans="83:87" x14ac:dyDescent="0.2">
      <c r="CE7649"/>
      <c r="CF7649"/>
      <c r="CG7649"/>
      <c r="CH7649"/>
      <c r="CI7649"/>
    </row>
    <row r="7650" spans="83:87" x14ac:dyDescent="0.2">
      <c r="CE7650"/>
      <c r="CF7650"/>
      <c r="CG7650"/>
      <c r="CH7650"/>
      <c r="CI7650"/>
    </row>
    <row r="7651" spans="83:87" x14ac:dyDescent="0.2">
      <c r="CE7651"/>
      <c r="CF7651"/>
      <c r="CG7651"/>
      <c r="CH7651"/>
      <c r="CI7651"/>
    </row>
    <row r="7652" spans="83:87" x14ac:dyDescent="0.2">
      <c r="CE7652"/>
      <c r="CF7652"/>
      <c r="CG7652"/>
      <c r="CH7652"/>
      <c r="CI7652"/>
    </row>
    <row r="7653" spans="83:87" x14ac:dyDescent="0.2">
      <c r="CE7653"/>
      <c r="CF7653"/>
      <c r="CG7653"/>
      <c r="CH7653"/>
      <c r="CI7653"/>
    </row>
    <row r="7654" spans="83:87" x14ac:dyDescent="0.2">
      <c r="CE7654"/>
      <c r="CF7654"/>
      <c r="CG7654"/>
      <c r="CH7654"/>
      <c r="CI7654"/>
    </row>
    <row r="7655" spans="83:87" x14ac:dyDescent="0.2">
      <c r="CE7655"/>
      <c r="CF7655"/>
      <c r="CG7655"/>
      <c r="CH7655"/>
      <c r="CI7655"/>
    </row>
    <row r="7656" spans="83:87" x14ac:dyDescent="0.2">
      <c r="CE7656"/>
      <c r="CF7656"/>
      <c r="CG7656"/>
      <c r="CH7656"/>
      <c r="CI7656"/>
    </row>
    <row r="7657" spans="83:87" x14ac:dyDescent="0.2">
      <c r="CE7657"/>
      <c r="CF7657"/>
      <c r="CG7657"/>
      <c r="CH7657"/>
      <c r="CI7657"/>
    </row>
    <row r="7658" spans="83:87" x14ac:dyDescent="0.2">
      <c r="CE7658"/>
      <c r="CF7658"/>
      <c r="CG7658"/>
      <c r="CH7658"/>
      <c r="CI7658"/>
    </row>
    <row r="7659" spans="83:87" x14ac:dyDescent="0.2">
      <c r="CE7659"/>
      <c r="CF7659"/>
      <c r="CG7659"/>
      <c r="CH7659"/>
      <c r="CI7659"/>
    </row>
    <row r="7660" spans="83:87" x14ac:dyDescent="0.2">
      <c r="CE7660"/>
      <c r="CF7660"/>
      <c r="CG7660"/>
      <c r="CH7660"/>
      <c r="CI7660"/>
    </row>
    <row r="7661" spans="83:87" x14ac:dyDescent="0.2">
      <c r="CE7661"/>
      <c r="CF7661"/>
      <c r="CG7661"/>
      <c r="CH7661"/>
      <c r="CI7661"/>
    </row>
    <row r="7662" spans="83:87" x14ac:dyDescent="0.2">
      <c r="CE7662"/>
      <c r="CF7662"/>
      <c r="CG7662"/>
      <c r="CH7662"/>
      <c r="CI7662"/>
    </row>
    <row r="7663" spans="83:87" x14ac:dyDescent="0.2">
      <c r="CE7663"/>
      <c r="CF7663"/>
      <c r="CG7663"/>
      <c r="CH7663"/>
      <c r="CI7663"/>
    </row>
    <row r="7664" spans="83:87" x14ac:dyDescent="0.2">
      <c r="CE7664"/>
      <c r="CF7664"/>
      <c r="CG7664"/>
      <c r="CH7664"/>
      <c r="CI7664"/>
    </row>
    <row r="7665" spans="83:87" x14ac:dyDescent="0.2">
      <c r="CE7665"/>
      <c r="CF7665"/>
      <c r="CG7665"/>
      <c r="CH7665"/>
      <c r="CI7665"/>
    </row>
    <row r="7666" spans="83:87" x14ac:dyDescent="0.2">
      <c r="CE7666"/>
      <c r="CF7666"/>
      <c r="CG7666"/>
      <c r="CH7666"/>
      <c r="CI7666"/>
    </row>
    <row r="7667" spans="83:87" x14ac:dyDescent="0.2">
      <c r="CE7667"/>
      <c r="CF7667"/>
      <c r="CG7667"/>
      <c r="CH7667"/>
      <c r="CI7667"/>
    </row>
    <row r="7668" spans="83:87" x14ac:dyDescent="0.2">
      <c r="CE7668"/>
      <c r="CF7668"/>
      <c r="CG7668"/>
      <c r="CH7668"/>
      <c r="CI7668"/>
    </row>
    <row r="7669" spans="83:87" x14ac:dyDescent="0.2">
      <c r="CE7669"/>
      <c r="CF7669"/>
      <c r="CG7669"/>
      <c r="CH7669"/>
      <c r="CI7669"/>
    </row>
    <row r="7670" spans="83:87" x14ac:dyDescent="0.2">
      <c r="CE7670"/>
      <c r="CF7670"/>
      <c r="CG7670"/>
      <c r="CH7670"/>
      <c r="CI7670"/>
    </row>
    <row r="7671" spans="83:87" x14ac:dyDescent="0.2">
      <c r="CE7671"/>
      <c r="CF7671"/>
      <c r="CG7671"/>
      <c r="CH7671"/>
      <c r="CI7671"/>
    </row>
    <row r="7672" spans="83:87" x14ac:dyDescent="0.2">
      <c r="CE7672"/>
      <c r="CF7672"/>
      <c r="CG7672"/>
      <c r="CH7672"/>
      <c r="CI7672"/>
    </row>
    <row r="7673" spans="83:87" x14ac:dyDescent="0.2">
      <c r="CE7673"/>
      <c r="CF7673"/>
      <c r="CG7673"/>
      <c r="CH7673"/>
      <c r="CI7673"/>
    </row>
    <row r="7674" spans="83:87" x14ac:dyDescent="0.2">
      <c r="CE7674"/>
      <c r="CF7674"/>
      <c r="CG7674"/>
      <c r="CH7674"/>
      <c r="CI7674"/>
    </row>
    <row r="7675" spans="83:87" x14ac:dyDescent="0.2">
      <c r="CE7675"/>
      <c r="CF7675"/>
      <c r="CG7675"/>
      <c r="CH7675"/>
      <c r="CI7675"/>
    </row>
    <row r="7676" spans="83:87" x14ac:dyDescent="0.2">
      <c r="CE7676"/>
      <c r="CF7676"/>
      <c r="CG7676"/>
      <c r="CH7676"/>
      <c r="CI7676"/>
    </row>
    <row r="7677" spans="83:87" x14ac:dyDescent="0.2">
      <c r="CE7677"/>
      <c r="CF7677"/>
      <c r="CG7677"/>
      <c r="CH7677"/>
      <c r="CI7677"/>
    </row>
    <row r="7678" spans="83:87" x14ac:dyDescent="0.2">
      <c r="CE7678"/>
      <c r="CF7678"/>
      <c r="CG7678"/>
      <c r="CH7678"/>
      <c r="CI7678"/>
    </row>
    <row r="7679" spans="83:87" x14ac:dyDescent="0.2">
      <c r="CE7679"/>
      <c r="CF7679"/>
      <c r="CG7679"/>
      <c r="CH7679"/>
      <c r="CI7679"/>
    </row>
    <row r="7680" spans="83:87" x14ac:dyDescent="0.2">
      <c r="CE7680"/>
      <c r="CF7680"/>
      <c r="CG7680"/>
      <c r="CH7680"/>
      <c r="CI7680"/>
    </row>
    <row r="7681" spans="83:87" x14ac:dyDescent="0.2">
      <c r="CE7681"/>
      <c r="CF7681"/>
      <c r="CG7681"/>
      <c r="CH7681"/>
      <c r="CI7681"/>
    </row>
    <row r="7682" spans="83:87" x14ac:dyDescent="0.2">
      <c r="CE7682"/>
      <c r="CF7682"/>
      <c r="CG7682"/>
      <c r="CH7682"/>
      <c r="CI7682"/>
    </row>
    <row r="7683" spans="83:87" x14ac:dyDescent="0.2">
      <c r="CE7683"/>
      <c r="CF7683"/>
      <c r="CG7683"/>
      <c r="CH7683"/>
      <c r="CI7683"/>
    </row>
    <row r="7684" spans="83:87" x14ac:dyDescent="0.2">
      <c r="CE7684"/>
      <c r="CF7684"/>
      <c r="CG7684"/>
      <c r="CH7684"/>
      <c r="CI7684"/>
    </row>
    <row r="7685" spans="83:87" x14ac:dyDescent="0.2">
      <c r="CE7685"/>
      <c r="CF7685"/>
      <c r="CG7685"/>
      <c r="CH7685"/>
      <c r="CI7685"/>
    </row>
    <row r="7686" spans="83:87" x14ac:dyDescent="0.2">
      <c r="CE7686"/>
      <c r="CF7686"/>
      <c r="CG7686"/>
      <c r="CH7686"/>
      <c r="CI7686"/>
    </row>
    <row r="7687" spans="83:87" x14ac:dyDescent="0.2">
      <c r="CE7687"/>
      <c r="CF7687"/>
      <c r="CG7687"/>
      <c r="CH7687"/>
      <c r="CI7687"/>
    </row>
    <row r="7688" spans="83:87" x14ac:dyDescent="0.2">
      <c r="CE7688"/>
      <c r="CF7688"/>
      <c r="CG7688"/>
      <c r="CH7688"/>
      <c r="CI7688"/>
    </row>
    <row r="7689" spans="83:87" x14ac:dyDescent="0.2">
      <c r="CE7689"/>
      <c r="CF7689"/>
      <c r="CG7689"/>
      <c r="CH7689"/>
      <c r="CI7689"/>
    </row>
    <row r="7690" spans="83:87" x14ac:dyDescent="0.2">
      <c r="CE7690"/>
      <c r="CF7690"/>
      <c r="CG7690"/>
      <c r="CH7690"/>
      <c r="CI7690"/>
    </row>
    <row r="7691" spans="83:87" x14ac:dyDescent="0.2">
      <c r="CE7691"/>
      <c r="CF7691"/>
      <c r="CG7691"/>
      <c r="CH7691"/>
      <c r="CI7691"/>
    </row>
    <row r="7692" spans="83:87" x14ac:dyDescent="0.2">
      <c r="CE7692"/>
      <c r="CF7692"/>
      <c r="CG7692"/>
      <c r="CH7692"/>
      <c r="CI7692"/>
    </row>
    <row r="7693" spans="83:87" x14ac:dyDescent="0.2">
      <c r="CE7693"/>
      <c r="CF7693"/>
      <c r="CG7693"/>
      <c r="CH7693"/>
      <c r="CI7693"/>
    </row>
    <row r="7694" spans="83:87" x14ac:dyDescent="0.2">
      <c r="CE7694"/>
      <c r="CF7694"/>
      <c r="CG7694"/>
      <c r="CH7694"/>
      <c r="CI7694"/>
    </row>
    <row r="7695" spans="83:87" x14ac:dyDescent="0.2">
      <c r="CE7695"/>
      <c r="CF7695"/>
      <c r="CG7695"/>
      <c r="CH7695"/>
      <c r="CI7695"/>
    </row>
    <row r="7696" spans="83:87" x14ac:dyDescent="0.2">
      <c r="CE7696"/>
      <c r="CF7696"/>
      <c r="CG7696"/>
      <c r="CH7696"/>
      <c r="CI7696"/>
    </row>
    <row r="7697" spans="83:87" x14ac:dyDescent="0.2">
      <c r="CE7697"/>
      <c r="CF7697"/>
      <c r="CG7697"/>
      <c r="CH7697"/>
      <c r="CI7697"/>
    </row>
    <row r="7698" spans="83:87" x14ac:dyDescent="0.2">
      <c r="CE7698"/>
      <c r="CF7698"/>
      <c r="CG7698"/>
      <c r="CH7698"/>
      <c r="CI7698"/>
    </row>
    <row r="7699" spans="83:87" x14ac:dyDescent="0.2">
      <c r="CE7699"/>
      <c r="CF7699"/>
      <c r="CG7699"/>
      <c r="CH7699"/>
      <c r="CI7699"/>
    </row>
    <row r="7700" spans="83:87" x14ac:dyDescent="0.2">
      <c r="CE7700"/>
      <c r="CF7700"/>
      <c r="CG7700"/>
      <c r="CH7700"/>
      <c r="CI7700"/>
    </row>
    <row r="7701" spans="83:87" x14ac:dyDescent="0.2">
      <c r="CE7701"/>
      <c r="CF7701"/>
      <c r="CG7701"/>
      <c r="CH7701"/>
      <c r="CI7701"/>
    </row>
    <row r="7702" spans="83:87" x14ac:dyDescent="0.2">
      <c r="CE7702"/>
      <c r="CF7702"/>
      <c r="CG7702"/>
      <c r="CH7702"/>
      <c r="CI7702"/>
    </row>
    <row r="7703" spans="83:87" x14ac:dyDescent="0.2">
      <c r="CE7703"/>
      <c r="CF7703"/>
      <c r="CG7703"/>
      <c r="CH7703"/>
      <c r="CI7703"/>
    </row>
    <row r="7704" spans="83:87" x14ac:dyDescent="0.2">
      <c r="CE7704"/>
      <c r="CF7704"/>
      <c r="CG7704"/>
      <c r="CH7704"/>
      <c r="CI7704"/>
    </row>
    <row r="7705" spans="83:87" x14ac:dyDescent="0.2">
      <c r="CE7705"/>
      <c r="CF7705"/>
      <c r="CG7705"/>
      <c r="CH7705"/>
      <c r="CI7705"/>
    </row>
    <row r="7706" spans="83:87" x14ac:dyDescent="0.2">
      <c r="CE7706"/>
      <c r="CF7706"/>
      <c r="CG7706"/>
      <c r="CH7706"/>
      <c r="CI7706"/>
    </row>
    <row r="7707" spans="83:87" x14ac:dyDescent="0.2">
      <c r="CE7707"/>
      <c r="CF7707"/>
      <c r="CG7707"/>
      <c r="CH7707"/>
      <c r="CI7707"/>
    </row>
    <row r="7708" spans="83:87" x14ac:dyDescent="0.2">
      <c r="CE7708"/>
      <c r="CF7708"/>
      <c r="CG7708"/>
      <c r="CH7708"/>
      <c r="CI7708"/>
    </row>
    <row r="7709" spans="83:87" x14ac:dyDescent="0.2">
      <c r="CE7709"/>
      <c r="CF7709"/>
      <c r="CG7709"/>
      <c r="CH7709"/>
      <c r="CI7709"/>
    </row>
    <row r="7710" spans="83:87" x14ac:dyDescent="0.2">
      <c r="CE7710"/>
      <c r="CF7710"/>
      <c r="CG7710"/>
      <c r="CH7710"/>
      <c r="CI7710"/>
    </row>
    <row r="7711" spans="83:87" x14ac:dyDescent="0.2">
      <c r="CE7711"/>
      <c r="CF7711"/>
      <c r="CG7711"/>
      <c r="CH7711"/>
      <c r="CI7711"/>
    </row>
    <row r="7712" spans="83:87" x14ac:dyDescent="0.2">
      <c r="CE7712"/>
      <c r="CF7712"/>
      <c r="CG7712"/>
      <c r="CH7712"/>
      <c r="CI7712"/>
    </row>
    <row r="7713" spans="83:87" x14ac:dyDescent="0.2">
      <c r="CE7713"/>
      <c r="CF7713"/>
      <c r="CG7713"/>
      <c r="CH7713"/>
      <c r="CI7713"/>
    </row>
    <row r="7714" spans="83:87" x14ac:dyDescent="0.2">
      <c r="CE7714"/>
      <c r="CF7714"/>
      <c r="CG7714"/>
      <c r="CH7714"/>
      <c r="CI7714"/>
    </row>
    <row r="7715" spans="83:87" x14ac:dyDescent="0.2">
      <c r="CE7715"/>
      <c r="CF7715"/>
      <c r="CG7715"/>
      <c r="CH7715"/>
      <c r="CI7715"/>
    </row>
    <row r="7716" spans="83:87" x14ac:dyDescent="0.2">
      <c r="CE7716"/>
      <c r="CF7716"/>
      <c r="CG7716"/>
      <c r="CH7716"/>
      <c r="CI7716"/>
    </row>
    <row r="7717" spans="83:87" x14ac:dyDescent="0.2">
      <c r="CE7717"/>
      <c r="CF7717"/>
      <c r="CG7717"/>
      <c r="CH7717"/>
      <c r="CI7717"/>
    </row>
    <row r="7718" spans="83:87" x14ac:dyDescent="0.2">
      <c r="CE7718"/>
      <c r="CF7718"/>
      <c r="CG7718"/>
      <c r="CH7718"/>
      <c r="CI7718"/>
    </row>
    <row r="7719" spans="83:87" x14ac:dyDescent="0.2">
      <c r="CE7719"/>
      <c r="CF7719"/>
      <c r="CG7719"/>
      <c r="CH7719"/>
      <c r="CI7719"/>
    </row>
    <row r="7720" spans="83:87" x14ac:dyDescent="0.2">
      <c r="CE7720"/>
      <c r="CF7720"/>
      <c r="CG7720"/>
      <c r="CH7720"/>
      <c r="CI7720"/>
    </row>
    <row r="7721" spans="83:87" x14ac:dyDescent="0.2">
      <c r="CE7721"/>
      <c r="CF7721"/>
      <c r="CG7721"/>
      <c r="CH7721"/>
      <c r="CI7721"/>
    </row>
    <row r="7722" spans="83:87" x14ac:dyDescent="0.2">
      <c r="CE7722"/>
      <c r="CF7722"/>
      <c r="CG7722"/>
      <c r="CH7722"/>
      <c r="CI7722"/>
    </row>
    <row r="7723" spans="83:87" x14ac:dyDescent="0.2">
      <c r="CE7723"/>
      <c r="CF7723"/>
      <c r="CG7723"/>
      <c r="CH7723"/>
      <c r="CI7723"/>
    </row>
    <row r="7724" spans="83:87" x14ac:dyDescent="0.2">
      <c r="CE7724"/>
      <c r="CF7724"/>
      <c r="CG7724"/>
      <c r="CH7724"/>
      <c r="CI7724"/>
    </row>
    <row r="7725" spans="83:87" x14ac:dyDescent="0.2">
      <c r="CE7725"/>
      <c r="CF7725"/>
      <c r="CG7725"/>
      <c r="CH7725"/>
      <c r="CI7725"/>
    </row>
    <row r="7726" spans="83:87" x14ac:dyDescent="0.2">
      <c r="CE7726"/>
      <c r="CF7726"/>
      <c r="CG7726"/>
      <c r="CH7726"/>
      <c r="CI7726"/>
    </row>
    <row r="7727" spans="83:87" x14ac:dyDescent="0.2">
      <c r="CE7727"/>
      <c r="CF7727"/>
      <c r="CG7727"/>
      <c r="CH7727"/>
      <c r="CI7727"/>
    </row>
    <row r="7728" spans="83:87" x14ac:dyDescent="0.2">
      <c r="CE7728"/>
      <c r="CF7728"/>
      <c r="CG7728"/>
      <c r="CH7728"/>
      <c r="CI7728"/>
    </row>
    <row r="7729" spans="83:87" x14ac:dyDescent="0.2">
      <c r="CE7729"/>
      <c r="CF7729"/>
      <c r="CG7729"/>
      <c r="CH7729"/>
      <c r="CI7729"/>
    </row>
    <row r="7730" spans="83:87" x14ac:dyDescent="0.2">
      <c r="CE7730"/>
      <c r="CF7730"/>
      <c r="CG7730"/>
      <c r="CH7730"/>
      <c r="CI7730"/>
    </row>
    <row r="7731" spans="83:87" x14ac:dyDescent="0.2">
      <c r="CE7731"/>
      <c r="CF7731"/>
      <c r="CG7731"/>
      <c r="CH7731"/>
      <c r="CI7731"/>
    </row>
    <row r="7732" spans="83:87" x14ac:dyDescent="0.2">
      <c r="CE7732"/>
      <c r="CF7732"/>
      <c r="CG7732"/>
      <c r="CH7732"/>
      <c r="CI7732"/>
    </row>
    <row r="7733" spans="83:87" x14ac:dyDescent="0.2">
      <c r="CE7733"/>
      <c r="CF7733"/>
      <c r="CG7733"/>
      <c r="CH7733"/>
      <c r="CI7733"/>
    </row>
    <row r="7734" spans="83:87" x14ac:dyDescent="0.2">
      <c r="CE7734"/>
      <c r="CF7734"/>
      <c r="CG7734"/>
      <c r="CH7734"/>
      <c r="CI7734"/>
    </row>
    <row r="7735" spans="83:87" x14ac:dyDescent="0.2">
      <c r="CE7735"/>
      <c r="CF7735"/>
      <c r="CG7735"/>
      <c r="CH7735"/>
      <c r="CI7735"/>
    </row>
    <row r="7736" spans="83:87" x14ac:dyDescent="0.2">
      <c r="CE7736"/>
      <c r="CF7736"/>
      <c r="CG7736"/>
      <c r="CH7736"/>
      <c r="CI7736"/>
    </row>
    <row r="7737" spans="83:87" x14ac:dyDescent="0.2">
      <c r="CE7737"/>
      <c r="CF7737"/>
      <c r="CG7737"/>
      <c r="CH7737"/>
      <c r="CI7737"/>
    </row>
    <row r="7738" spans="83:87" x14ac:dyDescent="0.2">
      <c r="CE7738"/>
      <c r="CF7738"/>
      <c r="CG7738"/>
      <c r="CH7738"/>
      <c r="CI7738"/>
    </row>
    <row r="7739" spans="83:87" x14ac:dyDescent="0.2">
      <c r="CE7739"/>
      <c r="CF7739"/>
      <c r="CG7739"/>
      <c r="CH7739"/>
      <c r="CI7739"/>
    </row>
    <row r="7740" spans="83:87" x14ac:dyDescent="0.2">
      <c r="CE7740"/>
      <c r="CF7740"/>
      <c r="CG7740"/>
      <c r="CH7740"/>
      <c r="CI7740"/>
    </row>
    <row r="7741" spans="83:87" x14ac:dyDescent="0.2">
      <c r="CE7741"/>
      <c r="CF7741"/>
      <c r="CG7741"/>
      <c r="CH7741"/>
      <c r="CI7741"/>
    </row>
    <row r="7742" spans="83:87" x14ac:dyDescent="0.2">
      <c r="CE7742"/>
      <c r="CF7742"/>
      <c r="CG7742"/>
      <c r="CH7742"/>
      <c r="CI7742"/>
    </row>
    <row r="7743" spans="83:87" x14ac:dyDescent="0.2">
      <c r="CE7743"/>
      <c r="CF7743"/>
      <c r="CG7743"/>
      <c r="CH7743"/>
      <c r="CI7743"/>
    </row>
    <row r="7744" spans="83:87" x14ac:dyDescent="0.2">
      <c r="CE7744"/>
      <c r="CF7744"/>
      <c r="CG7744"/>
      <c r="CH7744"/>
      <c r="CI7744"/>
    </row>
    <row r="7745" spans="83:87" x14ac:dyDescent="0.2">
      <c r="CE7745"/>
      <c r="CF7745"/>
      <c r="CG7745"/>
      <c r="CH7745"/>
      <c r="CI7745"/>
    </row>
    <row r="7746" spans="83:87" x14ac:dyDescent="0.2">
      <c r="CE7746"/>
      <c r="CF7746"/>
      <c r="CG7746"/>
      <c r="CH7746"/>
      <c r="CI7746"/>
    </row>
    <row r="7747" spans="83:87" x14ac:dyDescent="0.2">
      <c r="CE7747"/>
      <c r="CF7747"/>
      <c r="CG7747"/>
      <c r="CH7747"/>
      <c r="CI7747"/>
    </row>
    <row r="7748" spans="83:87" x14ac:dyDescent="0.2">
      <c r="CE7748"/>
      <c r="CF7748"/>
      <c r="CG7748"/>
      <c r="CH7748"/>
      <c r="CI7748"/>
    </row>
    <row r="7749" spans="83:87" x14ac:dyDescent="0.2">
      <c r="CE7749"/>
      <c r="CF7749"/>
      <c r="CG7749"/>
      <c r="CH7749"/>
      <c r="CI7749"/>
    </row>
    <row r="7750" spans="83:87" x14ac:dyDescent="0.2">
      <c r="CE7750"/>
      <c r="CF7750"/>
      <c r="CG7750"/>
      <c r="CH7750"/>
      <c r="CI7750"/>
    </row>
    <row r="7751" spans="83:87" x14ac:dyDescent="0.2">
      <c r="CE7751"/>
      <c r="CF7751"/>
      <c r="CG7751"/>
      <c r="CH7751"/>
      <c r="CI7751"/>
    </row>
    <row r="7752" spans="83:87" x14ac:dyDescent="0.2">
      <c r="CE7752"/>
      <c r="CF7752"/>
      <c r="CG7752"/>
      <c r="CH7752"/>
      <c r="CI7752"/>
    </row>
    <row r="7753" spans="83:87" x14ac:dyDescent="0.2">
      <c r="CE7753"/>
      <c r="CF7753"/>
      <c r="CG7753"/>
      <c r="CH7753"/>
      <c r="CI7753"/>
    </row>
    <row r="7754" spans="83:87" x14ac:dyDescent="0.2">
      <c r="CE7754"/>
      <c r="CF7754"/>
      <c r="CG7754"/>
      <c r="CH7754"/>
      <c r="CI7754"/>
    </row>
    <row r="7755" spans="83:87" x14ac:dyDescent="0.2">
      <c r="CE7755"/>
      <c r="CF7755"/>
      <c r="CG7755"/>
      <c r="CH7755"/>
      <c r="CI7755"/>
    </row>
    <row r="7756" spans="83:87" x14ac:dyDescent="0.2">
      <c r="CE7756"/>
      <c r="CF7756"/>
      <c r="CG7756"/>
      <c r="CH7756"/>
      <c r="CI7756"/>
    </row>
    <row r="7757" spans="83:87" x14ac:dyDescent="0.2">
      <c r="CE7757"/>
      <c r="CF7757"/>
      <c r="CG7757"/>
      <c r="CH7757"/>
      <c r="CI7757"/>
    </row>
    <row r="7758" spans="83:87" x14ac:dyDescent="0.2">
      <c r="CE7758"/>
      <c r="CF7758"/>
      <c r="CG7758"/>
      <c r="CH7758"/>
      <c r="CI7758"/>
    </row>
    <row r="7759" spans="83:87" x14ac:dyDescent="0.2">
      <c r="CE7759"/>
      <c r="CF7759"/>
      <c r="CG7759"/>
      <c r="CH7759"/>
      <c r="CI7759"/>
    </row>
    <row r="7760" spans="83:87" x14ac:dyDescent="0.2">
      <c r="CE7760"/>
      <c r="CF7760"/>
      <c r="CG7760"/>
      <c r="CH7760"/>
      <c r="CI7760"/>
    </row>
    <row r="7761" spans="83:87" x14ac:dyDescent="0.2">
      <c r="CE7761"/>
      <c r="CF7761"/>
      <c r="CG7761"/>
      <c r="CH7761"/>
      <c r="CI7761"/>
    </row>
    <row r="7762" spans="83:87" x14ac:dyDescent="0.2">
      <c r="CE7762"/>
      <c r="CF7762"/>
      <c r="CG7762"/>
      <c r="CH7762"/>
      <c r="CI7762"/>
    </row>
    <row r="7763" spans="83:87" x14ac:dyDescent="0.2">
      <c r="CE7763"/>
      <c r="CF7763"/>
      <c r="CG7763"/>
      <c r="CH7763"/>
      <c r="CI7763"/>
    </row>
    <row r="7764" spans="83:87" x14ac:dyDescent="0.2">
      <c r="CE7764"/>
      <c r="CF7764"/>
      <c r="CG7764"/>
      <c r="CH7764"/>
      <c r="CI7764"/>
    </row>
    <row r="7765" spans="83:87" x14ac:dyDescent="0.2">
      <c r="CE7765"/>
      <c r="CF7765"/>
      <c r="CG7765"/>
      <c r="CH7765"/>
      <c r="CI7765"/>
    </row>
    <row r="7766" spans="83:87" x14ac:dyDescent="0.2">
      <c r="CE7766"/>
      <c r="CF7766"/>
      <c r="CG7766"/>
      <c r="CH7766"/>
      <c r="CI7766"/>
    </row>
    <row r="7767" spans="83:87" x14ac:dyDescent="0.2">
      <c r="CE7767"/>
      <c r="CF7767"/>
      <c r="CG7767"/>
      <c r="CH7767"/>
      <c r="CI7767"/>
    </row>
    <row r="7768" spans="83:87" x14ac:dyDescent="0.2">
      <c r="CE7768"/>
      <c r="CF7768"/>
      <c r="CG7768"/>
      <c r="CH7768"/>
      <c r="CI7768"/>
    </row>
    <row r="7769" spans="83:87" x14ac:dyDescent="0.2">
      <c r="CE7769"/>
      <c r="CF7769"/>
      <c r="CG7769"/>
      <c r="CH7769"/>
      <c r="CI7769"/>
    </row>
    <row r="7770" spans="83:87" x14ac:dyDescent="0.2">
      <c r="CE7770"/>
      <c r="CF7770"/>
      <c r="CG7770"/>
      <c r="CH7770"/>
      <c r="CI7770"/>
    </row>
    <row r="7771" spans="83:87" x14ac:dyDescent="0.2">
      <c r="CE7771"/>
      <c r="CF7771"/>
      <c r="CG7771"/>
      <c r="CH7771"/>
      <c r="CI7771"/>
    </row>
    <row r="7772" spans="83:87" x14ac:dyDescent="0.2">
      <c r="CE7772"/>
      <c r="CF7772"/>
      <c r="CG7772"/>
      <c r="CH7772"/>
      <c r="CI7772"/>
    </row>
    <row r="7773" spans="83:87" x14ac:dyDescent="0.2">
      <c r="CE7773"/>
      <c r="CF7773"/>
      <c r="CG7773"/>
      <c r="CH7773"/>
      <c r="CI7773"/>
    </row>
    <row r="7774" spans="83:87" x14ac:dyDescent="0.2">
      <c r="CE7774"/>
      <c r="CF7774"/>
      <c r="CG7774"/>
      <c r="CH7774"/>
      <c r="CI7774"/>
    </row>
    <row r="7775" spans="83:87" x14ac:dyDescent="0.2">
      <c r="CE7775"/>
      <c r="CF7775"/>
      <c r="CG7775"/>
      <c r="CH7775"/>
      <c r="CI7775"/>
    </row>
    <row r="7776" spans="83:87" x14ac:dyDescent="0.2">
      <c r="CE7776"/>
      <c r="CF7776"/>
      <c r="CG7776"/>
      <c r="CH7776"/>
      <c r="CI7776"/>
    </row>
    <row r="7777" spans="83:87" x14ac:dyDescent="0.2">
      <c r="CE7777"/>
      <c r="CF7777"/>
      <c r="CG7777"/>
      <c r="CH7777"/>
      <c r="CI7777"/>
    </row>
    <row r="7778" spans="83:87" x14ac:dyDescent="0.2">
      <c r="CE7778"/>
      <c r="CF7778"/>
      <c r="CG7778"/>
      <c r="CH7778"/>
      <c r="CI7778"/>
    </row>
    <row r="7779" spans="83:87" x14ac:dyDescent="0.2">
      <c r="CE7779"/>
      <c r="CF7779"/>
      <c r="CG7779"/>
      <c r="CH7779"/>
      <c r="CI7779"/>
    </row>
    <row r="7780" spans="83:87" x14ac:dyDescent="0.2">
      <c r="CE7780"/>
      <c r="CF7780"/>
      <c r="CG7780"/>
      <c r="CH7780"/>
      <c r="CI7780"/>
    </row>
    <row r="7781" spans="83:87" x14ac:dyDescent="0.2">
      <c r="CE7781"/>
      <c r="CF7781"/>
      <c r="CG7781"/>
      <c r="CH7781"/>
      <c r="CI7781"/>
    </row>
    <row r="7782" spans="83:87" x14ac:dyDescent="0.2">
      <c r="CE7782"/>
      <c r="CF7782"/>
      <c r="CG7782"/>
      <c r="CH7782"/>
      <c r="CI7782"/>
    </row>
    <row r="7783" spans="83:87" x14ac:dyDescent="0.2">
      <c r="CE7783"/>
      <c r="CF7783"/>
      <c r="CG7783"/>
      <c r="CH7783"/>
      <c r="CI7783"/>
    </row>
    <row r="7784" spans="83:87" x14ac:dyDescent="0.2">
      <c r="CE7784"/>
      <c r="CF7784"/>
      <c r="CG7784"/>
      <c r="CH7784"/>
      <c r="CI7784"/>
    </row>
    <row r="7785" spans="83:87" x14ac:dyDescent="0.2">
      <c r="CE7785"/>
      <c r="CF7785"/>
      <c r="CG7785"/>
      <c r="CH7785"/>
      <c r="CI7785"/>
    </row>
    <row r="7786" spans="83:87" x14ac:dyDescent="0.2">
      <c r="CE7786"/>
      <c r="CF7786"/>
      <c r="CG7786"/>
      <c r="CH7786"/>
      <c r="CI7786"/>
    </row>
    <row r="7787" spans="83:87" x14ac:dyDescent="0.2">
      <c r="CE7787"/>
      <c r="CF7787"/>
      <c r="CG7787"/>
      <c r="CH7787"/>
      <c r="CI7787"/>
    </row>
    <row r="7788" spans="83:87" x14ac:dyDescent="0.2">
      <c r="CE7788"/>
      <c r="CF7788"/>
      <c r="CG7788"/>
      <c r="CH7788"/>
      <c r="CI7788"/>
    </row>
    <row r="7789" spans="83:87" x14ac:dyDescent="0.2">
      <c r="CE7789"/>
      <c r="CF7789"/>
      <c r="CG7789"/>
      <c r="CH7789"/>
      <c r="CI7789"/>
    </row>
    <row r="7790" spans="83:87" x14ac:dyDescent="0.2">
      <c r="CE7790"/>
      <c r="CF7790"/>
      <c r="CG7790"/>
      <c r="CH7790"/>
      <c r="CI7790"/>
    </row>
    <row r="7791" spans="83:87" x14ac:dyDescent="0.2">
      <c r="CE7791"/>
      <c r="CF7791"/>
      <c r="CG7791"/>
      <c r="CH7791"/>
      <c r="CI7791"/>
    </row>
    <row r="7792" spans="83:87" x14ac:dyDescent="0.2">
      <c r="CE7792"/>
      <c r="CF7792"/>
      <c r="CG7792"/>
      <c r="CH7792"/>
      <c r="CI7792"/>
    </row>
    <row r="7793" spans="83:87" x14ac:dyDescent="0.2">
      <c r="CE7793"/>
      <c r="CF7793"/>
      <c r="CG7793"/>
      <c r="CH7793"/>
      <c r="CI7793"/>
    </row>
    <row r="7794" spans="83:87" x14ac:dyDescent="0.2">
      <c r="CE7794"/>
      <c r="CF7794"/>
      <c r="CG7794"/>
      <c r="CH7794"/>
      <c r="CI7794"/>
    </row>
    <row r="7795" spans="83:87" x14ac:dyDescent="0.2">
      <c r="CE7795"/>
      <c r="CF7795"/>
      <c r="CG7795"/>
      <c r="CH7795"/>
      <c r="CI7795"/>
    </row>
    <row r="7796" spans="83:87" x14ac:dyDescent="0.2">
      <c r="CE7796"/>
      <c r="CF7796"/>
      <c r="CG7796"/>
      <c r="CH7796"/>
      <c r="CI7796"/>
    </row>
    <row r="7797" spans="83:87" x14ac:dyDescent="0.2">
      <c r="CE7797"/>
      <c r="CF7797"/>
      <c r="CG7797"/>
      <c r="CH7797"/>
      <c r="CI7797"/>
    </row>
    <row r="7798" spans="83:87" x14ac:dyDescent="0.2">
      <c r="CE7798"/>
      <c r="CF7798"/>
      <c r="CG7798"/>
      <c r="CH7798"/>
      <c r="CI7798"/>
    </row>
    <row r="7799" spans="83:87" x14ac:dyDescent="0.2">
      <c r="CE7799"/>
      <c r="CF7799"/>
      <c r="CG7799"/>
      <c r="CH7799"/>
      <c r="CI7799"/>
    </row>
    <row r="7800" spans="83:87" x14ac:dyDescent="0.2">
      <c r="CE7800"/>
      <c r="CF7800"/>
      <c r="CG7800"/>
      <c r="CH7800"/>
      <c r="CI7800"/>
    </row>
    <row r="7801" spans="83:87" x14ac:dyDescent="0.2">
      <c r="CE7801"/>
      <c r="CF7801"/>
      <c r="CG7801"/>
      <c r="CH7801"/>
      <c r="CI7801"/>
    </row>
    <row r="7802" spans="83:87" x14ac:dyDescent="0.2">
      <c r="CE7802"/>
      <c r="CF7802"/>
      <c r="CG7802"/>
      <c r="CH7802"/>
      <c r="CI7802"/>
    </row>
    <row r="7803" spans="83:87" x14ac:dyDescent="0.2">
      <c r="CE7803"/>
      <c r="CF7803"/>
      <c r="CG7803"/>
      <c r="CH7803"/>
      <c r="CI7803"/>
    </row>
    <row r="7804" spans="83:87" x14ac:dyDescent="0.2">
      <c r="CE7804"/>
      <c r="CF7804"/>
      <c r="CG7804"/>
      <c r="CH7804"/>
      <c r="CI7804"/>
    </row>
    <row r="7805" spans="83:87" x14ac:dyDescent="0.2">
      <c r="CE7805"/>
      <c r="CF7805"/>
      <c r="CG7805"/>
      <c r="CH7805"/>
      <c r="CI7805"/>
    </row>
    <row r="7806" spans="83:87" x14ac:dyDescent="0.2">
      <c r="CE7806"/>
      <c r="CF7806"/>
      <c r="CG7806"/>
      <c r="CH7806"/>
      <c r="CI7806"/>
    </row>
    <row r="7807" spans="83:87" x14ac:dyDescent="0.2">
      <c r="CE7807"/>
      <c r="CF7807"/>
      <c r="CG7807"/>
      <c r="CH7807"/>
      <c r="CI7807"/>
    </row>
    <row r="7808" spans="83:87" x14ac:dyDescent="0.2">
      <c r="CE7808"/>
      <c r="CF7808"/>
      <c r="CG7808"/>
      <c r="CH7808"/>
      <c r="CI7808"/>
    </row>
    <row r="7809" spans="83:87" x14ac:dyDescent="0.2">
      <c r="CE7809"/>
      <c r="CF7809"/>
      <c r="CG7809"/>
      <c r="CH7809"/>
      <c r="CI7809"/>
    </row>
    <row r="7810" spans="83:87" x14ac:dyDescent="0.2">
      <c r="CE7810"/>
      <c r="CF7810"/>
      <c r="CG7810"/>
      <c r="CH7810"/>
      <c r="CI7810"/>
    </row>
    <row r="7811" spans="83:87" x14ac:dyDescent="0.2">
      <c r="CE7811"/>
      <c r="CF7811"/>
      <c r="CG7811"/>
      <c r="CH7811"/>
      <c r="CI7811"/>
    </row>
    <row r="7812" spans="83:87" x14ac:dyDescent="0.2">
      <c r="CE7812"/>
      <c r="CF7812"/>
      <c r="CG7812"/>
      <c r="CH7812"/>
      <c r="CI7812"/>
    </row>
    <row r="7813" spans="83:87" x14ac:dyDescent="0.2">
      <c r="CE7813"/>
      <c r="CF7813"/>
      <c r="CG7813"/>
      <c r="CH7813"/>
      <c r="CI7813"/>
    </row>
    <row r="7814" spans="83:87" x14ac:dyDescent="0.2">
      <c r="CE7814"/>
      <c r="CF7814"/>
      <c r="CG7814"/>
      <c r="CH7814"/>
      <c r="CI7814"/>
    </row>
    <row r="7815" spans="83:87" x14ac:dyDescent="0.2">
      <c r="CE7815"/>
      <c r="CF7815"/>
      <c r="CG7815"/>
      <c r="CH7815"/>
      <c r="CI7815"/>
    </row>
    <row r="7816" spans="83:87" x14ac:dyDescent="0.2">
      <c r="CE7816"/>
      <c r="CF7816"/>
      <c r="CG7816"/>
      <c r="CH7816"/>
      <c r="CI7816"/>
    </row>
    <row r="7817" spans="83:87" x14ac:dyDescent="0.2">
      <c r="CE7817"/>
      <c r="CF7817"/>
      <c r="CG7817"/>
      <c r="CH7817"/>
      <c r="CI7817"/>
    </row>
    <row r="7818" spans="83:87" x14ac:dyDescent="0.2">
      <c r="CE7818"/>
      <c r="CF7818"/>
      <c r="CG7818"/>
      <c r="CH7818"/>
      <c r="CI7818"/>
    </row>
    <row r="7819" spans="83:87" x14ac:dyDescent="0.2">
      <c r="CE7819"/>
      <c r="CF7819"/>
      <c r="CG7819"/>
      <c r="CH7819"/>
      <c r="CI7819"/>
    </row>
    <row r="7820" spans="83:87" x14ac:dyDescent="0.2">
      <c r="CE7820"/>
      <c r="CF7820"/>
      <c r="CG7820"/>
      <c r="CH7820"/>
      <c r="CI7820"/>
    </row>
    <row r="7821" spans="83:87" x14ac:dyDescent="0.2">
      <c r="CE7821"/>
      <c r="CF7821"/>
      <c r="CG7821"/>
      <c r="CH7821"/>
      <c r="CI7821"/>
    </row>
    <row r="7822" spans="83:87" x14ac:dyDescent="0.2">
      <c r="CE7822"/>
      <c r="CF7822"/>
      <c r="CG7822"/>
      <c r="CH7822"/>
      <c r="CI7822"/>
    </row>
    <row r="7823" spans="83:87" x14ac:dyDescent="0.2">
      <c r="CE7823"/>
      <c r="CF7823"/>
      <c r="CG7823"/>
      <c r="CH7823"/>
      <c r="CI7823"/>
    </row>
    <row r="7824" spans="83:87" x14ac:dyDescent="0.2">
      <c r="CE7824"/>
      <c r="CF7824"/>
      <c r="CG7824"/>
      <c r="CH7824"/>
      <c r="CI7824"/>
    </row>
    <row r="7825" spans="83:87" x14ac:dyDescent="0.2">
      <c r="CE7825"/>
      <c r="CF7825"/>
      <c r="CG7825"/>
      <c r="CH7825"/>
      <c r="CI7825"/>
    </row>
    <row r="7826" spans="83:87" x14ac:dyDescent="0.2">
      <c r="CE7826"/>
      <c r="CF7826"/>
      <c r="CG7826"/>
      <c r="CH7826"/>
      <c r="CI7826"/>
    </row>
    <row r="7827" spans="83:87" x14ac:dyDescent="0.2">
      <c r="CE7827"/>
      <c r="CF7827"/>
      <c r="CG7827"/>
      <c r="CH7827"/>
      <c r="CI7827"/>
    </row>
    <row r="7828" spans="83:87" x14ac:dyDescent="0.2">
      <c r="CE7828"/>
      <c r="CF7828"/>
      <c r="CG7828"/>
      <c r="CH7828"/>
      <c r="CI7828"/>
    </row>
    <row r="7829" spans="83:87" x14ac:dyDescent="0.2">
      <c r="CE7829"/>
      <c r="CF7829"/>
      <c r="CG7829"/>
      <c r="CH7829"/>
      <c r="CI7829"/>
    </row>
    <row r="7830" spans="83:87" x14ac:dyDescent="0.2">
      <c r="CE7830"/>
      <c r="CF7830"/>
      <c r="CG7830"/>
      <c r="CH7830"/>
      <c r="CI7830"/>
    </row>
    <row r="7831" spans="83:87" x14ac:dyDescent="0.2">
      <c r="CE7831"/>
      <c r="CF7831"/>
      <c r="CG7831"/>
      <c r="CH7831"/>
      <c r="CI7831"/>
    </row>
    <row r="7832" spans="83:87" x14ac:dyDescent="0.2">
      <c r="CE7832"/>
      <c r="CF7832"/>
      <c r="CG7832"/>
      <c r="CH7832"/>
      <c r="CI7832"/>
    </row>
    <row r="7833" spans="83:87" x14ac:dyDescent="0.2">
      <c r="CE7833"/>
      <c r="CF7833"/>
      <c r="CG7833"/>
      <c r="CH7833"/>
      <c r="CI7833"/>
    </row>
    <row r="7834" spans="83:87" x14ac:dyDescent="0.2">
      <c r="CE7834"/>
      <c r="CF7834"/>
      <c r="CG7834"/>
      <c r="CH7834"/>
      <c r="CI7834"/>
    </row>
    <row r="7835" spans="83:87" x14ac:dyDescent="0.2">
      <c r="CE7835"/>
      <c r="CF7835"/>
      <c r="CG7835"/>
      <c r="CH7835"/>
      <c r="CI7835"/>
    </row>
    <row r="7836" spans="83:87" x14ac:dyDescent="0.2">
      <c r="CE7836"/>
      <c r="CF7836"/>
      <c r="CG7836"/>
      <c r="CH7836"/>
      <c r="CI7836"/>
    </row>
    <row r="7837" spans="83:87" x14ac:dyDescent="0.2">
      <c r="CE7837"/>
      <c r="CF7837"/>
      <c r="CG7837"/>
      <c r="CH7837"/>
      <c r="CI7837"/>
    </row>
    <row r="7838" spans="83:87" x14ac:dyDescent="0.2">
      <c r="CE7838"/>
      <c r="CF7838"/>
      <c r="CG7838"/>
      <c r="CH7838"/>
      <c r="CI7838"/>
    </row>
    <row r="7839" spans="83:87" x14ac:dyDescent="0.2">
      <c r="CE7839"/>
      <c r="CF7839"/>
      <c r="CG7839"/>
      <c r="CH7839"/>
      <c r="CI7839"/>
    </row>
    <row r="7840" spans="83:87" x14ac:dyDescent="0.2">
      <c r="CE7840"/>
      <c r="CF7840"/>
      <c r="CG7840"/>
      <c r="CH7840"/>
      <c r="CI7840"/>
    </row>
    <row r="7841" spans="83:87" x14ac:dyDescent="0.2">
      <c r="CE7841"/>
      <c r="CF7841"/>
      <c r="CG7841"/>
      <c r="CH7841"/>
      <c r="CI7841"/>
    </row>
    <row r="7842" spans="83:87" x14ac:dyDescent="0.2">
      <c r="CE7842"/>
      <c r="CF7842"/>
      <c r="CG7842"/>
      <c r="CH7842"/>
      <c r="CI7842"/>
    </row>
    <row r="7843" spans="83:87" x14ac:dyDescent="0.2">
      <c r="CE7843"/>
      <c r="CF7843"/>
      <c r="CG7843"/>
      <c r="CH7843"/>
      <c r="CI7843"/>
    </row>
    <row r="7844" spans="83:87" x14ac:dyDescent="0.2">
      <c r="CE7844"/>
      <c r="CF7844"/>
      <c r="CG7844"/>
      <c r="CH7844"/>
      <c r="CI7844"/>
    </row>
    <row r="7845" spans="83:87" x14ac:dyDescent="0.2">
      <c r="CE7845"/>
      <c r="CF7845"/>
      <c r="CG7845"/>
      <c r="CH7845"/>
      <c r="CI7845"/>
    </row>
    <row r="7846" spans="83:87" x14ac:dyDescent="0.2">
      <c r="CE7846"/>
      <c r="CF7846"/>
      <c r="CG7846"/>
      <c r="CH7846"/>
      <c r="CI7846"/>
    </row>
    <row r="7847" spans="83:87" x14ac:dyDescent="0.2">
      <c r="CE7847"/>
      <c r="CF7847"/>
      <c r="CG7847"/>
      <c r="CH7847"/>
      <c r="CI7847"/>
    </row>
    <row r="7848" spans="83:87" x14ac:dyDescent="0.2">
      <c r="CE7848"/>
      <c r="CF7848"/>
      <c r="CG7848"/>
      <c r="CH7848"/>
      <c r="CI7848"/>
    </row>
    <row r="7849" spans="83:87" x14ac:dyDescent="0.2">
      <c r="CE7849"/>
      <c r="CF7849"/>
      <c r="CG7849"/>
      <c r="CH7849"/>
      <c r="CI7849"/>
    </row>
    <row r="7850" spans="83:87" x14ac:dyDescent="0.2">
      <c r="CE7850"/>
      <c r="CF7850"/>
      <c r="CG7850"/>
      <c r="CH7850"/>
      <c r="CI7850"/>
    </row>
    <row r="7851" spans="83:87" x14ac:dyDescent="0.2">
      <c r="CE7851"/>
      <c r="CF7851"/>
      <c r="CG7851"/>
      <c r="CH7851"/>
      <c r="CI7851"/>
    </row>
    <row r="7852" spans="83:87" x14ac:dyDescent="0.2">
      <c r="CE7852"/>
      <c r="CF7852"/>
      <c r="CG7852"/>
      <c r="CH7852"/>
      <c r="CI7852"/>
    </row>
    <row r="7853" spans="83:87" x14ac:dyDescent="0.2">
      <c r="CE7853"/>
      <c r="CF7853"/>
      <c r="CG7853"/>
      <c r="CH7853"/>
      <c r="CI7853"/>
    </row>
    <row r="7854" spans="83:87" x14ac:dyDescent="0.2">
      <c r="CE7854"/>
      <c r="CF7854"/>
      <c r="CG7854"/>
      <c r="CH7854"/>
      <c r="CI7854"/>
    </row>
    <row r="7855" spans="83:87" x14ac:dyDescent="0.2">
      <c r="CE7855"/>
      <c r="CF7855"/>
      <c r="CG7855"/>
      <c r="CH7855"/>
      <c r="CI7855"/>
    </row>
    <row r="7856" spans="83:87" x14ac:dyDescent="0.2">
      <c r="CE7856"/>
      <c r="CF7856"/>
      <c r="CG7856"/>
      <c r="CH7856"/>
      <c r="CI7856"/>
    </row>
    <row r="7857" spans="83:87" x14ac:dyDescent="0.2">
      <c r="CE7857"/>
      <c r="CF7857"/>
      <c r="CG7857"/>
      <c r="CH7857"/>
      <c r="CI7857"/>
    </row>
    <row r="7858" spans="83:87" x14ac:dyDescent="0.2">
      <c r="CE7858"/>
      <c r="CF7858"/>
      <c r="CG7858"/>
      <c r="CH7858"/>
      <c r="CI7858"/>
    </row>
    <row r="7859" spans="83:87" x14ac:dyDescent="0.2">
      <c r="CE7859"/>
      <c r="CF7859"/>
      <c r="CG7859"/>
      <c r="CH7859"/>
      <c r="CI7859"/>
    </row>
    <row r="7860" spans="83:87" x14ac:dyDescent="0.2">
      <c r="CE7860"/>
      <c r="CF7860"/>
      <c r="CG7860"/>
      <c r="CH7860"/>
      <c r="CI7860"/>
    </row>
    <row r="7861" spans="83:87" x14ac:dyDescent="0.2">
      <c r="CE7861"/>
      <c r="CF7861"/>
      <c r="CG7861"/>
      <c r="CH7861"/>
      <c r="CI7861"/>
    </row>
    <row r="7862" spans="83:87" x14ac:dyDescent="0.2">
      <c r="CE7862"/>
      <c r="CF7862"/>
      <c r="CG7862"/>
      <c r="CH7862"/>
      <c r="CI7862"/>
    </row>
    <row r="7863" spans="83:87" x14ac:dyDescent="0.2">
      <c r="CE7863"/>
      <c r="CF7863"/>
      <c r="CG7863"/>
      <c r="CH7863"/>
      <c r="CI7863"/>
    </row>
    <row r="7864" spans="83:87" x14ac:dyDescent="0.2">
      <c r="CE7864"/>
      <c r="CF7864"/>
      <c r="CG7864"/>
      <c r="CH7864"/>
      <c r="CI7864"/>
    </row>
    <row r="7865" spans="83:87" x14ac:dyDescent="0.2">
      <c r="CE7865"/>
      <c r="CF7865"/>
      <c r="CG7865"/>
      <c r="CH7865"/>
      <c r="CI7865"/>
    </row>
    <row r="7866" spans="83:87" x14ac:dyDescent="0.2">
      <c r="CE7866"/>
      <c r="CF7866"/>
      <c r="CG7866"/>
      <c r="CH7866"/>
      <c r="CI7866"/>
    </row>
    <row r="7867" spans="83:87" x14ac:dyDescent="0.2">
      <c r="CE7867"/>
      <c r="CF7867"/>
      <c r="CG7867"/>
      <c r="CH7867"/>
      <c r="CI7867"/>
    </row>
    <row r="7868" spans="83:87" x14ac:dyDescent="0.2">
      <c r="CE7868"/>
      <c r="CF7868"/>
      <c r="CG7868"/>
      <c r="CH7868"/>
      <c r="CI7868"/>
    </row>
    <row r="7869" spans="83:87" x14ac:dyDescent="0.2">
      <c r="CE7869"/>
      <c r="CF7869"/>
      <c r="CG7869"/>
      <c r="CH7869"/>
      <c r="CI7869"/>
    </row>
    <row r="7870" spans="83:87" x14ac:dyDescent="0.2">
      <c r="CE7870"/>
      <c r="CF7870"/>
      <c r="CG7870"/>
      <c r="CH7870"/>
      <c r="CI7870"/>
    </row>
    <row r="7871" spans="83:87" x14ac:dyDescent="0.2">
      <c r="CE7871"/>
      <c r="CF7871"/>
      <c r="CG7871"/>
      <c r="CH7871"/>
      <c r="CI7871"/>
    </row>
    <row r="7872" spans="83:87" x14ac:dyDescent="0.2">
      <c r="CE7872"/>
      <c r="CF7872"/>
      <c r="CG7872"/>
      <c r="CH7872"/>
      <c r="CI7872"/>
    </row>
    <row r="7873" spans="83:87" x14ac:dyDescent="0.2">
      <c r="CE7873"/>
      <c r="CF7873"/>
      <c r="CG7873"/>
      <c r="CH7873"/>
      <c r="CI7873"/>
    </row>
    <row r="7874" spans="83:87" x14ac:dyDescent="0.2">
      <c r="CE7874"/>
      <c r="CF7874"/>
      <c r="CG7874"/>
      <c r="CH7874"/>
      <c r="CI7874"/>
    </row>
    <row r="7875" spans="83:87" x14ac:dyDescent="0.2">
      <c r="CE7875"/>
      <c r="CF7875"/>
      <c r="CG7875"/>
      <c r="CH7875"/>
      <c r="CI7875"/>
    </row>
    <row r="7876" spans="83:87" x14ac:dyDescent="0.2">
      <c r="CE7876"/>
      <c r="CF7876"/>
      <c r="CG7876"/>
      <c r="CH7876"/>
      <c r="CI7876"/>
    </row>
    <row r="7877" spans="83:87" x14ac:dyDescent="0.2">
      <c r="CE7877"/>
      <c r="CF7877"/>
      <c r="CG7877"/>
      <c r="CH7877"/>
      <c r="CI7877"/>
    </row>
    <row r="7878" spans="83:87" x14ac:dyDescent="0.2">
      <c r="CE7878"/>
      <c r="CF7878"/>
      <c r="CG7878"/>
      <c r="CH7878"/>
      <c r="CI7878"/>
    </row>
    <row r="7879" spans="83:87" x14ac:dyDescent="0.2">
      <c r="CE7879"/>
      <c r="CF7879"/>
      <c r="CG7879"/>
      <c r="CH7879"/>
      <c r="CI7879"/>
    </row>
    <row r="7880" spans="83:87" x14ac:dyDescent="0.2">
      <c r="CE7880"/>
      <c r="CF7880"/>
      <c r="CG7880"/>
      <c r="CH7880"/>
      <c r="CI7880"/>
    </row>
    <row r="7881" spans="83:87" x14ac:dyDescent="0.2">
      <c r="CE7881"/>
      <c r="CF7881"/>
      <c r="CG7881"/>
      <c r="CH7881"/>
      <c r="CI7881"/>
    </row>
    <row r="7882" spans="83:87" x14ac:dyDescent="0.2">
      <c r="CE7882"/>
      <c r="CF7882"/>
      <c r="CG7882"/>
      <c r="CH7882"/>
      <c r="CI7882"/>
    </row>
    <row r="7883" spans="83:87" x14ac:dyDescent="0.2">
      <c r="CE7883"/>
      <c r="CF7883"/>
      <c r="CG7883"/>
      <c r="CH7883"/>
      <c r="CI7883"/>
    </row>
    <row r="7884" spans="83:87" x14ac:dyDescent="0.2">
      <c r="CE7884"/>
      <c r="CF7884"/>
      <c r="CG7884"/>
      <c r="CH7884"/>
      <c r="CI7884"/>
    </row>
    <row r="7885" spans="83:87" x14ac:dyDescent="0.2">
      <c r="CE7885"/>
      <c r="CF7885"/>
      <c r="CG7885"/>
      <c r="CH7885"/>
      <c r="CI7885"/>
    </row>
    <row r="7886" spans="83:87" x14ac:dyDescent="0.2">
      <c r="CE7886"/>
      <c r="CF7886"/>
      <c r="CG7886"/>
      <c r="CH7886"/>
      <c r="CI7886"/>
    </row>
    <row r="7887" spans="83:87" x14ac:dyDescent="0.2">
      <c r="CE7887"/>
      <c r="CF7887"/>
      <c r="CG7887"/>
      <c r="CH7887"/>
      <c r="CI7887"/>
    </row>
    <row r="7888" spans="83:87" x14ac:dyDescent="0.2">
      <c r="CE7888"/>
      <c r="CF7888"/>
      <c r="CG7888"/>
      <c r="CH7888"/>
      <c r="CI7888"/>
    </row>
    <row r="7889" spans="83:87" x14ac:dyDescent="0.2">
      <c r="CE7889"/>
      <c r="CF7889"/>
      <c r="CG7889"/>
      <c r="CH7889"/>
      <c r="CI7889"/>
    </row>
    <row r="7890" spans="83:87" x14ac:dyDescent="0.2">
      <c r="CE7890"/>
      <c r="CF7890"/>
      <c r="CG7890"/>
      <c r="CH7890"/>
      <c r="CI7890"/>
    </row>
    <row r="7891" spans="83:87" x14ac:dyDescent="0.2">
      <c r="CE7891"/>
      <c r="CF7891"/>
      <c r="CG7891"/>
      <c r="CH7891"/>
      <c r="CI7891"/>
    </row>
    <row r="7892" spans="83:87" x14ac:dyDescent="0.2">
      <c r="CE7892"/>
      <c r="CF7892"/>
      <c r="CG7892"/>
      <c r="CH7892"/>
      <c r="CI7892"/>
    </row>
    <row r="7893" spans="83:87" x14ac:dyDescent="0.2">
      <c r="CE7893"/>
      <c r="CF7893"/>
      <c r="CG7893"/>
      <c r="CH7893"/>
      <c r="CI7893"/>
    </row>
    <row r="7894" spans="83:87" x14ac:dyDescent="0.2">
      <c r="CE7894"/>
      <c r="CF7894"/>
      <c r="CG7894"/>
      <c r="CH7894"/>
      <c r="CI7894"/>
    </row>
    <row r="7895" spans="83:87" x14ac:dyDescent="0.2">
      <c r="CE7895"/>
      <c r="CF7895"/>
      <c r="CG7895"/>
      <c r="CH7895"/>
      <c r="CI7895"/>
    </row>
    <row r="7896" spans="83:87" x14ac:dyDescent="0.2">
      <c r="CE7896"/>
      <c r="CF7896"/>
      <c r="CG7896"/>
      <c r="CH7896"/>
      <c r="CI7896"/>
    </row>
    <row r="7897" spans="83:87" x14ac:dyDescent="0.2">
      <c r="CE7897"/>
      <c r="CF7897"/>
      <c r="CG7897"/>
      <c r="CH7897"/>
      <c r="CI7897"/>
    </row>
    <row r="7898" spans="83:87" x14ac:dyDescent="0.2">
      <c r="CE7898"/>
      <c r="CF7898"/>
      <c r="CG7898"/>
      <c r="CH7898"/>
      <c r="CI7898"/>
    </row>
    <row r="7899" spans="83:87" x14ac:dyDescent="0.2">
      <c r="CE7899"/>
      <c r="CF7899"/>
      <c r="CG7899"/>
      <c r="CH7899"/>
      <c r="CI7899"/>
    </row>
    <row r="7900" spans="83:87" x14ac:dyDescent="0.2">
      <c r="CE7900"/>
      <c r="CF7900"/>
      <c r="CG7900"/>
      <c r="CH7900"/>
      <c r="CI7900"/>
    </row>
    <row r="7901" spans="83:87" x14ac:dyDescent="0.2">
      <c r="CE7901"/>
      <c r="CF7901"/>
      <c r="CG7901"/>
      <c r="CH7901"/>
      <c r="CI7901"/>
    </row>
    <row r="7902" spans="83:87" x14ac:dyDescent="0.2">
      <c r="CE7902"/>
      <c r="CF7902"/>
      <c r="CG7902"/>
      <c r="CH7902"/>
      <c r="CI7902"/>
    </row>
    <row r="7903" spans="83:87" x14ac:dyDescent="0.2">
      <c r="CE7903"/>
      <c r="CF7903"/>
      <c r="CG7903"/>
      <c r="CH7903"/>
      <c r="CI7903"/>
    </row>
    <row r="7904" spans="83:87" x14ac:dyDescent="0.2">
      <c r="CE7904"/>
      <c r="CF7904"/>
      <c r="CG7904"/>
      <c r="CH7904"/>
      <c r="CI7904"/>
    </row>
    <row r="7905" spans="83:87" x14ac:dyDescent="0.2">
      <c r="CE7905"/>
      <c r="CF7905"/>
      <c r="CG7905"/>
      <c r="CH7905"/>
      <c r="CI7905"/>
    </row>
    <row r="7906" spans="83:87" x14ac:dyDescent="0.2">
      <c r="CE7906"/>
      <c r="CF7906"/>
      <c r="CG7906"/>
      <c r="CH7906"/>
      <c r="CI7906"/>
    </row>
    <row r="7907" spans="83:87" x14ac:dyDescent="0.2">
      <c r="CE7907"/>
      <c r="CF7907"/>
      <c r="CG7907"/>
      <c r="CH7907"/>
      <c r="CI7907"/>
    </row>
    <row r="7908" spans="83:87" x14ac:dyDescent="0.2">
      <c r="CE7908"/>
      <c r="CF7908"/>
      <c r="CG7908"/>
      <c r="CH7908"/>
      <c r="CI7908"/>
    </row>
    <row r="7909" spans="83:87" x14ac:dyDescent="0.2">
      <c r="CE7909"/>
      <c r="CF7909"/>
      <c r="CG7909"/>
      <c r="CH7909"/>
      <c r="CI7909"/>
    </row>
    <row r="7910" spans="83:87" x14ac:dyDescent="0.2">
      <c r="CE7910"/>
      <c r="CF7910"/>
      <c r="CG7910"/>
      <c r="CH7910"/>
      <c r="CI7910"/>
    </row>
    <row r="7911" spans="83:87" x14ac:dyDescent="0.2">
      <c r="CE7911"/>
      <c r="CF7911"/>
      <c r="CG7911"/>
      <c r="CH7911"/>
      <c r="CI7911"/>
    </row>
    <row r="7912" spans="83:87" x14ac:dyDescent="0.2">
      <c r="CE7912"/>
      <c r="CF7912"/>
      <c r="CG7912"/>
      <c r="CH7912"/>
      <c r="CI7912"/>
    </row>
    <row r="7913" spans="83:87" x14ac:dyDescent="0.2">
      <c r="CE7913"/>
      <c r="CF7913"/>
      <c r="CG7913"/>
      <c r="CH7913"/>
      <c r="CI7913"/>
    </row>
    <row r="7914" spans="83:87" x14ac:dyDescent="0.2">
      <c r="CE7914"/>
      <c r="CF7914"/>
      <c r="CG7914"/>
      <c r="CH7914"/>
      <c r="CI7914"/>
    </row>
    <row r="7915" spans="83:87" x14ac:dyDescent="0.2">
      <c r="CE7915"/>
      <c r="CF7915"/>
      <c r="CG7915"/>
      <c r="CH7915"/>
      <c r="CI7915"/>
    </row>
    <row r="7916" spans="83:87" x14ac:dyDescent="0.2">
      <c r="CE7916"/>
      <c r="CF7916"/>
      <c r="CG7916"/>
      <c r="CH7916"/>
      <c r="CI7916"/>
    </row>
    <row r="7917" spans="83:87" x14ac:dyDescent="0.2">
      <c r="CE7917"/>
      <c r="CF7917"/>
      <c r="CG7917"/>
      <c r="CH7917"/>
      <c r="CI7917"/>
    </row>
    <row r="7918" spans="83:87" x14ac:dyDescent="0.2">
      <c r="CE7918"/>
      <c r="CF7918"/>
      <c r="CG7918"/>
      <c r="CH7918"/>
      <c r="CI7918"/>
    </row>
    <row r="7919" spans="83:87" x14ac:dyDescent="0.2">
      <c r="CE7919"/>
      <c r="CF7919"/>
      <c r="CG7919"/>
      <c r="CH7919"/>
      <c r="CI7919"/>
    </row>
    <row r="7920" spans="83:87" x14ac:dyDescent="0.2">
      <c r="CE7920"/>
      <c r="CF7920"/>
      <c r="CG7920"/>
      <c r="CH7920"/>
      <c r="CI7920"/>
    </row>
    <row r="7921" spans="83:87" x14ac:dyDescent="0.2">
      <c r="CE7921"/>
      <c r="CF7921"/>
      <c r="CG7921"/>
      <c r="CH7921"/>
      <c r="CI7921"/>
    </row>
    <row r="7922" spans="83:87" x14ac:dyDescent="0.2">
      <c r="CE7922"/>
      <c r="CF7922"/>
      <c r="CG7922"/>
      <c r="CH7922"/>
      <c r="CI7922"/>
    </row>
    <row r="7923" spans="83:87" x14ac:dyDescent="0.2">
      <c r="CE7923"/>
      <c r="CF7923"/>
      <c r="CG7923"/>
      <c r="CH7923"/>
      <c r="CI7923"/>
    </row>
    <row r="7924" spans="83:87" x14ac:dyDescent="0.2">
      <c r="CE7924"/>
      <c r="CF7924"/>
      <c r="CG7924"/>
      <c r="CH7924"/>
      <c r="CI7924"/>
    </row>
    <row r="7925" spans="83:87" x14ac:dyDescent="0.2">
      <c r="CE7925"/>
      <c r="CF7925"/>
      <c r="CG7925"/>
      <c r="CH7925"/>
      <c r="CI7925"/>
    </row>
    <row r="7926" spans="83:87" x14ac:dyDescent="0.2">
      <c r="CE7926"/>
      <c r="CF7926"/>
      <c r="CG7926"/>
      <c r="CH7926"/>
      <c r="CI7926"/>
    </row>
    <row r="7927" spans="83:87" x14ac:dyDescent="0.2">
      <c r="CE7927"/>
      <c r="CF7927"/>
      <c r="CG7927"/>
      <c r="CH7927"/>
      <c r="CI7927"/>
    </row>
    <row r="7928" spans="83:87" x14ac:dyDescent="0.2">
      <c r="CE7928"/>
      <c r="CF7928"/>
      <c r="CG7928"/>
      <c r="CH7928"/>
      <c r="CI7928"/>
    </row>
    <row r="7929" spans="83:87" x14ac:dyDescent="0.2">
      <c r="CE7929"/>
      <c r="CF7929"/>
      <c r="CG7929"/>
      <c r="CH7929"/>
      <c r="CI7929"/>
    </row>
    <row r="7930" spans="83:87" x14ac:dyDescent="0.2">
      <c r="CE7930"/>
      <c r="CF7930"/>
      <c r="CG7930"/>
      <c r="CH7930"/>
      <c r="CI7930"/>
    </row>
    <row r="7931" spans="83:87" x14ac:dyDescent="0.2">
      <c r="CE7931"/>
      <c r="CF7931"/>
      <c r="CG7931"/>
      <c r="CH7931"/>
      <c r="CI7931"/>
    </row>
    <row r="7932" spans="83:87" x14ac:dyDescent="0.2">
      <c r="CE7932"/>
      <c r="CF7932"/>
      <c r="CG7932"/>
      <c r="CH7932"/>
      <c r="CI7932"/>
    </row>
    <row r="7933" spans="83:87" x14ac:dyDescent="0.2">
      <c r="CE7933"/>
      <c r="CF7933"/>
      <c r="CG7933"/>
      <c r="CH7933"/>
      <c r="CI7933"/>
    </row>
    <row r="7934" spans="83:87" x14ac:dyDescent="0.2">
      <c r="CE7934"/>
      <c r="CF7934"/>
      <c r="CG7934"/>
      <c r="CH7934"/>
      <c r="CI7934"/>
    </row>
    <row r="7935" spans="83:87" x14ac:dyDescent="0.2">
      <c r="CE7935"/>
      <c r="CF7935"/>
      <c r="CG7935"/>
      <c r="CH7935"/>
      <c r="CI7935"/>
    </row>
    <row r="7936" spans="83:87" x14ac:dyDescent="0.2">
      <c r="CE7936"/>
      <c r="CF7936"/>
      <c r="CG7936"/>
      <c r="CH7936"/>
      <c r="CI7936"/>
    </row>
    <row r="7937" spans="83:87" x14ac:dyDescent="0.2">
      <c r="CE7937"/>
      <c r="CF7937"/>
      <c r="CG7937"/>
      <c r="CH7937"/>
      <c r="CI7937"/>
    </row>
    <row r="7938" spans="83:87" x14ac:dyDescent="0.2">
      <c r="CE7938"/>
      <c r="CF7938"/>
      <c r="CG7938"/>
      <c r="CH7938"/>
      <c r="CI7938"/>
    </row>
    <row r="7939" spans="83:87" x14ac:dyDescent="0.2">
      <c r="CE7939"/>
      <c r="CF7939"/>
      <c r="CG7939"/>
      <c r="CH7939"/>
      <c r="CI7939"/>
    </row>
    <row r="7940" spans="83:87" x14ac:dyDescent="0.2">
      <c r="CE7940"/>
      <c r="CF7940"/>
      <c r="CG7940"/>
      <c r="CH7940"/>
      <c r="CI7940"/>
    </row>
    <row r="7941" spans="83:87" x14ac:dyDescent="0.2">
      <c r="CE7941"/>
      <c r="CF7941"/>
      <c r="CG7941"/>
      <c r="CH7941"/>
      <c r="CI7941"/>
    </row>
    <row r="7942" spans="83:87" x14ac:dyDescent="0.2">
      <c r="CE7942"/>
      <c r="CF7942"/>
      <c r="CG7942"/>
      <c r="CH7942"/>
      <c r="CI7942"/>
    </row>
    <row r="7943" spans="83:87" x14ac:dyDescent="0.2">
      <c r="CE7943"/>
      <c r="CF7943"/>
      <c r="CG7943"/>
      <c r="CH7943"/>
      <c r="CI7943"/>
    </row>
    <row r="7944" spans="83:87" x14ac:dyDescent="0.2">
      <c r="CE7944"/>
      <c r="CF7944"/>
      <c r="CG7944"/>
      <c r="CH7944"/>
      <c r="CI7944"/>
    </row>
    <row r="7945" spans="83:87" x14ac:dyDescent="0.2">
      <c r="CE7945"/>
      <c r="CF7945"/>
      <c r="CG7945"/>
      <c r="CH7945"/>
      <c r="CI7945"/>
    </row>
    <row r="7946" spans="83:87" x14ac:dyDescent="0.2">
      <c r="CE7946"/>
      <c r="CF7946"/>
      <c r="CG7946"/>
      <c r="CH7946"/>
      <c r="CI7946"/>
    </row>
    <row r="7947" spans="83:87" x14ac:dyDescent="0.2">
      <c r="CE7947"/>
      <c r="CF7947"/>
      <c r="CG7947"/>
      <c r="CH7947"/>
      <c r="CI7947"/>
    </row>
    <row r="7948" spans="83:87" x14ac:dyDescent="0.2">
      <c r="CE7948"/>
      <c r="CF7948"/>
      <c r="CG7948"/>
      <c r="CH7948"/>
      <c r="CI7948"/>
    </row>
    <row r="7949" spans="83:87" x14ac:dyDescent="0.2">
      <c r="CE7949"/>
      <c r="CF7949"/>
      <c r="CG7949"/>
      <c r="CH7949"/>
      <c r="CI7949"/>
    </row>
    <row r="7950" spans="83:87" x14ac:dyDescent="0.2">
      <c r="CE7950"/>
      <c r="CF7950"/>
      <c r="CG7950"/>
      <c r="CH7950"/>
      <c r="CI7950"/>
    </row>
    <row r="7951" spans="83:87" x14ac:dyDescent="0.2">
      <c r="CE7951"/>
      <c r="CF7951"/>
      <c r="CG7951"/>
      <c r="CH7951"/>
      <c r="CI7951"/>
    </row>
    <row r="7952" spans="83:87" x14ac:dyDescent="0.2">
      <c r="CE7952"/>
      <c r="CF7952"/>
      <c r="CG7952"/>
      <c r="CH7952"/>
      <c r="CI7952"/>
    </row>
    <row r="7953" spans="83:87" x14ac:dyDescent="0.2">
      <c r="CE7953"/>
      <c r="CF7953"/>
      <c r="CG7953"/>
      <c r="CH7953"/>
      <c r="CI7953"/>
    </row>
    <row r="7954" spans="83:87" x14ac:dyDescent="0.2">
      <c r="CE7954"/>
      <c r="CF7954"/>
      <c r="CG7954"/>
      <c r="CH7954"/>
      <c r="CI7954"/>
    </row>
    <row r="7955" spans="83:87" x14ac:dyDescent="0.2">
      <c r="CE7955"/>
      <c r="CF7955"/>
      <c r="CG7955"/>
      <c r="CH7955"/>
      <c r="CI7955"/>
    </row>
    <row r="7956" spans="83:87" x14ac:dyDescent="0.2">
      <c r="CE7956"/>
      <c r="CF7956"/>
      <c r="CG7956"/>
      <c r="CH7956"/>
      <c r="CI7956"/>
    </row>
    <row r="7957" spans="83:87" x14ac:dyDescent="0.2">
      <c r="CE7957"/>
      <c r="CF7957"/>
      <c r="CG7957"/>
      <c r="CH7957"/>
      <c r="CI7957"/>
    </row>
    <row r="7958" spans="83:87" x14ac:dyDescent="0.2">
      <c r="CE7958"/>
      <c r="CF7958"/>
      <c r="CG7958"/>
      <c r="CH7958"/>
      <c r="CI7958"/>
    </row>
    <row r="7959" spans="83:87" x14ac:dyDescent="0.2">
      <c r="CE7959"/>
      <c r="CF7959"/>
      <c r="CG7959"/>
      <c r="CH7959"/>
      <c r="CI7959"/>
    </row>
    <row r="7960" spans="83:87" x14ac:dyDescent="0.2">
      <c r="CE7960"/>
      <c r="CF7960"/>
      <c r="CG7960"/>
      <c r="CH7960"/>
      <c r="CI7960"/>
    </row>
    <row r="7961" spans="83:87" x14ac:dyDescent="0.2">
      <c r="CE7961"/>
      <c r="CF7961"/>
      <c r="CG7961"/>
      <c r="CH7961"/>
      <c r="CI7961"/>
    </row>
    <row r="7962" spans="83:87" x14ac:dyDescent="0.2">
      <c r="CE7962"/>
      <c r="CF7962"/>
      <c r="CG7962"/>
      <c r="CH7962"/>
      <c r="CI7962"/>
    </row>
    <row r="7963" spans="83:87" x14ac:dyDescent="0.2">
      <c r="CE7963"/>
      <c r="CF7963"/>
      <c r="CG7963"/>
      <c r="CH7963"/>
      <c r="CI7963"/>
    </row>
    <row r="7964" spans="83:87" x14ac:dyDescent="0.2">
      <c r="CE7964"/>
      <c r="CF7964"/>
      <c r="CG7964"/>
      <c r="CH7964"/>
      <c r="CI7964"/>
    </row>
    <row r="7965" spans="83:87" x14ac:dyDescent="0.2">
      <c r="CE7965"/>
      <c r="CF7965"/>
      <c r="CG7965"/>
      <c r="CH7965"/>
      <c r="CI7965"/>
    </row>
    <row r="7966" spans="83:87" x14ac:dyDescent="0.2">
      <c r="CE7966"/>
      <c r="CF7966"/>
      <c r="CG7966"/>
      <c r="CH7966"/>
      <c r="CI7966"/>
    </row>
    <row r="7967" spans="83:87" x14ac:dyDescent="0.2">
      <c r="CE7967"/>
      <c r="CF7967"/>
      <c r="CG7967"/>
      <c r="CH7967"/>
      <c r="CI7967"/>
    </row>
    <row r="7968" spans="83:87" x14ac:dyDescent="0.2">
      <c r="CE7968"/>
      <c r="CF7968"/>
      <c r="CG7968"/>
      <c r="CH7968"/>
      <c r="CI7968"/>
    </row>
    <row r="7969" spans="83:87" x14ac:dyDescent="0.2">
      <c r="CE7969"/>
      <c r="CF7969"/>
      <c r="CG7969"/>
      <c r="CH7969"/>
      <c r="CI7969"/>
    </row>
    <row r="7970" spans="83:87" x14ac:dyDescent="0.2">
      <c r="CE7970"/>
      <c r="CF7970"/>
      <c r="CG7970"/>
      <c r="CH7970"/>
      <c r="CI7970"/>
    </row>
    <row r="7971" spans="83:87" x14ac:dyDescent="0.2">
      <c r="CE7971"/>
      <c r="CF7971"/>
      <c r="CG7971"/>
      <c r="CH7971"/>
      <c r="CI7971"/>
    </row>
    <row r="7972" spans="83:87" x14ac:dyDescent="0.2">
      <c r="CE7972"/>
      <c r="CF7972"/>
      <c r="CG7972"/>
      <c r="CH7972"/>
      <c r="CI7972"/>
    </row>
    <row r="7973" spans="83:87" x14ac:dyDescent="0.2">
      <c r="CE7973"/>
      <c r="CF7973"/>
      <c r="CG7973"/>
      <c r="CH7973"/>
      <c r="CI7973"/>
    </row>
    <row r="7974" spans="83:87" x14ac:dyDescent="0.2">
      <c r="CE7974"/>
      <c r="CF7974"/>
      <c r="CG7974"/>
      <c r="CH7974"/>
      <c r="CI7974"/>
    </row>
    <row r="7975" spans="83:87" x14ac:dyDescent="0.2">
      <c r="CE7975"/>
      <c r="CF7975"/>
      <c r="CG7975"/>
      <c r="CH7975"/>
      <c r="CI7975"/>
    </row>
    <row r="7976" spans="83:87" x14ac:dyDescent="0.2">
      <c r="CE7976"/>
      <c r="CF7976"/>
      <c r="CG7976"/>
      <c r="CH7976"/>
      <c r="CI7976"/>
    </row>
    <row r="7977" spans="83:87" x14ac:dyDescent="0.2">
      <c r="CE7977"/>
      <c r="CF7977"/>
      <c r="CG7977"/>
      <c r="CH7977"/>
      <c r="CI7977"/>
    </row>
    <row r="7978" spans="83:87" x14ac:dyDescent="0.2">
      <c r="CE7978"/>
      <c r="CF7978"/>
      <c r="CG7978"/>
      <c r="CH7978"/>
      <c r="CI7978"/>
    </row>
    <row r="7979" spans="83:87" x14ac:dyDescent="0.2">
      <c r="CE7979"/>
      <c r="CF7979"/>
      <c r="CG7979"/>
      <c r="CH7979"/>
      <c r="CI7979"/>
    </row>
    <row r="7980" spans="83:87" x14ac:dyDescent="0.2">
      <c r="CE7980"/>
      <c r="CF7980"/>
      <c r="CG7980"/>
      <c r="CH7980"/>
      <c r="CI7980"/>
    </row>
    <row r="7981" spans="83:87" x14ac:dyDescent="0.2">
      <c r="CE7981"/>
      <c r="CF7981"/>
      <c r="CG7981"/>
      <c r="CH7981"/>
      <c r="CI7981"/>
    </row>
    <row r="7982" spans="83:87" x14ac:dyDescent="0.2">
      <c r="CE7982"/>
      <c r="CF7982"/>
      <c r="CG7982"/>
      <c r="CH7982"/>
      <c r="CI7982"/>
    </row>
    <row r="7983" spans="83:87" x14ac:dyDescent="0.2">
      <c r="CE7983"/>
      <c r="CF7983"/>
      <c r="CG7983"/>
      <c r="CH7983"/>
      <c r="CI7983"/>
    </row>
    <row r="7984" spans="83:87" x14ac:dyDescent="0.2">
      <c r="CE7984"/>
      <c r="CF7984"/>
      <c r="CG7984"/>
      <c r="CH7984"/>
      <c r="CI7984"/>
    </row>
    <row r="7985" spans="83:87" x14ac:dyDescent="0.2">
      <c r="CE7985"/>
      <c r="CF7985"/>
      <c r="CG7985"/>
      <c r="CH7985"/>
      <c r="CI7985"/>
    </row>
    <row r="7986" spans="83:87" x14ac:dyDescent="0.2">
      <c r="CE7986"/>
      <c r="CF7986"/>
      <c r="CG7986"/>
      <c r="CH7986"/>
      <c r="CI7986"/>
    </row>
    <row r="7987" spans="83:87" x14ac:dyDescent="0.2">
      <c r="CE7987"/>
      <c r="CF7987"/>
      <c r="CG7987"/>
      <c r="CH7987"/>
      <c r="CI7987"/>
    </row>
    <row r="7988" spans="83:87" x14ac:dyDescent="0.2">
      <c r="CE7988"/>
      <c r="CF7988"/>
      <c r="CG7988"/>
      <c r="CH7988"/>
      <c r="CI7988"/>
    </row>
    <row r="7989" spans="83:87" x14ac:dyDescent="0.2">
      <c r="CE7989"/>
      <c r="CF7989"/>
      <c r="CG7989"/>
      <c r="CH7989"/>
      <c r="CI7989"/>
    </row>
    <row r="7990" spans="83:87" x14ac:dyDescent="0.2">
      <c r="CE7990"/>
      <c r="CF7990"/>
      <c r="CG7990"/>
      <c r="CH7990"/>
      <c r="CI7990"/>
    </row>
    <row r="7991" spans="83:87" x14ac:dyDescent="0.2">
      <c r="CE7991"/>
      <c r="CF7991"/>
      <c r="CG7991"/>
      <c r="CH7991"/>
      <c r="CI7991"/>
    </row>
    <row r="7992" spans="83:87" x14ac:dyDescent="0.2">
      <c r="CE7992"/>
      <c r="CF7992"/>
      <c r="CG7992"/>
      <c r="CH7992"/>
      <c r="CI7992"/>
    </row>
    <row r="7993" spans="83:87" x14ac:dyDescent="0.2">
      <c r="CE7993"/>
      <c r="CF7993"/>
      <c r="CG7993"/>
      <c r="CH7993"/>
      <c r="CI7993"/>
    </row>
    <row r="7994" spans="83:87" x14ac:dyDescent="0.2">
      <c r="CE7994"/>
      <c r="CF7994"/>
      <c r="CG7994"/>
      <c r="CH7994"/>
      <c r="CI7994"/>
    </row>
    <row r="7995" spans="83:87" x14ac:dyDescent="0.2">
      <c r="CE7995"/>
      <c r="CF7995"/>
      <c r="CG7995"/>
      <c r="CH7995"/>
      <c r="CI7995"/>
    </row>
    <row r="7996" spans="83:87" x14ac:dyDescent="0.2">
      <c r="CE7996"/>
      <c r="CF7996"/>
      <c r="CG7996"/>
      <c r="CH7996"/>
      <c r="CI7996"/>
    </row>
    <row r="7997" spans="83:87" x14ac:dyDescent="0.2">
      <c r="CE7997"/>
      <c r="CF7997"/>
      <c r="CG7997"/>
      <c r="CH7997"/>
      <c r="CI7997"/>
    </row>
    <row r="7998" spans="83:87" x14ac:dyDescent="0.2">
      <c r="CE7998"/>
      <c r="CF7998"/>
      <c r="CG7998"/>
      <c r="CH7998"/>
      <c r="CI7998"/>
    </row>
    <row r="7999" spans="83:87" x14ac:dyDescent="0.2">
      <c r="CE7999"/>
      <c r="CF7999"/>
      <c r="CG7999"/>
      <c r="CH7999"/>
      <c r="CI7999"/>
    </row>
    <row r="8000" spans="83:87" x14ac:dyDescent="0.2">
      <c r="CE8000"/>
      <c r="CF8000"/>
      <c r="CG8000"/>
      <c r="CH8000"/>
      <c r="CI8000"/>
    </row>
    <row r="8001" spans="83:87" x14ac:dyDescent="0.2">
      <c r="CE8001"/>
      <c r="CF8001"/>
      <c r="CG8001"/>
      <c r="CH8001"/>
      <c r="CI8001"/>
    </row>
    <row r="8002" spans="83:87" x14ac:dyDescent="0.2">
      <c r="CE8002"/>
      <c r="CF8002"/>
      <c r="CG8002"/>
      <c r="CH8002"/>
      <c r="CI8002"/>
    </row>
    <row r="8003" spans="83:87" x14ac:dyDescent="0.2">
      <c r="CE8003"/>
      <c r="CF8003"/>
      <c r="CG8003"/>
      <c r="CH8003"/>
      <c r="CI8003"/>
    </row>
    <row r="8004" spans="83:87" x14ac:dyDescent="0.2">
      <c r="CE8004"/>
      <c r="CF8004"/>
      <c r="CG8004"/>
      <c r="CH8004"/>
      <c r="CI8004"/>
    </row>
    <row r="8005" spans="83:87" x14ac:dyDescent="0.2">
      <c r="CE8005"/>
      <c r="CF8005"/>
      <c r="CG8005"/>
      <c r="CH8005"/>
      <c r="CI8005"/>
    </row>
    <row r="8006" spans="83:87" x14ac:dyDescent="0.2">
      <c r="CE8006"/>
      <c r="CF8006"/>
      <c r="CG8006"/>
      <c r="CH8006"/>
      <c r="CI8006"/>
    </row>
    <row r="8007" spans="83:87" x14ac:dyDescent="0.2">
      <c r="CE8007"/>
      <c r="CF8007"/>
      <c r="CG8007"/>
      <c r="CH8007"/>
      <c r="CI8007"/>
    </row>
    <row r="8008" spans="83:87" x14ac:dyDescent="0.2">
      <c r="CE8008"/>
      <c r="CF8008"/>
      <c r="CG8008"/>
      <c r="CH8008"/>
      <c r="CI8008"/>
    </row>
    <row r="8009" spans="83:87" x14ac:dyDescent="0.2">
      <c r="CE8009"/>
      <c r="CF8009"/>
      <c r="CG8009"/>
      <c r="CH8009"/>
      <c r="CI8009"/>
    </row>
    <row r="8010" spans="83:87" x14ac:dyDescent="0.2">
      <c r="CE8010"/>
      <c r="CF8010"/>
      <c r="CG8010"/>
      <c r="CH8010"/>
      <c r="CI8010"/>
    </row>
    <row r="8011" spans="83:87" x14ac:dyDescent="0.2">
      <c r="CE8011"/>
      <c r="CF8011"/>
      <c r="CG8011"/>
      <c r="CH8011"/>
      <c r="CI8011"/>
    </row>
    <row r="8012" spans="83:87" x14ac:dyDescent="0.2">
      <c r="CE8012"/>
      <c r="CF8012"/>
      <c r="CG8012"/>
      <c r="CH8012"/>
      <c r="CI8012"/>
    </row>
    <row r="8013" spans="83:87" x14ac:dyDescent="0.2">
      <c r="CE8013"/>
      <c r="CF8013"/>
      <c r="CG8013"/>
      <c r="CH8013"/>
      <c r="CI8013"/>
    </row>
    <row r="8014" spans="83:87" x14ac:dyDescent="0.2">
      <c r="CE8014"/>
      <c r="CF8014"/>
      <c r="CG8014"/>
      <c r="CH8014"/>
      <c r="CI8014"/>
    </row>
    <row r="8015" spans="83:87" x14ac:dyDescent="0.2">
      <c r="CE8015"/>
      <c r="CF8015"/>
      <c r="CG8015"/>
      <c r="CH8015"/>
      <c r="CI8015"/>
    </row>
    <row r="8016" spans="83:87" x14ac:dyDescent="0.2">
      <c r="CE8016"/>
      <c r="CF8016"/>
      <c r="CG8016"/>
      <c r="CH8016"/>
      <c r="CI8016"/>
    </row>
    <row r="8017" spans="83:87" x14ac:dyDescent="0.2">
      <c r="CE8017"/>
      <c r="CF8017"/>
      <c r="CG8017"/>
      <c r="CH8017"/>
      <c r="CI8017"/>
    </row>
    <row r="8018" spans="83:87" x14ac:dyDescent="0.2">
      <c r="CE8018"/>
      <c r="CF8018"/>
      <c r="CG8018"/>
      <c r="CH8018"/>
      <c r="CI8018"/>
    </row>
    <row r="8019" spans="83:87" x14ac:dyDescent="0.2">
      <c r="CE8019"/>
      <c r="CF8019"/>
      <c r="CG8019"/>
      <c r="CH8019"/>
      <c r="CI8019"/>
    </row>
    <row r="8020" spans="83:87" x14ac:dyDescent="0.2">
      <c r="CE8020"/>
      <c r="CF8020"/>
      <c r="CG8020"/>
      <c r="CH8020"/>
      <c r="CI8020"/>
    </row>
    <row r="8021" spans="83:87" x14ac:dyDescent="0.2">
      <c r="CE8021"/>
      <c r="CF8021"/>
      <c r="CG8021"/>
      <c r="CH8021"/>
      <c r="CI8021"/>
    </row>
    <row r="8022" spans="83:87" x14ac:dyDescent="0.2">
      <c r="CE8022"/>
      <c r="CF8022"/>
      <c r="CG8022"/>
      <c r="CH8022"/>
      <c r="CI8022"/>
    </row>
    <row r="8023" spans="83:87" x14ac:dyDescent="0.2">
      <c r="CE8023"/>
      <c r="CF8023"/>
      <c r="CG8023"/>
      <c r="CH8023"/>
      <c r="CI8023"/>
    </row>
    <row r="8024" spans="83:87" x14ac:dyDescent="0.2">
      <c r="CE8024"/>
      <c r="CF8024"/>
      <c r="CG8024"/>
      <c r="CH8024"/>
      <c r="CI8024"/>
    </row>
    <row r="8025" spans="83:87" x14ac:dyDescent="0.2">
      <c r="CE8025"/>
      <c r="CF8025"/>
      <c r="CG8025"/>
      <c r="CH8025"/>
      <c r="CI8025"/>
    </row>
    <row r="8026" spans="83:87" x14ac:dyDescent="0.2">
      <c r="CE8026"/>
      <c r="CF8026"/>
      <c r="CG8026"/>
      <c r="CH8026"/>
      <c r="CI8026"/>
    </row>
    <row r="8027" spans="83:87" x14ac:dyDescent="0.2">
      <c r="CE8027"/>
      <c r="CF8027"/>
      <c r="CG8027"/>
      <c r="CH8027"/>
      <c r="CI8027"/>
    </row>
    <row r="8028" spans="83:87" x14ac:dyDescent="0.2">
      <c r="CE8028"/>
      <c r="CF8028"/>
      <c r="CG8028"/>
      <c r="CH8028"/>
      <c r="CI8028"/>
    </row>
    <row r="8029" spans="83:87" x14ac:dyDescent="0.2">
      <c r="CE8029"/>
      <c r="CF8029"/>
      <c r="CG8029"/>
      <c r="CH8029"/>
      <c r="CI8029"/>
    </row>
    <row r="8030" spans="83:87" x14ac:dyDescent="0.2">
      <c r="CE8030"/>
      <c r="CF8030"/>
      <c r="CG8030"/>
      <c r="CH8030"/>
      <c r="CI8030"/>
    </row>
    <row r="8031" spans="83:87" x14ac:dyDescent="0.2">
      <c r="CE8031"/>
      <c r="CF8031"/>
      <c r="CG8031"/>
      <c r="CH8031"/>
      <c r="CI8031"/>
    </row>
    <row r="8032" spans="83:87" x14ac:dyDescent="0.2">
      <c r="CE8032"/>
      <c r="CF8032"/>
      <c r="CG8032"/>
      <c r="CH8032"/>
      <c r="CI8032"/>
    </row>
    <row r="8033" spans="83:87" x14ac:dyDescent="0.2">
      <c r="CE8033"/>
      <c r="CF8033"/>
      <c r="CG8033"/>
      <c r="CH8033"/>
      <c r="CI8033"/>
    </row>
    <row r="8034" spans="83:87" x14ac:dyDescent="0.2">
      <c r="CE8034"/>
      <c r="CF8034"/>
      <c r="CG8034"/>
      <c r="CH8034"/>
      <c r="CI8034"/>
    </row>
    <row r="8035" spans="83:87" x14ac:dyDescent="0.2">
      <c r="CE8035"/>
      <c r="CF8035"/>
      <c r="CG8035"/>
      <c r="CH8035"/>
      <c r="CI8035"/>
    </row>
    <row r="8036" spans="83:87" x14ac:dyDescent="0.2">
      <c r="CE8036"/>
      <c r="CF8036"/>
      <c r="CG8036"/>
      <c r="CH8036"/>
      <c r="CI8036"/>
    </row>
    <row r="8037" spans="83:87" x14ac:dyDescent="0.2">
      <c r="CE8037"/>
      <c r="CF8037"/>
      <c r="CG8037"/>
      <c r="CH8037"/>
      <c r="CI8037"/>
    </row>
    <row r="8038" spans="83:87" x14ac:dyDescent="0.2">
      <c r="CE8038"/>
      <c r="CF8038"/>
      <c r="CG8038"/>
      <c r="CH8038"/>
      <c r="CI8038"/>
    </row>
    <row r="8039" spans="83:87" x14ac:dyDescent="0.2">
      <c r="CE8039"/>
      <c r="CF8039"/>
      <c r="CG8039"/>
      <c r="CH8039"/>
      <c r="CI8039"/>
    </row>
    <row r="8040" spans="83:87" x14ac:dyDescent="0.2">
      <c r="CE8040"/>
      <c r="CF8040"/>
      <c r="CG8040"/>
      <c r="CH8040"/>
      <c r="CI8040"/>
    </row>
    <row r="8041" spans="83:87" x14ac:dyDescent="0.2">
      <c r="CE8041"/>
      <c r="CF8041"/>
      <c r="CG8041"/>
      <c r="CH8041"/>
      <c r="CI8041"/>
    </row>
    <row r="8042" spans="83:87" x14ac:dyDescent="0.2">
      <c r="CE8042"/>
      <c r="CF8042"/>
      <c r="CG8042"/>
      <c r="CH8042"/>
      <c r="CI8042"/>
    </row>
    <row r="8043" spans="83:87" x14ac:dyDescent="0.2">
      <c r="CE8043"/>
      <c r="CF8043"/>
      <c r="CG8043"/>
      <c r="CH8043"/>
      <c r="CI8043"/>
    </row>
    <row r="8044" spans="83:87" x14ac:dyDescent="0.2">
      <c r="CE8044"/>
      <c r="CF8044"/>
      <c r="CG8044"/>
      <c r="CH8044"/>
      <c r="CI8044"/>
    </row>
    <row r="8045" spans="83:87" x14ac:dyDescent="0.2">
      <c r="CE8045"/>
      <c r="CF8045"/>
      <c r="CG8045"/>
      <c r="CH8045"/>
      <c r="CI8045"/>
    </row>
    <row r="8046" spans="83:87" x14ac:dyDescent="0.2">
      <c r="CE8046"/>
      <c r="CF8046"/>
      <c r="CG8046"/>
      <c r="CH8046"/>
      <c r="CI8046"/>
    </row>
    <row r="8047" spans="83:87" x14ac:dyDescent="0.2">
      <c r="CE8047"/>
      <c r="CF8047"/>
      <c r="CG8047"/>
      <c r="CH8047"/>
      <c r="CI8047"/>
    </row>
    <row r="8048" spans="83:87" x14ac:dyDescent="0.2">
      <c r="CE8048"/>
      <c r="CF8048"/>
      <c r="CG8048"/>
      <c r="CH8048"/>
      <c r="CI8048"/>
    </row>
    <row r="8049" spans="83:87" x14ac:dyDescent="0.2">
      <c r="CE8049"/>
      <c r="CF8049"/>
      <c r="CG8049"/>
      <c r="CH8049"/>
      <c r="CI8049"/>
    </row>
    <row r="8050" spans="83:87" x14ac:dyDescent="0.2">
      <c r="CE8050"/>
      <c r="CF8050"/>
      <c r="CG8050"/>
      <c r="CH8050"/>
      <c r="CI8050"/>
    </row>
    <row r="8051" spans="83:87" x14ac:dyDescent="0.2">
      <c r="CE8051"/>
      <c r="CF8051"/>
      <c r="CG8051"/>
      <c r="CH8051"/>
      <c r="CI8051"/>
    </row>
    <row r="8052" spans="83:87" x14ac:dyDescent="0.2">
      <c r="CE8052"/>
      <c r="CF8052"/>
      <c r="CG8052"/>
      <c r="CH8052"/>
      <c r="CI8052"/>
    </row>
    <row r="8053" spans="83:87" x14ac:dyDescent="0.2">
      <c r="CE8053"/>
      <c r="CF8053"/>
      <c r="CG8053"/>
      <c r="CH8053"/>
      <c r="CI8053"/>
    </row>
    <row r="8054" spans="83:87" x14ac:dyDescent="0.2">
      <c r="CE8054"/>
      <c r="CF8054"/>
      <c r="CG8054"/>
      <c r="CH8054"/>
      <c r="CI8054"/>
    </row>
    <row r="8055" spans="83:87" x14ac:dyDescent="0.2">
      <c r="CE8055"/>
      <c r="CF8055"/>
      <c r="CG8055"/>
      <c r="CH8055"/>
      <c r="CI8055"/>
    </row>
    <row r="8056" spans="83:87" x14ac:dyDescent="0.2">
      <c r="CE8056"/>
      <c r="CF8056"/>
      <c r="CG8056"/>
      <c r="CH8056"/>
      <c r="CI8056"/>
    </row>
    <row r="8057" spans="83:87" x14ac:dyDescent="0.2">
      <c r="CE8057"/>
      <c r="CF8057"/>
      <c r="CG8057"/>
      <c r="CH8057"/>
      <c r="CI8057"/>
    </row>
    <row r="8058" spans="83:87" x14ac:dyDescent="0.2">
      <c r="CE8058"/>
      <c r="CF8058"/>
      <c r="CG8058"/>
      <c r="CH8058"/>
      <c r="CI8058"/>
    </row>
    <row r="8059" spans="83:87" x14ac:dyDescent="0.2">
      <c r="CE8059"/>
      <c r="CF8059"/>
      <c r="CG8059"/>
      <c r="CH8059"/>
      <c r="CI8059"/>
    </row>
    <row r="8060" spans="83:87" x14ac:dyDescent="0.2">
      <c r="CE8060"/>
      <c r="CF8060"/>
      <c r="CG8060"/>
      <c r="CH8060"/>
      <c r="CI8060"/>
    </row>
    <row r="8061" spans="83:87" x14ac:dyDescent="0.2">
      <c r="CE8061"/>
      <c r="CF8061"/>
      <c r="CG8061"/>
      <c r="CH8061"/>
      <c r="CI8061"/>
    </row>
    <row r="8062" spans="83:87" x14ac:dyDescent="0.2">
      <c r="CE8062"/>
      <c r="CF8062"/>
      <c r="CG8062"/>
      <c r="CH8062"/>
      <c r="CI8062"/>
    </row>
    <row r="8063" spans="83:87" x14ac:dyDescent="0.2">
      <c r="CE8063"/>
      <c r="CF8063"/>
      <c r="CG8063"/>
      <c r="CH8063"/>
      <c r="CI8063"/>
    </row>
    <row r="8064" spans="83:87" x14ac:dyDescent="0.2">
      <c r="CE8064"/>
      <c r="CF8064"/>
      <c r="CG8064"/>
      <c r="CH8064"/>
      <c r="CI8064"/>
    </row>
    <row r="8065" spans="83:87" x14ac:dyDescent="0.2">
      <c r="CE8065"/>
      <c r="CF8065"/>
      <c r="CG8065"/>
      <c r="CH8065"/>
      <c r="CI8065"/>
    </row>
    <row r="8066" spans="83:87" x14ac:dyDescent="0.2">
      <c r="CE8066"/>
      <c r="CF8066"/>
      <c r="CG8066"/>
      <c r="CH8066"/>
      <c r="CI8066"/>
    </row>
    <row r="8067" spans="83:87" x14ac:dyDescent="0.2">
      <c r="CE8067"/>
      <c r="CF8067"/>
      <c r="CG8067"/>
      <c r="CH8067"/>
      <c r="CI8067"/>
    </row>
    <row r="8068" spans="83:87" x14ac:dyDescent="0.2">
      <c r="CE8068"/>
      <c r="CF8068"/>
      <c r="CG8068"/>
      <c r="CH8068"/>
      <c r="CI8068"/>
    </row>
    <row r="8069" spans="83:87" x14ac:dyDescent="0.2">
      <c r="CE8069"/>
      <c r="CF8069"/>
      <c r="CG8069"/>
      <c r="CH8069"/>
      <c r="CI8069"/>
    </row>
    <row r="8070" spans="83:87" x14ac:dyDescent="0.2">
      <c r="CE8070"/>
      <c r="CF8070"/>
      <c r="CG8070"/>
      <c r="CH8070"/>
      <c r="CI8070"/>
    </row>
    <row r="8071" spans="83:87" x14ac:dyDescent="0.2">
      <c r="CE8071"/>
      <c r="CF8071"/>
      <c r="CG8071"/>
      <c r="CH8071"/>
      <c r="CI8071"/>
    </row>
    <row r="8072" spans="83:87" x14ac:dyDescent="0.2">
      <c r="CE8072"/>
      <c r="CF8072"/>
      <c r="CG8072"/>
      <c r="CH8072"/>
      <c r="CI8072"/>
    </row>
    <row r="8073" spans="83:87" x14ac:dyDescent="0.2">
      <c r="CE8073"/>
      <c r="CF8073"/>
      <c r="CG8073"/>
      <c r="CH8073"/>
      <c r="CI8073"/>
    </row>
    <row r="8074" spans="83:87" x14ac:dyDescent="0.2">
      <c r="CE8074"/>
      <c r="CF8074"/>
      <c r="CG8074"/>
      <c r="CH8074"/>
      <c r="CI8074"/>
    </row>
    <row r="8075" spans="83:87" x14ac:dyDescent="0.2">
      <c r="CE8075"/>
      <c r="CF8075"/>
      <c r="CG8075"/>
      <c r="CH8075"/>
      <c r="CI8075"/>
    </row>
    <row r="8076" spans="83:87" x14ac:dyDescent="0.2">
      <c r="CE8076"/>
      <c r="CF8076"/>
      <c r="CG8076"/>
      <c r="CH8076"/>
      <c r="CI8076"/>
    </row>
    <row r="8077" spans="83:87" x14ac:dyDescent="0.2">
      <c r="CE8077"/>
      <c r="CF8077"/>
      <c r="CG8077"/>
      <c r="CH8077"/>
      <c r="CI8077"/>
    </row>
    <row r="8078" spans="83:87" x14ac:dyDescent="0.2">
      <c r="CE8078"/>
      <c r="CF8078"/>
      <c r="CG8078"/>
      <c r="CH8078"/>
      <c r="CI8078"/>
    </row>
    <row r="8079" spans="83:87" x14ac:dyDescent="0.2">
      <c r="CE8079"/>
      <c r="CF8079"/>
      <c r="CG8079"/>
      <c r="CH8079"/>
      <c r="CI8079"/>
    </row>
    <row r="8080" spans="83:87" x14ac:dyDescent="0.2">
      <c r="CE8080"/>
      <c r="CF8080"/>
      <c r="CG8080"/>
      <c r="CH8080"/>
      <c r="CI8080"/>
    </row>
    <row r="8081" spans="83:87" x14ac:dyDescent="0.2">
      <c r="CE8081"/>
      <c r="CF8081"/>
      <c r="CG8081"/>
      <c r="CH8081"/>
      <c r="CI8081"/>
    </row>
    <row r="8082" spans="83:87" x14ac:dyDescent="0.2">
      <c r="CE8082"/>
      <c r="CF8082"/>
      <c r="CG8082"/>
      <c r="CH8082"/>
      <c r="CI8082"/>
    </row>
    <row r="8083" spans="83:87" x14ac:dyDescent="0.2">
      <c r="CE8083"/>
      <c r="CF8083"/>
      <c r="CG8083"/>
      <c r="CH8083"/>
      <c r="CI8083"/>
    </row>
    <row r="8084" spans="83:87" x14ac:dyDescent="0.2">
      <c r="CE8084"/>
      <c r="CF8084"/>
      <c r="CG8084"/>
      <c r="CH8084"/>
      <c r="CI8084"/>
    </row>
    <row r="8085" spans="83:87" x14ac:dyDescent="0.2">
      <c r="CE8085"/>
      <c r="CF8085"/>
      <c r="CG8085"/>
      <c r="CH8085"/>
      <c r="CI8085"/>
    </row>
    <row r="8086" spans="83:87" x14ac:dyDescent="0.2">
      <c r="CE8086"/>
      <c r="CF8086"/>
      <c r="CG8086"/>
      <c r="CH8086"/>
      <c r="CI8086"/>
    </row>
    <row r="8087" spans="83:87" x14ac:dyDescent="0.2">
      <c r="CE8087"/>
      <c r="CF8087"/>
      <c r="CG8087"/>
      <c r="CH8087"/>
      <c r="CI8087"/>
    </row>
    <row r="8088" spans="83:87" x14ac:dyDescent="0.2">
      <c r="CE8088"/>
      <c r="CF8088"/>
      <c r="CG8088"/>
      <c r="CH8088"/>
      <c r="CI8088"/>
    </row>
    <row r="8089" spans="83:87" x14ac:dyDescent="0.2">
      <c r="CE8089"/>
      <c r="CF8089"/>
      <c r="CG8089"/>
      <c r="CH8089"/>
      <c r="CI8089"/>
    </row>
    <row r="8090" spans="83:87" x14ac:dyDescent="0.2">
      <c r="CE8090"/>
      <c r="CF8090"/>
      <c r="CG8090"/>
      <c r="CH8090"/>
      <c r="CI8090"/>
    </row>
    <row r="8091" spans="83:87" x14ac:dyDescent="0.2">
      <c r="CE8091"/>
      <c r="CF8091"/>
      <c r="CG8091"/>
      <c r="CH8091"/>
      <c r="CI8091"/>
    </row>
    <row r="8092" spans="83:87" x14ac:dyDescent="0.2">
      <c r="CE8092"/>
      <c r="CF8092"/>
      <c r="CG8092"/>
      <c r="CH8092"/>
      <c r="CI8092"/>
    </row>
    <row r="8093" spans="83:87" x14ac:dyDescent="0.2">
      <c r="CE8093"/>
      <c r="CF8093"/>
      <c r="CG8093"/>
      <c r="CH8093"/>
      <c r="CI8093"/>
    </row>
    <row r="8094" spans="83:87" x14ac:dyDescent="0.2">
      <c r="CE8094"/>
      <c r="CF8094"/>
      <c r="CG8094"/>
      <c r="CH8094"/>
      <c r="CI8094"/>
    </row>
    <row r="8095" spans="83:87" x14ac:dyDescent="0.2">
      <c r="CE8095"/>
      <c r="CF8095"/>
      <c r="CG8095"/>
      <c r="CH8095"/>
      <c r="CI8095"/>
    </row>
    <row r="8096" spans="83:87" x14ac:dyDescent="0.2">
      <c r="CE8096"/>
      <c r="CF8096"/>
      <c r="CG8096"/>
      <c r="CH8096"/>
      <c r="CI8096"/>
    </row>
    <row r="8097" spans="83:87" x14ac:dyDescent="0.2">
      <c r="CE8097"/>
      <c r="CF8097"/>
      <c r="CG8097"/>
      <c r="CH8097"/>
      <c r="CI8097"/>
    </row>
    <row r="8098" spans="83:87" x14ac:dyDescent="0.2">
      <c r="CE8098"/>
      <c r="CF8098"/>
      <c r="CG8098"/>
      <c r="CH8098"/>
      <c r="CI8098"/>
    </row>
    <row r="8099" spans="83:87" x14ac:dyDescent="0.2">
      <c r="CE8099"/>
      <c r="CF8099"/>
      <c r="CG8099"/>
      <c r="CH8099"/>
      <c r="CI8099"/>
    </row>
    <row r="8100" spans="83:87" x14ac:dyDescent="0.2">
      <c r="CE8100"/>
      <c r="CF8100"/>
      <c r="CG8100"/>
      <c r="CH8100"/>
      <c r="CI8100"/>
    </row>
    <row r="8101" spans="83:87" x14ac:dyDescent="0.2">
      <c r="CE8101"/>
      <c r="CF8101"/>
      <c r="CG8101"/>
      <c r="CH8101"/>
      <c r="CI8101"/>
    </row>
    <row r="8102" spans="83:87" x14ac:dyDescent="0.2">
      <c r="CE8102"/>
      <c r="CF8102"/>
      <c r="CG8102"/>
      <c r="CH8102"/>
      <c r="CI8102"/>
    </row>
    <row r="8103" spans="83:87" x14ac:dyDescent="0.2">
      <c r="CE8103"/>
      <c r="CF8103"/>
      <c r="CG8103"/>
      <c r="CH8103"/>
      <c r="CI8103"/>
    </row>
    <row r="8104" spans="83:87" x14ac:dyDescent="0.2">
      <c r="CE8104"/>
      <c r="CF8104"/>
      <c r="CG8104"/>
      <c r="CH8104"/>
      <c r="CI8104"/>
    </row>
    <row r="8105" spans="83:87" x14ac:dyDescent="0.2">
      <c r="CE8105"/>
      <c r="CF8105"/>
      <c r="CG8105"/>
      <c r="CH8105"/>
      <c r="CI8105"/>
    </row>
    <row r="8106" spans="83:87" x14ac:dyDescent="0.2">
      <c r="CE8106"/>
      <c r="CF8106"/>
      <c r="CG8106"/>
      <c r="CH8106"/>
      <c r="CI8106"/>
    </row>
    <row r="8107" spans="83:87" x14ac:dyDescent="0.2">
      <c r="CE8107"/>
      <c r="CF8107"/>
      <c r="CG8107"/>
      <c r="CH8107"/>
      <c r="CI8107"/>
    </row>
    <row r="8108" spans="83:87" x14ac:dyDescent="0.2">
      <c r="CE8108"/>
      <c r="CF8108"/>
      <c r="CG8108"/>
      <c r="CH8108"/>
      <c r="CI8108"/>
    </row>
    <row r="8109" spans="83:87" x14ac:dyDescent="0.2">
      <c r="CE8109"/>
      <c r="CF8109"/>
      <c r="CG8109"/>
      <c r="CH8109"/>
      <c r="CI8109"/>
    </row>
    <row r="8110" spans="83:87" x14ac:dyDescent="0.2">
      <c r="CE8110"/>
      <c r="CF8110"/>
      <c r="CG8110"/>
      <c r="CH8110"/>
      <c r="CI8110"/>
    </row>
    <row r="8111" spans="83:87" x14ac:dyDescent="0.2">
      <c r="CE8111"/>
      <c r="CF8111"/>
      <c r="CG8111"/>
      <c r="CH8111"/>
      <c r="CI8111"/>
    </row>
    <row r="8112" spans="83:87" x14ac:dyDescent="0.2">
      <c r="CE8112"/>
      <c r="CF8112"/>
      <c r="CG8112"/>
      <c r="CH8112"/>
      <c r="CI8112"/>
    </row>
    <row r="8113" spans="83:87" x14ac:dyDescent="0.2">
      <c r="CE8113"/>
      <c r="CF8113"/>
      <c r="CG8113"/>
      <c r="CH8113"/>
      <c r="CI8113"/>
    </row>
    <row r="8114" spans="83:87" x14ac:dyDescent="0.2">
      <c r="CE8114"/>
      <c r="CF8114"/>
      <c r="CG8114"/>
      <c r="CH8114"/>
      <c r="CI8114"/>
    </row>
    <row r="8115" spans="83:87" x14ac:dyDescent="0.2">
      <c r="CE8115"/>
      <c r="CF8115"/>
      <c r="CG8115"/>
      <c r="CH8115"/>
      <c r="CI8115"/>
    </row>
    <row r="8116" spans="83:87" x14ac:dyDescent="0.2">
      <c r="CE8116"/>
      <c r="CF8116"/>
      <c r="CG8116"/>
      <c r="CH8116"/>
      <c r="CI8116"/>
    </row>
    <row r="8117" spans="83:87" x14ac:dyDescent="0.2">
      <c r="CE8117"/>
      <c r="CF8117"/>
      <c r="CG8117"/>
      <c r="CH8117"/>
      <c r="CI8117"/>
    </row>
    <row r="8118" spans="83:87" x14ac:dyDescent="0.2">
      <c r="CE8118"/>
      <c r="CF8118"/>
      <c r="CG8118"/>
      <c r="CH8118"/>
      <c r="CI8118"/>
    </row>
    <row r="8119" spans="83:87" x14ac:dyDescent="0.2">
      <c r="CE8119"/>
      <c r="CF8119"/>
      <c r="CG8119"/>
      <c r="CH8119"/>
      <c r="CI8119"/>
    </row>
    <row r="8120" spans="83:87" x14ac:dyDescent="0.2">
      <c r="CE8120"/>
      <c r="CF8120"/>
      <c r="CG8120"/>
      <c r="CH8120"/>
      <c r="CI8120"/>
    </row>
    <row r="8121" spans="83:87" x14ac:dyDescent="0.2">
      <c r="CE8121"/>
      <c r="CF8121"/>
      <c r="CG8121"/>
      <c r="CH8121"/>
      <c r="CI8121"/>
    </row>
    <row r="8122" spans="83:87" x14ac:dyDescent="0.2">
      <c r="CE8122"/>
      <c r="CF8122"/>
      <c r="CG8122"/>
      <c r="CH8122"/>
      <c r="CI8122"/>
    </row>
    <row r="8123" spans="83:87" x14ac:dyDescent="0.2">
      <c r="CE8123"/>
      <c r="CF8123"/>
      <c r="CG8123"/>
      <c r="CH8123"/>
      <c r="CI8123"/>
    </row>
    <row r="8124" spans="83:87" x14ac:dyDescent="0.2">
      <c r="CE8124"/>
      <c r="CF8124"/>
      <c r="CG8124"/>
      <c r="CH8124"/>
      <c r="CI8124"/>
    </row>
    <row r="8125" spans="83:87" x14ac:dyDescent="0.2">
      <c r="CE8125"/>
      <c r="CF8125"/>
      <c r="CG8125"/>
      <c r="CH8125"/>
      <c r="CI8125"/>
    </row>
    <row r="8126" spans="83:87" x14ac:dyDescent="0.2">
      <c r="CE8126"/>
      <c r="CF8126"/>
      <c r="CG8126"/>
      <c r="CH8126"/>
      <c r="CI8126"/>
    </row>
    <row r="8127" spans="83:87" x14ac:dyDescent="0.2">
      <c r="CE8127"/>
      <c r="CF8127"/>
      <c r="CG8127"/>
      <c r="CH8127"/>
      <c r="CI8127"/>
    </row>
    <row r="8128" spans="83:87" x14ac:dyDescent="0.2">
      <c r="CE8128"/>
      <c r="CF8128"/>
      <c r="CG8128"/>
      <c r="CH8128"/>
      <c r="CI8128"/>
    </row>
    <row r="8129" spans="83:87" x14ac:dyDescent="0.2">
      <c r="CE8129"/>
      <c r="CF8129"/>
      <c r="CG8129"/>
      <c r="CH8129"/>
      <c r="CI8129"/>
    </row>
    <row r="8130" spans="83:87" x14ac:dyDescent="0.2">
      <c r="CE8130"/>
      <c r="CF8130"/>
      <c r="CG8130"/>
      <c r="CH8130"/>
      <c r="CI8130"/>
    </row>
    <row r="8131" spans="83:87" x14ac:dyDescent="0.2">
      <c r="CE8131"/>
      <c r="CF8131"/>
      <c r="CG8131"/>
      <c r="CH8131"/>
      <c r="CI8131"/>
    </row>
    <row r="8132" spans="83:87" x14ac:dyDescent="0.2">
      <c r="CE8132"/>
      <c r="CF8132"/>
      <c r="CG8132"/>
      <c r="CH8132"/>
      <c r="CI8132"/>
    </row>
    <row r="8133" spans="83:87" x14ac:dyDescent="0.2">
      <c r="CE8133"/>
      <c r="CF8133"/>
      <c r="CG8133"/>
      <c r="CH8133"/>
      <c r="CI8133"/>
    </row>
    <row r="8134" spans="83:87" x14ac:dyDescent="0.2">
      <c r="CE8134"/>
      <c r="CF8134"/>
      <c r="CG8134"/>
      <c r="CH8134"/>
      <c r="CI8134"/>
    </row>
    <row r="8135" spans="83:87" x14ac:dyDescent="0.2">
      <c r="CE8135"/>
      <c r="CF8135"/>
      <c r="CG8135"/>
      <c r="CH8135"/>
      <c r="CI8135"/>
    </row>
    <row r="8136" spans="83:87" x14ac:dyDescent="0.2">
      <c r="CE8136"/>
      <c r="CF8136"/>
      <c r="CG8136"/>
      <c r="CH8136"/>
      <c r="CI8136"/>
    </row>
    <row r="8137" spans="83:87" x14ac:dyDescent="0.2">
      <c r="CE8137"/>
      <c r="CF8137"/>
      <c r="CG8137"/>
      <c r="CH8137"/>
      <c r="CI8137"/>
    </row>
    <row r="8138" spans="83:87" x14ac:dyDescent="0.2">
      <c r="CE8138"/>
      <c r="CF8138"/>
      <c r="CG8138"/>
      <c r="CH8138"/>
      <c r="CI8138"/>
    </row>
    <row r="8139" spans="83:87" x14ac:dyDescent="0.2">
      <c r="CE8139"/>
      <c r="CF8139"/>
      <c r="CG8139"/>
      <c r="CH8139"/>
      <c r="CI8139"/>
    </row>
    <row r="8140" spans="83:87" x14ac:dyDescent="0.2">
      <c r="CE8140"/>
      <c r="CF8140"/>
      <c r="CG8140"/>
      <c r="CH8140"/>
      <c r="CI8140"/>
    </row>
    <row r="8141" spans="83:87" x14ac:dyDescent="0.2">
      <c r="CE8141"/>
      <c r="CF8141"/>
      <c r="CG8141"/>
      <c r="CH8141"/>
      <c r="CI8141"/>
    </row>
    <row r="8142" spans="83:87" x14ac:dyDescent="0.2">
      <c r="CE8142"/>
      <c r="CF8142"/>
      <c r="CG8142"/>
      <c r="CH8142"/>
      <c r="CI8142"/>
    </row>
    <row r="8143" spans="83:87" x14ac:dyDescent="0.2">
      <c r="CE8143"/>
      <c r="CF8143"/>
      <c r="CG8143"/>
      <c r="CH8143"/>
      <c r="CI8143"/>
    </row>
    <row r="8144" spans="83:87" x14ac:dyDescent="0.2">
      <c r="CE8144"/>
      <c r="CF8144"/>
      <c r="CG8144"/>
      <c r="CH8144"/>
      <c r="CI8144"/>
    </row>
    <row r="8145" spans="83:87" x14ac:dyDescent="0.2">
      <c r="CE8145"/>
      <c r="CF8145"/>
      <c r="CG8145"/>
      <c r="CH8145"/>
      <c r="CI8145"/>
    </row>
    <row r="8146" spans="83:87" x14ac:dyDescent="0.2">
      <c r="CE8146"/>
      <c r="CF8146"/>
      <c r="CG8146"/>
      <c r="CH8146"/>
      <c r="CI8146"/>
    </row>
    <row r="8147" spans="83:87" x14ac:dyDescent="0.2">
      <c r="CE8147"/>
      <c r="CF8147"/>
      <c r="CG8147"/>
      <c r="CH8147"/>
      <c r="CI8147"/>
    </row>
    <row r="8148" spans="83:87" x14ac:dyDescent="0.2">
      <c r="CE8148"/>
      <c r="CF8148"/>
      <c r="CG8148"/>
      <c r="CH8148"/>
      <c r="CI8148"/>
    </row>
    <row r="8149" spans="83:87" x14ac:dyDescent="0.2">
      <c r="CE8149"/>
      <c r="CF8149"/>
      <c r="CG8149"/>
      <c r="CH8149"/>
      <c r="CI8149"/>
    </row>
    <row r="8150" spans="83:87" x14ac:dyDescent="0.2">
      <c r="CE8150"/>
      <c r="CF8150"/>
      <c r="CG8150"/>
      <c r="CH8150"/>
      <c r="CI8150"/>
    </row>
    <row r="8151" spans="83:87" x14ac:dyDescent="0.2">
      <c r="CE8151"/>
      <c r="CF8151"/>
      <c r="CG8151"/>
      <c r="CH8151"/>
      <c r="CI8151"/>
    </row>
    <row r="8152" spans="83:87" x14ac:dyDescent="0.2">
      <c r="CE8152"/>
      <c r="CF8152"/>
      <c r="CG8152"/>
      <c r="CH8152"/>
      <c r="CI8152"/>
    </row>
    <row r="8153" spans="83:87" x14ac:dyDescent="0.2">
      <c r="CE8153"/>
      <c r="CF8153"/>
      <c r="CG8153"/>
      <c r="CH8153"/>
      <c r="CI8153"/>
    </row>
    <row r="8154" spans="83:87" x14ac:dyDescent="0.2">
      <c r="CE8154"/>
      <c r="CF8154"/>
      <c r="CG8154"/>
      <c r="CH8154"/>
      <c r="CI8154"/>
    </row>
    <row r="8155" spans="83:87" x14ac:dyDescent="0.2">
      <c r="CE8155"/>
      <c r="CF8155"/>
      <c r="CG8155"/>
      <c r="CH8155"/>
      <c r="CI8155"/>
    </row>
    <row r="8156" spans="83:87" x14ac:dyDescent="0.2">
      <c r="CE8156"/>
      <c r="CF8156"/>
      <c r="CG8156"/>
      <c r="CH8156"/>
      <c r="CI8156"/>
    </row>
    <row r="8157" spans="83:87" x14ac:dyDescent="0.2">
      <c r="CE8157"/>
      <c r="CF8157"/>
      <c r="CG8157"/>
      <c r="CH8157"/>
      <c r="CI8157"/>
    </row>
    <row r="8158" spans="83:87" x14ac:dyDescent="0.2">
      <c r="CE8158"/>
      <c r="CF8158"/>
      <c r="CG8158"/>
      <c r="CH8158"/>
      <c r="CI8158"/>
    </row>
    <row r="8159" spans="83:87" x14ac:dyDescent="0.2">
      <c r="CE8159"/>
      <c r="CF8159"/>
      <c r="CG8159"/>
      <c r="CH8159"/>
      <c r="CI8159"/>
    </row>
    <row r="8160" spans="83:87" x14ac:dyDescent="0.2">
      <c r="CE8160"/>
      <c r="CF8160"/>
      <c r="CG8160"/>
      <c r="CH8160"/>
      <c r="CI8160"/>
    </row>
    <row r="8161" spans="83:87" x14ac:dyDescent="0.2">
      <c r="CE8161"/>
      <c r="CF8161"/>
      <c r="CG8161"/>
      <c r="CH8161"/>
      <c r="CI8161"/>
    </row>
    <row r="8162" spans="83:87" x14ac:dyDescent="0.2">
      <c r="CE8162"/>
      <c r="CF8162"/>
      <c r="CG8162"/>
      <c r="CH8162"/>
      <c r="CI8162"/>
    </row>
    <row r="8163" spans="83:87" x14ac:dyDescent="0.2">
      <c r="CE8163"/>
      <c r="CF8163"/>
      <c r="CG8163"/>
      <c r="CH8163"/>
      <c r="CI8163"/>
    </row>
    <row r="8164" spans="83:87" x14ac:dyDescent="0.2">
      <c r="CE8164"/>
      <c r="CF8164"/>
      <c r="CG8164"/>
      <c r="CH8164"/>
      <c r="CI8164"/>
    </row>
    <row r="8165" spans="83:87" x14ac:dyDescent="0.2">
      <c r="CE8165"/>
      <c r="CF8165"/>
      <c r="CG8165"/>
      <c r="CH8165"/>
      <c r="CI8165"/>
    </row>
    <row r="8166" spans="83:87" x14ac:dyDescent="0.2">
      <c r="CE8166"/>
      <c r="CF8166"/>
      <c r="CG8166"/>
      <c r="CH8166"/>
      <c r="CI8166"/>
    </row>
    <row r="8167" spans="83:87" x14ac:dyDescent="0.2">
      <c r="CE8167"/>
      <c r="CF8167"/>
      <c r="CG8167"/>
      <c r="CH8167"/>
      <c r="CI8167"/>
    </row>
    <row r="8168" spans="83:87" x14ac:dyDescent="0.2">
      <c r="CE8168"/>
      <c r="CF8168"/>
      <c r="CG8168"/>
      <c r="CH8168"/>
      <c r="CI8168"/>
    </row>
    <row r="8169" spans="83:87" x14ac:dyDescent="0.2">
      <c r="CE8169"/>
      <c r="CF8169"/>
      <c r="CG8169"/>
      <c r="CH8169"/>
      <c r="CI8169"/>
    </row>
    <row r="8170" spans="83:87" x14ac:dyDescent="0.2">
      <c r="CE8170"/>
      <c r="CF8170"/>
      <c r="CG8170"/>
      <c r="CH8170"/>
      <c r="CI8170"/>
    </row>
    <row r="8171" spans="83:87" x14ac:dyDescent="0.2">
      <c r="CE8171"/>
      <c r="CF8171"/>
      <c r="CG8171"/>
      <c r="CH8171"/>
      <c r="CI8171"/>
    </row>
    <row r="8172" spans="83:87" x14ac:dyDescent="0.2">
      <c r="CE8172"/>
      <c r="CF8172"/>
      <c r="CG8172"/>
      <c r="CH8172"/>
      <c r="CI8172"/>
    </row>
    <row r="8173" spans="83:87" x14ac:dyDescent="0.2">
      <c r="CE8173"/>
      <c r="CF8173"/>
      <c r="CG8173"/>
      <c r="CH8173"/>
      <c r="CI8173"/>
    </row>
    <row r="8174" spans="83:87" x14ac:dyDescent="0.2">
      <c r="CE8174"/>
      <c r="CF8174"/>
      <c r="CG8174"/>
      <c r="CH8174"/>
      <c r="CI8174"/>
    </row>
    <row r="8175" spans="83:87" x14ac:dyDescent="0.2">
      <c r="CE8175"/>
      <c r="CF8175"/>
      <c r="CG8175"/>
      <c r="CH8175"/>
      <c r="CI8175"/>
    </row>
    <row r="8176" spans="83:87" x14ac:dyDescent="0.2">
      <c r="CE8176"/>
      <c r="CF8176"/>
      <c r="CG8176"/>
      <c r="CH8176"/>
      <c r="CI8176"/>
    </row>
    <row r="8177" spans="83:87" x14ac:dyDescent="0.2">
      <c r="CE8177"/>
      <c r="CF8177"/>
      <c r="CG8177"/>
      <c r="CH8177"/>
      <c r="CI8177"/>
    </row>
    <row r="8178" spans="83:87" x14ac:dyDescent="0.2">
      <c r="CE8178"/>
      <c r="CF8178"/>
      <c r="CG8178"/>
      <c r="CH8178"/>
      <c r="CI8178"/>
    </row>
    <row r="8179" spans="83:87" x14ac:dyDescent="0.2">
      <c r="CE8179"/>
      <c r="CF8179"/>
      <c r="CG8179"/>
      <c r="CH8179"/>
      <c r="CI8179"/>
    </row>
    <row r="8180" spans="83:87" x14ac:dyDescent="0.2">
      <c r="CE8180"/>
      <c r="CF8180"/>
      <c r="CG8180"/>
      <c r="CH8180"/>
      <c r="CI8180"/>
    </row>
    <row r="8181" spans="83:87" x14ac:dyDescent="0.2">
      <c r="CE8181"/>
      <c r="CF8181"/>
      <c r="CG8181"/>
      <c r="CH8181"/>
      <c r="CI8181"/>
    </row>
    <row r="8182" spans="83:87" x14ac:dyDescent="0.2">
      <c r="CE8182"/>
      <c r="CF8182"/>
      <c r="CG8182"/>
      <c r="CH8182"/>
      <c r="CI8182"/>
    </row>
    <row r="8183" spans="83:87" x14ac:dyDescent="0.2">
      <c r="CE8183"/>
      <c r="CF8183"/>
      <c r="CG8183"/>
      <c r="CH8183"/>
      <c r="CI8183"/>
    </row>
    <row r="8184" spans="83:87" x14ac:dyDescent="0.2">
      <c r="CE8184"/>
      <c r="CF8184"/>
      <c r="CG8184"/>
      <c r="CH8184"/>
      <c r="CI8184"/>
    </row>
    <row r="8185" spans="83:87" x14ac:dyDescent="0.2">
      <c r="CE8185"/>
      <c r="CF8185"/>
      <c r="CG8185"/>
      <c r="CH8185"/>
      <c r="CI8185"/>
    </row>
    <row r="8186" spans="83:87" x14ac:dyDescent="0.2">
      <c r="CE8186"/>
      <c r="CF8186"/>
      <c r="CG8186"/>
      <c r="CH8186"/>
      <c r="CI8186"/>
    </row>
    <row r="8187" spans="83:87" x14ac:dyDescent="0.2">
      <c r="CE8187"/>
      <c r="CF8187"/>
      <c r="CG8187"/>
      <c r="CH8187"/>
      <c r="CI8187"/>
    </row>
    <row r="8188" spans="83:87" x14ac:dyDescent="0.2">
      <c r="CE8188"/>
      <c r="CF8188"/>
      <c r="CG8188"/>
      <c r="CH8188"/>
      <c r="CI8188"/>
    </row>
    <row r="8189" spans="83:87" x14ac:dyDescent="0.2">
      <c r="CE8189"/>
      <c r="CF8189"/>
      <c r="CG8189"/>
      <c r="CH8189"/>
      <c r="CI8189"/>
    </row>
    <row r="8190" spans="83:87" x14ac:dyDescent="0.2">
      <c r="CE8190"/>
      <c r="CF8190"/>
      <c r="CG8190"/>
      <c r="CH8190"/>
      <c r="CI8190"/>
    </row>
    <row r="8191" spans="83:87" x14ac:dyDescent="0.2">
      <c r="CE8191"/>
      <c r="CF8191"/>
      <c r="CG8191"/>
      <c r="CH8191"/>
      <c r="CI8191"/>
    </row>
    <row r="8192" spans="83:87" x14ac:dyDescent="0.2">
      <c r="CE8192"/>
      <c r="CF8192"/>
      <c r="CG8192"/>
      <c r="CH8192"/>
      <c r="CI8192"/>
    </row>
    <row r="8193" spans="83:87" x14ac:dyDescent="0.2">
      <c r="CE8193"/>
      <c r="CF8193"/>
      <c r="CG8193"/>
      <c r="CH8193"/>
      <c r="CI8193"/>
    </row>
    <row r="8194" spans="83:87" x14ac:dyDescent="0.2">
      <c r="CE8194"/>
      <c r="CF8194"/>
      <c r="CG8194"/>
      <c r="CH8194"/>
      <c r="CI8194"/>
    </row>
    <row r="8195" spans="83:87" x14ac:dyDescent="0.2">
      <c r="CE8195"/>
      <c r="CF8195"/>
      <c r="CG8195"/>
      <c r="CH8195"/>
      <c r="CI8195"/>
    </row>
    <row r="8196" spans="83:87" x14ac:dyDescent="0.2">
      <c r="CE8196"/>
      <c r="CF8196"/>
      <c r="CG8196"/>
      <c r="CH8196"/>
      <c r="CI8196"/>
    </row>
    <row r="8197" spans="83:87" x14ac:dyDescent="0.2">
      <c r="CE8197"/>
      <c r="CF8197"/>
      <c r="CG8197"/>
      <c r="CH8197"/>
      <c r="CI8197"/>
    </row>
    <row r="8198" spans="83:87" x14ac:dyDescent="0.2">
      <c r="CE8198"/>
      <c r="CF8198"/>
      <c r="CG8198"/>
      <c r="CH8198"/>
      <c r="CI8198"/>
    </row>
    <row r="8199" spans="83:87" x14ac:dyDescent="0.2">
      <c r="CE8199"/>
      <c r="CF8199"/>
      <c r="CG8199"/>
      <c r="CH8199"/>
      <c r="CI8199"/>
    </row>
    <row r="8200" spans="83:87" x14ac:dyDescent="0.2">
      <c r="CE8200"/>
      <c r="CF8200"/>
      <c r="CG8200"/>
      <c r="CH8200"/>
      <c r="CI8200"/>
    </row>
    <row r="8201" spans="83:87" x14ac:dyDescent="0.2">
      <c r="CE8201"/>
      <c r="CF8201"/>
      <c r="CG8201"/>
      <c r="CH8201"/>
      <c r="CI8201"/>
    </row>
    <row r="8202" spans="83:87" x14ac:dyDescent="0.2">
      <c r="CE8202"/>
      <c r="CF8202"/>
      <c r="CG8202"/>
      <c r="CH8202"/>
      <c r="CI8202"/>
    </row>
    <row r="8203" spans="83:87" x14ac:dyDescent="0.2">
      <c r="CE8203"/>
      <c r="CF8203"/>
      <c r="CG8203"/>
      <c r="CH8203"/>
      <c r="CI8203"/>
    </row>
    <row r="8204" spans="83:87" x14ac:dyDescent="0.2">
      <c r="CE8204"/>
      <c r="CF8204"/>
      <c r="CG8204"/>
      <c r="CH8204"/>
      <c r="CI8204"/>
    </row>
    <row r="8205" spans="83:87" x14ac:dyDescent="0.2">
      <c r="CE8205"/>
      <c r="CF8205"/>
      <c r="CG8205"/>
      <c r="CH8205"/>
      <c r="CI8205"/>
    </row>
    <row r="8206" spans="83:87" x14ac:dyDescent="0.2">
      <c r="CE8206"/>
      <c r="CF8206"/>
      <c r="CG8206"/>
      <c r="CH8206"/>
      <c r="CI8206"/>
    </row>
    <row r="8207" spans="83:87" x14ac:dyDescent="0.2">
      <c r="CE8207"/>
      <c r="CF8207"/>
      <c r="CG8207"/>
      <c r="CH8207"/>
      <c r="CI8207"/>
    </row>
    <row r="8208" spans="83:87" x14ac:dyDescent="0.2">
      <c r="CE8208"/>
      <c r="CF8208"/>
      <c r="CG8208"/>
      <c r="CH8208"/>
      <c r="CI8208"/>
    </row>
    <row r="8209" spans="83:87" x14ac:dyDescent="0.2">
      <c r="CE8209"/>
      <c r="CF8209"/>
      <c r="CG8209"/>
      <c r="CH8209"/>
      <c r="CI8209"/>
    </row>
    <row r="8210" spans="83:87" x14ac:dyDescent="0.2">
      <c r="CE8210"/>
      <c r="CF8210"/>
      <c r="CG8210"/>
      <c r="CH8210"/>
      <c r="CI8210"/>
    </row>
    <row r="8211" spans="83:87" x14ac:dyDescent="0.2">
      <c r="CE8211"/>
      <c r="CF8211"/>
      <c r="CG8211"/>
      <c r="CH8211"/>
      <c r="CI8211"/>
    </row>
    <row r="8212" spans="83:87" x14ac:dyDescent="0.2">
      <c r="CE8212"/>
      <c r="CF8212"/>
      <c r="CG8212"/>
      <c r="CH8212"/>
      <c r="CI8212"/>
    </row>
    <row r="8213" spans="83:87" x14ac:dyDescent="0.2">
      <c r="CE8213"/>
      <c r="CF8213"/>
      <c r="CG8213"/>
      <c r="CH8213"/>
      <c r="CI8213"/>
    </row>
    <row r="8214" spans="83:87" x14ac:dyDescent="0.2">
      <c r="CE8214"/>
      <c r="CF8214"/>
      <c r="CG8214"/>
      <c r="CH8214"/>
      <c r="CI8214"/>
    </row>
    <row r="8215" spans="83:87" x14ac:dyDescent="0.2">
      <c r="CE8215"/>
      <c r="CF8215"/>
      <c r="CG8215"/>
      <c r="CH8215"/>
      <c r="CI8215"/>
    </row>
    <row r="8216" spans="83:87" x14ac:dyDescent="0.2">
      <c r="CE8216"/>
      <c r="CF8216"/>
      <c r="CG8216"/>
      <c r="CH8216"/>
      <c r="CI8216"/>
    </row>
    <row r="8217" spans="83:87" x14ac:dyDescent="0.2">
      <c r="CE8217"/>
      <c r="CF8217"/>
      <c r="CG8217"/>
      <c r="CH8217"/>
      <c r="CI8217"/>
    </row>
    <row r="8218" spans="83:87" x14ac:dyDescent="0.2">
      <c r="CE8218"/>
      <c r="CF8218"/>
      <c r="CG8218"/>
      <c r="CH8218"/>
      <c r="CI8218"/>
    </row>
    <row r="8219" spans="83:87" x14ac:dyDescent="0.2">
      <c r="CE8219"/>
      <c r="CF8219"/>
      <c r="CG8219"/>
      <c r="CH8219"/>
      <c r="CI8219"/>
    </row>
    <row r="8220" spans="83:87" x14ac:dyDescent="0.2">
      <c r="CE8220"/>
      <c r="CF8220"/>
      <c r="CG8220"/>
      <c r="CH8220"/>
      <c r="CI8220"/>
    </row>
    <row r="8221" spans="83:87" x14ac:dyDescent="0.2">
      <c r="CE8221"/>
      <c r="CF8221"/>
      <c r="CG8221"/>
      <c r="CH8221"/>
      <c r="CI8221"/>
    </row>
    <row r="8222" spans="83:87" x14ac:dyDescent="0.2">
      <c r="CE8222"/>
      <c r="CF8222"/>
      <c r="CG8222"/>
      <c r="CH8222"/>
      <c r="CI8222"/>
    </row>
    <row r="8223" spans="83:87" x14ac:dyDescent="0.2">
      <c r="CE8223"/>
      <c r="CF8223"/>
      <c r="CG8223"/>
      <c r="CH8223"/>
      <c r="CI8223"/>
    </row>
    <row r="8224" spans="83:87" x14ac:dyDescent="0.2">
      <c r="CE8224"/>
      <c r="CF8224"/>
      <c r="CG8224"/>
      <c r="CH8224"/>
      <c r="CI8224"/>
    </row>
    <row r="8225" spans="83:87" x14ac:dyDescent="0.2">
      <c r="CE8225"/>
      <c r="CF8225"/>
      <c r="CG8225"/>
      <c r="CH8225"/>
      <c r="CI8225"/>
    </row>
    <row r="8226" spans="83:87" x14ac:dyDescent="0.2">
      <c r="CE8226"/>
      <c r="CF8226"/>
      <c r="CG8226"/>
      <c r="CH8226"/>
      <c r="CI8226"/>
    </row>
    <row r="8227" spans="83:87" x14ac:dyDescent="0.2">
      <c r="CE8227"/>
      <c r="CF8227"/>
      <c r="CG8227"/>
      <c r="CH8227"/>
      <c r="CI8227"/>
    </row>
    <row r="8228" spans="83:87" x14ac:dyDescent="0.2">
      <c r="CE8228"/>
      <c r="CF8228"/>
      <c r="CG8228"/>
      <c r="CH8228"/>
      <c r="CI8228"/>
    </row>
    <row r="8229" spans="83:87" x14ac:dyDescent="0.2">
      <c r="CE8229"/>
      <c r="CF8229"/>
      <c r="CG8229"/>
      <c r="CH8229"/>
      <c r="CI8229"/>
    </row>
    <row r="8230" spans="83:87" x14ac:dyDescent="0.2">
      <c r="CE8230"/>
      <c r="CF8230"/>
      <c r="CG8230"/>
      <c r="CH8230"/>
      <c r="CI8230"/>
    </row>
    <row r="8231" spans="83:87" x14ac:dyDescent="0.2">
      <c r="CE8231"/>
      <c r="CF8231"/>
      <c r="CG8231"/>
      <c r="CH8231"/>
      <c r="CI8231"/>
    </row>
    <row r="8232" spans="83:87" x14ac:dyDescent="0.2">
      <c r="CE8232"/>
      <c r="CF8232"/>
      <c r="CG8232"/>
      <c r="CH8232"/>
      <c r="CI8232"/>
    </row>
    <row r="8233" spans="83:87" x14ac:dyDescent="0.2">
      <c r="CE8233"/>
      <c r="CF8233"/>
      <c r="CG8233"/>
      <c r="CH8233"/>
      <c r="CI8233"/>
    </row>
    <row r="8234" spans="83:87" x14ac:dyDescent="0.2">
      <c r="CE8234"/>
      <c r="CF8234"/>
      <c r="CG8234"/>
      <c r="CH8234"/>
      <c r="CI8234"/>
    </row>
    <row r="8235" spans="83:87" x14ac:dyDescent="0.2">
      <c r="CE8235"/>
      <c r="CF8235"/>
      <c r="CG8235"/>
      <c r="CH8235"/>
      <c r="CI8235"/>
    </row>
    <row r="8236" spans="83:87" x14ac:dyDescent="0.2">
      <c r="CE8236"/>
      <c r="CF8236"/>
      <c r="CG8236"/>
      <c r="CH8236"/>
      <c r="CI8236"/>
    </row>
    <row r="8237" spans="83:87" x14ac:dyDescent="0.2">
      <c r="CE8237"/>
      <c r="CF8237"/>
      <c r="CG8237"/>
      <c r="CH8237"/>
      <c r="CI8237"/>
    </row>
    <row r="8238" spans="83:87" x14ac:dyDescent="0.2">
      <c r="CE8238"/>
      <c r="CF8238"/>
      <c r="CG8238"/>
      <c r="CH8238"/>
      <c r="CI8238"/>
    </row>
    <row r="8239" spans="83:87" x14ac:dyDescent="0.2">
      <c r="CE8239"/>
      <c r="CF8239"/>
      <c r="CG8239"/>
      <c r="CH8239"/>
      <c r="CI8239"/>
    </row>
    <row r="8240" spans="83:87" x14ac:dyDescent="0.2">
      <c r="CE8240"/>
      <c r="CF8240"/>
      <c r="CG8240"/>
      <c r="CH8240"/>
      <c r="CI8240"/>
    </row>
    <row r="8241" spans="83:87" x14ac:dyDescent="0.2">
      <c r="CE8241"/>
      <c r="CF8241"/>
      <c r="CG8241"/>
      <c r="CH8241"/>
      <c r="CI8241"/>
    </row>
    <row r="8242" spans="83:87" x14ac:dyDescent="0.2">
      <c r="CE8242"/>
      <c r="CF8242"/>
      <c r="CG8242"/>
      <c r="CH8242"/>
      <c r="CI8242"/>
    </row>
    <row r="8243" spans="83:87" x14ac:dyDescent="0.2">
      <c r="CE8243"/>
      <c r="CF8243"/>
      <c r="CG8243"/>
      <c r="CH8243"/>
      <c r="CI8243"/>
    </row>
    <row r="8244" spans="83:87" x14ac:dyDescent="0.2">
      <c r="CE8244"/>
      <c r="CF8244"/>
      <c r="CG8244"/>
      <c r="CH8244"/>
      <c r="CI8244"/>
    </row>
    <row r="8245" spans="83:87" x14ac:dyDescent="0.2">
      <c r="CE8245"/>
      <c r="CF8245"/>
      <c r="CG8245"/>
      <c r="CH8245"/>
      <c r="CI8245"/>
    </row>
    <row r="8246" spans="83:87" x14ac:dyDescent="0.2">
      <c r="CE8246"/>
      <c r="CF8246"/>
      <c r="CG8246"/>
      <c r="CH8246"/>
      <c r="CI8246"/>
    </row>
    <row r="8247" spans="83:87" x14ac:dyDescent="0.2">
      <c r="CE8247"/>
      <c r="CF8247"/>
      <c r="CG8247"/>
      <c r="CH8247"/>
      <c r="CI8247"/>
    </row>
    <row r="8248" spans="83:87" x14ac:dyDescent="0.2">
      <c r="CE8248"/>
      <c r="CF8248"/>
      <c r="CG8248"/>
      <c r="CH8248"/>
      <c r="CI8248"/>
    </row>
    <row r="8249" spans="83:87" x14ac:dyDescent="0.2">
      <c r="CE8249"/>
      <c r="CF8249"/>
      <c r="CG8249"/>
      <c r="CH8249"/>
      <c r="CI8249"/>
    </row>
    <row r="8250" spans="83:87" x14ac:dyDescent="0.2">
      <c r="CE8250"/>
      <c r="CF8250"/>
      <c r="CG8250"/>
      <c r="CH8250"/>
      <c r="CI8250"/>
    </row>
    <row r="8251" spans="83:87" x14ac:dyDescent="0.2">
      <c r="CE8251"/>
      <c r="CF8251"/>
      <c r="CG8251"/>
      <c r="CH8251"/>
      <c r="CI8251"/>
    </row>
    <row r="8252" spans="83:87" x14ac:dyDescent="0.2">
      <c r="CE8252"/>
      <c r="CF8252"/>
      <c r="CG8252"/>
      <c r="CH8252"/>
      <c r="CI8252"/>
    </row>
    <row r="8253" spans="83:87" x14ac:dyDescent="0.2">
      <c r="CE8253"/>
      <c r="CF8253"/>
      <c r="CG8253"/>
      <c r="CH8253"/>
      <c r="CI8253"/>
    </row>
    <row r="8254" spans="83:87" x14ac:dyDescent="0.2">
      <c r="CE8254"/>
      <c r="CF8254"/>
      <c r="CG8254"/>
      <c r="CH8254"/>
      <c r="CI8254"/>
    </row>
    <row r="8255" spans="83:87" x14ac:dyDescent="0.2">
      <c r="CE8255"/>
      <c r="CF8255"/>
      <c r="CG8255"/>
      <c r="CH8255"/>
      <c r="CI8255"/>
    </row>
    <row r="8256" spans="83:87" x14ac:dyDescent="0.2">
      <c r="CE8256"/>
      <c r="CF8256"/>
      <c r="CG8256"/>
      <c r="CH8256"/>
      <c r="CI8256"/>
    </row>
    <row r="8257" spans="83:87" x14ac:dyDescent="0.2">
      <c r="CE8257"/>
      <c r="CF8257"/>
      <c r="CG8257"/>
      <c r="CH8257"/>
      <c r="CI8257"/>
    </row>
    <row r="8258" spans="83:87" x14ac:dyDescent="0.2">
      <c r="CE8258"/>
      <c r="CF8258"/>
      <c r="CG8258"/>
      <c r="CH8258"/>
      <c r="CI8258"/>
    </row>
    <row r="8259" spans="83:87" x14ac:dyDescent="0.2">
      <c r="CE8259"/>
      <c r="CF8259"/>
      <c r="CG8259"/>
      <c r="CH8259"/>
      <c r="CI8259"/>
    </row>
    <row r="8260" spans="83:87" x14ac:dyDescent="0.2">
      <c r="CE8260"/>
      <c r="CF8260"/>
      <c r="CG8260"/>
      <c r="CH8260"/>
      <c r="CI8260"/>
    </row>
    <row r="8261" spans="83:87" x14ac:dyDescent="0.2">
      <c r="CE8261"/>
      <c r="CF8261"/>
      <c r="CG8261"/>
      <c r="CH8261"/>
      <c r="CI8261"/>
    </row>
    <row r="8262" spans="83:87" x14ac:dyDescent="0.2">
      <c r="CE8262"/>
      <c r="CF8262"/>
      <c r="CG8262"/>
      <c r="CH8262"/>
      <c r="CI8262"/>
    </row>
    <row r="8263" spans="83:87" x14ac:dyDescent="0.2">
      <c r="CE8263"/>
      <c r="CF8263"/>
      <c r="CG8263"/>
      <c r="CH8263"/>
      <c r="CI8263"/>
    </row>
    <row r="8264" spans="83:87" x14ac:dyDescent="0.2">
      <c r="CE8264"/>
      <c r="CF8264"/>
      <c r="CG8264"/>
      <c r="CH8264"/>
      <c r="CI8264"/>
    </row>
    <row r="8265" spans="83:87" x14ac:dyDescent="0.2">
      <c r="CE8265"/>
      <c r="CF8265"/>
      <c r="CG8265"/>
      <c r="CH8265"/>
      <c r="CI8265"/>
    </row>
    <row r="8266" spans="83:87" x14ac:dyDescent="0.2">
      <c r="CE8266"/>
      <c r="CF8266"/>
      <c r="CG8266"/>
      <c r="CH8266"/>
      <c r="CI8266"/>
    </row>
    <row r="8267" spans="83:87" x14ac:dyDescent="0.2">
      <c r="CE8267"/>
      <c r="CF8267"/>
      <c r="CG8267"/>
      <c r="CH8267"/>
      <c r="CI8267"/>
    </row>
    <row r="8268" spans="83:87" x14ac:dyDescent="0.2">
      <c r="CE8268"/>
      <c r="CF8268"/>
      <c r="CG8268"/>
      <c r="CH8268"/>
      <c r="CI8268"/>
    </row>
    <row r="8269" spans="83:87" x14ac:dyDescent="0.2">
      <c r="CE8269"/>
      <c r="CF8269"/>
      <c r="CG8269"/>
      <c r="CH8269"/>
      <c r="CI8269"/>
    </row>
    <row r="8270" spans="83:87" x14ac:dyDescent="0.2">
      <c r="CE8270"/>
      <c r="CF8270"/>
      <c r="CG8270"/>
      <c r="CH8270"/>
      <c r="CI8270"/>
    </row>
    <row r="8271" spans="83:87" x14ac:dyDescent="0.2">
      <c r="CE8271"/>
      <c r="CF8271"/>
      <c r="CG8271"/>
      <c r="CH8271"/>
      <c r="CI8271"/>
    </row>
    <row r="8272" spans="83:87" x14ac:dyDescent="0.2">
      <c r="CE8272"/>
      <c r="CF8272"/>
      <c r="CG8272"/>
      <c r="CH8272"/>
      <c r="CI8272"/>
    </row>
    <row r="8273" spans="83:87" x14ac:dyDescent="0.2">
      <c r="CE8273"/>
      <c r="CF8273"/>
      <c r="CG8273"/>
      <c r="CH8273"/>
      <c r="CI8273"/>
    </row>
    <row r="8274" spans="83:87" x14ac:dyDescent="0.2">
      <c r="CE8274"/>
      <c r="CF8274"/>
      <c r="CG8274"/>
      <c r="CH8274"/>
      <c r="CI8274"/>
    </row>
    <row r="8275" spans="83:87" x14ac:dyDescent="0.2">
      <c r="CE8275"/>
      <c r="CF8275"/>
      <c r="CG8275"/>
      <c r="CH8275"/>
      <c r="CI8275"/>
    </row>
    <row r="8276" spans="83:87" x14ac:dyDescent="0.2">
      <c r="CE8276"/>
      <c r="CF8276"/>
      <c r="CG8276"/>
      <c r="CH8276"/>
      <c r="CI8276"/>
    </row>
    <row r="8277" spans="83:87" x14ac:dyDescent="0.2">
      <c r="CE8277"/>
      <c r="CF8277"/>
      <c r="CG8277"/>
      <c r="CH8277"/>
      <c r="CI8277"/>
    </row>
    <row r="8278" spans="83:87" x14ac:dyDescent="0.2">
      <c r="CE8278"/>
      <c r="CF8278"/>
      <c r="CG8278"/>
      <c r="CH8278"/>
      <c r="CI8278"/>
    </row>
    <row r="8279" spans="83:87" x14ac:dyDescent="0.2">
      <c r="CE8279"/>
      <c r="CF8279"/>
      <c r="CG8279"/>
      <c r="CH8279"/>
      <c r="CI8279"/>
    </row>
    <row r="8280" spans="83:87" x14ac:dyDescent="0.2">
      <c r="CE8280"/>
      <c r="CF8280"/>
      <c r="CG8280"/>
      <c r="CH8280"/>
      <c r="CI8280"/>
    </row>
    <row r="8281" spans="83:87" x14ac:dyDescent="0.2">
      <c r="CE8281"/>
      <c r="CF8281"/>
      <c r="CG8281"/>
      <c r="CH8281"/>
      <c r="CI8281"/>
    </row>
    <row r="8282" spans="83:87" x14ac:dyDescent="0.2">
      <c r="CE8282"/>
      <c r="CF8282"/>
      <c r="CG8282"/>
      <c r="CH8282"/>
      <c r="CI8282"/>
    </row>
    <row r="8283" spans="83:87" x14ac:dyDescent="0.2">
      <c r="CE8283"/>
      <c r="CF8283"/>
      <c r="CG8283"/>
      <c r="CH8283"/>
      <c r="CI8283"/>
    </row>
    <row r="8284" spans="83:87" x14ac:dyDescent="0.2">
      <c r="CE8284"/>
      <c r="CF8284"/>
      <c r="CG8284"/>
      <c r="CH8284"/>
      <c r="CI8284"/>
    </row>
    <row r="8285" spans="83:87" x14ac:dyDescent="0.2">
      <c r="CE8285"/>
      <c r="CF8285"/>
      <c r="CG8285"/>
      <c r="CH8285"/>
      <c r="CI8285"/>
    </row>
    <row r="8286" spans="83:87" x14ac:dyDescent="0.2">
      <c r="CE8286"/>
      <c r="CF8286"/>
      <c r="CG8286"/>
      <c r="CH8286"/>
      <c r="CI8286"/>
    </row>
    <row r="8287" spans="83:87" x14ac:dyDescent="0.2">
      <c r="CE8287"/>
      <c r="CF8287"/>
      <c r="CG8287"/>
      <c r="CH8287"/>
      <c r="CI8287"/>
    </row>
    <row r="8288" spans="83:87" x14ac:dyDescent="0.2">
      <c r="CE8288"/>
      <c r="CF8288"/>
      <c r="CG8288"/>
      <c r="CH8288"/>
      <c r="CI8288"/>
    </row>
    <row r="8289" spans="83:87" x14ac:dyDescent="0.2">
      <c r="CE8289"/>
      <c r="CF8289"/>
      <c r="CG8289"/>
      <c r="CH8289"/>
      <c r="CI8289"/>
    </row>
    <row r="8290" spans="83:87" x14ac:dyDescent="0.2">
      <c r="CE8290"/>
      <c r="CF8290"/>
      <c r="CG8290"/>
      <c r="CH8290"/>
      <c r="CI8290"/>
    </row>
    <row r="8291" spans="83:87" x14ac:dyDescent="0.2">
      <c r="CE8291"/>
      <c r="CF8291"/>
      <c r="CG8291"/>
      <c r="CH8291"/>
      <c r="CI8291"/>
    </row>
    <row r="8292" spans="83:87" x14ac:dyDescent="0.2">
      <c r="CE8292"/>
      <c r="CF8292"/>
      <c r="CG8292"/>
      <c r="CH8292"/>
      <c r="CI8292"/>
    </row>
    <row r="8293" spans="83:87" x14ac:dyDescent="0.2">
      <c r="CE8293"/>
      <c r="CF8293"/>
      <c r="CG8293"/>
      <c r="CH8293"/>
      <c r="CI8293"/>
    </row>
    <row r="8294" spans="83:87" x14ac:dyDescent="0.2">
      <c r="CE8294"/>
      <c r="CF8294"/>
      <c r="CG8294"/>
      <c r="CH8294"/>
      <c r="CI8294"/>
    </row>
    <row r="8295" spans="83:87" x14ac:dyDescent="0.2">
      <c r="CE8295"/>
      <c r="CF8295"/>
      <c r="CG8295"/>
      <c r="CH8295"/>
      <c r="CI8295"/>
    </row>
    <row r="8296" spans="83:87" x14ac:dyDescent="0.2">
      <c r="CE8296"/>
      <c r="CF8296"/>
      <c r="CG8296"/>
      <c r="CH8296"/>
      <c r="CI8296"/>
    </row>
    <row r="8297" spans="83:87" x14ac:dyDescent="0.2">
      <c r="CE8297"/>
      <c r="CF8297"/>
      <c r="CG8297"/>
      <c r="CH8297"/>
      <c r="CI8297"/>
    </row>
    <row r="8298" spans="83:87" x14ac:dyDescent="0.2">
      <c r="CE8298"/>
      <c r="CF8298"/>
      <c r="CG8298"/>
      <c r="CH8298"/>
      <c r="CI8298"/>
    </row>
    <row r="8299" spans="83:87" x14ac:dyDescent="0.2">
      <c r="CE8299"/>
      <c r="CF8299"/>
      <c r="CG8299"/>
      <c r="CH8299"/>
      <c r="CI8299"/>
    </row>
    <row r="8300" spans="83:87" x14ac:dyDescent="0.2">
      <c r="CE8300"/>
      <c r="CF8300"/>
      <c r="CG8300"/>
      <c r="CH8300"/>
      <c r="CI8300"/>
    </row>
    <row r="8301" spans="83:87" x14ac:dyDescent="0.2">
      <c r="CE8301"/>
      <c r="CF8301"/>
      <c r="CG8301"/>
      <c r="CH8301"/>
      <c r="CI8301"/>
    </row>
    <row r="8302" spans="83:87" x14ac:dyDescent="0.2">
      <c r="CE8302"/>
      <c r="CF8302"/>
      <c r="CG8302"/>
      <c r="CH8302"/>
      <c r="CI8302"/>
    </row>
    <row r="8303" spans="83:87" x14ac:dyDescent="0.2">
      <c r="CE8303"/>
      <c r="CF8303"/>
      <c r="CG8303"/>
      <c r="CH8303"/>
      <c r="CI8303"/>
    </row>
    <row r="8304" spans="83:87" x14ac:dyDescent="0.2">
      <c r="CE8304"/>
      <c r="CF8304"/>
      <c r="CG8304"/>
      <c r="CH8304"/>
      <c r="CI8304"/>
    </row>
    <row r="8305" spans="83:87" x14ac:dyDescent="0.2">
      <c r="CE8305"/>
      <c r="CF8305"/>
      <c r="CG8305"/>
      <c r="CH8305"/>
      <c r="CI8305"/>
    </row>
    <row r="8306" spans="83:87" x14ac:dyDescent="0.2">
      <c r="CE8306"/>
      <c r="CF8306"/>
      <c r="CG8306"/>
      <c r="CH8306"/>
      <c r="CI8306"/>
    </row>
    <row r="8307" spans="83:87" x14ac:dyDescent="0.2">
      <c r="CE8307"/>
      <c r="CF8307"/>
      <c r="CG8307"/>
      <c r="CH8307"/>
      <c r="CI8307"/>
    </row>
    <row r="8308" spans="83:87" x14ac:dyDescent="0.2">
      <c r="CE8308"/>
      <c r="CF8308"/>
      <c r="CG8308"/>
      <c r="CH8308"/>
      <c r="CI8308"/>
    </row>
    <row r="8309" spans="83:87" x14ac:dyDescent="0.2">
      <c r="CE8309"/>
      <c r="CF8309"/>
      <c r="CG8309"/>
      <c r="CH8309"/>
      <c r="CI8309"/>
    </row>
    <row r="8310" spans="83:87" x14ac:dyDescent="0.2">
      <c r="CE8310"/>
      <c r="CF8310"/>
      <c r="CG8310"/>
      <c r="CH8310"/>
      <c r="CI8310"/>
    </row>
    <row r="8311" spans="83:87" x14ac:dyDescent="0.2">
      <c r="CE8311"/>
      <c r="CF8311"/>
      <c r="CG8311"/>
      <c r="CH8311"/>
      <c r="CI8311"/>
    </row>
    <row r="8312" spans="83:87" x14ac:dyDescent="0.2">
      <c r="CE8312"/>
      <c r="CF8312"/>
      <c r="CG8312"/>
      <c r="CH8312"/>
      <c r="CI8312"/>
    </row>
    <row r="8313" spans="83:87" x14ac:dyDescent="0.2">
      <c r="CE8313"/>
      <c r="CF8313"/>
      <c r="CG8313"/>
      <c r="CH8313"/>
      <c r="CI8313"/>
    </row>
    <row r="8314" spans="83:87" x14ac:dyDescent="0.2">
      <c r="CE8314"/>
      <c r="CF8314"/>
      <c r="CG8314"/>
      <c r="CH8314"/>
      <c r="CI8314"/>
    </row>
    <row r="8315" spans="83:87" x14ac:dyDescent="0.2">
      <c r="CE8315"/>
      <c r="CF8315"/>
      <c r="CG8315"/>
      <c r="CH8315"/>
      <c r="CI8315"/>
    </row>
    <row r="8316" spans="83:87" x14ac:dyDescent="0.2">
      <c r="CE8316"/>
      <c r="CF8316"/>
      <c r="CG8316"/>
      <c r="CH8316"/>
      <c r="CI8316"/>
    </row>
    <row r="8317" spans="83:87" x14ac:dyDescent="0.2">
      <c r="CE8317"/>
      <c r="CF8317"/>
      <c r="CG8317"/>
      <c r="CH8317"/>
      <c r="CI8317"/>
    </row>
    <row r="8318" spans="83:87" x14ac:dyDescent="0.2">
      <c r="CE8318"/>
      <c r="CF8318"/>
      <c r="CG8318"/>
      <c r="CH8318"/>
      <c r="CI8318"/>
    </row>
    <row r="8319" spans="83:87" x14ac:dyDescent="0.2">
      <c r="CE8319"/>
      <c r="CF8319"/>
      <c r="CG8319"/>
      <c r="CH8319"/>
      <c r="CI8319"/>
    </row>
    <row r="8320" spans="83:87" x14ac:dyDescent="0.2">
      <c r="CE8320"/>
      <c r="CF8320"/>
      <c r="CG8320"/>
      <c r="CH8320"/>
      <c r="CI8320"/>
    </row>
    <row r="8321" spans="83:87" x14ac:dyDescent="0.2">
      <c r="CE8321"/>
      <c r="CF8321"/>
      <c r="CG8321"/>
      <c r="CH8321"/>
      <c r="CI8321"/>
    </row>
    <row r="8322" spans="83:87" x14ac:dyDescent="0.2">
      <c r="CE8322"/>
      <c r="CF8322"/>
      <c r="CG8322"/>
      <c r="CH8322"/>
      <c r="CI8322"/>
    </row>
    <row r="8323" spans="83:87" x14ac:dyDescent="0.2">
      <c r="CE8323"/>
      <c r="CF8323"/>
      <c r="CG8323"/>
      <c r="CH8323"/>
      <c r="CI8323"/>
    </row>
    <row r="8324" spans="83:87" x14ac:dyDescent="0.2">
      <c r="CE8324"/>
      <c r="CF8324"/>
      <c r="CG8324"/>
      <c r="CH8324"/>
      <c r="CI8324"/>
    </row>
    <row r="8325" spans="83:87" x14ac:dyDescent="0.2">
      <c r="CE8325"/>
      <c r="CF8325"/>
      <c r="CG8325"/>
      <c r="CH8325"/>
      <c r="CI8325"/>
    </row>
    <row r="8326" spans="83:87" x14ac:dyDescent="0.2">
      <c r="CE8326"/>
      <c r="CF8326"/>
      <c r="CG8326"/>
      <c r="CH8326"/>
      <c r="CI8326"/>
    </row>
    <row r="8327" spans="83:87" x14ac:dyDescent="0.2">
      <c r="CE8327"/>
      <c r="CF8327"/>
      <c r="CG8327"/>
      <c r="CH8327"/>
      <c r="CI8327"/>
    </row>
    <row r="8328" spans="83:87" x14ac:dyDescent="0.2">
      <c r="CE8328"/>
      <c r="CF8328"/>
      <c r="CG8328"/>
      <c r="CH8328"/>
      <c r="CI8328"/>
    </row>
    <row r="8329" spans="83:87" x14ac:dyDescent="0.2">
      <c r="CE8329"/>
      <c r="CF8329"/>
      <c r="CG8329"/>
      <c r="CH8329"/>
      <c r="CI8329"/>
    </row>
    <row r="8330" spans="83:87" x14ac:dyDescent="0.2">
      <c r="CE8330"/>
      <c r="CF8330"/>
      <c r="CG8330"/>
      <c r="CH8330"/>
      <c r="CI8330"/>
    </row>
    <row r="8331" spans="83:87" x14ac:dyDescent="0.2">
      <c r="CE8331"/>
      <c r="CF8331"/>
      <c r="CG8331"/>
      <c r="CH8331"/>
      <c r="CI8331"/>
    </row>
    <row r="8332" spans="83:87" x14ac:dyDescent="0.2">
      <c r="CE8332"/>
      <c r="CF8332"/>
      <c r="CG8332"/>
      <c r="CH8332"/>
      <c r="CI8332"/>
    </row>
    <row r="8333" spans="83:87" x14ac:dyDescent="0.2">
      <c r="CE8333"/>
      <c r="CF8333"/>
      <c r="CG8333"/>
      <c r="CH8333"/>
      <c r="CI8333"/>
    </row>
    <row r="8334" spans="83:87" x14ac:dyDescent="0.2">
      <c r="CE8334"/>
      <c r="CF8334"/>
      <c r="CG8334"/>
      <c r="CH8334"/>
      <c r="CI8334"/>
    </row>
    <row r="8335" spans="83:87" x14ac:dyDescent="0.2">
      <c r="CE8335"/>
      <c r="CF8335"/>
      <c r="CG8335"/>
      <c r="CH8335"/>
      <c r="CI8335"/>
    </row>
    <row r="8336" spans="83:87" x14ac:dyDescent="0.2">
      <c r="CE8336"/>
      <c r="CF8336"/>
      <c r="CG8336"/>
      <c r="CH8336"/>
      <c r="CI8336"/>
    </row>
    <row r="8337" spans="83:87" x14ac:dyDescent="0.2">
      <c r="CE8337"/>
      <c r="CF8337"/>
      <c r="CG8337"/>
      <c r="CH8337"/>
      <c r="CI8337"/>
    </row>
    <row r="8338" spans="83:87" x14ac:dyDescent="0.2">
      <c r="CE8338"/>
      <c r="CF8338"/>
      <c r="CG8338"/>
      <c r="CH8338"/>
      <c r="CI8338"/>
    </row>
    <row r="8339" spans="83:87" x14ac:dyDescent="0.2">
      <c r="CE8339"/>
      <c r="CF8339"/>
      <c r="CG8339"/>
      <c r="CH8339"/>
      <c r="CI8339"/>
    </row>
    <row r="8340" spans="83:87" x14ac:dyDescent="0.2">
      <c r="CE8340"/>
      <c r="CF8340"/>
      <c r="CG8340"/>
      <c r="CH8340"/>
      <c r="CI8340"/>
    </row>
    <row r="8341" spans="83:87" x14ac:dyDescent="0.2">
      <c r="CE8341"/>
      <c r="CF8341"/>
      <c r="CG8341"/>
      <c r="CH8341"/>
      <c r="CI8341"/>
    </row>
    <row r="8342" spans="83:87" x14ac:dyDescent="0.2">
      <c r="CE8342"/>
      <c r="CF8342"/>
      <c r="CG8342"/>
      <c r="CH8342"/>
      <c r="CI8342"/>
    </row>
    <row r="8343" spans="83:87" x14ac:dyDescent="0.2">
      <c r="CE8343"/>
      <c r="CF8343"/>
      <c r="CG8343"/>
      <c r="CH8343"/>
      <c r="CI8343"/>
    </row>
    <row r="8344" spans="83:87" x14ac:dyDescent="0.2">
      <c r="CE8344"/>
      <c r="CF8344"/>
      <c r="CG8344"/>
      <c r="CH8344"/>
      <c r="CI8344"/>
    </row>
    <row r="8345" spans="83:87" x14ac:dyDescent="0.2">
      <c r="CE8345"/>
      <c r="CF8345"/>
      <c r="CG8345"/>
      <c r="CH8345"/>
      <c r="CI8345"/>
    </row>
    <row r="8346" spans="83:87" x14ac:dyDescent="0.2">
      <c r="CE8346"/>
      <c r="CF8346"/>
      <c r="CG8346"/>
      <c r="CH8346"/>
      <c r="CI8346"/>
    </row>
    <row r="8347" spans="83:87" x14ac:dyDescent="0.2">
      <c r="CE8347"/>
      <c r="CF8347"/>
      <c r="CG8347"/>
      <c r="CH8347"/>
      <c r="CI8347"/>
    </row>
    <row r="8348" spans="83:87" x14ac:dyDescent="0.2">
      <c r="CE8348"/>
      <c r="CF8348"/>
      <c r="CG8348"/>
      <c r="CH8348"/>
      <c r="CI8348"/>
    </row>
    <row r="8349" spans="83:87" x14ac:dyDescent="0.2">
      <c r="CE8349"/>
      <c r="CF8349"/>
      <c r="CG8349"/>
      <c r="CH8349"/>
      <c r="CI8349"/>
    </row>
    <row r="8350" spans="83:87" x14ac:dyDescent="0.2">
      <c r="CE8350"/>
      <c r="CF8350"/>
      <c r="CG8350"/>
      <c r="CH8350"/>
      <c r="CI8350"/>
    </row>
    <row r="8351" spans="83:87" x14ac:dyDescent="0.2">
      <c r="CE8351"/>
      <c r="CF8351"/>
      <c r="CG8351"/>
      <c r="CH8351"/>
      <c r="CI8351"/>
    </row>
    <row r="8352" spans="83:87" x14ac:dyDescent="0.2">
      <c r="CE8352"/>
      <c r="CF8352"/>
      <c r="CG8352"/>
      <c r="CH8352"/>
      <c r="CI8352"/>
    </row>
    <row r="8353" spans="83:87" x14ac:dyDescent="0.2">
      <c r="CE8353"/>
      <c r="CF8353"/>
      <c r="CG8353"/>
      <c r="CH8353"/>
      <c r="CI8353"/>
    </row>
    <row r="8354" spans="83:87" x14ac:dyDescent="0.2">
      <c r="CE8354"/>
      <c r="CF8354"/>
      <c r="CG8354"/>
      <c r="CH8354"/>
      <c r="CI8354"/>
    </row>
    <row r="8355" spans="83:87" x14ac:dyDescent="0.2">
      <c r="CE8355"/>
      <c r="CF8355"/>
      <c r="CG8355"/>
      <c r="CH8355"/>
      <c r="CI8355"/>
    </row>
    <row r="8356" spans="83:87" x14ac:dyDescent="0.2">
      <c r="CE8356"/>
      <c r="CF8356"/>
      <c r="CG8356"/>
      <c r="CH8356"/>
      <c r="CI8356"/>
    </row>
    <row r="8357" spans="83:87" x14ac:dyDescent="0.2">
      <c r="CE8357"/>
      <c r="CF8357"/>
      <c r="CG8357"/>
      <c r="CH8357"/>
      <c r="CI8357"/>
    </row>
    <row r="8358" spans="83:87" x14ac:dyDescent="0.2">
      <c r="CE8358"/>
      <c r="CF8358"/>
      <c r="CG8358"/>
      <c r="CH8358"/>
      <c r="CI8358"/>
    </row>
    <row r="8359" spans="83:87" x14ac:dyDescent="0.2">
      <c r="CE8359"/>
      <c r="CF8359"/>
      <c r="CG8359"/>
      <c r="CH8359"/>
      <c r="CI8359"/>
    </row>
    <row r="8360" spans="83:87" x14ac:dyDescent="0.2">
      <c r="CE8360"/>
      <c r="CF8360"/>
      <c r="CG8360"/>
      <c r="CH8360"/>
      <c r="CI8360"/>
    </row>
    <row r="8361" spans="83:87" x14ac:dyDescent="0.2">
      <c r="CE8361"/>
      <c r="CF8361"/>
      <c r="CG8361"/>
      <c r="CH8361"/>
      <c r="CI8361"/>
    </row>
    <row r="8362" spans="83:87" x14ac:dyDescent="0.2">
      <c r="CE8362"/>
      <c r="CF8362"/>
      <c r="CG8362"/>
      <c r="CH8362"/>
      <c r="CI8362"/>
    </row>
    <row r="8363" spans="83:87" x14ac:dyDescent="0.2">
      <c r="CE8363"/>
      <c r="CF8363"/>
      <c r="CG8363"/>
      <c r="CH8363"/>
      <c r="CI8363"/>
    </row>
    <row r="8364" spans="83:87" x14ac:dyDescent="0.2">
      <c r="CE8364"/>
      <c r="CF8364"/>
      <c r="CG8364"/>
      <c r="CH8364"/>
      <c r="CI8364"/>
    </row>
    <row r="8365" spans="83:87" x14ac:dyDescent="0.2">
      <c r="CE8365"/>
      <c r="CF8365"/>
      <c r="CG8365"/>
      <c r="CH8365"/>
      <c r="CI8365"/>
    </row>
    <row r="8366" spans="83:87" x14ac:dyDescent="0.2">
      <c r="CE8366"/>
      <c r="CF8366"/>
      <c r="CG8366"/>
      <c r="CH8366"/>
      <c r="CI8366"/>
    </row>
    <row r="8367" spans="83:87" x14ac:dyDescent="0.2">
      <c r="CE8367"/>
      <c r="CF8367"/>
      <c r="CG8367"/>
      <c r="CH8367"/>
      <c r="CI8367"/>
    </row>
    <row r="8368" spans="83:87" x14ac:dyDescent="0.2">
      <c r="CE8368"/>
      <c r="CF8368"/>
      <c r="CG8368"/>
      <c r="CH8368"/>
      <c r="CI8368"/>
    </row>
    <row r="8369" spans="83:87" x14ac:dyDescent="0.2">
      <c r="CE8369"/>
      <c r="CF8369"/>
      <c r="CG8369"/>
      <c r="CH8369"/>
      <c r="CI8369"/>
    </row>
    <row r="8370" spans="83:87" x14ac:dyDescent="0.2">
      <c r="CE8370"/>
      <c r="CF8370"/>
      <c r="CG8370"/>
      <c r="CH8370"/>
      <c r="CI8370"/>
    </row>
    <row r="8371" spans="83:87" x14ac:dyDescent="0.2">
      <c r="CE8371"/>
      <c r="CF8371"/>
      <c r="CG8371"/>
      <c r="CH8371"/>
      <c r="CI8371"/>
    </row>
    <row r="8372" spans="83:87" x14ac:dyDescent="0.2">
      <c r="CE8372"/>
      <c r="CF8372"/>
      <c r="CG8372"/>
      <c r="CH8372"/>
      <c r="CI8372"/>
    </row>
    <row r="8373" spans="83:87" x14ac:dyDescent="0.2">
      <c r="CE8373"/>
      <c r="CF8373"/>
      <c r="CG8373"/>
      <c r="CH8373"/>
      <c r="CI8373"/>
    </row>
    <row r="8374" spans="83:87" x14ac:dyDescent="0.2">
      <c r="CE8374"/>
      <c r="CF8374"/>
      <c r="CG8374"/>
      <c r="CH8374"/>
      <c r="CI8374"/>
    </row>
    <row r="8375" spans="83:87" x14ac:dyDescent="0.2">
      <c r="CE8375"/>
      <c r="CF8375"/>
      <c r="CG8375"/>
      <c r="CH8375"/>
      <c r="CI8375"/>
    </row>
    <row r="8376" spans="83:87" x14ac:dyDescent="0.2">
      <c r="CE8376"/>
      <c r="CF8376"/>
      <c r="CG8376"/>
      <c r="CH8376"/>
      <c r="CI8376"/>
    </row>
    <row r="8377" spans="83:87" x14ac:dyDescent="0.2">
      <c r="CE8377"/>
      <c r="CF8377"/>
      <c r="CG8377"/>
      <c r="CH8377"/>
      <c r="CI8377"/>
    </row>
    <row r="8378" spans="83:87" x14ac:dyDescent="0.2">
      <c r="CE8378"/>
      <c r="CF8378"/>
      <c r="CG8378"/>
      <c r="CH8378"/>
      <c r="CI8378"/>
    </row>
    <row r="8379" spans="83:87" x14ac:dyDescent="0.2">
      <c r="CE8379"/>
      <c r="CF8379"/>
      <c r="CG8379"/>
      <c r="CH8379"/>
      <c r="CI8379"/>
    </row>
    <row r="8380" spans="83:87" x14ac:dyDescent="0.2">
      <c r="CE8380"/>
      <c r="CF8380"/>
      <c r="CG8380"/>
      <c r="CH8380"/>
      <c r="CI8380"/>
    </row>
    <row r="8381" spans="83:87" x14ac:dyDescent="0.2">
      <c r="CE8381"/>
      <c r="CF8381"/>
      <c r="CG8381"/>
      <c r="CH8381"/>
      <c r="CI8381"/>
    </row>
    <row r="8382" spans="83:87" x14ac:dyDescent="0.2">
      <c r="CE8382"/>
      <c r="CF8382"/>
      <c r="CG8382"/>
      <c r="CH8382"/>
      <c r="CI8382"/>
    </row>
    <row r="8383" spans="83:87" x14ac:dyDescent="0.2">
      <c r="CE8383"/>
      <c r="CF8383"/>
      <c r="CG8383"/>
      <c r="CH8383"/>
      <c r="CI8383"/>
    </row>
    <row r="8384" spans="83:87" x14ac:dyDescent="0.2">
      <c r="CE8384"/>
      <c r="CF8384"/>
      <c r="CG8384"/>
      <c r="CH8384"/>
      <c r="CI8384"/>
    </row>
    <row r="8385" spans="83:87" x14ac:dyDescent="0.2">
      <c r="CE8385"/>
      <c r="CF8385"/>
      <c r="CG8385"/>
      <c r="CH8385"/>
      <c r="CI8385"/>
    </row>
    <row r="8386" spans="83:87" x14ac:dyDescent="0.2">
      <c r="CE8386"/>
      <c r="CF8386"/>
      <c r="CG8386"/>
      <c r="CH8386"/>
      <c r="CI8386"/>
    </row>
    <row r="8387" spans="83:87" x14ac:dyDescent="0.2">
      <c r="CE8387"/>
      <c r="CF8387"/>
      <c r="CG8387"/>
      <c r="CH8387"/>
      <c r="CI8387"/>
    </row>
    <row r="8388" spans="83:87" x14ac:dyDescent="0.2">
      <c r="CE8388"/>
      <c r="CF8388"/>
      <c r="CG8388"/>
      <c r="CH8388"/>
      <c r="CI8388"/>
    </row>
    <row r="8389" spans="83:87" x14ac:dyDescent="0.2">
      <c r="CE8389"/>
      <c r="CF8389"/>
      <c r="CG8389"/>
      <c r="CH8389"/>
      <c r="CI8389"/>
    </row>
    <row r="8390" spans="83:87" x14ac:dyDescent="0.2">
      <c r="CE8390"/>
      <c r="CF8390"/>
      <c r="CG8390"/>
      <c r="CH8390"/>
      <c r="CI8390"/>
    </row>
    <row r="8391" spans="83:87" x14ac:dyDescent="0.2">
      <c r="CE8391"/>
      <c r="CF8391"/>
      <c r="CG8391"/>
      <c r="CH8391"/>
      <c r="CI8391"/>
    </row>
    <row r="8392" spans="83:87" x14ac:dyDescent="0.2">
      <c r="CE8392"/>
      <c r="CF8392"/>
      <c r="CG8392"/>
      <c r="CH8392"/>
      <c r="CI8392"/>
    </row>
    <row r="8393" spans="83:87" x14ac:dyDescent="0.2">
      <c r="CE8393"/>
      <c r="CF8393"/>
      <c r="CG8393"/>
      <c r="CH8393"/>
      <c r="CI8393"/>
    </row>
    <row r="8394" spans="83:87" x14ac:dyDescent="0.2">
      <c r="CE8394"/>
      <c r="CF8394"/>
      <c r="CG8394"/>
      <c r="CH8394"/>
      <c r="CI8394"/>
    </row>
    <row r="8395" spans="83:87" x14ac:dyDescent="0.2">
      <c r="CE8395"/>
      <c r="CF8395"/>
      <c r="CG8395"/>
      <c r="CH8395"/>
      <c r="CI8395"/>
    </row>
    <row r="8396" spans="83:87" x14ac:dyDescent="0.2">
      <c r="CE8396"/>
      <c r="CF8396"/>
      <c r="CG8396"/>
      <c r="CH8396"/>
      <c r="CI8396"/>
    </row>
    <row r="8397" spans="83:87" x14ac:dyDescent="0.2">
      <c r="CE8397"/>
      <c r="CF8397"/>
      <c r="CG8397"/>
      <c r="CH8397"/>
      <c r="CI8397"/>
    </row>
    <row r="8398" spans="83:87" x14ac:dyDescent="0.2">
      <c r="CE8398"/>
      <c r="CF8398"/>
      <c r="CG8398"/>
      <c r="CH8398"/>
      <c r="CI8398"/>
    </row>
    <row r="8399" spans="83:87" x14ac:dyDescent="0.2">
      <c r="CE8399"/>
      <c r="CF8399"/>
      <c r="CG8399"/>
      <c r="CH8399"/>
      <c r="CI8399"/>
    </row>
    <row r="8400" spans="83:87" x14ac:dyDescent="0.2">
      <c r="CE8400"/>
      <c r="CF8400"/>
      <c r="CG8400"/>
      <c r="CH8400"/>
      <c r="CI8400"/>
    </row>
    <row r="8401" spans="83:87" x14ac:dyDescent="0.2">
      <c r="CE8401"/>
      <c r="CF8401"/>
      <c r="CG8401"/>
      <c r="CH8401"/>
      <c r="CI8401"/>
    </row>
    <row r="8402" spans="83:87" x14ac:dyDescent="0.2">
      <c r="CE8402"/>
      <c r="CF8402"/>
      <c r="CG8402"/>
      <c r="CH8402"/>
      <c r="CI8402"/>
    </row>
    <row r="8403" spans="83:87" x14ac:dyDescent="0.2">
      <c r="CE8403"/>
      <c r="CF8403"/>
      <c r="CG8403"/>
      <c r="CH8403"/>
      <c r="CI8403"/>
    </row>
    <row r="8404" spans="83:87" x14ac:dyDescent="0.2">
      <c r="CE8404"/>
      <c r="CF8404"/>
      <c r="CG8404"/>
      <c r="CH8404"/>
      <c r="CI8404"/>
    </row>
    <row r="8405" spans="83:87" x14ac:dyDescent="0.2">
      <c r="CE8405"/>
      <c r="CF8405"/>
      <c r="CG8405"/>
      <c r="CH8405"/>
      <c r="CI8405"/>
    </row>
    <row r="8406" spans="83:87" x14ac:dyDescent="0.2">
      <c r="CE8406"/>
      <c r="CF8406"/>
      <c r="CG8406"/>
      <c r="CH8406"/>
      <c r="CI8406"/>
    </row>
    <row r="8407" spans="83:87" x14ac:dyDescent="0.2">
      <c r="CE8407"/>
      <c r="CF8407"/>
      <c r="CG8407"/>
      <c r="CH8407"/>
      <c r="CI8407"/>
    </row>
    <row r="8408" spans="83:87" x14ac:dyDescent="0.2">
      <c r="CE8408"/>
      <c r="CF8408"/>
      <c r="CG8408"/>
      <c r="CH8408"/>
      <c r="CI8408"/>
    </row>
    <row r="8409" spans="83:87" x14ac:dyDescent="0.2">
      <c r="CE8409"/>
      <c r="CF8409"/>
      <c r="CG8409"/>
      <c r="CH8409"/>
      <c r="CI8409"/>
    </row>
    <row r="8410" spans="83:87" x14ac:dyDescent="0.2">
      <c r="CE8410"/>
      <c r="CF8410"/>
      <c r="CG8410"/>
      <c r="CH8410"/>
      <c r="CI8410"/>
    </row>
    <row r="8411" spans="83:87" x14ac:dyDescent="0.2">
      <c r="CE8411"/>
      <c r="CF8411"/>
      <c r="CG8411"/>
      <c r="CH8411"/>
      <c r="CI8411"/>
    </row>
    <row r="8412" spans="83:87" x14ac:dyDescent="0.2">
      <c r="CE8412"/>
      <c r="CF8412"/>
      <c r="CG8412"/>
      <c r="CH8412"/>
      <c r="CI8412"/>
    </row>
    <row r="8413" spans="83:87" x14ac:dyDescent="0.2">
      <c r="CE8413"/>
      <c r="CF8413"/>
      <c r="CG8413"/>
      <c r="CH8413"/>
      <c r="CI8413"/>
    </row>
    <row r="8414" spans="83:87" x14ac:dyDescent="0.2">
      <c r="CE8414"/>
      <c r="CF8414"/>
      <c r="CG8414"/>
      <c r="CH8414"/>
      <c r="CI8414"/>
    </row>
    <row r="8415" spans="83:87" x14ac:dyDescent="0.2">
      <c r="CE8415"/>
      <c r="CF8415"/>
      <c r="CG8415"/>
      <c r="CH8415"/>
      <c r="CI8415"/>
    </row>
    <row r="8416" spans="83:87" x14ac:dyDescent="0.2">
      <c r="CE8416"/>
      <c r="CF8416"/>
      <c r="CG8416"/>
      <c r="CH8416"/>
      <c r="CI8416"/>
    </row>
    <row r="8417" spans="83:87" x14ac:dyDescent="0.2">
      <c r="CE8417"/>
      <c r="CF8417"/>
      <c r="CG8417"/>
      <c r="CH8417"/>
      <c r="CI8417"/>
    </row>
    <row r="8418" spans="83:87" x14ac:dyDescent="0.2">
      <c r="CE8418"/>
      <c r="CF8418"/>
      <c r="CG8418"/>
      <c r="CH8418"/>
      <c r="CI8418"/>
    </row>
    <row r="8419" spans="83:87" x14ac:dyDescent="0.2">
      <c r="CE8419"/>
      <c r="CF8419"/>
      <c r="CG8419"/>
      <c r="CH8419"/>
      <c r="CI8419"/>
    </row>
    <row r="8420" spans="83:87" x14ac:dyDescent="0.2">
      <c r="CE8420"/>
      <c r="CF8420"/>
      <c r="CG8420"/>
      <c r="CH8420"/>
      <c r="CI8420"/>
    </row>
    <row r="8421" spans="83:87" x14ac:dyDescent="0.2">
      <c r="CE8421"/>
      <c r="CF8421"/>
      <c r="CG8421"/>
      <c r="CH8421"/>
      <c r="CI8421"/>
    </row>
    <row r="8422" spans="83:87" x14ac:dyDescent="0.2">
      <c r="CE8422"/>
      <c r="CF8422"/>
      <c r="CG8422"/>
      <c r="CH8422"/>
      <c r="CI8422"/>
    </row>
    <row r="8423" spans="83:87" x14ac:dyDescent="0.2">
      <c r="CE8423"/>
      <c r="CF8423"/>
      <c r="CG8423"/>
      <c r="CH8423"/>
      <c r="CI8423"/>
    </row>
    <row r="8424" spans="83:87" x14ac:dyDescent="0.2">
      <c r="CE8424"/>
      <c r="CF8424"/>
      <c r="CG8424"/>
      <c r="CH8424"/>
      <c r="CI8424"/>
    </row>
    <row r="8425" spans="83:87" x14ac:dyDescent="0.2">
      <c r="CE8425"/>
      <c r="CF8425"/>
      <c r="CG8425"/>
      <c r="CH8425"/>
      <c r="CI8425"/>
    </row>
    <row r="8426" spans="83:87" x14ac:dyDescent="0.2">
      <c r="CE8426"/>
      <c r="CF8426"/>
      <c r="CG8426"/>
      <c r="CH8426"/>
      <c r="CI8426"/>
    </row>
    <row r="8427" spans="83:87" x14ac:dyDescent="0.2">
      <c r="CE8427"/>
      <c r="CF8427"/>
      <c r="CG8427"/>
      <c r="CH8427"/>
      <c r="CI8427"/>
    </row>
    <row r="8428" spans="83:87" x14ac:dyDescent="0.2">
      <c r="CE8428"/>
      <c r="CF8428"/>
      <c r="CG8428"/>
      <c r="CH8428"/>
      <c r="CI8428"/>
    </row>
    <row r="8429" spans="83:87" x14ac:dyDescent="0.2">
      <c r="CE8429"/>
      <c r="CF8429"/>
      <c r="CG8429"/>
      <c r="CH8429"/>
      <c r="CI8429"/>
    </row>
    <row r="8430" spans="83:87" x14ac:dyDescent="0.2">
      <c r="CE8430"/>
      <c r="CF8430"/>
      <c r="CG8430"/>
      <c r="CH8430"/>
      <c r="CI8430"/>
    </row>
    <row r="8431" spans="83:87" x14ac:dyDescent="0.2">
      <c r="CE8431"/>
      <c r="CF8431"/>
      <c r="CG8431"/>
      <c r="CH8431"/>
      <c r="CI8431"/>
    </row>
    <row r="8432" spans="83:87" x14ac:dyDescent="0.2">
      <c r="CE8432"/>
      <c r="CF8432"/>
      <c r="CG8432"/>
      <c r="CH8432"/>
      <c r="CI8432"/>
    </row>
    <row r="8433" spans="83:87" x14ac:dyDescent="0.2">
      <c r="CE8433"/>
      <c r="CF8433"/>
      <c r="CG8433"/>
      <c r="CH8433"/>
      <c r="CI8433"/>
    </row>
    <row r="8434" spans="83:87" x14ac:dyDescent="0.2">
      <c r="CE8434"/>
      <c r="CF8434"/>
      <c r="CG8434"/>
      <c r="CH8434"/>
      <c r="CI8434"/>
    </row>
    <row r="8435" spans="83:87" x14ac:dyDescent="0.2">
      <c r="CE8435"/>
      <c r="CF8435"/>
      <c r="CG8435"/>
      <c r="CH8435"/>
      <c r="CI8435"/>
    </row>
    <row r="8436" spans="83:87" x14ac:dyDescent="0.2">
      <c r="CE8436"/>
      <c r="CF8436"/>
      <c r="CG8436"/>
      <c r="CH8436"/>
      <c r="CI8436"/>
    </row>
    <row r="8437" spans="83:87" x14ac:dyDescent="0.2">
      <c r="CE8437"/>
      <c r="CF8437"/>
      <c r="CG8437"/>
      <c r="CH8437"/>
      <c r="CI8437"/>
    </row>
    <row r="8438" spans="83:87" x14ac:dyDescent="0.2">
      <c r="CE8438"/>
      <c r="CF8438"/>
      <c r="CG8438"/>
      <c r="CH8438"/>
      <c r="CI8438"/>
    </row>
    <row r="8439" spans="83:87" x14ac:dyDescent="0.2">
      <c r="CE8439"/>
      <c r="CF8439"/>
      <c r="CG8439"/>
      <c r="CH8439"/>
      <c r="CI8439"/>
    </row>
    <row r="8440" spans="83:87" x14ac:dyDescent="0.2">
      <c r="CE8440"/>
      <c r="CF8440"/>
      <c r="CG8440"/>
      <c r="CH8440"/>
      <c r="CI8440"/>
    </row>
    <row r="8441" spans="83:87" x14ac:dyDescent="0.2">
      <c r="CE8441"/>
      <c r="CF8441"/>
      <c r="CG8441"/>
      <c r="CH8441"/>
      <c r="CI8441"/>
    </row>
    <row r="8442" spans="83:87" x14ac:dyDescent="0.2">
      <c r="CE8442"/>
      <c r="CF8442"/>
      <c r="CG8442"/>
      <c r="CH8442"/>
      <c r="CI8442"/>
    </row>
    <row r="8443" spans="83:87" x14ac:dyDescent="0.2">
      <c r="CE8443"/>
      <c r="CF8443"/>
      <c r="CG8443"/>
      <c r="CH8443"/>
      <c r="CI8443"/>
    </row>
    <row r="8444" spans="83:87" x14ac:dyDescent="0.2">
      <c r="CE8444"/>
      <c r="CF8444"/>
      <c r="CG8444"/>
      <c r="CH8444"/>
      <c r="CI8444"/>
    </row>
    <row r="8445" spans="83:87" x14ac:dyDescent="0.2">
      <c r="CE8445"/>
      <c r="CF8445"/>
      <c r="CG8445"/>
      <c r="CH8445"/>
      <c r="CI8445"/>
    </row>
    <row r="8446" spans="83:87" x14ac:dyDescent="0.2">
      <c r="CE8446"/>
      <c r="CF8446"/>
      <c r="CG8446"/>
      <c r="CH8446"/>
      <c r="CI8446"/>
    </row>
    <row r="8447" spans="83:87" x14ac:dyDescent="0.2">
      <c r="CE8447"/>
      <c r="CF8447"/>
      <c r="CG8447"/>
      <c r="CH8447"/>
      <c r="CI8447"/>
    </row>
    <row r="8448" spans="83:87" x14ac:dyDescent="0.2">
      <c r="CE8448"/>
      <c r="CF8448"/>
      <c r="CG8448"/>
      <c r="CH8448"/>
      <c r="CI8448"/>
    </row>
    <row r="8449" spans="83:87" x14ac:dyDescent="0.2">
      <c r="CE8449"/>
      <c r="CF8449"/>
      <c r="CG8449"/>
      <c r="CH8449"/>
      <c r="CI8449"/>
    </row>
    <row r="8450" spans="83:87" x14ac:dyDescent="0.2">
      <c r="CE8450"/>
      <c r="CF8450"/>
      <c r="CG8450"/>
      <c r="CH8450"/>
      <c r="CI8450"/>
    </row>
    <row r="8451" spans="83:87" x14ac:dyDescent="0.2">
      <c r="CE8451"/>
      <c r="CF8451"/>
      <c r="CG8451"/>
      <c r="CH8451"/>
      <c r="CI8451"/>
    </row>
    <row r="8452" spans="83:87" x14ac:dyDescent="0.2">
      <c r="CE8452"/>
      <c r="CF8452"/>
      <c r="CG8452"/>
      <c r="CH8452"/>
      <c r="CI8452"/>
    </row>
    <row r="8453" spans="83:87" x14ac:dyDescent="0.2">
      <c r="CE8453"/>
      <c r="CF8453"/>
      <c r="CG8453"/>
      <c r="CH8453"/>
      <c r="CI8453"/>
    </row>
    <row r="8454" spans="83:87" x14ac:dyDescent="0.2">
      <c r="CE8454"/>
      <c r="CF8454"/>
      <c r="CG8454"/>
      <c r="CH8454"/>
      <c r="CI8454"/>
    </row>
    <row r="8455" spans="83:87" x14ac:dyDescent="0.2">
      <c r="CE8455"/>
      <c r="CF8455"/>
      <c r="CG8455"/>
      <c r="CH8455"/>
      <c r="CI8455"/>
    </row>
    <row r="8456" spans="83:87" x14ac:dyDescent="0.2">
      <c r="CE8456"/>
      <c r="CF8456"/>
      <c r="CG8456"/>
      <c r="CH8456"/>
      <c r="CI8456"/>
    </row>
    <row r="8457" spans="83:87" x14ac:dyDescent="0.2">
      <c r="CE8457"/>
      <c r="CF8457"/>
      <c r="CG8457"/>
      <c r="CH8457"/>
      <c r="CI8457"/>
    </row>
    <row r="8458" spans="83:87" x14ac:dyDescent="0.2">
      <c r="CE8458"/>
      <c r="CF8458"/>
      <c r="CG8458"/>
      <c r="CH8458"/>
      <c r="CI8458"/>
    </row>
    <row r="8459" spans="83:87" x14ac:dyDescent="0.2">
      <c r="CE8459"/>
      <c r="CF8459"/>
      <c r="CG8459"/>
      <c r="CH8459"/>
      <c r="CI8459"/>
    </row>
    <row r="8460" spans="83:87" x14ac:dyDescent="0.2">
      <c r="CE8460"/>
      <c r="CF8460"/>
      <c r="CG8460"/>
      <c r="CH8460"/>
      <c r="CI8460"/>
    </row>
    <row r="8461" spans="83:87" x14ac:dyDescent="0.2">
      <c r="CE8461"/>
      <c r="CF8461"/>
      <c r="CG8461"/>
      <c r="CH8461"/>
      <c r="CI8461"/>
    </row>
    <row r="8462" spans="83:87" x14ac:dyDescent="0.2">
      <c r="CE8462"/>
      <c r="CF8462"/>
      <c r="CG8462"/>
      <c r="CH8462"/>
      <c r="CI8462"/>
    </row>
    <row r="8463" spans="83:87" x14ac:dyDescent="0.2">
      <c r="CE8463"/>
      <c r="CF8463"/>
      <c r="CG8463"/>
      <c r="CH8463"/>
      <c r="CI8463"/>
    </row>
    <row r="8464" spans="83:87" x14ac:dyDescent="0.2">
      <c r="CE8464"/>
      <c r="CF8464"/>
      <c r="CG8464"/>
      <c r="CH8464"/>
      <c r="CI8464"/>
    </row>
    <row r="8465" spans="83:87" x14ac:dyDescent="0.2">
      <c r="CE8465"/>
      <c r="CF8465"/>
      <c r="CG8465"/>
      <c r="CH8465"/>
      <c r="CI8465"/>
    </row>
    <row r="8466" spans="83:87" x14ac:dyDescent="0.2">
      <c r="CE8466"/>
      <c r="CF8466"/>
      <c r="CG8466"/>
      <c r="CH8466"/>
      <c r="CI8466"/>
    </row>
    <row r="8467" spans="83:87" x14ac:dyDescent="0.2">
      <c r="CE8467"/>
      <c r="CF8467"/>
      <c r="CG8467"/>
      <c r="CH8467"/>
      <c r="CI8467"/>
    </row>
    <row r="8468" spans="83:87" x14ac:dyDescent="0.2">
      <c r="CE8468"/>
      <c r="CF8468"/>
      <c r="CG8468"/>
      <c r="CH8468"/>
      <c r="CI8468"/>
    </row>
    <row r="8469" spans="83:87" x14ac:dyDescent="0.2">
      <c r="CE8469"/>
      <c r="CF8469"/>
      <c r="CG8469"/>
      <c r="CH8469"/>
      <c r="CI8469"/>
    </row>
    <row r="8470" spans="83:87" x14ac:dyDescent="0.2">
      <c r="CE8470"/>
      <c r="CF8470"/>
      <c r="CG8470"/>
      <c r="CH8470"/>
      <c r="CI8470"/>
    </row>
    <row r="8471" spans="83:87" x14ac:dyDescent="0.2">
      <c r="CE8471"/>
      <c r="CF8471"/>
      <c r="CG8471"/>
      <c r="CH8471"/>
      <c r="CI8471"/>
    </row>
    <row r="8472" spans="83:87" x14ac:dyDescent="0.2">
      <c r="CE8472"/>
      <c r="CF8472"/>
      <c r="CG8472"/>
      <c r="CH8472"/>
      <c r="CI8472"/>
    </row>
    <row r="8473" spans="83:87" x14ac:dyDescent="0.2">
      <c r="CE8473"/>
      <c r="CF8473"/>
      <c r="CG8473"/>
      <c r="CH8473"/>
      <c r="CI8473"/>
    </row>
    <row r="8474" spans="83:87" x14ac:dyDescent="0.2">
      <c r="CE8474"/>
      <c r="CF8474"/>
      <c r="CG8474"/>
      <c r="CH8474"/>
      <c r="CI8474"/>
    </row>
    <row r="8475" spans="83:87" x14ac:dyDescent="0.2">
      <c r="CE8475"/>
      <c r="CF8475"/>
      <c r="CG8475"/>
      <c r="CH8475"/>
      <c r="CI8475"/>
    </row>
    <row r="8476" spans="83:87" x14ac:dyDescent="0.2">
      <c r="CE8476"/>
      <c r="CF8476"/>
      <c r="CG8476"/>
      <c r="CH8476"/>
      <c r="CI8476"/>
    </row>
    <row r="8477" spans="83:87" x14ac:dyDescent="0.2">
      <c r="CE8477"/>
      <c r="CF8477"/>
      <c r="CG8477"/>
      <c r="CH8477"/>
      <c r="CI8477"/>
    </row>
    <row r="8478" spans="83:87" x14ac:dyDescent="0.2">
      <c r="CE8478"/>
      <c r="CF8478"/>
      <c r="CG8478"/>
      <c r="CH8478"/>
      <c r="CI8478"/>
    </row>
    <row r="8479" spans="83:87" x14ac:dyDescent="0.2">
      <c r="CE8479"/>
      <c r="CF8479"/>
      <c r="CG8479"/>
      <c r="CH8479"/>
      <c r="CI8479"/>
    </row>
    <row r="8480" spans="83:87" x14ac:dyDescent="0.2">
      <c r="CE8480"/>
      <c r="CF8480"/>
      <c r="CG8480"/>
      <c r="CH8480"/>
      <c r="CI8480"/>
    </row>
    <row r="8481" spans="83:87" x14ac:dyDescent="0.2">
      <c r="CE8481"/>
      <c r="CF8481"/>
      <c r="CG8481"/>
      <c r="CH8481"/>
      <c r="CI8481"/>
    </row>
    <row r="8482" spans="83:87" x14ac:dyDescent="0.2">
      <c r="CE8482"/>
      <c r="CF8482"/>
      <c r="CG8482"/>
      <c r="CH8482"/>
      <c r="CI8482"/>
    </row>
    <row r="8483" spans="83:87" x14ac:dyDescent="0.2">
      <c r="CE8483"/>
      <c r="CF8483"/>
      <c r="CG8483"/>
      <c r="CH8483"/>
      <c r="CI8483"/>
    </row>
    <row r="8484" spans="83:87" x14ac:dyDescent="0.2">
      <c r="CE8484"/>
      <c r="CF8484"/>
      <c r="CG8484"/>
      <c r="CH8484"/>
      <c r="CI8484"/>
    </row>
    <row r="8485" spans="83:87" x14ac:dyDescent="0.2">
      <c r="CE8485"/>
      <c r="CF8485"/>
      <c r="CG8485"/>
      <c r="CH8485"/>
      <c r="CI8485"/>
    </row>
    <row r="8486" spans="83:87" x14ac:dyDescent="0.2">
      <c r="CE8486"/>
      <c r="CF8486"/>
      <c r="CG8486"/>
      <c r="CH8486"/>
      <c r="CI8486"/>
    </row>
    <row r="8487" spans="83:87" x14ac:dyDescent="0.2">
      <c r="CE8487"/>
      <c r="CF8487"/>
      <c r="CG8487"/>
      <c r="CH8487"/>
      <c r="CI8487"/>
    </row>
    <row r="8488" spans="83:87" x14ac:dyDescent="0.2">
      <c r="CE8488"/>
      <c r="CF8488"/>
      <c r="CG8488"/>
      <c r="CH8488"/>
      <c r="CI8488"/>
    </row>
    <row r="8489" spans="83:87" x14ac:dyDescent="0.2">
      <c r="CE8489"/>
      <c r="CF8489"/>
      <c r="CG8489"/>
      <c r="CH8489"/>
      <c r="CI8489"/>
    </row>
    <row r="8490" spans="83:87" x14ac:dyDescent="0.2">
      <c r="CE8490"/>
      <c r="CF8490"/>
      <c r="CG8490"/>
      <c r="CH8490"/>
      <c r="CI8490"/>
    </row>
    <row r="8491" spans="83:87" x14ac:dyDescent="0.2">
      <c r="CE8491"/>
      <c r="CF8491"/>
      <c r="CG8491"/>
      <c r="CH8491"/>
      <c r="CI8491"/>
    </row>
    <row r="8492" spans="83:87" x14ac:dyDescent="0.2">
      <c r="CE8492"/>
      <c r="CF8492"/>
      <c r="CG8492"/>
      <c r="CH8492"/>
      <c r="CI8492"/>
    </row>
    <row r="8493" spans="83:87" x14ac:dyDescent="0.2">
      <c r="CE8493"/>
      <c r="CF8493"/>
      <c r="CG8493"/>
      <c r="CH8493"/>
      <c r="CI8493"/>
    </row>
    <row r="8494" spans="83:87" x14ac:dyDescent="0.2">
      <c r="CE8494"/>
      <c r="CF8494"/>
      <c r="CG8494"/>
      <c r="CH8494"/>
      <c r="CI8494"/>
    </row>
    <row r="8495" spans="83:87" x14ac:dyDescent="0.2">
      <c r="CE8495"/>
      <c r="CF8495"/>
      <c r="CG8495"/>
      <c r="CH8495"/>
      <c r="CI8495"/>
    </row>
    <row r="8496" spans="83:87" x14ac:dyDescent="0.2">
      <c r="CE8496"/>
      <c r="CF8496"/>
      <c r="CG8496"/>
      <c r="CH8496"/>
      <c r="CI8496"/>
    </row>
    <row r="8497" spans="83:87" x14ac:dyDescent="0.2">
      <c r="CE8497"/>
      <c r="CF8497"/>
      <c r="CG8497"/>
      <c r="CH8497"/>
      <c r="CI8497"/>
    </row>
    <row r="8498" spans="83:87" x14ac:dyDescent="0.2">
      <c r="CE8498"/>
      <c r="CF8498"/>
      <c r="CG8498"/>
      <c r="CH8498"/>
      <c r="CI8498"/>
    </row>
    <row r="8499" spans="83:87" x14ac:dyDescent="0.2">
      <c r="CE8499"/>
      <c r="CF8499"/>
      <c r="CG8499"/>
      <c r="CH8499"/>
      <c r="CI8499"/>
    </row>
    <row r="8500" spans="83:87" x14ac:dyDescent="0.2">
      <c r="CE8500"/>
      <c r="CF8500"/>
      <c r="CG8500"/>
      <c r="CH8500"/>
      <c r="CI8500"/>
    </row>
    <row r="8501" spans="83:87" x14ac:dyDescent="0.2">
      <c r="CE8501"/>
      <c r="CF8501"/>
      <c r="CG8501"/>
      <c r="CH8501"/>
      <c r="CI8501"/>
    </row>
    <row r="8502" spans="83:87" x14ac:dyDescent="0.2">
      <c r="CE8502"/>
      <c r="CF8502"/>
      <c r="CG8502"/>
      <c r="CH8502"/>
      <c r="CI8502"/>
    </row>
    <row r="8503" spans="83:87" x14ac:dyDescent="0.2">
      <c r="CE8503"/>
      <c r="CF8503"/>
      <c r="CG8503"/>
      <c r="CH8503"/>
      <c r="CI8503"/>
    </row>
    <row r="8504" spans="83:87" x14ac:dyDescent="0.2">
      <c r="CE8504"/>
      <c r="CF8504"/>
      <c r="CG8504"/>
      <c r="CH8504"/>
      <c r="CI8504"/>
    </row>
    <row r="8505" spans="83:87" x14ac:dyDescent="0.2">
      <c r="CE8505"/>
      <c r="CF8505"/>
      <c r="CG8505"/>
      <c r="CH8505"/>
      <c r="CI8505"/>
    </row>
    <row r="8506" spans="83:87" x14ac:dyDescent="0.2">
      <c r="CE8506"/>
      <c r="CF8506"/>
      <c r="CG8506"/>
      <c r="CH8506"/>
      <c r="CI8506"/>
    </row>
    <row r="8507" spans="83:87" x14ac:dyDescent="0.2">
      <c r="CE8507"/>
      <c r="CF8507"/>
      <c r="CG8507"/>
      <c r="CH8507"/>
      <c r="CI8507"/>
    </row>
    <row r="8508" spans="83:87" x14ac:dyDescent="0.2">
      <c r="CE8508"/>
      <c r="CF8508"/>
      <c r="CG8508"/>
      <c r="CH8508"/>
      <c r="CI8508"/>
    </row>
    <row r="8509" spans="83:87" x14ac:dyDescent="0.2">
      <c r="CE8509"/>
      <c r="CF8509"/>
      <c r="CG8509"/>
      <c r="CH8509"/>
      <c r="CI8509"/>
    </row>
    <row r="8510" spans="83:87" x14ac:dyDescent="0.2">
      <c r="CE8510"/>
      <c r="CF8510"/>
      <c r="CG8510"/>
      <c r="CH8510"/>
      <c r="CI8510"/>
    </row>
    <row r="8511" spans="83:87" x14ac:dyDescent="0.2">
      <c r="CE8511"/>
      <c r="CF8511"/>
      <c r="CG8511"/>
      <c r="CH8511"/>
      <c r="CI8511"/>
    </row>
    <row r="8512" spans="83:87" x14ac:dyDescent="0.2">
      <c r="CE8512"/>
      <c r="CF8512"/>
      <c r="CG8512"/>
      <c r="CH8512"/>
      <c r="CI8512"/>
    </row>
    <row r="8513" spans="83:87" x14ac:dyDescent="0.2">
      <c r="CE8513"/>
      <c r="CF8513"/>
      <c r="CG8513"/>
      <c r="CH8513"/>
      <c r="CI8513"/>
    </row>
    <row r="8514" spans="83:87" x14ac:dyDescent="0.2">
      <c r="CE8514"/>
      <c r="CF8514"/>
      <c r="CG8514"/>
      <c r="CH8514"/>
      <c r="CI8514"/>
    </row>
    <row r="8515" spans="83:87" x14ac:dyDescent="0.2">
      <c r="CE8515"/>
      <c r="CF8515"/>
      <c r="CG8515"/>
      <c r="CH8515"/>
      <c r="CI8515"/>
    </row>
    <row r="8516" spans="83:87" x14ac:dyDescent="0.2">
      <c r="CE8516"/>
      <c r="CF8516"/>
      <c r="CG8516"/>
      <c r="CH8516"/>
      <c r="CI8516"/>
    </row>
    <row r="8517" spans="83:87" x14ac:dyDescent="0.2">
      <c r="CE8517"/>
      <c r="CF8517"/>
      <c r="CG8517"/>
      <c r="CH8517"/>
      <c r="CI8517"/>
    </row>
    <row r="8518" spans="83:87" x14ac:dyDescent="0.2">
      <c r="CE8518"/>
      <c r="CF8518"/>
      <c r="CG8518"/>
      <c r="CH8518"/>
      <c r="CI8518"/>
    </row>
    <row r="8519" spans="83:87" x14ac:dyDescent="0.2">
      <c r="CE8519"/>
      <c r="CF8519"/>
      <c r="CG8519"/>
      <c r="CH8519"/>
      <c r="CI8519"/>
    </row>
    <row r="8520" spans="83:87" x14ac:dyDescent="0.2">
      <c r="CE8520"/>
      <c r="CF8520"/>
      <c r="CG8520"/>
      <c r="CH8520"/>
      <c r="CI8520"/>
    </row>
    <row r="8521" spans="83:87" x14ac:dyDescent="0.2">
      <c r="CE8521"/>
      <c r="CF8521"/>
      <c r="CG8521"/>
      <c r="CH8521"/>
      <c r="CI8521"/>
    </row>
    <row r="8522" spans="83:87" x14ac:dyDescent="0.2">
      <c r="CE8522"/>
      <c r="CF8522"/>
      <c r="CG8522"/>
      <c r="CH8522"/>
      <c r="CI8522"/>
    </row>
    <row r="8523" spans="83:87" x14ac:dyDescent="0.2">
      <c r="CE8523"/>
      <c r="CF8523"/>
      <c r="CG8523"/>
      <c r="CH8523"/>
      <c r="CI8523"/>
    </row>
    <row r="8524" spans="83:87" x14ac:dyDescent="0.2">
      <c r="CE8524"/>
      <c r="CF8524"/>
      <c r="CG8524"/>
      <c r="CH8524"/>
      <c r="CI8524"/>
    </row>
    <row r="8525" spans="83:87" x14ac:dyDescent="0.2">
      <c r="CE8525"/>
      <c r="CF8525"/>
      <c r="CG8525"/>
      <c r="CH8525"/>
      <c r="CI8525"/>
    </row>
    <row r="8526" spans="83:87" x14ac:dyDescent="0.2">
      <c r="CE8526"/>
      <c r="CF8526"/>
      <c r="CG8526"/>
      <c r="CH8526"/>
      <c r="CI8526"/>
    </row>
    <row r="8527" spans="83:87" x14ac:dyDescent="0.2">
      <c r="CE8527"/>
      <c r="CF8527"/>
      <c r="CG8527"/>
      <c r="CH8527"/>
      <c r="CI8527"/>
    </row>
    <row r="8528" spans="83:87" x14ac:dyDescent="0.2">
      <c r="CE8528"/>
      <c r="CF8528"/>
      <c r="CG8528"/>
      <c r="CH8528"/>
      <c r="CI8528"/>
    </row>
    <row r="8529" spans="83:87" x14ac:dyDescent="0.2">
      <c r="CE8529"/>
      <c r="CF8529"/>
      <c r="CG8529"/>
      <c r="CH8529"/>
      <c r="CI8529"/>
    </row>
    <row r="8530" spans="83:87" x14ac:dyDescent="0.2">
      <c r="CE8530"/>
      <c r="CF8530"/>
      <c r="CG8530"/>
      <c r="CH8530"/>
      <c r="CI8530"/>
    </row>
    <row r="8531" spans="83:87" x14ac:dyDescent="0.2">
      <c r="CE8531"/>
      <c r="CF8531"/>
      <c r="CG8531"/>
      <c r="CH8531"/>
      <c r="CI8531"/>
    </row>
    <row r="8532" spans="83:87" x14ac:dyDescent="0.2">
      <c r="CE8532"/>
      <c r="CF8532"/>
      <c r="CG8532"/>
      <c r="CH8532"/>
      <c r="CI8532"/>
    </row>
    <row r="8533" spans="83:87" x14ac:dyDescent="0.2">
      <c r="CE8533"/>
      <c r="CF8533"/>
      <c r="CG8533"/>
      <c r="CH8533"/>
      <c r="CI8533"/>
    </row>
    <row r="8534" spans="83:87" x14ac:dyDescent="0.2">
      <c r="CE8534"/>
      <c r="CF8534"/>
      <c r="CG8534"/>
      <c r="CH8534"/>
      <c r="CI8534"/>
    </row>
    <row r="8535" spans="83:87" x14ac:dyDescent="0.2">
      <c r="CE8535"/>
      <c r="CF8535"/>
      <c r="CG8535"/>
      <c r="CH8535"/>
      <c r="CI8535"/>
    </row>
    <row r="8536" spans="83:87" x14ac:dyDescent="0.2">
      <c r="CE8536"/>
      <c r="CF8536"/>
      <c r="CG8536"/>
      <c r="CH8536"/>
      <c r="CI8536"/>
    </row>
    <row r="8537" spans="83:87" x14ac:dyDescent="0.2">
      <c r="CE8537"/>
      <c r="CF8537"/>
      <c r="CG8537"/>
      <c r="CH8537"/>
      <c r="CI8537"/>
    </row>
    <row r="8538" spans="83:87" x14ac:dyDescent="0.2">
      <c r="CE8538"/>
      <c r="CF8538"/>
      <c r="CG8538"/>
      <c r="CH8538"/>
      <c r="CI8538"/>
    </row>
    <row r="8539" spans="83:87" x14ac:dyDescent="0.2">
      <c r="CE8539"/>
      <c r="CF8539"/>
      <c r="CG8539"/>
      <c r="CH8539"/>
      <c r="CI8539"/>
    </row>
    <row r="8540" spans="83:87" x14ac:dyDescent="0.2">
      <c r="CE8540"/>
      <c r="CF8540"/>
      <c r="CG8540"/>
      <c r="CH8540"/>
      <c r="CI8540"/>
    </row>
    <row r="8541" spans="83:87" x14ac:dyDescent="0.2">
      <c r="CE8541"/>
      <c r="CF8541"/>
      <c r="CG8541"/>
      <c r="CH8541"/>
      <c r="CI8541"/>
    </row>
    <row r="8542" spans="83:87" x14ac:dyDescent="0.2">
      <c r="CE8542"/>
      <c r="CF8542"/>
      <c r="CG8542"/>
      <c r="CH8542"/>
      <c r="CI8542"/>
    </row>
    <row r="8543" spans="83:87" x14ac:dyDescent="0.2">
      <c r="CE8543"/>
      <c r="CF8543"/>
      <c r="CG8543"/>
      <c r="CH8543"/>
      <c r="CI8543"/>
    </row>
    <row r="8544" spans="83:87" x14ac:dyDescent="0.2">
      <c r="CE8544"/>
      <c r="CF8544"/>
      <c r="CG8544"/>
      <c r="CH8544"/>
      <c r="CI8544"/>
    </row>
    <row r="8545" spans="83:87" x14ac:dyDescent="0.2">
      <c r="CE8545"/>
      <c r="CF8545"/>
      <c r="CG8545"/>
      <c r="CH8545"/>
      <c r="CI8545"/>
    </row>
    <row r="8546" spans="83:87" x14ac:dyDescent="0.2">
      <c r="CE8546"/>
      <c r="CF8546"/>
      <c r="CG8546"/>
      <c r="CH8546"/>
      <c r="CI8546"/>
    </row>
    <row r="8547" spans="83:87" x14ac:dyDescent="0.2">
      <c r="CE8547"/>
      <c r="CF8547"/>
      <c r="CG8547"/>
      <c r="CH8547"/>
      <c r="CI8547"/>
    </row>
    <row r="8548" spans="83:87" x14ac:dyDescent="0.2">
      <c r="CE8548"/>
      <c r="CF8548"/>
      <c r="CG8548"/>
      <c r="CH8548"/>
      <c r="CI8548"/>
    </row>
    <row r="8549" spans="83:87" x14ac:dyDescent="0.2">
      <c r="CE8549"/>
      <c r="CF8549"/>
      <c r="CG8549"/>
      <c r="CH8549"/>
      <c r="CI8549"/>
    </row>
    <row r="8550" spans="83:87" x14ac:dyDescent="0.2">
      <c r="CE8550"/>
      <c r="CF8550"/>
      <c r="CG8550"/>
      <c r="CH8550"/>
      <c r="CI8550"/>
    </row>
    <row r="8551" spans="83:87" x14ac:dyDescent="0.2">
      <c r="CE8551"/>
      <c r="CF8551"/>
      <c r="CG8551"/>
      <c r="CH8551"/>
      <c r="CI8551"/>
    </row>
    <row r="8552" spans="83:87" x14ac:dyDescent="0.2">
      <c r="CE8552"/>
      <c r="CF8552"/>
      <c r="CG8552"/>
      <c r="CH8552"/>
      <c r="CI8552"/>
    </row>
    <row r="8553" spans="83:87" x14ac:dyDescent="0.2">
      <c r="CE8553"/>
      <c r="CF8553"/>
      <c r="CG8553"/>
      <c r="CH8553"/>
      <c r="CI8553"/>
    </row>
    <row r="8554" spans="83:87" x14ac:dyDescent="0.2">
      <c r="CE8554"/>
      <c r="CF8554"/>
      <c r="CG8554"/>
      <c r="CH8554"/>
      <c r="CI8554"/>
    </row>
    <row r="8555" spans="83:87" x14ac:dyDescent="0.2">
      <c r="CE8555"/>
      <c r="CF8555"/>
      <c r="CG8555"/>
      <c r="CH8555"/>
      <c r="CI8555"/>
    </row>
    <row r="8556" spans="83:87" x14ac:dyDescent="0.2">
      <c r="CE8556"/>
      <c r="CF8556"/>
      <c r="CG8556"/>
      <c r="CH8556"/>
      <c r="CI8556"/>
    </row>
    <row r="8557" spans="83:87" x14ac:dyDescent="0.2">
      <c r="CE8557"/>
      <c r="CF8557"/>
      <c r="CG8557"/>
      <c r="CH8557"/>
      <c r="CI8557"/>
    </row>
    <row r="8558" spans="83:87" x14ac:dyDescent="0.2">
      <c r="CE8558"/>
      <c r="CF8558"/>
      <c r="CG8558"/>
      <c r="CH8558"/>
      <c r="CI8558"/>
    </row>
    <row r="8559" spans="83:87" x14ac:dyDescent="0.2">
      <c r="CE8559"/>
      <c r="CF8559"/>
      <c r="CG8559"/>
      <c r="CH8559"/>
      <c r="CI8559"/>
    </row>
    <row r="8560" spans="83:87" x14ac:dyDescent="0.2">
      <c r="CE8560"/>
      <c r="CF8560"/>
      <c r="CG8560"/>
      <c r="CH8560"/>
      <c r="CI8560"/>
    </row>
    <row r="8561" spans="83:87" x14ac:dyDescent="0.2">
      <c r="CE8561"/>
      <c r="CF8561"/>
      <c r="CG8561"/>
      <c r="CH8561"/>
      <c r="CI8561"/>
    </row>
    <row r="8562" spans="83:87" x14ac:dyDescent="0.2">
      <c r="CE8562"/>
      <c r="CF8562"/>
      <c r="CG8562"/>
      <c r="CH8562"/>
      <c r="CI8562"/>
    </row>
    <row r="8563" spans="83:87" x14ac:dyDescent="0.2">
      <c r="CE8563"/>
      <c r="CF8563"/>
      <c r="CG8563"/>
      <c r="CH8563"/>
      <c r="CI8563"/>
    </row>
    <row r="8564" spans="83:87" x14ac:dyDescent="0.2">
      <c r="CE8564"/>
      <c r="CF8564"/>
      <c r="CG8564"/>
      <c r="CH8564"/>
      <c r="CI8564"/>
    </row>
    <row r="8565" spans="83:87" x14ac:dyDescent="0.2">
      <c r="CE8565"/>
      <c r="CF8565"/>
      <c r="CG8565"/>
      <c r="CH8565"/>
      <c r="CI8565"/>
    </row>
    <row r="8566" spans="83:87" x14ac:dyDescent="0.2">
      <c r="CE8566"/>
      <c r="CF8566"/>
      <c r="CG8566"/>
      <c r="CH8566"/>
      <c r="CI8566"/>
    </row>
    <row r="8567" spans="83:87" x14ac:dyDescent="0.2">
      <c r="CE8567"/>
      <c r="CF8567"/>
      <c r="CG8567"/>
      <c r="CH8567"/>
      <c r="CI8567"/>
    </row>
    <row r="8568" spans="83:87" x14ac:dyDescent="0.2">
      <c r="CE8568"/>
      <c r="CF8568"/>
      <c r="CG8568"/>
      <c r="CH8568"/>
      <c r="CI8568"/>
    </row>
    <row r="8569" spans="83:87" x14ac:dyDescent="0.2">
      <c r="CE8569"/>
      <c r="CF8569"/>
      <c r="CG8569"/>
      <c r="CH8569"/>
      <c r="CI8569"/>
    </row>
    <row r="8570" spans="83:87" x14ac:dyDescent="0.2">
      <c r="CE8570"/>
      <c r="CF8570"/>
      <c r="CG8570"/>
      <c r="CH8570"/>
      <c r="CI8570"/>
    </row>
    <row r="8571" spans="83:87" x14ac:dyDescent="0.2">
      <c r="CE8571"/>
      <c r="CF8571"/>
      <c r="CG8571"/>
      <c r="CH8571"/>
      <c r="CI8571"/>
    </row>
    <row r="8572" spans="83:87" x14ac:dyDescent="0.2">
      <c r="CE8572"/>
      <c r="CF8572"/>
      <c r="CG8572"/>
      <c r="CH8572"/>
      <c r="CI8572"/>
    </row>
    <row r="8573" spans="83:87" x14ac:dyDescent="0.2">
      <c r="CE8573"/>
      <c r="CF8573"/>
      <c r="CG8573"/>
      <c r="CH8573"/>
      <c r="CI8573"/>
    </row>
    <row r="8574" spans="83:87" x14ac:dyDescent="0.2">
      <c r="CE8574"/>
      <c r="CF8574"/>
      <c r="CG8574"/>
      <c r="CH8574"/>
      <c r="CI8574"/>
    </row>
    <row r="8575" spans="83:87" x14ac:dyDescent="0.2">
      <c r="CE8575"/>
      <c r="CF8575"/>
      <c r="CG8575"/>
      <c r="CH8575"/>
      <c r="CI8575"/>
    </row>
    <row r="8576" spans="83:87" x14ac:dyDescent="0.2">
      <c r="CE8576"/>
      <c r="CF8576"/>
      <c r="CG8576"/>
      <c r="CH8576"/>
      <c r="CI8576"/>
    </row>
    <row r="8577" spans="83:87" x14ac:dyDescent="0.2">
      <c r="CE8577"/>
      <c r="CF8577"/>
      <c r="CG8577"/>
      <c r="CH8577"/>
      <c r="CI8577"/>
    </row>
    <row r="8578" spans="83:87" x14ac:dyDescent="0.2">
      <c r="CE8578"/>
      <c r="CF8578"/>
      <c r="CG8578"/>
      <c r="CH8578"/>
      <c r="CI8578"/>
    </row>
    <row r="8579" spans="83:87" x14ac:dyDescent="0.2">
      <c r="CE8579"/>
      <c r="CF8579"/>
      <c r="CG8579"/>
      <c r="CH8579"/>
      <c r="CI8579"/>
    </row>
    <row r="8580" spans="83:87" x14ac:dyDescent="0.2">
      <c r="CE8580"/>
      <c r="CF8580"/>
      <c r="CG8580"/>
      <c r="CH8580"/>
      <c r="CI8580"/>
    </row>
    <row r="8581" spans="83:87" x14ac:dyDescent="0.2">
      <c r="CE8581"/>
      <c r="CF8581"/>
      <c r="CG8581"/>
      <c r="CH8581"/>
      <c r="CI8581"/>
    </row>
    <row r="8582" spans="83:87" x14ac:dyDescent="0.2">
      <c r="CE8582"/>
      <c r="CF8582"/>
      <c r="CG8582"/>
      <c r="CH8582"/>
      <c r="CI8582"/>
    </row>
    <row r="8583" spans="83:87" x14ac:dyDescent="0.2">
      <c r="CE8583"/>
      <c r="CF8583"/>
      <c r="CG8583"/>
      <c r="CH8583"/>
      <c r="CI8583"/>
    </row>
    <row r="8584" spans="83:87" x14ac:dyDescent="0.2">
      <c r="CE8584"/>
      <c r="CF8584"/>
      <c r="CG8584"/>
      <c r="CH8584"/>
      <c r="CI8584"/>
    </row>
    <row r="8585" spans="83:87" x14ac:dyDescent="0.2">
      <c r="CE8585"/>
      <c r="CF8585"/>
      <c r="CG8585"/>
      <c r="CH8585"/>
      <c r="CI8585"/>
    </row>
    <row r="8586" spans="83:87" x14ac:dyDescent="0.2">
      <c r="CE8586"/>
      <c r="CF8586"/>
      <c r="CG8586"/>
      <c r="CH8586"/>
      <c r="CI8586"/>
    </row>
    <row r="8587" spans="83:87" x14ac:dyDescent="0.2">
      <c r="CE8587"/>
      <c r="CF8587"/>
      <c r="CG8587"/>
      <c r="CH8587"/>
      <c r="CI8587"/>
    </row>
    <row r="8588" spans="83:87" x14ac:dyDescent="0.2">
      <c r="CE8588"/>
      <c r="CF8588"/>
      <c r="CG8588"/>
      <c r="CH8588"/>
      <c r="CI8588"/>
    </row>
    <row r="8589" spans="83:87" x14ac:dyDescent="0.2">
      <c r="CE8589"/>
      <c r="CF8589"/>
      <c r="CG8589"/>
      <c r="CH8589"/>
      <c r="CI8589"/>
    </row>
    <row r="8590" spans="83:87" x14ac:dyDescent="0.2">
      <c r="CE8590"/>
      <c r="CF8590"/>
      <c r="CG8590"/>
      <c r="CH8590"/>
      <c r="CI8590"/>
    </row>
    <row r="8591" spans="83:87" x14ac:dyDescent="0.2">
      <c r="CE8591"/>
      <c r="CF8591"/>
      <c r="CG8591"/>
      <c r="CH8591"/>
      <c r="CI8591"/>
    </row>
    <row r="8592" spans="83:87" x14ac:dyDescent="0.2">
      <c r="CE8592"/>
      <c r="CF8592"/>
      <c r="CG8592"/>
      <c r="CH8592"/>
      <c r="CI8592"/>
    </row>
    <row r="8593" spans="83:87" x14ac:dyDescent="0.2">
      <c r="CE8593"/>
      <c r="CF8593"/>
      <c r="CG8593"/>
      <c r="CH8593"/>
      <c r="CI8593"/>
    </row>
    <row r="8594" spans="83:87" x14ac:dyDescent="0.2">
      <c r="CE8594"/>
      <c r="CF8594"/>
      <c r="CG8594"/>
      <c r="CH8594"/>
      <c r="CI8594"/>
    </row>
    <row r="8595" spans="83:87" x14ac:dyDescent="0.2">
      <c r="CE8595"/>
      <c r="CF8595"/>
      <c r="CG8595"/>
      <c r="CH8595"/>
      <c r="CI8595"/>
    </row>
    <row r="8596" spans="83:87" x14ac:dyDescent="0.2">
      <c r="CE8596"/>
      <c r="CF8596"/>
      <c r="CG8596"/>
      <c r="CH8596"/>
      <c r="CI8596"/>
    </row>
    <row r="8597" spans="83:87" x14ac:dyDescent="0.2">
      <c r="CE8597"/>
      <c r="CF8597"/>
      <c r="CG8597"/>
      <c r="CH8597"/>
      <c r="CI8597"/>
    </row>
    <row r="8598" spans="83:87" x14ac:dyDescent="0.2">
      <c r="CE8598"/>
      <c r="CF8598"/>
      <c r="CG8598"/>
      <c r="CH8598"/>
      <c r="CI8598"/>
    </row>
    <row r="8599" spans="83:87" x14ac:dyDescent="0.2">
      <c r="CE8599"/>
      <c r="CF8599"/>
      <c r="CG8599"/>
      <c r="CH8599"/>
      <c r="CI8599"/>
    </row>
    <row r="8600" spans="83:87" x14ac:dyDescent="0.2">
      <c r="CE8600"/>
      <c r="CF8600"/>
      <c r="CG8600"/>
      <c r="CH8600"/>
      <c r="CI8600"/>
    </row>
    <row r="8601" spans="83:87" x14ac:dyDescent="0.2">
      <c r="CE8601"/>
      <c r="CF8601"/>
      <c r="CG8601"/>
      <c r="CH8601"/>
      <c r="CI8601"/>
    </row>
    <row r="8602" spans="83:87" x14ac:dyDescent="0.2">
      <c r="CE8602"/>
      <c r="CF8602"/>
      <c r="CG8602"/>
      <c r="CH8602"/>
      <c r="CI8602"/>
    </row>
    <row r="8603" spans="83:87" x14ac:dyDescent="0.2">
      <c r="CE8603"/>
      <c r="CF8603"/>
      <c r="CG8603"/>
      <c r="CH8603"/>
      <c r="CI8603"/>
    </row>
    <row r="8604" spans="83:87" x14ac:dyDescent="0.2">
      <c r="CE8604"/>
      <c r="CF8604"/>
      <c r="CG8604"/>
      <c r="CH8604"/>
      <c r="CI8604"/>
    </row>
    <row r="8605" spans="83:87" x14ac:dyDescent="0.2">
      <c r="CE8605"/>
      <c r="CF8605"/>
      <c r="CG8605"/>
      <c r="CH8605"/>
      <c r="CI8605"/>
    </row>
    <row r="8606" spans="83:87" x14ac:dyDescent="0.2">
      <c r="CE8606"/>
      <c r="CF8606"/>
      <c r="CG8606"/>
      <c r="CH8606"/>
      <c r="CI8606"/>
    </row>
    <row r="8607" spans="83:87" x14ac:dyDescent="0.2">
      <c r="CE8607"/>
      <c r="CF8607"/>
      <c r="CG8607"/>
      <c r="CH8607"/>
      <c r="CI8607"/>
    </row>
    <row r="8608" spans="83:87" x14ac:dyDescent="0.2">
      <c r="CE8608"/>
      <c r="CF8608"/>
      <c r="CG8608"/>
      <c r="CH8608"/>
      <c r="CI8608"/>
    </row>
    <row r="8609" spans="83:87" x14ac:dyDescent="0.2">
      <c r="CE8609"/>
      <c r="CF8609"/>
      <c r="CG8609"/>
      <c r="CH8609"/>
      <c r="CI8609"/>
    </row>
    <row r="8610" spans="83:87" x14ac:dyDescent="0.2">
      <c r="CE8610"/>
      <c r="CF8610"/>
      <c r="CG8610"/>
      <c r="CH8610"/>
      <c r="CI8610"/>
    </row>
    <row r="8611" spans="83:87" x14ac:dyDescent="0.2">
      <c r="CE8611"/>
      <c r="CF8611"/>
      <c r="CG8611"/>
      <c r="CH8611"/>
      <c r="CI8611"/>
    </row>
    <row r="8612" spans="83:87" x14ac:dyDescent="0.2">
      <c r="CE8612"/>
      <c r="CF8612"/>
      <c r="CG8612"/>
      <c r="CH8612"/>
      <c r="CI8612"/>
    </row>
    <row r="8613" spans="83:87" x14ac:dyDescent="0.2">
      <c r="CE8613"/>
      <c r="CF8613"/>
      <c r="CG8613"/>
      <c r="CH8613"/>
      <c r="CI8613"/>
    </row>
    <row r="8614" spans="83:87" x14ac:dyDescent="0.2">
      <c r="CE8614"/>
      <c r="CF8614"/>
      <c r="CG8614"/>
      <c r="CH8614"/>
      <c r="CI8614"/>
    </row>
    <row r="8615" spans="83:87" x14ac:dyDescent="0.2">
      <c r="CE8615"/>
      <c r="CF8615"/>
      <c r="CG8615"/>
      <c r="CH8615"/>
      <c r="CI8615"/>
    </row>
    <row r="8616" spans="83:87" x14ac:dyDescent="0.2">
      <c r="CE8616"/>
      <c r="CF8616"/>
      <c r="CG8616"/>
      <c r="CH8616"/>
      <c r="CI8616"/>
    </row>
    <row r="8617" spans="83:87" x14ac:dyDescent="0.2">
      <c r="CE8617"/>
      <c r="CF8617"/>
      <c r="CG8617"/>
      <c r="CH8617"/>
      <c r="CI8617"/>
    </row>
    <row r="8618" spans="83:87" x14ac:dyDescent="0.2">
      <c r="CE8618"/>
      <c r="CF8618"/>
      <c r="CG8618"/>
      <c r="CH8618"/>
      <c r="CI8618"/>
    </row>
    <row r="8619" spans="83:87" x14ac:dyDescent="0.2">
      <c r="CE8619"/>
      <c r="CF8619"/>
      <c r="CG8619"/>
      <c r="CH8619"/>
      <c r="CI8619"/>
    </row>
    <row r="8620" spans="83:87" x14ac:dyDescent="0.2">
      <c r="CE8620"/>
      <c r="CF8620"/>
      <c r="CG8620"/>
      <c r="CH8620"/>
      <c r="CI8620"/>
    </row>
    <row r="8621" spans="83:87" x14ac:dyDescent="0.2">
      <c r="CE8621"/>
      <c r="CF8621"/>
      <c r="CG8621"/>
      <c r="CH8621"/>
      <c r="CI8621"/>
    </row>
    <row r="8622" spans="83:87" x14ac:dyDescent="0.2">
      <c r="CE8622"/>
      <c r="CF8622"/>
      <c r="CG8622"/>
      <c r="CH8622"/>
      <c r="CI8622"/>
    </row>
    <row r="8623" spans="83:87" x14ac:dyDescent="0.2">
      <c r="CE8623"/>
      <c r="CF8623"/>
      <c r="CG8623"/>
      <c r="CH8623"/>
      <c r="CI8623"/>
    </row>
    <row r="8624" spans="83:87" x14ac:dyDescent="0.2">
      <c r="CE8624"/>
      <c r="CF8624"/>
      <c r="CG8624"/>
      <c r="CH8624"/>
      <c r="CI8624"/>
    </row>
    <row r="8625" spans="83:87" x14ac:dyDescent="0.2">
      <c r="CE8625"/>
      <c r="CF8625"/>
      <c r="CG8625"/>
      <c r="CH8625"/>
      <c r="CI8625"/>
    </row>
    <row r="8626" spans="83:87" x14ac:dyDescent="0.2">
      <c r="CE8626"/>
      <c r="CF8626"/>
      <c r="CG8626"/>
      <c r="CH8626"/>
      <c r="CI8626"/>
    </row>
    <row r="8627" spans="83:87" x14ac:dyDescent="0.2">
      <c r="CE8627"/>
      <c r="CF8627"/>
      <c r="CG8627"/>
      <c r="CH8627"/>
      <c r="CI8627"/>
    </row>
    <row r="8628" spans="83:87" x14ac:dyDescent="0.2">
      <c r="CE8628"/>
      <c r="CF8628"/>
      <c r="CG8628"/>
      <c r="CH8628"/>
      <c r="CI8628"/>
    </row>
    <row r="8629" spans="83:87" x14ac:dyDescent="0.2">
      <c r="CE8629"/>
      <c r="CF8629"/>
      <c r="CG8629"/>
      <c r="CH8629"/>
      <c r="CI8629"/>
    </row>
    <row r="8630" spans="83:87" x14ac:dyDescent="0.2">
      <c r="CE8630"/>
      <c r="CF8630"/>
      <c r="CG8630"/>
      <c r="CH8630"/>
      <c r="CI8630"/>
    </row>
    <row r="8631" spans="83:87" x14ac:dyDescent="0.2">
      <c r="CE8631"/>
      <c r="CF8631"/>
      <c r="CG8631"/>
      <c r="CH8631"/>
      <c r="CI8631"/>
    </row>
    <row r="8632" spans="83:87" x14ac:dyDescent="0.2">
      <c r="CE8632"/>
      <c r="CF8632"/>
      <c r="CG8632"/>
      <c r="CH8632"/>
      <c r="CI8632"/>
    </row>
    <row r="8633" spans="83:87" x14ac:dyDescent="0.2">
      <c r="CE8633"/>
      <c r="CF8633"/>
      <c r="CG8633"/>
      <c r="CH8633"/>
      <c r="CI8633"/>
    </row>
    <row r="8634" spans="83:87" x14ac:dyDescent="0.2">
      <c r="CE8634"/>
      <c r="CF8634"/>
      <c r="CG8634"/>
      <c r="CH8634"/>
      <c r="CI8634"/>
    </row>
    <row r="8635" spans="83:87" x14ac:dyDescent="0.2">
      <c r="CE8635"/>
      <c r="CF8635"/>
      <c r="CG8635"/>
      <c r="CH8635"/>
      <c r="CI8635"/>
    </row>
    <row r="8636" spans="83:87" x14ac:dyDescent="0.2">
      <c r="CE8636"/>
      <c r="CF8636"/>
      <c r="CG8636"/>
      <c r="CH8636"/>
      <c r="CI8636"/>
    </row>
    <row r="8637" spans="83:87" x14ac:dyDescent="0.2">
      <c r="CE8637"/>
      <c r="CF8637"/>
      <c r="CG8637"/>
      <c r="CH8637"/>
      <c r="CI8637"/>
    </row>
    <row r="8638" spans="83:87" x14ac:dyDescent="0.2">
      <c r="CE8638"/>
      <c r="CF8638"/>
      <c r="CG8638"/>
      <c r="CH8638"/>
      <c r="CI8638"/>
    </row>
    <row r="8639" spans="83:87" x14ac:dyDescent="0.2">
      <c r="CE8639"/>
      <c r="CF8639"/>
      <c r="CG8639"/>
      <c r="CH8639"/>
      <c r="CI8639"/>
    </row>
    <row r="8640" spans="83:87" x14ac:dyDescent="0.2">
      <c r="CE8640"/>
      <c r="CF8640"/>
      <c r="CG8640"/>
      <c r="CH8640"/>
      <c r="CI8640"/>
    </row>
    <row r="8641" spans="83:87" x14ac:dyDescent="0.2">
      <c r="CE8641"/>
      <c r="CF8641"/>
      <c r="CG8641"/>
      <c r="CH8641"/>
      <c r="CI8641"/>
    </row>
    <row r="8642" spans="83:87" x14ac:dyDescent="0.2">
      <c r="CE8642"/>
      <c r="CF8642"/>
      <c r="CG8642"/>
      <c r="CH8642"/>
      <c r="CI8642"/>
    </row>
    <row r="8643" spans="83:87" x14ac:dyDescent="0.2">
      <c r="CE8643"/>
      <c r="CF8643"/>
      <c r="CG8643"/>
      <c r="CH8643"/>
      <c r="CI8643"/>
    </row>
    <row r="8644" spans="83:87" x14ac:dyDescent="0.2">
      <c r="CE8644"/>
      <c r="CF8644"/>
      <c r="CG8644"/>
      <c r="CH8644"/>
      <c r="CI8644"/>
    </row>
    <row r="8645" spans="83:87" x14ac:dyDescent="0.2">
      <c r="CE8645"/>
      <c r="CF8645"/>
      <c r="CG8645"/>
      <c r="CH8645"/>
      <c r="CI8645"/>
    </row>
    <row r="8646" spans="83:87" x14ac:dyDescent="0.2">
      <c r="CE8646"/>
      <c r="CF8646"/>
      <c r="CG8646"/>
      <c r="CH8646"/>
      <c r="CI8646"/>
    </row>
    <row r="8647" spans="83:87" x14ac:dyDescent="0.2">
      <c r="CE8647"/>
      <c r="CF8647"/>
      <c r="CG8647"/>
      <c r="CH8647"/>
      <c r="CI8647"/>
    </row>
    <row r="8648" spans="83:87" x14ac:dyDescent="0.2">
      <c r="CE8648"/>
      <c r="CF8648"/>
      <c r="CG8648"/>
      <c r="CH8648"/>
      <c r="CI8648"/>
    </row>
    <row r="8649" spans="83:87" x14ac:dyDescent="0.2">
      <c r="CE8649"/>
      <c r="CF8649"/>
      <c r="CG8649"/>
      <c r="CH8649"/>
      <c r="CI8649"/>
    </row>
    <row r="8650" spans="83:87" x14ac:dyDescent="0.2">
      <c r="CE8650"/>
      <c r="CF8650"/>
      <c r="CG8650"/>
      <c r="CH8650"/>
      <c r="CI8650"/>
    </row>
    <row r="8651" spans="83:87" x14ac:dyDescent="0.2">
      <c r="CE8651"/>
      <c r="CF8651"/>
      <c r="CG8651"/>
      <c r="CH8651"/>
      <c r="CI8651"/>
    </row>
    <row r="8652" spans="83:87" x14ac:dyDescent="0.2">
      <c r="CE8652"/>
      <c r="CF8652"/>
      <c r="CG8652"/>
      <c r="CH8652"/>
      <c r="CI8652"/>
    </row>
    <row r="8653" spans="83:87" x14ac:dyDescent="0.2">
      <c r="CE8653"/>
      <c r="CF8653"/>
      <c r="CG8653"/>
      <c r="CH8653"/>
      <c r="CI8653"/>
    </row>
    <row r="8654" spans="83:87" x14ac:dyDescent="0.2">
      <c r="CE8654"/>
      <c r="CF8654"/>
      <c r="CG8654"/>
      <c r="CH8654"/>
      <c r="CI8654"/>
    </row>
    <row r="8655" spans="83:87" x14ac:dyDescent="0.2">
      <c r="CE8655"/>
      <c r="CF8655"/>
      <c r="CG8655"/>
      <c r="CH8655"/>
      <c r="CI8655"/>
    </row>
    <row r="8656" spans="83:87" x14ac:dyDescent="0.2">
      <c r="CE8656"/>
      <c r="CF8656"/>
      <c r="CG8656"/>
      <c r="CH8656"/>
      <c r="CI8656"/>
    </row>
    <row r="8657" spans="83:87" x14ac:dyDescent="0.2">
      <c r="CE8657"/>
      <c r="CF8657"/>
      <c r="CG8657"/>
      <c r="CH8657"/>
      <c r="CI8657"/>
    </row>
    <row r="8658" spans="83:87" x14ac:dyDescent="0.2">
      <c r="CE8658"/>
      <c r="CF8658"/>
      <c r="CG8658"/>
      <c r="CH8658"/>
      <c r="CI8658"/>
    </row>
    <row r="8659" spans="83:87" x14ac:dyDescent="0.2">
      <c r="CE8659"/>
      <c r="CF8659"/>
      <c r="CG8659"/>
      <c r="CH8659"/>
      <c r="CI8659"/>
    </row>
    <row r="8660" spans="83:87" x14ac:dyDescent="0.2">
      <c r="CE8660"/>
      <c r="CF8660"/>
      <c r="CG8660"/>
      <c r="CH8660"/>
      <c r="CI8660"/>
    </row>
    <row r="8661" spans="83:87" x14ac:dyDescent="0.2">
      <c r="CE8661"/>
      <c r="CF8661"/>
      <c r="CG8661"/>
      <c r="CH8661"/>
      <c r="CI8661"/>
    </row>
    <row r="8662" spans="83:87" x14ac:dyDescent="0.2">
      <c r="CE8662"/>
      <c r="CF8662"/>
      <c r="CG8662"/>
      <c r="CH8662"/>
      <c r="CI8662"/>
    </row>
    <row r="8663" spans="83:87" x14ac:dyDescent="0.2">
      <c r="CE8663"/>
      <c r="CF8663"/>
      <c r="CG8663"/>
      <c r="CH8663"/>
      <c r="CI8663"/>
    </row>
    <row r="8664" spans="83:87" x14ac:dyDescent="0.2">
      <c r="CE8664"/>
      <c r="CF8664"/>
      <c r="CG8664"/>
      <c r="CH8664"/>
      <c r="CI8664"/>
    </row>
    <row r="8665" spans="83:87" x14ac:dyDescent="0.2">
      <c r="CE8665"/>
      <c r="CF8665"/>
      <c r="CG8665"/>
      <c r="CH8665"/>
      <c r="CI8665"/>
    </row>
    <row r="8666" spans="83:87" x14ac:dyDescent="0.2">
      <c r="CE8666"/>
      <c r="CF8666"/>
      <c r="CG8666"/>
      <c r="CH8666"/>
      <c r="CI8666"/>
    </row>
    <row r="8667" spans="83:87" x14ac:dyDescent="0.2">
      <c r="CE8667"/>
      <c r="CF8667"/>
      <c r="CG8667"/>
      <c r="CH8667"/>
      <c r="CI8667"/>
    </row>
    <row r="8668" spans="83:87" x14ac:dyDescent="0.2">
      <c r="CE8668"/>
      <c r="CF8668"/>
      <c r="CG8668"/>
      <c r="CH8668"/>
      <c r="CI8668"/>
    </row>
    <row r="8669" spans="83:87" x14ac:dyDescent="0.2">
      <c r="CE8669"/>
      <c r="CF8669"/>
      <c r="CG8669"/>
      <c r="CH8669"/>
      <c r="CI8669"/>
    </row>
    <row r="8670" spans="83:87" x14ac:dyDescent="0.2">
      <c r="CE8670"/>
      <c r="CF8670"/>
      <c r="CG8670"/>
      <c r="CH8670"/>
      <c r="CI8670"/>
    </row>
    <row r="8671" spans="83:87" x14ac:dyDescent="0.2">
      <c r="CE8671"/>
      <c r="CF8671"/>
      <c r="CG8671"/>
      <c r="CH8671"/>
      <c r="CI8671"/>
    </row>
    <row r="8672" spans="83:87" x14ac:dyDescent="0.2">
      <c r="CE8672"/>
      <c r="CF8672"/>
      <c r="CG8672"/>
      <c r="CH8672"/>
      <c r="CI8672"/>
    </row>
    <row r="8673" spans="83:87" x14ac:dyDescent="0.2">
      <c r="CE8673"/>
      <c r="CF8673"/>
      <c r="CG8673"/>
      <c r="CH8673"/>
      <c r="CI8673"/>
    </row>
    <row r="8674" spans="83:87" x14ac:dyDescent="0.2">
      <c r="CE8674"/>
      <c r="CF8674"/>
      <c r="CG8674"/>
      <c r="CH8674"/>
      <c r="CI8674"/>
    </row>
    <row r="8675" spans="83:87" x14ac:dyDescent="0.2">
      <c r="CE8675"/>
      <c r="CF8675"/>
      <c r="CG8675"/>
      <c r="CH8675"/>
      <c r="CI8675"/>
    </row>
    <row r="8676" spans="83:87" x14ac:dyDescent="0.2">
      <c r="CE8676"/>
      <c r="CF8676"/>
      <c r="CG8676"/>
      <c r="CH8676"/>
      <c r="CI8676"/>
    </row>
    <row r="8677" spans="83:87" x14ac:dyDescent="0.2">
      <c r="CE8677"/>
      <c r="CF8677"/>
      <c r="CG8677"/>
      <c r="CH8677"/>
      <c r="CI8677"/>
    </row>
    <row r="8678" spans="83:87" x14ac:dyDescent="0.2">
      <c r="CE8678"/>
      <c r="CF8678"/>
      <c r="CG8678"/>
      <c r="CH8678"/>
      <c r="CI8678"/>
    </row>
    <row r="8679" spans="83:87" x14ac:dyDescent="0.2">
      <c r="CE8679"/>
      <c r="CF8679"/>
      <c r="CG8679"/>
      <c r="CH8679"/>
      <c r="CI8679"/>
    </row>
    <row r="8680" spans="83:87" x14ac:dyDescent="0.2">
      <c r="CE8680"/>
      <c r="CF8680"/>
      <c r="CG8680"/>
      <c r="CH8680"/>
      <c r="CI8680"/>
    </row>
    <row r="8681" spans="83:87" x14ac:dyDescent="0.2">
      <c r="CE8681"/>
      <c r="CF8681"/>
      <c r="CG8681"/>
      <c r="CH8681"/>
      <c r="CI8681"/>
    </row>
    <row r="8682" spans="83:87" x14ac:dyDescent="0.2">
      <c r="CE8682"/>
      <c r="CF8682"/>
      <c r="CG8682"/>
      <c r="CH8682"/>
      <c r="CI8682"/>
    </row>
    <row r="8683" spans="83:87" x14ac:dyDescent="0.2">
      <c r="CE8683"/>
      <c r="CF8683"/>
      <c r="CG8683"/>
      <c r="CH8683"/>
      <c r="CI8683"/>
    </row>
    <row r="8684" spans="83:87" x14ac:dyDescent="0.2">
      <c r="CE8684"/>
      <c r="CF8684"/>
      <c r="CG8684"/>
      <c r="CH8684"/>
      <c r="CI8684"/>
    </row>
    <row r="8685" spans="83:87" x14ac:dyDescent="0.2">
      <c r="CE8685"/>
      <c r="CF8685"/>
      <c r="CG8685"/>
      <c r="CH8685"/>
      <c r="CI8685"/>
    </row>
    <row r="8686" spans="83:87" x14ac:dyDescent="0.2">
      <c r="CE8686"/>
      <c r="CF8686"/>
      <c r="CG8686"/>
      <c r="CH8686"/>
      <c r="CI8686"/>
    </row>
    <row r="8687" spans="83:87" x14ac:dyDescent="0.2">
      <c r="CE8687"/>
      <c r="CF8687"/>
      <c r="CG8687"/>
      <c r="CH8687"/>
      <c r="CI8687"/>
    </row>
    <row r="8688" spans="83:87" x14ac:dyDescent="0.2">
      <c r="CE8688"/>
      <c r="CF8688"/>
      <c r="CG8688"/>
      <c r="CH8688"/>
      <c r="CI8688"/>
    </row>
    <row r="8689" spans="83:87" x14ac:dyDescent="0.2">
      <c r="CE8689"/>
      <c r="CF8689"/>
      <c r="CG8689"/>
      <c r="CH8689"/>
      <c r="CI8689"/>
    </row>
    <row r="8690" spans="83:87" x14ac:dyDescent="0.2">
      <c r="CE8690"/>
      <c r="CF8690"/>
      <c r="CG8690"/>
      <c r="CH8690"/>
      <c r="CI8690"/>
    </row>
    <row r="8691" spans="83:87" x14ac:dyDescent="0.2">
      <c r="CE8691"/>
      <c r="CF8691"/>
      <c r="CG8691"/>
      <c r="CH8691"/>
      <c r="CI8691"/>
    </row>
    <row r="8692" spans="83:87" x14ac:dyDescent="0.2">
      <c r="CE8692"/>
      <c r="CF8692"/>
      <c r="CG8692"/>
      <c r="CH8692"/>
      <c r="CI8692"/>
    </row>
    <row r="8693" spans="83:87" x14ac:dyDescent="0.2">
      <c r="CE8693"/>
      <c r="CF8693"/>
      <c r="CG8693"/>
      <c r="CH8693"/>
      <c r="CI8693"/>
    </row>
    <row r="8694" spans="83:87" x14ac:dyDescent="0.2">
      <c r="CE8694"/>
      <c r="CF8694"/>
      <c r="CG8694"/>
      <c r="CH8694"/>
      <c r="CI8694"/>
    </row>
    <row r="8695" spans="83:87" x14ac:dyDescent="0.2">
      <c r="CE8695"/>
      <c r="CF8695"/>
      <c r="CG8695"/>
      <c r="CH8695"/>
      <c r="CI8695"/>
    </row>
    <row r="8696" spans="83:87" x14ac:dyDescent="0.2">
      <c r="CE8696"/>
      <c r="CF8696"/>
      <c r="CG8696"/>
      <c r="CH8696"/>
      <c r="CI8696"/>
    </row>
    <row r="8697" spans="83:87" x14ac:dyDescent="0.2">
      <c r="CE8697"/>
      <c r="CF8697"/>
      <c r="CG8697"/>
      <c r="CH8697"/>
      <c r="CI8697"/>
    </row>
    <row r="8698" spans="83:87" x14ac:dyDescent="0.2">
      <c r="CE8698"/>
      <c r="CF8698"/>
      <c r="CG8698"/>
      <c r="CH8698"/>
      <c r="CI8698"/>
    </row>
    <row r="8699" spans="83:87" x14ac:dyDescent="0.2">
      <c r="CE8699"/>
      <c r="CF8699"/>
      <c r="CG8699"/>
      <c r="CH8699"/>
      <c r="CI8699"/>
    </row>
    <row r="8700" spans="83:87" x14ac:dyDescent="0.2">
      <c r="CE8700"/>
      <c r="CF8700"/>
      <c r="CG8700"/>
      <c r="CH8700"/>
      <c r="CI8700"/>
    </row>
    <row r="8701" spans="83:87" x14ac:dyDescent="0.2">
      <c r="CE8701"/>
      <c r="CF8701"/>
      <c r="CG8701"/>
      <c r="CH8701"/>
      <c r="CI8701"/>
    </row>
    <row r="8702" spans="83:87" x14ac:dyDescent="0.2">
      <c r="CE8702"/>
      <c r="CF8702"/>
      <c r="CG8702"/>
      <c r="CH8702"/>
      <c r="CI8702"/>
    </row>
    <row r="8703" spans="83:87" x14ac:dyDescent="0.2">
      <c r="CE8703"/>
      <c r="CF8703"/>
      <c r="CG8703"/>
      <c r="CH8703"/>
      <c r="CI8703"/>
    </row>
    <row r="8704" spans="83:87" x14ac:dyDescent="0.2">
      <c r="CE8704"/>
      <c r="CF8704"/>
      <c r="CG8704"/>
      <c r="CH8704"/>
      <c r="CI8704"/>
    </row>
    <row r="8705" spans="83:87" x14ac:dyDescent="0.2">
      <c r="CE8705"/>
      <c r="CF8705"/>
      <c r="CG8705"/>
      <c r="CH8705"/>
      <c r="CI8705"/>
    </row>
    <row r="8706" spans="83:87" x14ac:dyDescent="0.2">
      <c r="CE8706"/>
      <c r="CF8706"/>
      <c r="CG8706"/>
      <c r="CH8706"/>
      <c r="CI8706"/>
    </row>
    <row r="8707" spans="83:87" x14ac:dyDescent="0.2">
      <c r="CE8707"/>
      <c r="CF8707"/>
      <c r="CG8707"/>
      <c r="CH8707"/>
      <c r="CI8707"/>
    </row>
    <row r="8708" spans="83:87" x14ac:dyDescent="0.2">
      <c r="CE8708"/>
      <c r="CF8708"/>
      <c r="CG8708"/>
      <c r="CH8708"/>
      <c r="CI8708"/>
    </row>
    <row r="8709" spans="83:87" x14ac:dyDescent="0.2">
      <c r="CE8709"/>
      <c r="CF8709"/>
      <c r="CG8709"/>
      <c r="CH8709"/>
      <c r="CI8709"/>
    </row>
    <row r="8710" spans="83:87" x14ac:dyDescent="0.2">
      <c r="CE8710"/>
      <c r="CF8710"/>
      <c r="CG8710"/>
      <c r="CH8710"/>
      <c r="CI8710"/>
    </row>
    <row r="8711" spans="83:87" x14ac:dyDescent="0.2">
      <c r="CE8711"/>
      <c r="CF8711"/>
      <c r="CG8711"/>
      <c r="CH8711"/>
      <c r="CI8711"/>
    </row>
    <row r="8712" spans="83:87" x14ac:dyDescent="0.2">
      <c r="CE8712"/>
      <c r="CF8712"/>
      <c r="CG8712"/>
      <c r="CH8712"/>
      <c r="CI8712"/>
    </row>
    <row r="8713" spans="83:87" x14ac:dyDescent="0.2">
      <c r="CE8713"/>
      <c r="CF8713"/>
      <c r="CG8713"/>
      <c r="CH8713"/>
      <c r="CI8713"/>
    </row>
    <row r="8714" spans="83:87" x14ac:dyDescent="0.2">
      <c r="CE8714"/>
      <c r="CF8714"/>
      <c r="CG8714"/>
      <c r="CH8714"/>
      <c r="CI8714"/>
    </row>
    <row r="8715" spans="83:87" x14ac:dyDescent="0.2">
      <c r="CE8715"/>
      <c r="CF8715"/>
      <c r="CG8715"/>
      <c r="CH8715"/>
      <c r="CI8715"/>
    </row>
    <row r="8716" spans="83:87" x14ac:dyDescent="0.2">
      <c r="CE8716"/>
      <c r="CF8716"/>
      <c r="CG8716"/>
      <c r="CH8716"/>
      <c r="CI8716"/>
    </row>
    <row r="8717" spans="83:87" x14ac:dyDescent="0.2">
      <c r="CE8717"/>
      <c r="CF8717"/>
      <c r="CG8717"/>
      <c r="CH8717"/>
      <c r="CI8717"/>
    </row>
    <row r="8718" spans="83:87" x14ac:dyDescent="0.2">
      <c r="CE8718"/>
      <c r="CF8718"/>
      <c r="CG8718"/>
      <c r="CH8718"/>
      <c r="CI8718"/>
    </row>
    <row r="8719" spans="83:87" x14ac:dyDescent="0.2">
      <c r="CE8719"/>
      <c r="CF8719"/>
      <c r="CG8719"/>
      <c r="CH8719"/>
      <c r="CI8719"/>
    </row>
    <row r="8720" spans="83:87" x14ac:dyDescent="0.2">
      <c r="CE8720"/>
      <c r="CF8720"/>
      <c r="CG8720"/>
      <c r="CH8720"/>
      <c r="CI8720"/>
    </row>
    <row r="8721" spans="83:87" x14ac:dyDescent="0.2">
      <c r="CE8721"/>
      <c r="CF8721"/>
      <c r="CG8721"/>
      <c r="CH8721"/>
      <c r="CI8721"/>
    </row>
    <row r="8722" spans="83:87" x14ac:dyDescent="0.2">
      <c r="CE8722"/>
      <c r="CF8722"/>
      <c r="CG8722"/>
      <c r="CH8722"/>
      <c r="CI8722"/>
    </row>
    <row r="8723" spans="83:87" x14ac:dyDescent="0.2">
      <c r="CE8723"/>
      <c r="CF8723"/>
      <c r="CG8723"/>
      <c r="CH8723"/>
      <c r="CI8723"/>
    </row>
    <row r="8724" spans="83:87" x14ac:dyDescent="0.2">
      <c r="CE8724"/>
      <c r="CF8724"/>
      <c r="CG8724"/>
      <c r="CH8724"/>
      <c r="CI8724"/>
    </row>
    <row r="8725" spans="83:87" x14ac:dyDescent="0.2">
      <c r="CE8725"/>
      <c r="CF8725"/>
      <c r="CG8725"/>
      <c r="CH8725"/>
      <c r="CI8725"/>
    </row>
    <row r="8726" spans="83:87" x14ac:dyDescent="0.2">
      <c r="CE8726"/>
      <c r="CF8726"/>
      <c r="CG8726"/>
      <c r="CH8726"/>
      <c r="CI8726"/>
    </row>
    <row r="8727" spans="83:87" x14ac:dyDescent="0.2">
      <c r="CE8727"/>
      <c r="CF8727"/>
      <c r="CG8727"/>
      <c r="CH8727"/>
      <c r="CI8727"/>
    </row>
    <row r="8728" spans="83:87" x14ac:dyDescent="0.2">
      <c r="CE8728"/>
      <c r="CF8728"/>
      <c r="CG8728"/>
      <c r="CH8728"/>
      <c r="CI8728"/>
    </row>
    <row r="8729" spans="83:87" x14ac:dyDescent="0.2">
      <c r="CE8729"/>
      <c r="CF8729"/>
      <c r="CG8729"/>
      <c r="CH8729"/>
      <c r="CI8729"/>
    </row>
    <row r="8730" spans="83:87" x14ac:dyDescent="0.2">
      <c r="CE8730"/>
      <c r="CF8730"/>
      <c r="CG8730"/>
      <c r="CH8730"/>
      <c r="CI8730"/>
    </row>
    <row r="8731" spans="83:87" x14ac:dyDescent="0.2">
      <c r="CE8731"/>
      <c r="CF8731"/>
      <c r="CG8731"/>
      <c r="CH8731"/>
      <c r="CI8731"/>
    </row>
    <row r="8732" spans="83:87" x14ac:dyDescent="0.2">
      <c r="CE8732"/>
      <c r="CF8732"/>
      <c r="CG8732"/>
      <c r="CH8732"/>
      <c r="CI8732"/>
    </row>
    <row r="8733" spans="83:87" x14ac:dyDescent="0.2">
      <c r="CE8733"/>
      <c r="CF8733"/>
      <c r="CG8733"/>
      <c r="CH8733"/>
      <c r="CI8733"/>
    </row>
    <row r="8734" spans="83:87" x14ac:dyDescent="0.2">
      <c r="CE8734"/>
      <c r="CF8734"/>
      <c r="CG8734"/>
      <c r="CH8734"/>
      <c r="CI8734"/>
    </row>
    <row r="8735" spans="83:87" x14ac:dyDescent="0.2">
      <c r="CE8735"/>
      <c r="CF8735"/>
      <c r="CG8735"/>
      <c r="CH8735"/>
      <c r="CI8735"/>
    </row>
    <row r="8736" spans="83:87" x14ac:dyDescent="0.2">
      <c r="CE8736"/>
      <c r="CF8736"/>
      <c r="CG8736"/>
      <c r="CH8736"/>
      <c r="CI8736"/>
    </row>
    <row r="8737" spans="83:87" x14ac:dyDescent="0.2">
      <c r="CE8737"/>
      <c r="CF8737"/>
      <c r="CG8737"/>
      <c r="CH8737"/>
      <c r="CI8737"/>
    </row>
    <row r="8738" spans="83:87" x14ac:dyDescent="0.2">
      <c r="CE8738"/>
      <c r="CF8738"/>
      <c r="CG8738"/>
      <c r="CH8738"/>
      <c r="CI8738"/>
    </row>
    <row r="8739" spans="83:87" x14ac:dyDescent="0.2">
      <c r="CE8739"/>
      <c r="CF8739"/>
      <c r="CG8739"/>
      <c r="CH8739"/>
      <c r="CI8739"/>
    </row>
    <row r="8740" spans="83:87" x14ac:dyDescent="0.2">
      <c r="CE8740"/>
      <c r="CF8740"/>
      <c r="CG8740"/>
      <c r="CH8740"/>
      <c r="CI8740"/>
    </row>
    <row r="8741" spans="83:87" x14ac:dyDescent="0.2">
      <c r="CE8741"/>
      <c r="CF8741"/>
      <c r="CG8741"/>
      <c r="CH8741"/>
      <c r="CI8741"/>
    </row>
    <row r="8742" spans="83:87" x14ac:dyDescent="0.2">
      <c r="CE8742"/>
      <c r="CF8742"/>
      <c r="CG8742"/>
      <c r="CH8742"/>
      <c r="CI8742"/>
    </row>
    <row r="8743" spans="83:87" x14ac:dyDescent="0.2">
      <c r="CE8743"/>
      <c r="CF8743"/>
      <c r="CG8743"/>
      <c r="CH8743"/>
      <c r="CI8743"/>
    </row>
    <row r="8744" spans="83:87" x14ac:dyDescent="0.2">
      <c r="CE8744"/>
      <c r="CF8744"/>
      <c r="CG8744"/>
      <c r="CH8744"/>
      <c r="CI8744"/>
    </row>
    <row r="8745" spans="83:87" x14ac:dyDescent="0.2">
      <c r="CE8745"/>
      <c r="CF8745"/>
      <c r="CG8745"/>
      <c r="CH8745"/>
      <c r="CI8745"/>
    </row>
    <row r="8746" spans="83:87" x14ac:dyDescent="0.2">
      <c r="CE8746"/>
      <c r="CF8746"/>
      <c r="CG8746"/>
      <c r="CH8746"/>
      <c r="CI8746"/>
    </row>
    <row r="8747" spans="83:87" x14ac:dyDescent="0.2">
      <c r="CE8747"/>
      <c r="CF8747"/>
      <c r="CG8747"/>
      <c r="CH8747"/>
      <c r="CI8747"/>
    </row>
    <row r="8748" spans="83:87" x14ac:dyDescent="0.2">
      <c r="CE8748"/>
      <c r="CF8748"/>
      <c r="CG8748"/>
      <c r="CH8748"/>
      <c r="CI8748"/>
    </row>
    <row r="8749" spans="83:87" x14ac:dyDescent="0.2">
      <c r="CE8749"/>
      <c r="CF8749"/>
      <c r="CG8749"/>
      <c r="CH8749"/>
      <c r="CI8749"/>
    </row>
    <row r="8750" spans="83:87" x14ac:dyDescent="0.2">
      <c r="CE8750"/>
      <c r="CF8750"/>
      <c r="CG8750"/>
      <c r="CH8750"/>
      <c r="CI8750"/>
    </row>
    <row r="8751" spans="83:87" x14ac:dyDescent="0.2">
      <c r="CE8751"/>
      <c r="CF8751"/>
      <c r="CG8751"/>
      <c r="CH8751"/>
      <c r="CI8751"/>
    </row>
    <row r="8752" spans="83:87" x14ac:dyDescent="0.2">
      <c r="CE8752"/>
      <c r="CF8752"/>
      <c r="CG8752"/>
      <c r="CH8752"/>
      <c r="CI8752"/>
    </row>
    <row r="8753" spans="83:87" x14ac:dyDescent="0.2">
      <c r="CE8753"/>
      <c r="CF8753"/>
      <c r="CG8753"/>
      <c r="CH8753"/>
      <c r="CI8753"/>
    </row>
    <row r="8754" spans="83:87" x14ac:dyDescent="0.2">
      <c r="CE8754"/>
      <c r="CF8754"/>
      <c r="CG8754"/>
      <c r="CH8754"/>
      <c r="CI8754"/>
    </row>
    <row r="8755" spans="83:87" x14ac:dyDescent="0.2">
      <c r="CE8755"/>
      <c r="CF8755"/>
      <c r="CG8755"/>
      <c r="CH8755"/>
      <c r="CI8755"/>
    </row>
    <row r="8756" spans="83:87" x14ac:dyDescent="0.2">
      <c r="CE8756"/>
      <c r="CF8756"/>
      <c r="CG8756"/>
      <c r="CH8756"/>
      <c r="CI8756"/>
    </row>
    <row r="8757" spans="83:87" x14ac:dyDescent="0.2">
      <c r="CE8757"/>
      <c r="CF8757"/>
      <c r="CG8757"/>
      <c r="CH8757"/>
      <c r="CI8757"/>
    </row>
    <row r="8758" spans="83:87" x14ac:dyDescent="0.2">
      <c r="CE8758"/>
      <c r="CF8758"/>
      <c r="CG8758"/>
      <c r="CH8758"/>
      <c r="CI8758"/>
    </row>
    <row r="8759" spans="83:87" x14ac:dyDescent="0.2">
      <c r="CE8759"/>
      <c r="CF8759"/>
      <c r="CG8759"/>
      <c r="CH8759"/>
      <c r="CI8759"/>
    </row>
    <row r="8760" spans="83:87" x14ac:dyDescent="0.2">
      <c r="CE8760"/>
      <c r="CF8760"/>
      <c r="CG8760"/>
      <c r="CH8760"/>
      <c r="CI8760"/>
    </row>
    <row r="8761" spans="83:87" x14ac:dyDescent="0.2">
      <c r="CE8761"/>
      <c r="CF8761"/>
      <c r="CG8761"/>
      <c r="CH8761"/>
      <c r="CI8761"/>
    </row>
    <row r="8762" spans="83:87" x14ac:dyDescent="0.2">
      <c r="CE8762"/>
      <c r="CF8762"/>
      <c r="CG8762"/>
      <c r="CH8762"/>
      <c r="CI8762"/>
    </row>
    <row r="8763" spans="83:87" x14ac:dyDescent="0.2">
      <c r="CE8763"/>
      <c r="CF8763"/>
      <c r="CG8763"/>
      <c r="CH8763"/>
      <c r="CI8763"/>
    </row>
    <row r="8764" spans="83:87" x14ac:dyDescent="0.2">
      <c r="CE8764"/>
      <c r="CF8764"/>
      <c r="CG8764"/>
      <c r="CH8764"/>
      <c r="CI8764"/>
    </row>
    <row r="8765" spans="83:87" x14ac:dyDescent="0.2">
      <c r="CE8765"/>
      <c r="CF8765"/>
      <c r="CG8765"/>
      <c r="CH8765"/>
      <c r="CI8765"/>
    </row>
    <row r="8766" spans="83:87" x14ac:dyDescent="0.2">
      <c r="CE8766"/>
      <c r="CF8766"/>
      <c r="CG8766"/>
      <c r="CH8766"/>
      <c r="CI8766"/>
    </row>
    <row r="8767" spans="83:87" x14ac:dyDescent="0.2">
      <c r="CE8767"/>
      <c r="CF8767"/>
      <c r="CG8767"/>
      <c r="CH8767"/>
      <c r="CI8767"/>
    </row>
    <row r="8768" spans="83:87" x14ac:dyDescent="0.2">
      <c r="CE8768"/>
      <c r="CF8768"/>
      <c r="CG8768"/>
      <c r="CH8768"/>
      <c r="CI8768"/>
    </row>
    <row r="8769" spans="83:87" x14ac:dyDescent="0.2">
      <c r="CE8769"/>
      <c r="CF8769"/>
      <c r="CG8769"/>
      <c r="CH8769"/>
      <c r="CI8769"/>
    </row>
    <row r="8770" spans="83:87" x14ac:dyDescent="0.2">
      <c r="CE8770"/>
      <c r="CF8770"/>
      <c r="CG8770"/>
      <c r="CH8770"/>
      <c r="CI8770"/>
    </row>
    <row r="8771" spans="83:87" x14ac:dyDescent="0.2">
      <c r="CE8771"/>
      <c r="CF8771"/>
      <c r="CG8771"/>
      <c r="CH8771"/>
      <c r="CI8771"/>
    </row>
    <row r="8772" spans="83:87" x14ac:dyDescent="0.2">
      <c r="CE8772"/>
      <c r="CF8772"/>
      <c r="CG8772"/>
      <c r="CH8772"/>
      <c r="CI8772"/>
    </row>
    <row r="8773" spans="83:87" x14ac:dyDescent="0.2">
      <c r="CE8773"/>
      <c r="CF8773"/>
      <c r="CG8773"/>
      <c r="CH8773"/>
      <c r="CI8773"/>
    </row>
    <row r="8774" spans="83:87" x14ac:dyDescent="0.2">
      <c r="CE8774"/>
      <c r="CF8774"/>
      <c r="CG8774"/>
      <c r="CH8774"/>
      <c r="CI8774"/>
    </row>
    <row r="8775" spans="83:87" x14ac:dyDescent="0.2">
      <c r="CE8775"/>
      <c r="CF8775"/>
      <c r="CG8775"/>
      <c r="CH8775"/>
      <c r="CI8775"/>
    </row>
    <row r="8776" spans="83:87" x14ac:dyDescent="0.2">
      <c r="CE8776"/>
      <c r="CF8776"/>
      <c r="CG8776"/>
      <c r="CH8776"/>
      <c r="CI8776"/>
    </row>
    <row r="8777" spans="83:87" x14ac:dyDescent="0.2">
      <c r="CE8777"/>
      <c r="CF8777"/>
      <c r="CG8777"/>
      <c r="CH8777"/>
      <c r="CI8777"/>
    </row>
    <row r="8778" spans="83:87" x14ac:dyDescent="0.2">
      <c r="CE8778"/>
      <c r="CF8778"/>
      <c r="CG8778"/>
      <c r="CH8778"/>
      <c r="CI8778"/>
    </row>
    <row r="8779" spans="83:87" x14ac:dyDescent="0.2">
      <c r="CE8779"/>
      <c r="CF8779"/>
      <c r="CG8779"/>
      <c r="CH8779"/>
      <c r="CI8779"/>
    </row>
    <row r="8780" spans="83:87" x14ac:dyDescent="0.2">
      <c r="CE8780"/>
      <c r="CF8780"/>
      <c r="CG8780"/>
      <c r="CH8780"/>
      <c r="CI8780"/>
    </row>
    <row r="8781" spans="83:87" x14ac:dyDescent="0.2">
      <c r="CE8781"/>
      <c r="CF8781"/>
      <c r="CG8781"/>
      <c r="CH8781"/>
      <c r="CI8781"/>
    </row>
    <row r="8782" spans="83:87" x14ac:dyDescent="0.2">
      <c r="CE8782"/>
      <c r="CF8782"/>
      <c r="CG8782"/>
      <c r="CH8782"/>
      <c r="CI8782"/>
    </row>
    <row r="8783" spans="83:87" x14ac:dyDescent="0.2">
      <c r="CE8783"/>
      <c r="CF8783"/>
      <c r="CG8783"/>
      <c r="CH8783"/>
      <c r="CI8783"/>
    </row>
    <row r="8784" spans="83:87" x14ac:dyDescent="0.2">
      <c r="CE8784"/>
      <c r="CF8784"/>
      <c r="CG8784"/>
      <c r="CH8784"/>
      <c r="CI8784"/>
    </row>
    <row r="8785" spans="83:87" x14ac:dyDescent="0.2">
      <c r="CE8785"/>
      <c r="CF8785"/>
      <c r="CG8785"/>
      <c r="CH8785"/>
      <c r="CI8785"/>
    </row>
    <row r="8786" spans="83:87" x14ac:dyDescent="0.2">
      <c r="CE8786"/>
      <c r="CF8786"/>
      <c r="CG8786"/>
      <c r="CH8786"/>
      <c r="CI8786"/>
    </row>
    <row r="8787" spans="83:87" x14ac:dyDescent="0.2">
      <c r="CE8787"/>
      <c r="CF8787"/>
      <c r="CG8787"/>
      <c r="CH8787"/>
      <c r="CI8787"/>
    </row>
    <row r="8788" spans="83:87" x14ac:dyDescent="0.2">
      <c r="CE8788"/>
      <c r="CF8788"/>
      <c r="CG8788"/>
      <c r="CH8788"/>
      <c r="CI8788"/>
    </row>
    <row r="8789" spans="83:87" x14ac:dyDescent="0.2">
      <c r="CE8789"/>
      <c r="CF8789"/>
      <c r="CG8789"/>
      <c r="CH8789"/>
      <c r="CI8789"/>
    </row>
    <row r="8790" spans="83:87" x14ac:dyDescent="0.2">
      <c r="CE8790"/>
      <c r="CF8790"/>
      <c r="CG8790"/>
      <c r="CH8790"/>
      <c r="CI8790"/>
    </row>
    <row r="8791" spans="83:87" x14ac:dyDescent="0.2">
      <c r="CE8791"/>
      <c r="CF8791"/>
      <c r="CG8791"/>
      <c r="CH8791"/>
      <c r="CI8791"/>
    </row>
    <row r="8792" spans="83:87" x14ac:dyDescent="0.2">
      <c r="CE8792"/>
      <c r="CF8792"/>
      <c r="CG8792"/>
      <c r="CH8792"/>
      <c r="CI8792"/>
    </row>
    <row r="8793" spans="83:87" x14ac:dyDescent="0.2">
      <c r="CE8793"/>
      <c r="CF8793"/>
      <c r="CG8793"/>
      <c r="CH8793"/>
      <c r="CI8793"/>
    </row>
    <row r="8794" spans="83:87" x14ac:dyDescent="0.2">
      <c r="CE8794"/>
      <c r="CF8794"/>
      <c r="CG8794"/>
      <c r="CH8794"/>
      <c r="CI8794"/>
    </row>
    <row r="8795" spans="83:87" x14ac:dyDescent="0.2">
      <c r="CE8795"/>
      <c r="CF8795"/>
      <c r="CG8795"/>
      <c r="CH8795"/>
      <c r="CI8795"/>
    </row>
    <row r="8796" spans="83:87" x14ac:dyDescent="0.2">
      <c r="CE8796"/>
      <c r="CF8796"/>
      <c r="CG8796"/>
      <c r="CH8796"/>
      <c r="CI8796"/>
    </row>
    <row r="8797" spans="83:87" x14ac:dyDescent="0.2">
      <c r="CE8797"/>
      <c r="CF8797"/>
      <c r="CG8797"/>
      <c r="CH8797"/>
      <c r="CI8797"/>
    </row>
    <row r="8798" spans="83:87" x14ac:dyDescent="0.2">
      <c r="CE8798"/>
      <c r="CF8798"/>
      <c r="CG8798"/>
      <c r="CH8798"/>
      <c r="CI8798"/>
    </row>
    <row r="8799" spans="83:87" x14ac:dyDescent="0.2">
      <c r="CE8799"/>
      <c r="CF8799"/>
      <c r="CG8799"/>
      <c r="CH8799"/>
      <c r="CI8799"/>
    </row>
    <row r="8800" spans="83:87" x14ac:dyDescent="0.2">
      <c r="CE8800"/>
      <c r="CF8800"/>
      <c r="CG8800"/>
      <c r="CH8800"/>
      <c r="CI8800"/>
    </row>
    <row r="8801" spans="83:87" x14ac:dyDescent="0.2">
      <c r="CE8801"/>
      <c r="CF8801"/>
      <c r="CG8801"/>
      <c r="CH8801"/>
      <c r="CI8801"/>
    </row>
    <row r="8802" spans="83:87" x14ac:dyDescent="0.2">
      <c r="CE8802"/>
      <c r="CF8802"/>
      <c r="CG8802"/>
      <c r="CH8802"/>
      <c r="CI8802"/>
    </row>
    <row r="8803" spans="83:87" x14ac:dyDescent="0.2">
      <c r="CE8803"/>
      <c r="CF8803"/>
      <c r="CG8803"/>
      <c r="CH8803"/>
      <c r="CI8803"/>
    </row>
    <row r="8804" spans="83:87" x14ac:dyDescent="0.2">
      <c r="CE8804"/>
      <c r="CF8804"/>
      <c r="CG8804"/>
      <c r="CH8804"/>
      <c r="CI8804"/>
    </row>
    <row r="8805" spans="83:87" x14ac:dyDescent="0.2">
      <c r="CE8805"/>
      <c r="CF8805"/>
      <c r="CG8805"/>
      <c r="CH8805"/>
      <c r="CI8805"/>
    </row>
    <row r="8806" spans="83:87" x14ac:dyDescent="0.2">
      <c r="CE8806"/>
      <c r="CF8806"/>
      <c r="CG8806"/>
      <c r="CH8806"/>
      <c r="CI8806"/>
    </row>
    <row r="8807" spans="83:87" x14ac:dyDescent="0.2">
      <c r="CE8807"/>
      <c r="CF8807"/>
      <c r="CG8807"/>
      <c r="CH8807"/>
      <c r="CI8807"/>
    </row>
    <row r="8808" spans="83:87" x14ac:dyDescent="0.2">
      <c r="CE8808"/>
      <c r="CF8808"/>
      <c r="CG8808"/>
      <c r="CH8808"/>
      <c r="CI8808"/>
    </row>
    <row r="8809" spans="83:87" x14ac:dyDescent="0.2">
      <c r="CE8809"/>
      <c r="CF8809"/>
      <c r="CG8809"/>
      <c r="CH8809"/>
      <c r="CI8809"/>
    </row>
    <row r="8810" spans="83:87" x14ac:dyDescent="0.2">
      <c r="CE8810"/>
      <c r="CF8810"/>
      <c r="CG8810"/>
      <c r="CH8810"/>
      <c r="CI8810"/>
    </row>
    <row r="8811" spans="83:87" x14ac:dyDescent="0.2">
      <c r="CE8811"/>
      <c r="CF8811"/>
      <c r="CG8811"/>
      <c r="CH8811"/>
      <c r="CI8811"/>
    </row>
    <row r="8812" spans="83:87" x14ac:dyDescent="0.2">
      <c r="CE8812"/>
      <c r="CF8812"/>
      <c r="CG8812"/>
      <c r="CH8812"/>
      <c r="CI8812"/>
    </row>
    <row r="8813" spans="83:87" x14ac:dyDescent="0.2">
      <c r="CE8813"/>
      <c r="CF8813"/>
      <c r="CG8813"/>
      <c r="CH8813"/>
      <c r="CI8813"/>
    </row>
    <row r="8814" spans="83:87" x14ac:dyDescent="0.2">
      <c r="CE8814"/>
      <c r="CF8814"/>
      <c r="CG8814"/>
      <c r="CH8814"/>
      <c r="CI8814"/>
    </row>
    <row r="8815" spans="83:87" x14ac:dyDescent="0.2">
      <c r="CE8815"/>
      <c r="CF8815"/>
      <c r="CG8815"/>
      <c r="CH8815"/>
      <c r="CI8815"/>
    </row>
    <row r="8816" spans="83:87" x14ac:dyDescent="0.2">
      <c r="CE8816"/>
      <c r="CF8816"/>
      <c r="CG8816"/>
      <c r="CH8816"/>
      <c r="CI8816"/>
    </row>
    <row r="8817" spans="83:87" x14ac:dyDescent="0.2">
      <c r="CE8817"/>
      <c r="CF8817"/>
      <c r="CG8817"/>
      <c r="CH8817"/>
      <c r="CI8817"/>
    </row>
    <row r="8818" spans="83:87" x14ac:dyDescent="0.2">
      <c r="CE8818"/>
      <c r="CF8818"/>
      <c r="CG8818"/>
      <c r="CH8818"/>
      <c r="CI8818"/>
    </row>
    <row r="8819" spans="83:87" x14ac:dyDescent="0.2">
      <c r="CE8819"/>
      <c r="CF8819"/>
      <c r="CG8819"/>
      <c r="CH8819"/>
      <c r="CI8819"/>
    </row>
    <row r="8820" spans="83:87" x14ac:dyDescent="0.2">
      <c r="CE8820"/>
      <c r="CF8820"/>
      <c r="CG8820"/>
      <c r="CH8820"/>
      <c r="CI8820"/>
    </row>
    <row r="8821" spans="83:87" x14ac:dyDescent="0.2">
      <c r="CE8821"/>
      <c r="CF8821"/>
      <c r="CG8821"/>
      <c r="CH8821"/>
      <c r="CI8821"/>
    </row>
    <row r="8822" spans="83:87" x14ac:dyDescent="0.2">
      <c r="CE8822"/>
      <c r="CF8822"/>
      <c r="CG8822"/>
      <c r="CH8822"/>
      <c r="CI8822"/>
    </row>
    <row r="8823" spans="83:87" x14ac:dyDescent="0.2">
      <c r="CE8823"/>
      <c r="CF8823"/>
      <c r="CG8823"/>
      <c r="CH8823"/>
      <c r="CI8823"/>
    </row>
    <row r="8824" spans="83:87" x14ac:dyDescent="0.2">
      <c r="CE8824"/>
      <c r="CF8824"/>
      <c r="CG8824"/>
      <c r="CH8824"/>
      <c r="CI8824"/>
    </row>
    <row r="8825" spans="83:87" x14ac:dyDescent="0.2">
      <c r="CE8825"/>
      <c r="CF8825"/>
      <c r="CG8825"/>
      <c r="CH8825"/>
      <c r="CI8825"/>
    </row>
    <row r="8826" spans="83:87" x14ac:dyDescent="0.2">
      <c r="CE8826"/>
      <c r="CF8826"/>
      <c r="CG8826"/>
      <c r="CH8826"/>
      <c r="CI8826"/>
    </row>
    <row r="8827" spans="83:87" x14ac:dyDescent="0.2">
      <c r="CE8827"/>
      <c r="CF8827"/>
      <c r="CG8827"/>
      <c r="CH8827"/>
      <c r="CI8827"/>
    </row>
    <row r="8828" spans="83:87" x14ac:dyDescent="0.2">
      <c r="CE8828"/>
      <c r="CF8828"/>
      <c r="CG8828"/>
      <c r="CH8828"/>
      <c r="CI8828"/>
    </row>
    <row r="8829" spans="83:87" x14ac:dyDescent="0.2">
      <c r="CE8829"/>
      <c r="CF8829"/>
      <c r="CG8829"/>
      <c r="CH8829"/>
      <c r="CI8829"/>
    </row>
    <row r="8830" spans="83:87" x14ac:dyDescent="0.2">
      <c r="CE8830"/>
      <c r="CF8830"/>
      <c r="CG8830"/>
      <c r="CH8830"/>
      <c r="CI8830"/>
    </row>
    <row r="8831" spans="83:87" x14ac:dyDescent="0.2">
      <c r="CE8831"/>
      <c r="CF8831"/>
      <c r="CG8831"/>
      <c r="CH8831"/>
      <c r="CI8831"/>
    </row>
    <row r="8832" spans="83:87" x14ac:dyDescent="0.2">
      <c r="CE8832"/>
      <c r="CF8832"/>
      <c r="CG8832"/>
      <c r="CH8832"/>
      <c r="CI8832"/>
    </row>
    <row r="8833" spans="83:87" x14ac:dyDescent="0.2">
      <c r="CE8833"/>
      <c r="CF8833"/>
      <c r="CG8833"/>
      <c r="CH8833"/>
      <c r="CI8833"/>
    </row>
    <row r="8834" spans="83:87" x14ac:dyDescent="0.2">
      <c r="CE8834"/>
      <c r="CF8834"/>
      <c r="CG8834"/>
      <c r="CH8834"/>
      <c r="CI8834"/>
    </row>
    <row r="8835" spans="83:87" x14ac:dyDescent="0.2">
      <c r="CE8835"/>
      <c r="CF8835"/>
      <c r="CG8835"/>
      <c r="CH8835"/>
      <c r="CI8835"/>
    </row>
    <row r="8836" spans="83:87" x14ac:dyDescent="0.2">
      <c r="CE8836"/>
      <c r="CF8836"/>
      <c r="CG8836"/>
      <c r="CH8836"/>
      <c r="CI8836"/>
    </row>
    <row r="8837" spans="83:87" x14ac:dyDescent="0.2">
      <c r="CE8837"/>
      <c r="CF8837"/>
      <c r="CG8837"/>
      <c r="CH8837"/>
      <c r="CI8837"/>
    </row>
    <row r="8838" spans="83:87" x14ac:dyDescent="0.2">
      <c r="CE8838"/>
      <c r="CF8838"/>
      <c r="CG8838"/>
      <c r="CH8838"/>
      <c r="CI8838"/>
    </row>
    <row r="8839" spans="83:87" x14ac:dyDescent="0.2">
      <c r="CE8839"/>
      <c r="CF8839"/>
      <c r="CG8839"/>
      <c r="CH8839"/>
      <c r="CI8839"/>
    </row>
    <row r="8840" spans="83:87" x14ac:dyDescent="0.2">
      <c r="CE8840"/>
      <c r="CF8840"/>
      <c r="CG8840"/>
      <c r="CH8840"/>
      <c r="CI8840"/>
    </row>
    <row r="8841" spans="83:87" x14ac:dyDescent="0.2">
      <c r="CE8841"/>
      <c r="CF8841"/>
      <c r="CG8841"/>
      <c r="CH8841"/>
      <c r="CI8841"/>
    </row>
    <row r="8842" spans="83:87" x14ac:dyDescent="0.2">
      <c r="CE8842"/>
      <c r="CF8842"/>
      <c r="CG8842"/>
      <c r="CH8842"/>
      <c r="CI8842"/>
    </row>
    <row r="8843" spans="83:87" x14ac:dyDescent="0.2">
      <c r="CE8843"/>
      <c r="CF8843"/>
      <c r="CG8843"/>
      <c r="CH8843"/>
      <c r="CI8843"/>
    </row>
    <row r="8844" spans="83:87" x14ac:dyDescent="0.2">
      <c r="CE8844"/>
      <c r="CF8844"/>
      <c r="CG8844"/>
      <c r="CH8844"/>
      <c r="CI8844"/>
    </row>
    <row r="8845" spans="83:87" x14ac:dyDescent="0.2">
      <c r="CE8845"/>
      <c r="CF8845"/>
      <c r="CG8845"/>
      <c r="CH8845"/>
      <c r="CI8845"/>
    </row>
    <row r="8846" spans="83:87" x14ac:dyDescent="0.2">
      <c r="CE8846"/>
      <c r="CF8846"/>
      <c r="CG8846"/>
      <c r="CH8846"/>
      <c r="CI8846"/>
    </row>
    <row r="8847" spans="83:87" x14ac:dyDescent="0.2">
      <c r="CE8847"/>
      <c r="CF8847"/>
      <c r="CG8847"/>
      <c r="CH8847"/>
      <c r="CI8847"/>
    </row>
    <row r="8848" spans="83:87" x14ac:dyDescent="0.2">
      <c r="CE8848"/>
      <c r="CF8848"/>
      <c r="CG8848"/>
      <c r="CH8848"/>
      <c r="CI8848"/>
    </row>
    <row r="8849" spans="83:87" x14ac:dyDescent="0.2">
      <c r="CE8849"/>
      <c r="CF8849"/>
      <c r="CG8849"/>
      <c r="CH8849"/>
      <c r="CI8849"/>
    </row>
    <row r="8850" spans="83:87" x14ac:dyDescent="0.2">
      <c r="CE8850"/>
      <c r="CF8850"/>
      <c r="CG8850"/>
      <c r="CH8850"/>
      <c r="CI8850"/>
    </row>
    <row r="8851" spans="83:87" x14ac:dyDescent="0.2">
      <c r="CE8851"/>
      <c r="CF8851"/>
      <c r="CG8851"/>
      <c r="CH8851"/>
      <c r="CI8851"/>
    </row>
    <row r="8852" spans="83:87" x14ac:dyDescent="0.2">
      <c r="CE8852"/>
      <c r="CF8852"/>
      <c r="CG8852"/>
      <c r="CH8852"/>
      <c r="CI8852"/>
    </row>
    <row r="8853" spans="83:87" x14ac:dyDescent="0.2">
      <c r="CE8853"/>
      <c r="CF8853"/>
      <c r="CG8853"/>
      <c r="CH8853"/>
      <c r="CI8853"/>
    </row>
    <row r="8854" spans="83:87" x14ac:dyDescent="0.2">
      <c r="CE8854"/>
      <c r="CF8854"/>
      <c r="CG8854"/>
      <c r="CH8854"/>
      <c r="CI8854"/>
    </row>
    <row r="8855" spans="83:87" x14ac:dyDescent="0.2">
      <c r="CE8855"/>
      <c r="CF8855"/>
      <c r="CG8855"/>
      <c r="CH8855"/>
      <c r="CI8855"/>
    </row>
    <row r="8856" spans="83:87" x14ac:dyDescent="0.2">
      <c r="CE8856"/>
      <c r="CF8856"/>
      <c r="CG8856"/>
      <c r="CH8856"/>
      <c r="CI8856"/>
    </row>
    <row r="8857" spans="83:87" x14ac:dyDescent="0.2">
      <c r="CE8857"/>
      <c r="CF8857"/>
      <c r="CG8857"/>
      <c r="CH8857"/>
      <c r="CI8857"/>
    </row>
    <row r="8858" spans="83:87" x14ac:dyDescent="0.2">
      <c r="CE8858"/>
      <c r="CF8858"/>
      <c r="CG8858"/>
      <c r="CH8858"/>
      <c r="CI8858"/>
    </row>
    <row r="8859" spans="83:87" x14ac:dyDescent="0.2">
      <c r="CE8859"/>
      <c r="CF8859"/>
      <c r="CG8859"/>
      <c r="CH8859"/>
      <c r="CI8859"/>
    </row>
    <row r="8860" spans="83:87" x14ac:dyDescent="0.2">
      <c r="CE8860"/>
      <c r="CF8860"/>
      <c r="CG8860"/>
      <c r="CH8860"/>
      <c r="CI8860"/>
    </row>
    <row r="8861" spans="83:87" x14ac:dyDescent="0.2">
      <c r="CE8861"/>
      <c r="CF8861"/>
      <c r="CG8861"/>
      <c r="CH8861"/>
      <c r="CI8861"/>
    </row>
    <row r="8862" spans="83:87" x14ac:dyDescent="0.2">
      <c r="CE8862"/>
      <c r="CF8862"/>
      <c r="CG8862"/>
      <c r="CH8862"/>
      <c r="CI8862"/>
    </row>
    <row r="8863" spans="83:87" x14ac:dyDescent="0.2">
      <c r="CE8863"/>
      <c r="CF8863"/>
      <c r="CG8863"/>
      <c r="CH8863"/>
      <c r="CI8863"/>
    </row>
    <row r="8864" spans="83:87" x14ac:dyDescent="0.2">
      <c r="CE8864"/>
      <c r="CF8864"/>
      <c r="CG8864"/>
      <c r="CH8864"/>
      <c r="CI8864"/>
    </row>
    <row r="8865" spans="83:87" x14ac:dyDescent="0.2">
      <c r="CE8865"/>
      <c r="CF8865"/>
      <c r="CG8865"/>
      <c r="CH8865"/>
      <c r="CI8865"/>
    </row>
    <row r="8866" spans="83:87" x14ac:dyDescent="0.2">
      <c r="CE8866"/>
      <c r="CF8866"/>
      <c r="CG8866"/>
      <c r="CH8866"/>
      <c r="CI8866"/>
    </row>
    <row r="8867" spans="83:87" x14ac:dyDescent="0.2">
      <c r="CE8867"/>
      <c r="CF8867"/>
      <c r="CG8867"/>
      <c r="CH8867"/>
      <c r="CI8867"/>
    </row>
    <row r="8868" spans="83:87" x14ac:dyDescent="0.2">
      <c r="CE8868"/>
      <c r="CF8868"/>
      <c r="CG8868"/>
      <c r="CH8868"/>
      <c r="CI8868"/>
    </row>
    <row r="8869" spans="83:87" x14ac:dyDescent="0.2">
      <c r="CE8869"/>
      <c r="CF8869"/>
      <c r="CG8869"/>
      <c r="CH8869"/>
      <c r="CI8869"/>
    </row>
    <row r="8870" spans="83:87" x14ac:dyDescent="0.2">
      <c r="CE8870"/>
      <c r="CF8870"/>
      <c r="CG8870"/>
      <c r="CH8870"/>
      <c r="CI8870"/>
    </row>
    <row r="8871" spans="83:87" x14ac:dyDescent="0.2">
      <c r="CE8871"/>
      <c r="CF8871"/>
      <c r="CG8871"/>
      <c r="CH8871"/>
      <c r="CI8871"/>
    </row>
    <row r="8872" spans="83:87" x14ac:dyDescent="0.2">
      <c r="CE8872"/>
      <c r="CF8872"/>
      <c r="CG8872"/>
      <c r="CH8872"/>
      <c r="CI8872"/>
    </row>
    <row r="8873" spans="83:87" x14ac:dyDescent="0.2">
      <c r="CE8873"/>
      <c r="CF8873"/>
      <c r="CG8873"/>
      <c r="CH8873"/>
      <c r="CI8873"/>
    </row>
    <row r="8874" spans="83:87" x14ac:dyDescent="0.2">
      <c r="CE8874"/>
      <c r="CF8874"/>
      <c r="CG8874"/>
      <c r="CH8874"/>
      <c r="CI8874"/>
    </row>
    <row r="8875" spans="83:87" x14ac:dyDescent="0.2">
      <c r="CE8875"/>
      <c r="CF8875"/>
      <c r="CG8875"/>
      <c r="CH8875"/>
      <c r="CI8875"/>
    </row>
    <row r="8876" spans="83:87" x14ac:dyDescent="0.2">
      <c r="CE8876"/>
      <c r="CF8876"/>
      <c r="CG8876"/>
      <c r="CH8876"/>
      <c r="CI8876"/>
    </row>
    <row r="8877" spans="83:87" x14ac:dyDescent="0.2">
      <c r="CE8877"/>
      <c r="CF8877"/>
      <c r="CG8877"/>
      <c r="CH8877"/>
      <c r="CI8877"/>
    </row>
    <row r="8878" spans="83:87" x14ac:dyDescent="0.2">
      <c r="CE8878"/>
      <c r="CF8878"/>
      <c r="CG8878"/>
      <c r="CH8878"/>
      <c r="CI8878"/>
    </row>
    <row r="8879" spans="83:87" x14ac:dyDescent="0.2">
      <c r="CE8879"/>
      <c r="CF8879"/>
      <c r="CG8879"/>
      <c r="CH8879"/>
      <c r="CI8879"/>
    </row>
    <row r="8880" spans="83:87" x14ac:dyDescent="0.2">
      <c r="CE8880"/>
      <c r="CF8880"/>
      <c r="CG8880"/>
      <c r="CH8880"/>
      <c r="CI8880"/>
    </row>
    <row r="8881" spans="83:87" x14ac:dyDescent="0.2">
      <c r="CE8881"/>
      <c r="CF8881"/>
      <c r="CG8881"/>
      <c r="CH8881"/>
      <c r="CI8881"/>
    </row>
    <row r="8882" spans="83:87" x14ac:dyDescent="0.2">
      <c r="CE8882"/>
      <c r="CF8882"/>
      <c r="CG8882"/>
      <c r="CH8882"/>
      <c r="CI8882"/>
    </row>
    <row r="8883" spans="83:87" x14ac:dyDescent="0.2">
      <c r="CE8883"/>
      <c r="CF8883"/>
      <c r="CG8883"/>
      <c r="CH8883"/>
      <c r="CI8883"/>
    </row>
    <row r="8884" spans="83:87" x14ac:dyDescent="0.2">
      <c r="CE8884"/>
      <c r="CF8884"/>
      <c r="CG8884"/>
      <c r="CH8884"/>
      <c r="CI8884"/>
    </row>
    <row r="8885" spans="83:87" x14ac:dyDescent="0.2">
      <c r="CE8885"/>
      <c r="CF8885"/>
      <c r="CG8885"/>
      <c r="CH8885"/>
      <c r="CI8885"/>
    </row>
    <row r="8886" spans="83:87" x14ac:dyDescent="0.2">
      <c r="CE8886"/>
      <c r="CF8886"/>
      <c r="CG8886"/>
      <c r="CH8886"/>
      <c r="CI8886"/>
    </row>
    <row r="8887" spans="83:87" x14ac:dyDescent="0.2">
      <c r="CE8887"/>
      <c r="CF8887"/>
      <c r="CG8887"/>
      <c r="CH8887"/>
      <c r="CI8887"/>
    </row>
    <row r="8888" spans="83:87" x14ac:dyDescent="0.2">
      <c r="CE8888"/>
      <c r="CF8888"/>
      <c r="CG8888"/>
      <c r="CH8888"/>
      <c r="CI8888"/>
    </row>
    <row r="8889" spans="83:87" x14ac:dyDescent="0.2">
      <c r="CE8889"/>
      <c r="CF8889"/>
      <c r="CG8889"/>
      <c r="CH8889"/>
      <c r="CI8889"/>
    </row>
    <row r="8890" spans="83:87" x14ac:dyDescent="0.2">
      <c r="CE8890"/>
      <c r="CF8890"/>
      <c r="CG8890"/>
      <c r="CH8890"/>
      <c r="CI8890"/>
    </row>
    <row r="8891" spans="83:87" x14ac:dyDescent="0.2">
      <c r="CE8891"/>
      <c r="CF8891"/>
      <c r="CG8891"/>
      <c r="CH8891"/>
      <c r="CI8891"/>
    </row>
    <row r="8892" spans="83:87" x14ac:dyDescent="0.2">
      <c r="CE8892"/>
      <c r="CF8892"/>
      <c r="CG8892"/>
      <c r="CH8892"/>
      <c r="CI8892"/>
    </row>
    <row r="8893" spans="83:87" x14ac:dyDescent="0.2">
      <c r="CE8893"/>
      <c r="CF8893"/>
      <c r="CG8893"/>
      <c r="CH8893"/>
      <c r="CI8893"/>
    </row>
    <row r="8894" spans="83:87" x14ac:dyDescent="0.2">
      <c r="CE8894"/>
      <c r="CF8894"/>
      <c r="CG8894"/>
      <c r="CH8894"/>
      <c r="CI8894"/>
    </row>
    <row r="8895" spans="83:87" x14ac:dyDescent="0.2">
      <c r="CE8895"/>
      <c r="CF8895"/>
      <c r="CG8895"/>
      <c r="CH8895"/>
      <c r="CI8895"/>
    </row>
    <row r="8896" spans="83:87" x14ac:dyDescent="0.2">
      <c r="CE8896"/>
      <c r="CF8896"/>
      <c r="CG8896"/>
      <c r="CH8896"/>
      <c r="CI8896"/>
    </row>
    <row r="8897" spans="83:87" x14ac:dyDescent="0.2">
      <c r="CE8897"/>
      <c r="CF8897"/>
      <c r="CG8897"/>
      <c r="CH8897"/>
      <c r="CI8897"/>
    </row>
    <row r="8898" spans="83:87" x14ac:dyDescent="0.2">
      <c r="CE8898"/>
      <c r="CF8898"/>
      <c r="CG8898"/>
      <c r="CH8898"/>
      <c r="CI8898"/>
    </row>
    <row r="8899" spans="83:87" x14ac:dyDescent="0.2">
      <c r="CE8899"/>
      <c r="CF8899"/>
      <c r="CG8899"/>
      <c r="CH8899"/>
      <c r="CI8899"/>
    </row>
    <row r="8900" spans="83:87" x14ac:dyDescent="0.2">
      <c r="CE8900"/>
      <c r="CF8900"/>
      <c r="CG8900"/>
      <c r="CH8900"/>
      <c r="CI8900"/>
    </row>
    <row r="8901" spans="83:87" x14ac:dyDescent="0.2">
      <c r="CE8901"/>
      <c r="CF8901"/>
      <c r="CG8901"/>
      <c r="CH8901"/>
      <c r="CI8901"/>
    </row>
    <row r="8902" spans="83:87" x14ac:dyDescent="0.2">
      <c r="CE8902"/>
      <c r="CF8902"/>
      <c r="CG8902"/>
      <c r="CH8902"/>
      <c r="CI8902"/>
    </row>
    <row r="8903" spans="83:87" x14ac:dyDescent="0.2">
      <c r="CE8903"/>
      <c r="CF8903"/>
      <c r="CG8903"/>
      <c r="CH8903"/>
      <c r="CI8903"/>
    </row>
    <row r="8904" spans="83:87" x14ac:dyDescent="0.2">
      <c r="CE8904"/>
      <c r="CF8904"/>
      <c r="CG8904"/>
      <c r="CH8904"/>
      <c r="CI8904"/>
    </row>
    <row r="8905" spans="83:87" x14ac:dyDescent="0.2">
      <c r="CE8905"/>
      <c r="CF8905"/>
      <c r="CG8905"/>
      <c r="CH8905"/>
      <c r="CI8905"/>
    </row>
    <row r="8906" spans="83:87" x14ac:dyDescent="0.2">
      <c r="CE8906"/>
      <c r="CF8906"/>
      <c r="CG8906"/>
      <c r="CH8906"/>
      <c r="CI8906"/>
    </row>
    <row r="8907" spans="83:87" x14ac:dyDescent="0.2">
      <c r="CE8907"/>
      <c r="CF8907"/>
      <c r="CG8907"/>
      <c r="CH8907"/>
      <c r="CI8907"/>
    </row>
    <row r="8908" spans="83:87" x14ac:dyDescent="0.2">
      <c r="CE8908"/>
      <c r="CF8908"/>
      <c r="CG8908"/>
      <c r="CH8908"/>
      <c r="CI8908"/>
    </row>
    <row r="8909" spans="83:87" x14ac:dyDescent="0.2">
      <c r="CE8909"/>
      <c r="CF8909"/>
      <c r="CG8909"/>
      <c r="CH8909"/>
      <c r="CI8909"/>
    </row>
    <row r="8910" spans="83:87" x14ac:dyDescent="0.2">
      <c r="CE8910"/>
      <c r="CF8910"/>
      <c r="CG8910"/>
      <c r="CH8910"/>
      <c r="CI8910"/>
    </row>
    <row r="8911" spans="83:87" x14ac:dyDescent="0.2">
      <c r="CE8911"/>
      <c r="CF8911"/>
      <c r="CG8911"/>
      <c r="CH8911"/>
      <c r="CI8911"/>
    </row>
    <row r="8912" spans="83:87" x14ac:dyDescent="0.2">
      <c r="CE8912"/>
      <c r="CF8912"/>
      <c r="CG8912"/>
      <c r="CH8912"/>
      <c r="CI8912"/>
    </row>
    <row r="8913" spans="83:87" x14ac:dyDescent="0.2">
      <c r="CE8913"/>
      <c r="CF8913"/>
      <c r="CG8913"/>
      <c r="CH8913"/>
      <c r="CI8913"/>
    </row>
    <row r="8914" spans="83:87" x14ac:dyDescent="0.2">
      <c r="CE8914"/>
      <c r="CF8914"/>
      <c r="CG8914"/>
      <c r="CH8914"/>
      <c r="CI8914"/>
    </row>
    <row r="8915" spans="83:87" x14ac:dyDescent="0.2">
      <c r="CE8915"/>
      <c r="CF8915"/>
      <c r="CG8915"/>
      <c r="CH8915"/>
      <c r="CI8915"/>
    </row>
    <row r="8916" spans="83:87" x14ac:dyDescent="0.2">
      <c r="CE8916"/>
      <c r="CF8916"/>
      <c r="CG8916"/>
      <c r="CH8916"/>
      <c r="CI8916"/>
    </row>
    <row r="8917" spans="83:87" x14ac:dyDescent="0.2">
      <c r="CE8917"/>
      <c r="CF8917"/>
      <c r="CG8917"/>
      <c r="CH8917"/>
      <c r="CI8917"/>
    </row>
    <row r="8918" spans="83:87" x14ac:dyDescent="0.2">
      <c r="CE8918"/>
      <c r="CF8918"/>
      <c r="CG8918"/>
      <c r="CH8918"/>
      <c r="CI8918"/>
    </row>
    <row r="8919" spans="83:87" x14ac:dyDescent="0.2">
      <c r="CE8919"/>
      <c r="CF8919"/>
      <c r="CG8919"/>
      <c r="CH8919"/>
      <c r="CI8919"/>
    </row>
    <row r="8920" spans="83:87" x14ac:dyDescent="0.2">
      <c r="CE8920"/>
      <c r="CF8920"/>
      <c r="CG8920"/>
      <c r="CH8920"/>
      <c r="CI8920"/>
    </row>
    <row r="8921" spans="83:87" x14ac:dyDescent="0.2">
      <c r="CE8921"/>
      <c r="CF8921"/>
      <c r="CG8921"/>
      <c r="CH8921"/>
      <c r="CI8921"/>
    </row>
    <row r="8922" spans="83:87" x14ac:dyDescent="0.2">
      <c r="CE8922"/>
      <c r="CF8922"/>
      <c r="CG8922"/>
      <c r="CH8922"/>
      <c r="CI8922"/>
    </row>
    <row r="8923" spans="83:87" x14ac:dyDescent="0.2">
      <c r="CE8923"/>
      <c r="CF8923"/>
      <c r="CG8923"/>
      <c r="CH8923"/>
      <c r="CI8923"/>
    </row>
    <row r="8924" spans="83:87" x14ac:dyDescent="0.2">
      <c r="CE8924"/>
      <c r="CF8924"/>
      <c r="CG8924"/>
      <c r="CH8924"/>
      <c r="CI8924"/>
    </row>
    <row r="8925" spans="83:87" x14ac:dyDescent="0.2">
      <c r="CE8925"/>
      <c r="CF8925"/>
      <c r="CG8925"/>
      <c r="CH8925"/>
      <c r="CI8925"/>
    </row>
    <row r="8926" spans="83:87" x14ac:dyDescent="0.2">
      <c r="CE8926"/>
      <c r="CF8926"/>
      <c r="CG8926"/>
      <c r="CH8926"/>
      <c r="CI8926"/>
    </row>
    <row r="8927" spans="83:87" x14ac:dyDescent="0.2">
      <c r="CE8927"/>
      <c r="CF8927"/>
      <c r="CG8927"/>
      <c r="CH8927"/>
      <c r="CI8927"/>
    </row>
    <row r="8928" spans="83:87" x14ac:dyDescent="0.2">
      <c r="CE8928"/>
      <c r="CF8928"/>
      <c r="CG8928"/>
      <c r="CH8928"/>
      <c r="CI8928"/>
    </row>
    <row r="8929" spans="83:87" x14ac:dyDescent="0.2">
      <c r="CE8929"/>
      <c r="CF8929"/>
      <c r="CG8929"/>
      <c r="CH8929"/>
      <c r="CI8929"/>
    </row>
    <row r="8930" spans="83:87" x14ac:dyDescent="0.2">
      <c r="CE8930"/>
      <c r="CF8930"/>
      <c r="CG8930"/>
      <c r="CH8930"/>
      <c r="CI8930"/>
    </row>
    <row r="8931" spans="83:87" x14ac:dyDescent="0.2">
      <c r="CE8931"/>
      <c r="CF8931"/>
      <c r="CG8931"/>
      <c r="CH8931"/>
      <c r="CI8931"/>
    </row>
    <row r="8932" spans="83:87" x14ac:dyDescent="0.2">
      <c r="CE8932"/>
      <c r="CF8932"/>
      <c r="CG8932"/>
      <c r="CH8932"/>
      <c r="CI8932"/>
    </row>
    <row r="8933" spans="83:87" x14ac:dyDescent="0.2">
      <c r="CE8933"/>
      <c r="CF8933"/>
      <c r="CG8933"/>
      <c r="CH8933"/>
      <c r="CI8933"/>
    </row>
    <row r="8934" spans="83:87" x14ac:dyDescent="0.2">
      <c r="CE8934"/>
      <c r="CF8934"/>
      <c r="CG8934"/>
      <c r="CH8934"/>
      <c r="CI8934"/>
    </row>
    <row r="8935" spans="83:87" x14ac:dyDescent="0.2">
      <c r="CE8935"/>
      <c r="CF8935"/>
      <c r="CG8935"/>
      <c r="CH8935"/>
      <c r="CI8935"/>
    </row>
    <row r="8936" spans="83:87" x14ac:dyDescent="0.2">
      <c r="CE8936"/>
      <c r="CF8936"/>
      <c r="CG8936"/>
      <c r="CH8936"/>
      <c r="CI8936"/>
    </row>
    <row r="8937" spans="83:87" x14ac:dyDescent="0.2">
      <c r="CE8937"/>
      <c r="CF8937"/>
      <c r="CG8937"/>
      <c r="CH8937"/>
      <c r="CI8937"/>
    </row>
    <row r="8938" spans="83:87" x14ac:dyDescent="0.2">
      <c r="CE8938"/>
      <c r="CF8938"/>
      <c r="CG8938"/>
      <c r="CH8938"/>
      <c r="CI8938"/>
    </row>
    <row r="8939" spans="83:87" x14ac:dyDescent="0.2">
      <c r="CE8939"/>
      <c r="CF8939"/>
      <c r="CG8939"/>
      <c r="CH8939"/>
      <c r="CI8939"/>
    </row>
    <row r="8940" spans="83:87" x14ac:dyDescent="0.2">
      <c r="CE8940"/>
      <c r="CF8940"/>
      <c r="CG8940"/>
      <c r="CH8940"/>
      <c r="CI8940"/>
    </row>
    <row r="8941" spans="83:87" x14ac:dyDescent="0.2">
      <c r="CE8941"/>
      <c r="CF8941"/>
      <c r="CG8941"/>
      <c r="CH8941"/>
      <c r="CI8941"/>
    </row>
    <row r="8942" spans="83:87" x14ac:dyDescent="0.2">
      <c r="CE8942"/>
      <c r="CF8942"/>
      <c r="CG8942"/>
      <c r="CH8942"/>
      <c r="CI8942"/>
    </row>
    <row r="8943" spans="83:87" x14ac:dyDescent="0.2">
      <c r="CE8943"/>
      <c r="CF8943"/>
      <c r="CG8943"/>
      <c r="CH8943"/>
      <c r="CI8943"/>
    </row>
    <row r="8944" spans="83:87" x14ac:dyDescent="0.2">
      <c r="CE8944"/>
      <c r="CF8944"/>
      <c r="CG8944"/>
      <c r="CH8944"/>
      <c r="CI8944"/>
    </row>
    <row r="8945" spans="83:87" x14ac:dyDescent="0.2">
      <c r="CE8945"/>
      <c r="CF8945"/>
      <c r="CG8945"/>
      <c r="CH8945"/>
      <c r="CI8945"/>
    </row>
    <row r="8946" spans="83:87" x14ac:dyDescent="0.2">
      <c r="CE8946"/>
      <c r="CF8946"/>
      <c r="CG8946"/>
      <c r="CH8946"/>
      <c r="CI8946"/>
    </row>
    <row r="8947" spans="83:87" x14ac:dyDescent="0.2">
      <c r="CE8947"/>
      <c r="CF8947"/>
      <c r="CG8947"/>
      <c r="CH8947"/>
      <c r="CI8947"/>
    </row>
    <row r="8948" spans="83:87" x14ac:dyDescent="0.2">
      <c r="CE8948"/>
      <c r="CF8948"/>
      <c r="CG8948"/>
      <c r="CH8948"/>
      <c r="CI8948"/>
    </row>
    <row r="8949" spans="83:87" x14ac:dyDescent="0.2">
      <c r="CE8949"/>
      <c r="CF8949"/>
      <c r="CG8949"/>
      <c r="CH8949"/>
      <c r="CI8949"/>
    </row>
    <row r="8950" spans="83:87" x14ac:dyDescent="0.2">
      <c r="CE8950"/>
      <c r="CF8950"/>
      <c r="CG8950"/>
      <c r="CH8950"/>
      <c r="CI8950"/>
    </row>
    <row r="8951" spans="83:87" x14ac:dyDescent="0.2">
      <c r="CE8951"/>
      <c r="CF8951"/>
      <c r="CG8951"/>
      <c r="CH8951"/>
      <c r="CI8951"/>
    </row>
    <row r="8952" spans="83:87" x14ac:dyDescent="0.2">
      <c r="CE8952"/>
      <c r="CF8952"/>
      <c r="CG8952"/>
      <c r="CH8952"/>
      <c r="CI8952"/>
    </row>
    <row r="8953" spans="83:87" x14ac:dyDescent="0.2">
      <c r="CE8953"/>
      <c r="CF8953"/>
      <c r="CG8953"/>
      <c r="CH8953"/>
      <c r="CI8953"/>
    </row>
    <row r="8954" spans="83:87" x14ac:dyDescent="0.2">
      <c r="CE8954"/>
      <c r="CF8954"/>
      <c r="CG8954"/>
      <c r="CH8954"/>
      <c r="CI8954"/>
    </row>
    <row r="8955" spans="83:87" x14ac:dyDescent="0.2">
      <c r="CE8955"/>
      <c r="CF8955"/>
      <c r="CG8955"/>
      <c r="CH8955"/>
      <c r="CI8955"/>
    </row>
    <row r="8956" spans="83:87" x14ac:dyDescent="0.2">
      <c r="CE8956"/>
      <c r="CF8956"/>
      <c r="CG8956"/>
      <c r="CH8956"/>
      <c r="CI8956"/>
    </row>
    <row r="8957" spans="83:87" x14ac:dyDescent="0.2">
      <c r="CE8957"/>
      <c r="CF8957"/>
      <c r="CG8957"/>
      <c r="CH8957"/>
      <c r="CI8957"/>
    </row>
    <row r="8958" spans="83:87" x14ac:dyDescent="0.2">
      <c r="CE8958"/>
      <c r="CF8958"/>
      <c r="CG8958"/>
      <c r="CH8958"/>
      <c r="CI8958"/>
    </row>
    <row r="8959" spans="83:87" x14ac:dyDescent="0.2">
      <c r="CE8959"/>
      <c r="CF8959"/>
      <c r="CG8959"/>
      <c r="CH8959"/>
      <c r="CI8959"/>
    </row>
    <row r="8960" spans="83:87" x14ac:dyDescent="0.2">
      <c r="CE8960"/>
      <c r="CF8960"/>
      <c r="CG8960"/>
      <c r="CH8960"/>
      <c r="CI8960"/>
    </row>
    <row r="8961" spans="83:87" x14ac:dyDescent="0.2">
      <c r="CE8961"/>
      <c r="CF8961"/>
      <c r="CG8961"/>
      <c r="CH8961"/>
      <c r="CI8961"/>
    </row>
    <row r="8962" spans="83:87" x14ac:dyDescent="0.2">
      <c r="CE8962"/>
      <c r="CF8962"/>
      <c r="CG8962"/>
      <c r="CH8962"/>
      <c r="CI8962"/>
    </row>
    <row r="8963" spans="83:87" x14ac:dyDescent="0.2">
      <c r="CE8963"/>
      <c r="CF8963"/>
      <c r="CG8963"/>
      <c r="CH8963"/>
      <c r="CI8963"/>
    </row>
    <row r="8964" spans="83:87" x14ac:dyDescent="0.2">
      <c r="CE8964"/>
      <c r="CF8964"/>
      <c r="CG8964"/>
      <c r="CH8964"/>
      <c r="CI8964"/>
    </row>
    <row r="8965" spans="83:87" x14ac:dyDescent="0.2">
      <c r="CE8965"/>
      <c r="CF8965"/>
      <c r="CG8965"/>
      <c r="CH8965"/>
      <c r="CI8965"/>
    </row>
    <row r="8966" spans="83:87" x14ac:dyDescent="0.2">
      <c r="CE8966"/>
      <c r="CF8966"/>
      <c r="CG8966"/>
      <c r="CH8966"/>
      <c r="CI8966"/>
    </row>
    <row r="8967" spans="83:87" x14ac:dyDescent="0.2">
      <c r="CE8967"/>
      <c r="CF8967"/>
      <c r="CG8967"/>
      <c r="CH8967"/>
      <c r="CI8967"/>
    </row>
    <row r="8968" spans="83:87" x14ac:dyDescent="0.2">
      <c r="CE8968"/>
      <c r="CF8968"/>
      <c r="CG8968"/>
      <c r="CH8968"/>
      <c r="CI8968"/>
    </row>
    <row r="8969" spans="83:87" x14ac:dyDescent="0.2">
      <c r="CE8969"/>
      <c r="CF8969"/>
      <c r="CG8969"/>
      <c r="CH8969"/>
      <c r="CI8969"/>
    </row>
    <row r="8970" spans="83:87" x14ac:dyDescent="0.2">
      <c r="CE8970"/>
      <c r="CF8970"/>
      <c r="CG8970"/>
      <c r="CH8970"/>
      <c r="CI8970"/>
    </row>
    <row r="8971" spans="83:87" x14ac:dyDescent="0.2">
      <c r="CE8971"/>
      <c r="CF8971"/>
      <c r="CG8971"/>
      <c r="CH8971"/>
      <c r="CI8971"/>
    </row>
    <row r="8972" spans="83:87" x14ac:dyDescent="0.2">
      <c r="CE8972"/>
      <c r="CF8972"/>
      <c r="CG8972"/>
      <c r="CH8972"/>
      <c r="CI8972"/>
    </row>
    <row r="8973" spans="83:87" x14ac:dyDescent="0.2">
      <c r="CE8973"/>
      <c r="CF8973"/>
      <c r="CG8973"/>
      <c r="CH8973"/>
      <c r="CI8973"/>
    </row>
    <row r="8974" spans="83:87" x14ac:dyDescent="0.2">
      <c r="CE8974"/>
      <c r="CF8974"/>
      <c r="CG8974"/>
      <c r="CH8974"/>
      <c r="CI8974"/>
    </row>
    <row r="8975" spans="83:87" x14ac:dyDescent="0.2">
      <c r="CE8975"/>
      <c r="CF8975"/>
      <c r="CG8975"/>
      <c r="CH8975"/>
      <c r="CI8975"/>
    </row>
    <row r="8976" spans="83:87" x14ac:dyDescent="0.2">
      <c r="CE8976"/>
      <c r="CF8976"/>
      <c r="CG8976"/>
      <c r="CH8976"/>
      <c r="CI8976"/>
    </row>
    <row r="8977" spans="83:87" x14ac:dyDescent="0.2">
      <c r="CE8977"/>
      <c r="CF8977"/>
      <c r="CG8977"/>
      <c r="CH8977"/>
      <c r="CI8977"/>
    </row>
    <row r="8978" spans="83:87" x14ac:dyDescent="0.2">
      <c r="CE8978"/>
      <c r="CF8978"/>
      <c r="CG8978"/>
      <c r="CH8978"/>
      <c r="CI8978"/>
    </row>
    <row r="8979" spans="83:87" x14ac:dyDescent="0.2">
      <c r="CE8979"/>
      <c r="CF8979"/>
      <c r="CG8979"/>
      <c r="CH8979"/>
      <c r="CI8979"/>
    </row>
    <row r="8980" spans="83:87" x14ac:dyDescent="0.2">
      <c r="CE8980"/>
      <c r="CF8980"/>
      <c r="CG8980"/>
      <c r="CH8980"/>
      <c r="CI8980"/>
    </row>
    <row r="8981" spans="83:87" x14ac:dyDescent="0.2">
      <c r="CE8981"/>
      <c r="CF8981"/>
      <c r="CG8981"/>
      <c r="CH8981"/>
      <c r="CI8981"/>
    </row>
    <row r="8982" spans="83:87" x14ac:dyDescent="0.2">
      <c r="CE8982"/>
      <c r="CF8982"/>
      <c r="CG8982"/>
      <c r="CH8982"/>
      <c r="CI8982"/>
    </row>
    <row r="8983" spans="83:87" x14ac:dyDescent="0.2">
      <c r="CE8983"/>
      <c r="CF8983"/>
      <c r="CG8983"/>
      <c r="CH8983"/>
      <c r="CI8983"/>
    </row>
    <row r="8984" spans="83:87" x14ac:dyDescent="0.2">
      <c r="CE8984"/>
      <c r="CF8984"/>
      <c r="CG8984"/>
      <c r="CH8984"/>
      <c r="CI8984"/>
    </row>
    <row r="8985" spans="83:87" x14ac:dyDescent="0.2">
      <c r="CE8985"/>
      <c r="CF8985"/>
      <c r="CG8985"/>
      <c r="CH8985"/>
      <c r="CI8985"/>
    </row>
    <row r="8986" spans="83:87" x14ac:dyDescent="0.2">
      <c r="CE8986"/>
      <c r="CF8986"/>
      <c r="CG8986"/>
      <c r="CH8986"/>
      <c r="CI8986"/>
    </row>
    <row r="8987" spans="83:87" x14ac:dyDescent="0.2">
      <c r="CE8987"/>
      <c r="CF8987"/>
      <c r="CG8987"/>
      <c r="CH8987"/>
      <c r="CI8987"/>
    </row>
    <row r="8988" spans="83:87" x14ac:dyDescent="0.2">
      <c r="CE8988"/>
      <c r="CF8988"/>
      <c r="CG8988"/>
      <c r="CH8988"/>
      <c r="CI8988"/>
    </row>
    <row r="8989" spans="83:87" x14ac:dyDescent="0.2">
      <c r="CE8989"/>
      <c r="CF8989"/>
      <c r="CG8989"/>
      <c r="CH8989"/>
      <c r="CI8989"/>
    </row>
    <row r="8990" spans="83:87" x14ac:dyDescent="0.2">
      <c r="CE8990"/>
      <c r="CF8990"/>
      <c r="CG8990"/>
      <c r="CH8990"/>
      <c r="CI8990"/>
    </row>
    <row r="8991" spans="83:87" x14ac:dyDescent="0.2">
      <c r="CE8991"/>
      <c r="CF8991"/>
      <c r="CG8991"/>
      <c r="CH8991"/>
      <c r="CI8991"/>
    </row>
    <row r="8992" spans="83:87" x14ac:dyDescent="0.2">
      <c r="CE8992"/>
      <c r="CF8992"/>
      <c r="CG8992"/>
      <c r="CH8992"/>
      <c r="CI8992"/>
    </row>
    <row r="8993" spans="83:87" x14ac:dyDescent="0.2">
      <c r="CE8993"/>
      <c r="CF8993"/>
      <c r="CG8993"/>
      <c r="CH8993"/>
      <c r="CI8993"/>
    </row>
    <row r="8994" spans="83:87" x14ac:dyDescent="0.2">
      <c r="CE8994"/>
      <c r="CF8994"/>
      <c r="CG8994"/>
      <c r="CH8994"/>
      <c r="CI8994"/>
    </row>
    <row r="8995" spans="83:87" x14ac:dyDescent="0.2">
      <c r="CE8995"/>
      <c r="CF8995"/>
      <c r="CG8995"/>
      <c r="CH8995"/>
      <c r="CI8995"/>
    </row>
    <row r="8996" spans="83:87" x14ac:dyDescent="0.2">
      <c r="CE8996"/>
      <c r="CF8996"/>
      <c r="CG8996"/>
      <c r="CH8996"/>
      <c r="CI8996"/>
    </row>
    <row r="8997" spans="83:87" x14ac:dyDescent="0.2">
      <c r="CE8997"/>
      <c r="CF8997"/>
      <c r="CG8997"/>
      <c r="CH8997"/>
      <c r="CI8997"/>
    </row>
    <row r="8998" spans="83:87" x14ac:dyDescent="0.2">
      <c r="CE8998"/>
      <c r="CF8998"/>
      <c r="CG8998"/>
      <c r="CH8998"/>
      <c r="CI8998"/>
    </row>
    <row r="8999" spans="83:87" x14ac:dyDescent="0.2">
      <c r="CE8999"/>
      <c r="CF8999"/>
      <c r="CG8999"/>
      <c r="CH8999"/>
      <c r="CI8999"/>
    </row>
    <row r="9000" spans="83:87" x14ac:dyDescent="0.2">
      <c r="CE9000"/>
      <c r="CF9000"/>
      <c r="CG9000"/>
      <c r="CH9000"/>
      <c r="CI9000"/>
    </row>
    <row r="9001" spans="83:87" x14ac:dyDescent="0.2">
      <c r="CE9001"/>
      <c r="CF9001"/>
      <c r="CG9001"/>
      <c r="CH9001"/>
      <c r="CI9001"/>
    </row>
    <row r="9002" spans="83:87" x14ac:dyDescent="0.2">
      <c r="CE9002"/>
      <c r="CF9002"/>
      <c r="CG9002"/>
      <c r="CH9002"/>
      <c r="CI9002"/>
    </row>
    <row r="9003" spans="83:87" x14ac:dyDescent="0.2">
      <c r="CE9003"/>
      <c r="CF9003"/>
      <c r="CG9003"/>
      <c r="CH9003"/>
      <c r="CI9003"/>
    </row>
    <row r="9004" spans="83:87" x14ac:dyDescent="0.2">
      <c r="CE9004"/>
      <c r="CF9004"/>
      <c r="CG9004"/>
      <c r="CH9004"/>
      <c r="CI9004"/>
    </row>
    <row r="9005" spans="83:87" x14ac:dyDescent="0.2">
      <c r="CE9005"/>
      <c r="CF9005"/>
      <c r="CG9005"/>
      <c r="CH9005"/>
      <c r="CI9005"/>
    </row>
    <row r="9006" spans="83:87" x14ac:dyDescent="0.2">
      <c r="CE9006"/>
      <c r="CF9006"/>
      <c r="CG9006"/>
      <c r="CH9006"/>
      <c r="CI9006"/>
    </row>
    <row r="9007" spans="83:87" x14ac:dyDescent="0.2">
      <c r="CE9007"/>
      <c r="CF9007"/>
      <c r="CG9007"/>
      <c r="CH9007"/>
      <c r="CI9007"/>
    </row>
    <row r="9008" spans="83:87" x14ac:dyDescent="0.2">
      <c r="CE9008"/>
      <c r="CF9008"/>
      <c r="CG9008"/>
      <c r="CH9008"/>
      <c r="CI9008"/>
    </row>
    <row r="9009" spans="83:87" x14ac:dyDescent="0.2">
      <c r="CE9009"/>
      <c r="CF9009"/>
      <c r="CG9009"/>
      <c r="CH9009"/>
      <c r="CI9009"/>
    </row>
    <row r="9010" spans="83:87" x14ac:dyDescent="0.2">
      <c r="CE9010"/>
      <c r="CF9010"/>
      <c r="CG9010"/>
      <c r="CH9010"/>
      <c r="CI9010"/>
    </row>
    <row r="9011" spans="83:87" x14ac:dyDescent="0.2">
      <c r="CE9011"/>
      <c r="CF9011"/>
      <c r="CG9011"/>
      <c r="CH9011"/>
      <c r="CI9011"/>
    </row>
    <row r="9012" spans="83:87" x14ac:dyDescent="0.2">
      <c r="CE9012"/>
      <c r="CF9012"/>
      <c r="CG9012"/>
      <c r="CH9012"/>
      <c r="CI9012"/>
    </row>
    <row r="9013" spans="83:87" x14ac:dyDescent="0.2">
      <c r="CE9013"/>
      <c r="CF9013"/>
      <c r="CG9013"/>
      <c r="CH9013"/>
      <c r="CI9013"/>
    </row>
    <row r="9014" spans="83:87" x14ac:dyDescent="0.2">
      <c r="CE9014"/>
      <c r="CF9014"/>
      <c r="CG9014"/>
      <c r="CH9014"/>
      <c r="CI9014"/>
    </row>
    <row r="9015" spans="83:87" x14ac:dyDescent="0.2">
      <c r="CE9015"/>
      <c r="CF9015"/>
      <c r="CG9015"/>
      <c r="CH9015"/>
      <c r="CI9015"/>
    </row>
    <row r="9016" spans="83:87" x14ac:dyDescent="0.2">
      <c r="CE9016"/>
      <c r="CF9016"/>
      <c r="CG9016"/>
      <c r="CH9016"/>
      <c r="CI9016"/>
    </row>
    <row r="9017" spans="83:87" x14ac:dyDescent="0.2">
      <c r="CE9017"/>
      <c r="CF9017"/>
      <c r="CG9017"/>
      <c r="CH9017"/>
      <c r="CI9017"/>
    </row>
    <row r="9018" spans="83:87" x14ac:dyDescent="0.2">
      <c r="CE9018"/>
      <c r="CF9018"/>
      <c r="CG9018"/>
      <c r="CH9018"/>
      <c r="CI9018"/>
    </row>
    <row r="9019" spans="83:87" x14ac:dyDescent="0.2">
      <c r="CE9019"/>
      <c r="CF9019"/>
      <c r="CG9019"/>
      <c r="CH9019"/>
      <c r="CI9019"/>
    </row>
    <row r="9020" spans="83:87" x14ac:dyDescent="0.2">
      <c r="CE9020"/>
      <c r="CF9020"/>
      <c r="CG9020"/>
      <c r="CH9020"/>
      <c r="CI9020"/>
    </row>
    <row r="9021" spans="83:87" x14ac:dyDescent="0.2">
      <c r="CE9021"/>
      <c r="CF9021"/>
      <c r="CG9021"/>
      <c r="CH9021"/>
      <c r="CI9021"/>
    </row>
    <row r="9022" spans="83:87" x14ac:dyDescent="0.2">
      <c r="CE9022"/>
      <c r="CF9022"/>
      <c r="CG9022"/>
      <c r="CH9022"/>
      <c r="CI9022"/>
    </row>
    <row r="9023" spans="83:87" x14ac:dyDescent="0.2">
      <c r="CE9023"/>
      <c r="CF9023"/>
      <c r="CG9023"/>
      <c r="CH9023"/>
      <c r="CI9023"/>
    </row>
    <row r="9024" spans="83:87" x14ac:dyDescent="0.2">
      <c r="CE9024"/>
      <c r="CF9024"/>
      <c r="CG9024"/>
      <c r="CH9024"/>
      <c r="CI9024"/>
    </row>
    <row r="9025" spans="83:87" x14ac:dyDescent="0.2">
      <c r="CE9025"/>
      <c r="CF9025"/>
      <c r="CG9025"/>
      <c r="CH9025"/>
      <c r="CI9025"/>
    </row>
    <row r="9026" spans="83:87" x14ac:dyDescent="0.2">
      <c r="CE9026"/>
      <c r="CF9026"/>
      <c r="CG9026"/>
      <c r="CH9026"/>
      <c r="CI9026"/>
    </row>
    <row r="9027" spans="83:87" x14ac:dyDescent="0.2">
      <c r="CE9027"/>
      <c r="CF9027"/>
      <c r="CG9027"/>
      <c r="CH9027"/>
      <c r="CI9027"/>
    </row>
    <row r="9028" spans="83:87" x14ac:dyDescent="0.2">
      <c r="CE9028"/>
      <c r="CF9028"/>
      <c r="CG9028"/>
      <c r="CH9028"/>
      <c r="CI9028"/>
    </row>
    <row r="9029" spans="83:87" x14ac:dyDescent="0.2">
      <c r="CE9029"/>
      <c r="CF9029"/>
      <c r="CG9029"/>
      <c r="CH9029"/>
      <c r="CI9029"/>
    </row>
    <row r="9030" spans="83:87" x14ac:dyDescent="0.2">
      <c r="CE9030"/>
      <c r="CF9030"/>
      <c r="CG9030"/>
      <c r="CH9030"/>
      <c r="CI9030"/>
    </row>
    <row r="9031" spans="83:87" x14ac:dyDescent="0.2">
      <c r="CE9031"/>
      <c r="CF9031"/>
      <c r="CG9031"/>
      <c r="CH9031"/>
      <c r="CI9031"/>
    </row>
    <row r="9032" spans="83:87" x14ac:dyDescent="0.2">
      <c r="CE9032"/>
      <c r="CF9032"/>
      <c r="CG9032"/>
      <c r="CH9032"/>
      <c r="CI9032"/>
    </row>
    <row r="9033" spans="83:87" x14ac:dyDescent="0.2">
      <c r="CE9033"/>
      <c r="CF9033"/>
      <c r="CG9033"/>
      <c r="CH9033"/>
      <c r="CI9033"/>
    </row>
    <row r="9034" spans="83:87" x14ac:dyDescent="0.2">
      <c r="CE9034"/>
      <c r="CF9034"/>
      <c r="CG9034"/>
      <c r="CH9034"/>
      <c r="CI9034"/>
    </row>
    <row r="9035" spans="83:87" x14ac:dyDescent="0.2">
      <c r="CE9035"/>
      <c r="CF9035"/>
      <c r="CG9035"/>
      <c r="CH9035"/>
      <c r="CI9035"/>
    </row>
    <row r="9036" spans="83:87" x14ac:dyDescent="0.2">
      <c r="CE9036"/>
      <c r="CF9036"/>
      <c r="CG9036"/>
      <c r="CH9036"/>
      <c r="CI9036"/>
    </row>
    <row r="9037" spans="83:87" x14ac:dyDescent="0.2">
      <c r="CE9037"/>
      <c r="CF9037"/>
      <c r="CG9037"/>
      <c r="CH9037"/>
      <c r="CI9037"/>
    </row>
    <row r="9038" spans="83:87" x14ac:dyDescent="0.2">
      <c r="CE9038"/>
      <c r="CF9038"/>
      <c r="CG9038"/>
      <c r="CH9038"/>
      <c r="CI9038"/>
    </row>
    <row r="9039" spans="83:87" x14ac:dyDescent="0.2">
      <c r="CE9039"/>
      <c r="CF9039"/>
      <c r="CG9039"/>
      <c r="CH9039"/>
      <c r="CI9039"/>
    </row>
    <row r="9040" spans="83:87" x14ac:dyDescent="0.2">
      <c r="CE9040"/>
      <c r="CF9040"/>
      <c r="CG9040"/>
      <c r="CH9040"/>
      <c r="CI9040"/>
    </row>
    <row r="9041" spans="83:87" x14ac:dyDescent="0.2">
      <c r="CE9041"/>
      <c r="CF9041"/>
      <c r="CG9041"/>
      <c r="CH9041"/>
      <c r="CI9041"/>
    </row>
    <row r="9042" spans="83:87" x14ac:dyDescent="0.2">
      <c r="CE9042"/>
      <c r="CF9042"/>
      <c r="CG9042"/>
      <c r="CH9042"/>
      <c r="CI9042"/>
    </row>
    <row r="9043" spans="83:87" x14ac:dyDescent="0.2">
      <c r="CE9043"/>
      <c r="CF9043"/>
      <c r="CG9043"/>
      <c r="CH9043"/>
      <c r="CI9043"/>
    </row>
    <row r="9044" spans="83:87" x14ac:dyDescent="0.2">
      <c r="CE9044"/>
      <c r="CF9044"/>
      <c r="CG9044"/>
      <c r="CH9044"/>
      <c r="CI9044"/>
    </row>
    <row r="9045" spans="83:87" x14ac:dyDescent="0.2">
      <c r="CE9045"/>
      <c r="CF9045"/>
      <c r="CG9045"/>
      <c r="CH9045"/>
      <c r="CI9045"/>
    </row>
    <row r="9046" spans="83:87" x14ac:dyDescent="0.2">
      <c r="CE9046"/>
      <c r="CF9046"/>
      <c r="CG9046"/>
      <c r="CH9046"/>
      <c r="CI9046"/>
    </row>
    <row r="9047" spans="83:87" x14ac:dyDescent="0.2">
      <c r="CE9047"/>
      <c r="CF9047"/>
      <c r="CG9047"/>
      <c r="CH9047"/>
      <c r="CI9047"/>
    </row>
    <row r="9048" spans="83:87" x14ac:dyDescent="0.2">
      <c r="CE9048"/>
      <c r="CF9048"/>
      <c r="CG9048"/>
      <c r="CH9048"/>
      <c r="CI9048"/>
    </row>
    <row r="9049" spans="83:87" x14ac:dyDescent="0.2">
      <c r="CE9049"/>
      <c r="CF9049"/>
      <c r="CG9049"/>
      <c r="CH9049"/>
      <c r="CI9049"/>
    </row>
    <row r="9050" spans="83:87" x14ac:dyDescent="0.2">
      <c r="CE9050"/>
      <c r="CF9050"/>
      <c r="CG9050"/>
      <c r="CH9050"/>
      <c r="CI9050"/>
    </row>
    <row r="9051" spans="83:87" x14ac:dyDescent="0.2">
      <c r="CE9051"/>
      <c r="CF9051"/>
      <c r="CG9051"/>
      <c r="CH9051"/>
      <c r="CI9051"/>
    </row>
    <row r="9052" spans="83:87" x14ac:dyDescent="0.2">
      <c r="CE9052"/>
      <c r="CF9052"/>
      <c r="CG9052"/>
      <c r="CH9052"/>
      <c r="CI9052"/>
    </row>
    <row r="9053" spans="83:87" x14ac:dyDescent="0.2">
      <c r="CE9053"/>
      <c r="CF9053"/>
      <c r="CG9053"/>
      <c r="CH9053"/>
      <c r="CI9053"/>
    </row>
    <row r="9054" spans="83:87" x14ac:dyDescent="0.2">
      <c r="CE9054"/>
      <c r="CF9054"/>
      <c r="CG9054"/>
      <c r="CH9054"/>
      <c r="CI9054"/>
    </row>
    <row r="9055" spans="83:87" x14ac:dyDescent="0.2">
      <c r="CE9055"/>
      <c r="CF9055"/>
      <c r="CG9055"/>
      <c r="CH9055"/>
      <c r="CI9055"/>
    </row>
    <row r="9056" spans="83:87" x14ac:dyDescent="0.2">
      <c r="CE9056"/>
      <c r="CF9056"/>
      <c r="CG9056"/>
      <c r="CH9056"/>
      <c r="CI9056"/>
    </row>
    <row r="9057" spans="83:87" x14ac:dyDescent="0.2">
      <c r="CE9057"/>
      <c r="CF9057"/>
      <c r="CG9057"/>
      <c r="CH9057"/>
      <c r="CI9057"/>
    </row>
    <row r="9058" spans="83:87" x14ac:dyDescent="0.2">
      <c r="CE9058"/>
      <c r="CF9058"/>
      <c r="CG9058"/>
      <c r="CH9058"/>
      <c r="CI9058"/>
    </row>
    <row r="9059" spans="83:87" x14ac:dyDescent="0.2">
      <c r="CE9059"/>
      <c r="CF9059"/>
      <c r="CG9059"/>
      <c r="CH9059"/>
      <c r="CI9059"/>
    </row>
    <row r="9060" spans="83:87" x14ac:dyDescent="0.2">
      <c r="CE9060"/>
      <c r="CF9060"/>
      <c r="CG9060"/>
      <c r="CH9060"/>
      <c r="CI9060"/>
    </row>
    <row r="9061" spans="83:87" x14ac:dyDescent="0.2">
      <c r="CE9061"/>
      <c r="CF9061"/>
      <c r="CG9061"/>
      <c r="CH9061"/>
      <c r="CI9061"/>
    </row>
    <row r="9062" spans="83:87" x14ac:dyDescent="0.2">
      <c r="CE9062"/>
      <c r="CF9062"/>
      <c r="CG9062"/>
      <c r="CH9062"/>
      <c r="CI9062"/>
    </row>
    <row r="9063" spans="83:87" x14ac:dyDescent="0.2">
      <c r="CE9063"/>
      <c r="CF9063"/>
      <c r="CG9063"/>
      <c r="CH9063"/>
      <c r="CI9063"/>
    </row>
    <row r="9064" spans="83:87" x14ac:dyDescent="0.2">
      <c r="CE9064"/>
      <c r="CF9064"/>
      <c r="CG9064"/>
      <c r="CH9064"/>
      <c r="CI9064"/>
    </row>
    <row r="9065" spans="83:87" x14ac:dyDescent="0.2">
      <c r="CE9065"/>
      <c r="CF9065"/>
      <c r="CG9065"/>
      <c r="CH9065"/>
      <c r="CI9065"/>
    </row>
    <row r="9066" spans="83:87" x14ac:dyDescent="0.2">
      <c r="CE9066"/>
      <c r="CF9066"/>
      <c r="CG9066"/>
      <c r="CH9066"/>
      <c r="CI9066"/>
    </row>
    <row r="9067" spans="83:87" x14ac:dyDescent="0.2">
      <c r="CE9067"/>
      <c r="CF9067"/>
      <c r="CG9067"/>
      <c r="CH9067"/>
      <c r="CI9067"/>
    </row>
    <row r="9068" spans="83:87" x14ac:dyDescent="0.2">
      <c r="CE9068"/>
      <c r="CF9068"/>
      <c r="CG9068"/>
      <c r="CH9068"/>
      <c r="CI9068"/>
    </row>
    <row r="9069" spans="83:87" x14ac:dyDescent="0.2">
      <c r="CE9069"/>
      <c r="CF9069"/>
      <c r="CG9069"/>
      <c r="CH9069"/>
      <c r="CI9069"/>
    </row>
    <row r="9070" spans="83:87" x14ac:dyDescent="0.2">
      <c r="CE9070"/>
      <c r="CF9070"/>
      <c r="CG9070"/>
      <c r="CH9070"/>
      <c r="CI9070"/>
    </row>
    <row r="9071" spans="83:87" x14ac:dyDescent="0.2">
      <c r="CE9071"/>
      <c r="CF9071"/>
      <c r="CG9071"/>
      <c r="CH9071"/>
      <c r="CI9071"/>
    </row>
    <row r="9072" spans="83:87" x14ac:dyDescent="0.2">
      <c r="CE9072"/>
      <c r="CF9072"/>
      <c r="CG9072"/>
      <c r="CH9072"/>
      <c r="CI9072"/>
    </row>
    <row r="9073" spans="83:87" x14ac:dyDescent="0.2">
      <c r="CE9073"/>
      <c r="CF9073"/>
      <c r="CG9073"/>
      <c r="CH9073"/>
      <c r="CI9073"/>
    </row>
    <row r="9074" spans="83:87" x14ac:dyDescent="0.2">
      <c r="CE9074"/>
      <c r="CF9074"/>
      <c r="CG9074"/>
      <c r="CH9074"/>
      <c r="CI9074"/>
    </row>
    <row r="9075" spans="83:87" x14ac:dyDescent="0.2">
      <c r="CE9075"/>
      <c r="CF9075"/>
      <c r="CG9075"/>
      <c r="CH9075"/>
      <c r="CI9075"/>
    </row>
    <row r="9076" spans="83:87" x14ac:dyDescent="0.2">
      <c r="CE9076"/>
      <c r="CF9076"/>
      <c r="CG9076"/>
      <c r="CH9076"/>
      <c r="CI9076"/>
    </row>
    <row r="9077" spans="83:87" x14ac:dyDescent="0.2">
      <c r="CE9077"/>
      <c r="CF9077"/>
      <c r="CG9077"/>
      <c r="CH9077"/>
      <c r="CI9077"/>
    </row>
    <row r="9078" spans="83:87" x14ac:dyDescent="0.2">
      <c r="CE9078"/>
      <c r="CF9078"/>
      <c r="CG9078"/>
      <c r="CH9078"/>
      <c r="CI9078"/>
    </row>
    <row r="9079" spans="83:87" x14ac:dyDescent="0.2">
      <c r="CE9079"/>
      <c r="CF9079"/>
      <c r="CG9079"/>
      <c r="CH9079"/>
      <c r="CI9079"/>
    </row>
    <row r="9080" spans="83:87" x14ac:dyDescent="0.2">
      <c r="CE9080"/>
      <c r="CF9080"/>
      <c r="CG9080"/>
      <c r="CH9080"/>
      <c r="CI9080"/>
    </row>
    <row r="9081" spans="83:87" x14ac:dyDescent="0.2">
      <c r="CE9081"/>
      <c r="CF9081"/>
      <c r="CG9081"/>
      <c r="CH9081"/>
      <c r="CI9081"/>
    </row>
    <row r="9082" spans="83:87" x14ac:dyDescent="0.2">
      <c r="CE9082"/>
      <c r="CF9082"/>
      <c r="CG9082"/>
      <c r="CH9082"/>
      <c r="CI9082"/>
    </row>
    <row r="9083" spans="83:87" x14ac:dyDescent="0.2">
      <c r="CE9083"/>
      <c r="CF9083"/>
      <c r="CG9083"/>
      <c r="CH9083"/>
      <c r="CI9083"/>
    </row>
    <row r="9084" spans="83:87" x14ac:dyDescent="0.2">
      <c r="CE9084"/>
      <c r="CF9084"/>
      <c r="CG9084"/>
      <c r="CH9084"/>
      <c r="CI9084"/>
    </row>
    <row r="9085" spans="83:87" x14ac:dyDescent="0.2">
      <c r="CE9085"/>
      <c r="CF9085"/>
      <c r="CG9085"/>
      <c r="CH9085"/>
      <c r="CI9085"/>
    </row>
    <row r="9086" spans="83:87" x14ac:dyDescent="0.2">
      <c r="CE9086"/>
      <c r="CF9086"/>
      <c r="CG9086"/>
      <c r="CH9086"/>
      <c r="CI9086"/>
    </row>
    <row r="9087" spans="83:87" x14ac:dyDescent="0.2">
      <c r="CE9087"/>
      <c r="CF9087"/>
      <c r="CG9087"/>
      <c r="CH9087"/>
      <c r="CI9087"/>
    </row>
    <row r="9088" spans="83:87" x14ac:dyDescent="0.2">
      <c r="CE9088"/>
      <c r="CF9088"/>
      <c r="CG9088"/>
      <c r="CH9088"/>
      <c r="CI9088"/>
    </row>
    <row r="9089" spans="83:87" x14ac:dyDescent="0.2">
      <c r="CE9089"/>
      <c r="CF9089"/>
      <c r="CG9089"/>
      <c r="CH9089"/>
      <c r="CI9089"/>
    </row>
    <row r="9090" spans="83:87" x14ac:dyDescent="0.2">
      <c r="CE9090"/>
      <c r="CF9090"/>
      <c r="CG9090"/>
      <c r="CH9090"/>
      <c r="CI9090"/>
    </row>
    <row r="9091" spans="83:87" x14ac:dyDescent="0.2">
      <c r="CE9091"/>
      <c r="CF9091"/>
      <c r="CG9091"/>
      <c r="CH9091"/>
      <c r="CI9091"/>
    </row>
    <row r="9092" spans="83:87" x14ac:dyDescent="0.2">
      <c r="CE9092"/>
      <c r="CF9092"/>
      <c r="CG9092"/>
      <c r="CH9092"/>
      <c r="CI9092"/>
    </row>
    <row r="9093" spans="83:87" x14ac:dyDescent="0.2">
      <c r="CE9093"/>
      <c r="CF9093"/>
      <c r="CG9093"/>
      <c r="CH9093"/>
      <c r="CI9093"/>
    </row>
    <row r="9094" spans="83:87" x14ac:dyDescent="0.2">
      <c r="CE9094"/>
      <c r="CF9094"/>
      <c r="CG9094"/>
      <c r="CH9094"/>
      <c r="CI9094"/>
    </row>
    <row r="9095" spans="83:87" x14ac:dyDescent="0.2">
      <c r="CE9095"/>
      <c r="CF9095"/>
      <c r="CG9095"/>
      <c r="CH9095"/>
      <c r="CI9095"/>
    </row>
    <row r="9096" spans="83:87" x14ac:dyDescent="0.2">
      <c r="CE9096"/>
      <c r="CF9096"/>
      <c r="CG9096"/>
      <c r="CH9096"/>
      <c r="CI9096"/>
    </row>
    <row r="9097" spans="83:87" x14ac:dyDescent="0.2">
      <c r="CE9097"/>
      <c r="CF9097"/>
      <c r="CG9097"/>
      <c r="CH9097"/>
      <c r="CI9097"/>
    </row>
    <row r="9098" spans="83:87" x14ac:dyDescent="0.2">
      <c r="CE9098"/>
      <c r="CF9098"/>
      <c r="CG9098"/>
      <c r="CH9098"/>
      <c r="CI9098"/>
    </row>
    <row r="9099" spans="83:87" x14ac:dyDescent="0.2">
      <c r="CE9099"/>
      <c r="CF9099"/>
      <c r="CG9099"/>
      <c r="CH9099"/>
      <c r="CI9099"/>
    </row>
    <row r="9100" spans="83:87" x14ac:dyDescent="0.2">
      <c r="CE9100"/>
      <c r="CF9100"/>
      <c r="CG9100"/>
      <c r="CH9100"/>
      <c r="CI9100"/>
    </row>
    <row r="9101" spans="83:87" x14ac:dyDescent="0.2">
      <c r="CE9101"/>
      <c r="CF9101"/>
      <c r="CG9101"/>
      <c r="CH9101"/>
      <c r="CI9101"/>
    </row>
    <row r="9102" spans="83:87" x14ac:dyDescent="0.2">
      <c r="CE9102"/>
      <c r="CF9102"/>
      <c r="CG9102"/>
      <c r="CH9102"/>
      <c r="CI9102"/>
    </row>
    <row r="9103" spans="83:87" x14ac:dyDescent="0.2">
      <c r="CE9103"/>
      <c r="CF9103"/>
      <c r="CG9103"/>
      <c r="CH9103"/>
      <c r="CI9103"/>
    </row>
    <row r="9104" spans="83:87" x14ac:dyDescent="0.2">
      <c r="CE9104"/>
      <c r="CF9104"/>
      <c r="CG9104"/>
      <c r="CH9104"/>
      <c r="CI9104"/>
    </row>
    <row r="9105" spans="83:87" x14ac:dyDescent="0.2">
      <c r="CE9105"/>
      <c r="CF9105"/>
      <c r="CG9105"/>
      <c r="CH9105"/>
      <c r="CI9105"/>
    </row>
    <row r="9106" spans="83:87" x14ac:dyDescent="0.2">
      <c r="CE9106"/>
      <c r="CF9106"/>
      <c r="CG9106"/>
      <c r="CH9106"/>
      <c r="CI9106"/>
    </row>
    <row r="9107" spans="83:87" x14ac:dyDescent="0.2">
      <c r="CE9107"/>
      <c r="CF9107"/>
      <c r="CG9107"/>
      <c r="CH9107"/>
      <c r="CI9107"/>
    </row>
    <row r="9108" spans="83:87" x14ac:dyDescent="0.2">
      <c r="CE9108"/>
      <c r="CF9108"/>
      <c r="CG9108"/>
      <c r="CH9108"/>
      <c r="CI9108"/>
    </row>
    <row r="9109" spans="83:87" x14ac:dyDescent="0.2">
      <c r="CE9109"/>
      <c r="CF9109"/>
      <c r="CG9109"/>
      <c r="CH9109"/>
      <c r="CI9109"/>
    </row>
    <row r="9110" spans="83:87" x14ac:dyDescent="0.2">
      <c r="CE9110"/>
      <c r="CF9110"/>
      <c r="CG9110"/>
      <c r="CH9110"/>
      <c r="CI9110"/>
    </row>
    <row r="9111" spans="83:87" x14ac:dyDescent="0.2">
      <c r="CE9111"/>
      <c r="CF9111"/>
      <c r="CG9111"/>
      <c r="CH9111"/>
      <c r="CI9111"/>
    </row>
    <row r="9112" spans="83:87" x14ac:dyDescent="0.2">
      <c r="CE9112"/>
      <c r="CF9112"/>
      <c r="CG9112"/>
      <c r="CH9112"/>
      <c r="CI9112"/>
    </row>
    <row r="9113" spans="83:87" x14ac:dyDescent="0.2">
      <c r="CE9113"/>
      <c r="CF9113"/>
      <c r="CG9113"/>
      <c r="CH9113"/>
      <c r="CI9113"/>
    </row>
    <row r="9114" spans="83:87" x14ac:dyDescent="0.2">
      <c r="CE9114"/>
      <c r="CF9114"/>
      <c r="CG9114"/>
      <c r="CH9114"/>
      <c r="CI9114"/>
    </row>
    <row r="9115" spans="83:87" x14ac:dyDescent="0.2">
      <c r="CE9115"/>
      <c r="CF9115"/>
      <c r="CG9115"/>
      <c r="CH9115"/>
      <c r="CI9115"/>
    </row>
    <row r="9116" spans="83:87" x14ac:dyDescent="0.2">
      <c r="CE9116"/>
      <c r="CF9116"/>
      <c r="CG9116"/>
      <c r="CH9116"/>
      <c r="CI9116"/>
    </row>
    <row r="9117" spans="83:87" x14ac:dyDescent="0.2">
      <c r="CE9117"/>
      <c r="CF9117"/>
      <c r="CG9117"/>
      <c r="CH9117"/>
      <c r="CI9117"/>
    </row>
    <row r="9118" spans="83:87" x14ac:dyDescent="0.2">
      <c r="CE9118"/>
      <c r="CF9118"/>
      <c r="CG9118"/>
      <c r="CH9118"/>
      <c r="CI9118"/>
    </row>
    <row r="9119" spans="83:87" x14ac:dyDescent="0.2">
      <c r="CE9119"/>
      <c r="CF9119"/>
      <c r="CG9119"/>
      <c r="CH9119"/>
      <c r="CI9119"/>
    </row>
    <row r="9120" spans="83:87" x14ac:dyDescent="0.2">
      <c r="CE9120"/>
      <c r="CF9120"/>
      <c r="CG9120"/>
      <c r="CH9120"/>
      <c r="CI9120"/>
    </row>
    <row r="9121" spans="83:87" x14ac:dyDescent="0.2">
      <c r="CE9121"/>
      <c r="CF9121"/>
      <c r="CG9121"/>
      <c r="CH9121"/>
      <c r="CI9121"/>
    </row>
    <row r="9122" spans="83:87" x14ac:dyDescent="0.2">
      <c r="CE9122"/>
      <c r="CF9122"/>
      <c r="CG9122"/>
      <c r="CH9122"/>
      <c r="CI9122"/>
    </row>
    <row r="9123" spans="83:87" x14ac:dyDescent="0.2">
      <c r="CE9123"/>
      <c r="CF9123"/>
      <c r="CG9123"/>
      <c r="CH9123"/>
      <c r="CI9123"/>
    </row>
    <row r="9124" spans="83:87" x14ac:dyDescent="0.2">
      <c r="CE9124"/>
      <c r="CF9124"/>
      <c r="CG9124"/>
      <c r="CH9124"/>
      <c r="CI9124"/>
    </row>
    <row r="9125" spans="83:87" x14ac:dyDescent="0.2">
      <c r="CE9125"/>
      <c r="CF9125"/>
      <c r="CG9125"/>
      <c r="CH9125"/>
      <c r="CI9125"/>
    </row>
    <row r="9126" spans="83:87" x14ac:dyDescent="0.2">
      <c r="CE9126"/>
      <c r="CF9126"/>
      <c r="CG9126"/>
      <c r="CH9126"/>
      <c r="CI9126"/>
    </row>
    <row r="9127" spans="83:87" x14ac:dyDescent="0.2">
      <c r="CE9127"/>
      <c r="CF9127"/>
      <c r="CG9127"/>
      <c r="CH9127"/>
      <c r="CI9127"/>
    </row>
    <row r="9128" spans="83:87" x14ac:dyDescent="0.2">
      <c r="CE9128"/>
      <c r="CF9128"/>
      <c r="CG9128"/>
      <c r="CH9128"/>
      <c r="CI9128"/>
    </row>
    <row r="9129" spans="83:87" x14ac:dyDescent="0.2">
      <c r="CE9129"/>
      <c r="CF9129"/>
      <c r="CG9129"/>
      <c r="CH9129"/>
      <c r="CI9129"/>
    </row>
    <row r="9130" spans="83:87" x14ac:dyDescent="0.2">
      <c r="CE9130"/>
      <c r="CF9130"/>
      <c r="CG9130"/>
      <c r="CH9130"/>
      <c r="CI9130"/>
    </row>
    <row r="9131" spans="83:87" x14ac:dyDescent="0.2">
      <c r="CE9131"/>
      <c r="CF9131"/>
      <c r="CG9131"/>
      <c r="CH9131"/>
      <c r="CI9131"/>
    </row>
    <row r="9132" spans="83:87" x14ac:dyDescent="0.2">
      <c r="CE9132"/>
      <c r="CF9132"/>
      <c r="CG9132"/>
      <c r="CH9132"/>
      <c r="CI9132"/>
    </row>
    <row r="9133" spans="83:87" x14ac:dyDescent="0.2">
      <c r="CE9133"/>
      <c r="CF9133"/>
      <c r="CG9133"/>
      <c r="CH9133"/>
      <c r="CI9133"/>
    </row>
    <row r="9134" spans="83:87" x14ac:dyDescent="0.2">
      <c r="CE9134"/>
      <c r="CF9134"/>
      <c r="CG9134"/>
      <c r="CH9134"/>
      <c r="CI9134"/>
    </row>
    <row r="9135" spans="83:87" x14ac:dyDescent="0.2">
      <c r="CE9135"/>
      <c r="CF9135"/>
      <c r="CG9135"/>
      <c r="CH9135"/>
      <c r="CI9135"/>
    </row>
    <row r="9136" spans="83:87" x14ac:dyDescent="0.2">
      <c r="CE9136"/>
      <c r="CF9136"/>
      <c r="CG9136"/>
      <c r="CH9136"/>
      <c r="CI9136"/>
    </row>
    <row r="9137" spans="83:87" x14ac:dyDescent="0.2">
      <c r="CE9137"/>
      <c r="CF9137"/>
      <c r="CG9137"/>
      <c r="CH9137"/>
      <c r="CI9137"/>
    </row>
    <row r="9138" spans="83:87" x14ac:dyDescent="0.2">
      <c r="CE9138"/>
      <c r="CF9138"/>
      <c r="CG9138"/>
      <c r="CH9138"/>
      <c r="CI9138"/>
    </row>
    <row r="9139" spans="83:87" x14ac:dyDescent="0.2">
      <c r="CE9139"/>
      <c r="CF9139"/>
      <c r="CG9139"/>
      <c r="CH9139"/>
      <c r="CI9139"/>
    </row>
    <row r="9140" spans="83:87" x14ac:dyDescent="0.2">
      <c r="CE9140"/>
      <c r="CF9140"/>
      <c r="CG9140"/>
      <c r="CH9140"/>
      <c r="CI9140"/>
    </row>
    <row r="9141" spans="83:87" x14ac:dyDescent="0.2">
      <c r="CE9141"/>
      <c r="CF9141"/>
      <c r="CG9141"/>
      <c r="CH9141"/>
      <c r="CI9141"/>
    </row>
    <row r="9142" spans="83:87" x14ac:dyDescent="0.2">
      <c r="CE9142"/>
      <c r="CF9142"/>
      <c r="CG9142"/>
      <c r="CH9142"/>
      <c r="CI9142"/>
    </row>
    <row r="9143" spans="83:87" x14ac:dyDescent="0.2">
      <c r="CE9143"/>
      <c r="CF9143"/>
      <c r="CG9143"/>
      <c r="CH9143"/>
      <c r="CI9143"/>
    </row>
    <row r="9144" spans="83:87" x14ac:dyDescent="0.2">
      <c r="CE9144"/>
      <c r="CF9144"/>
      <c r="CG9144"/>
      <c r="CH9144"/>
      <c r="CI9144"/>
    </row>
    <row r="9145" spans="83:87" x14ac:dyDescent="0.2">
      <c r="CE9145"/>
      <c r="CF9145"/>
      <c r="CG9145"/>
      <c r="CH9145"/>
      <c r="CI9145"/>
    </row>
    <row r="9146" spans="83:87" x14ac:dyDescent="0.2">
      <c r="CE9146"/>
      <c r="CF9146"/>
      <c r="CG9146"/>
      <c r="CH9146"/>
      <c r="CI9146"/>
    </row>
    <row r="9147" spans="83:87" x14ac:dyDescent="0.2">
      <c r="CE9147"/>
      <c r="CF9147"/>
      <c r="CG9147"/>
      <c r="CH9147"/>
      <c r="CI9147"/>
    </row>
    <row r="9148" spans="83:87" x14ac:dyDescent="0.2">
      <c r="CE9148"/>
      <c r="CF9148"/>
      <c r="CG9148"/>
      <c r="CH9148"/>
      <c r="CI9148"/>
    </row>
    <row r="9149" spans="83:87" x14ac:dyDescent="0.2">
      <c r="CE9149"/>
      <c r="CF9149"/>
      <c r="CG9149"/>
      <c r="CH9149"/>
      <c r="CI9149"/>
    </row>
    <row r="9150" spans="83:87" x14ac:dyDescent="0.2">
      <c r="CE9150"/>
      <c r="CF9150"/>
      <c r="CG9150"/>
      <c r="CH9150"/>
      <c r="CI9150"/>
    </row>
    <row r="9151" spans="83:87" x14ac:dyDescent="0.2">
      <c r="CE9151"/>
      <c r="CF9151"/>
      <c r="CG9151"/>
      <c r="CH9151"/>
      <c r="CI9151"/>
    </row>
    <row r="9152" spans="83:87" x14ac:dyDescent="0.2">
      <c r="CE9152"/>
      <c r="CF9152"/>
      <c r="CG9152"/>
      <c r="CH9152"/>
      <c r="CI9152"/>
    </row>
    <row r="9153" spans="83:87" x14ac:dyDescent="0.2">
      <c r="CE9153"/>
      <c r="CF9153"/>
      <c r="CG9153"/>
      <c r="CH9153"/>
      <c r="CI9153"/>
    </row>
    <row r="9154" spans="83:87" x14ac:dyDescent="0.2">
      <c r="CE9154"/>
      <c r="CF9154"/>
      <c r="CG9154"/>
      <c r="CH9154"/>
      <c r="CI9154"/>
    </row>
    <row r="9155" spans="83:87" x14ac:dyDescent="0.2">
      <c r="CE9155"/>
      <c r="CF9155"/>
      <c r="CG9155"/>
      <c r="CH9155"/>
      <c r="CI9155"/>
    </row>
    <row r="9156" spans="83:87" x14ac:dyDescent="0.2">
      <c r="CE9156"/>
      <c r="CF9156"/>
      <c r="CG9156"/>
      <c r="CH9156"/>
      <c r="CI9156"/>
    </row>
    <row r="9157" spans="83:87" x14ac:dyDescent="0.2">
      <c r="CE9157"/>
      <c r="CF9157"/>
      <c r="CG9157"/>
      <c r="CH9157"/>
      <c r="CI9157"/>
    </row>
    <row r="9158" spans="83:87" x14ac:dyDescent="0.2">
      <c r="CE9158"/>
      <c r="CF9158"/>
      <c r="CG9158"/>
      <c r="CH9158"/>
      <c r="CI9158"/>
    </row>
    <row r="9159" spans="83:87" x14ac:dyDescent="0.2">
      <c r="CE9159"/>
      <c r="CF9159"/>
      <c r="CG9159"/>
      <c r="CH9159"/>
      <c r="CI9159"/>
    </row>
    <row r="9160" spans="83:87" x14ac:dyDescent="0.2">
      <c r="CE9160"/>
      <c r="CF9160"/>
      <c r="CG9160"/>
      <c r="CH9160"/>
      <c r="CI9160"/>
    </row>
    <row r="9161" spans="83:87" x14ac:dyDescent="0.2">
      <c r="CE9161"/>
      <c r="CF9161"/>
      <c r="CG9161"/>
      <c r="CH9161"/>
      <c r="CI9161"/>
    </row>
    <row r="9162" spans="83:87" x14ac:dyDescent="0.2">
      <c r="CE9162"/>
      <c r="CF9162"/>
      <c r="CG9162"/>
      <c r="CH9162"/>
      <c r="CI9162"/>
    </row>
    <row r="9163" spans="83:87" x14ac:dyDescent="0.2">
      <c r="CE9163"/>
      <c r="CF9163"/>
      <c r="CG9163"/>
      <c r="CH9163"/>
      <c r="CI9163"/>
    </row>
    <row r="9164" spans="83:87" x14ac:dyDescent="0.2">
      <c r="CE9164"/>
      <c r="CF9164"/>
      <c r="CG9164"/>
      <c r="CH9164"/>
      <c r="CI9164"/>
    </row>
    <row r="9165" spans="83:87" x14ac:dyDescent="0.2">
      <c r="CE9165"/>
      <c r="CF9165"/>
      <c r="CG9165"/>
      <c r="CH9165"/>
      <c r="CI9165"/>
    </row>
    <row r="9166" spans="83:87" x14ac:dyDescent="0.2">
      <c r="CE9166"/>
      <c r="CF9166"/>
      <c r="CG9166"/>
      <c r="CH9166"/>
      <c r="CI9166"/>
    </row>
    <row r="9167" spans="83:87" x14ac:dyDescent="0.2">
      <c r="CE9167"/>
      <c r="CF9167"/>
      <c r="CG9167"/>
      <c r="CH9167"/>
      <c r="CI9167"/>
    </row>
    <row r="9168" spans="83:87" x14ac:dyDescent="0.2">
      <c r="CE9168"/>
      <c r="CF9168"/>
      <c r="CG9168"/>
      <c r="CH9168"/>
      <c r="CI9168"/>
    </row>
    <row r="9169" spans="83:87" x14ac:dyDescent="0.2">
      <c r="CE9169"/>
      <c r="CF9169"/>
      <c r="CG9169"/>
      <c r="CH9169"/>
      <c r="CI9169"/>
    </row>
    <row r="9170" spans="83:87" x14ac:dyDescent="0.2">
      <c r="CE9170"/>
      <c r="CF9170"/>
      <c r="CG9170"/>
      <c r="CH9170"/>
      <c r="CI9170"/>
    </row>
    <row r="9171" spans="83:87" x14ac:dyDescent="0.2">
      <c r="CE9171"/>
      <c r="CF9171"/>
      <c r="CG9171"/>
      <c r="CH9171"/>
      <c r="CI9171"/>
    </row>
    <row r="9172" spans="83:87" x14ac:dyDescent="0.2">
      <c r="CE9172"/>
      <c r="CF9172"/>
      <c r="CG9172"/>
      <c r="CH9172"/>
      <c r="CI9172"/>
    </row>
    <row r="9173" spans="83:87" x14ac:dyDescent="0.2">
      <c r="CE9173"/>
      <c r="CF9173"/>
      <c r="CG9173"/>
      <c r="CH9173"/>
      <c r="CI9173"/>
    </row>
    <row r="9174" spans="83:87" x14ac:dyDescent="0.2">
      <c r="CE9174"/>
      <c r="CF9174"/>
      <c r="CG9174"/>
      <c r="CH9174"/>
      <c r="CI9174"/>
    </row>
    <row r="9175" spans="83:87" x14ac:dyDescent="0.2">
      <c r="CE9175"/>
      <c r="CF9175"/>
      <c r="CG9175"/>
      <c r="CH9175"/>
      <c r="CI9175"/>
    </row>
    <row r="9176" spans="83:87" x14ac:dyDescent="0.2">
      <c r="CE9176"/>
      <c r="CF9176"/>
      <c r="CG9176"/>
      <c r="CH9176"/>
      <c r="CI9176"/>
    </row>
    <row r="9177" spans="83:87" x14ac:dyDescent="0.2">
      <c r="CE9177"/>
      <c r="CF9177"/>
      <c r="CG9177"/>
      <c r="CH9177"/>
      <c r="CI9177"/>
    </row>
    <row r="9178" spans="83:87" x14ac:dyDescent="0.2">
      <c r="CE9178"/>
      <c r="CF9178"/>
      <c r="CG9178"/>
      <c r="CH9178"/>
      <c r="CI9178"/>
    </row>
    <row r="9179" spans="83:87" x14ac:dyDescent="0.2">
      <c r="CE9179"/>
      <c r="CF9179"/>
      <c r="CG9179"/>
      <c r="CH9179"/>
      <c r="CI9179"/>
    </row>
    <row r="9180" spans="83:87" x14ac:dyDescent="0.2">
      <c r="CE9180"/>
      <c r="CF9180"/>
      <c r="CG9180"/>
      <c r="CH9180"/>
      <c r="CI9180"/>
    </row>
    <row r="9181" spans="83:87" x14ac:dyDescent="0.2">
      <c r="CE9181"/>
      <c r="CF9181"/>
      <c r="CG9181"/>
      <c r="CH9181"/>
      <c r="CI9181"/>
    </row>
    <row r="9182" spans="83:87" x14ac:dyDescent="0.2">
      <c r="CE9182"/>
      <c r="CF9182"/>
      <c r="CG9182"/>
      <c r="CH9182"/>
      <c r="CI9182"/>
    </row>
    <row r="9183" spans="83:87" x14ac:dyDescent="0.2">
      <c r="CE9183"/>
      <c r="CF9183"/>
      <c r="CG9183"/>
      <c r="CH9183"/>
      <c r="CI9183"/>
    </row>
    <row r="9184" spans="83:87" x14ac:dyDescent="0.2">
      <c r="CE9184"/>
      <c r="CF9184"/>
      <c r="CG9184"/>
      <c r="CH9184"/>
      <c r="CI9184"/>
    </row>
    <row r="9185" spans="83:87" x14ac:dyDescent="0.2">
      <c r="CE9185"/>
      <c r="CF9185"/>
      <c r="CG9185"/>
      <c r="CH9185"/>
      <c r="CI9185"/>
    </row>
    <row r="9186" spans="83:87" x14ac:dyDescent="0.2">
      <c r="CE9186"/>
      <c r="CF9186"/>
      <c r="CG9186"/>
      <c r="CH9186"/>
      <c r="CI9186"/>
    </row>
    <row r="9187" spans="83:87" x14ac:dyDescent="0.2">
      <c r="CE9187"/>
      <c r="CF9187"/>
      <c r="CG9187"/>
      <c r="CH9187"/>
      <c r="CI9187"/>
    </row>
    <row r="9188" spans="83:87" x14ac:dyDescent="0.2">
      <c r="CE9188"/>
      <c r="CF9188"/>
      <c r="CG9188"/>
      <c r="CH9188"/>
      <c r="CI9188"/>
    </row>
    <row r="9189" spans="83:87" x14ac:dyDescent="0.2">
      <c r="CE9189"/>
      <c r="CF9189"/>
      <c r="CG9189"/>
      <c r="CH9189"/>
      <c r="CI9189"/>
    </row>
    <row r="9190" spans="83:87" x14ac:dyDescent="0.2">
      <c r="CE9190"/>
      <c r="CF9190"/>
      <c r="CG9190"/>
      <c r="CH9190"/>
      <c r="CI9190"/>
    </row>
    <row r="9191" spans="83:87" x14ac:dyDescent="0.2">
      <c r="CE9191"/>
      <c r="CF9191"/>
      <c r="CG9191"/>
      <c r="CH9191"/>
      <c r="CI9191"/>
    </row>
    <row r="9192" spans="83:87" x14ac:dyDescent="0.2">
      <c r="CE9192"/>
      <c r="CF9192"/>
      <c r="CG9192"/>
      <c r="CH9192"/>
      <c r="CI9192"/>
    </row>
    <row r="9193" spans="83:87" x14ac:dyDescent="0.2">
      <c r="CE9193"/>
      <c r="CF9193"/>
      <c r="CG9193"/>
      <c r="CH9193"/>
      <c r="CI9193"/>
    </row>
    <row r="9194" spans="83:87" x14ac:dyDescent="0.2">
      <c r="CE9194"/>
      <c r="CF9194"/>
      <c r="CG9194"/>
      <c r="CH9194"/>
      <c r="CI9194"/>
    </row>
    <row r="9195" spans="83:87" x14ac:dyDescent="0.2">
      <c r="CE9195"/>
      <c r="CF9195"/>
      <c r="CG9195"/>
      <c r="CH9195"/>
      <c r="CI9195"/>
    </row>
    <row r="9196" spans="83:87" x14ac:dyDescent="0.2">
      <c r="CE9196"/>
      <c r="CF9196"/>
      <c r="CG9196"/>
      <c r="CH9196"/>
      <c r="CI9196"/>
    </row>
    <row r="9197" spans="83:87" x14ac:dyDescent="0.2">
      <c r="CE9197"/>
      <c r="CF9197"/>
      <c r="CG9197"/>
      <c r="CH9197"/>
      <c r="CI9197"/>
    </row>
    <row r="9198" spans="83:87" x14ac:dyDescent="0.2">
      <c r="CE9198"/>
      <c r="CF9198"/>
      <c r="CG9198"/>
      <c r="CH9198"/>
      <c r="CI9198"/>
    </row>
    <row r="9199" spans="83:87" x14ac:dyDescent="0.2">
      <c r="CE9199"/>
      <c r="CF9199"/>
      <c r="CG9199"/>
      <c r="CH9199"/>
      <c r="CI9199"/>
    </row>
    <row r="9200" spans="83:87" x14ac:dyDescent="0.2">
      <c r="CE9200"/>
      <c r="CF9200"/>
      <c r="CG9200"/>
      <c r="CH9200"/>
      <c r="CI9200"/>
    </row>
    <row r="9201" spans="83:87" x14ac:dyDescent="0.2">
      <c r="CE9201"/>
      <c r="CF9201"/>
      <c r="CG9201"/>
      <c r="CH9201"/>
      <c r="CI9201"/>
    </row>
    <row r="9202" spans="83:87" x14ac:dyDescent="0.2">
      <c r="CE9202"/>
      <c r="CF9202"/>
      <c r="CG9202"/>
      <c r="CH9202"/>
      <c r="CI9202"/>
    </row>
    <row r="9203" spans="83:87" x14ac:dyDescent="0.2">
      <c r="CE9203"/>
      <c r="CF9203"/>
      <c r="CG9203"/>
      <c r="CH9203"/>
      <c r="CI9203"/>
    </row>
    <row r="9204" spans="83:87" x14ac:dyDescent="0.2">
      <c r="CE9204"/>
      <c r="CF9204"/>
      <c r="CG9204"/>
      <c r="CH9204"/>
      <c r="CI9204"/>
    </row>
    <row r="9205" spans="83:87" x14ac:dyDescent="0.2">
      <c r="CE9205"/>
      <c r="CF9205"/>
      <c r="CG9205"/>
      <c r="CH9205"/>
      <c r="CI9205"/>
    </row>
    <row r="9206" spans="83:87" x14ac:dyDescent="0.2">
      <c r="CE9206"/>
      <c r="CF9206"/>
      <c r="CG9206"/>
      <c r="CH9206"/>
      <c r="CI9206"/>
    </row>
    <row r="9207" spans="83:87" x14ac:dyDescent="0.2">
      <c r="CE9207"/>
      <c r="CF9207"/>
      <c r="CG9207"/>
      <c r="CH9207"/>
      <c r="CI9207"/>
    </row>
    <row r="9208" spans="83:87" x14ac:dyDescent="0.2">
      <c r="CE9208"/>
      <c r="CF9208"/>
      <c r="CG9208"/>
      <c r="CH9208"/>
      <c r="CI9208"/>
    </row>
    <row r="9209" spans="83:87" x14ac:dyDescent="0.2">
      <c r="CE9209"/>
      <c r="CF9209"/>
      <c r="CG9209"/>
      <c r="CH9209"/>
      <c r="CI9209"/>
    </row>
    <row r="9210" spans="83:87" x14ac:dyDescent="0.2">
      <c r="CE9210"/>
      <c r="CF9210"/>
      <c r="CG9210"/>
      <c r="CH9210"/>
      <c r="CI9210"/>
    </row>
    <row r="9211" spans="83:87" x14ac:dyDescent="0.2">
      <c r="CE9211"/>
      <c r="CF9211"/>
      <c r="CG9211"/>
      <c r="CH9211"/>
      <c r="CI9211"/>
    </row>
    <row r="9212" spans="83:87" x14ac:dyDescent="0.2">
      <c r="CE9212"/>
      <c r="CF9212"/>
      <c r="CG9212"/>
      <c r="CH9212"/>
      <c r="CI9212"/>
    </row>
    <row r="9213" spans="83:87" x14ac:dyDescent="0.2">
      <c r="CE9213"/>
      <c r="CF9213"/>
      <c r="CG9213"/>
      <c r="CH9213"/>
      <c r="CI9213"/>
    </row>
    <row r="9214" spans="83:87" x14ac:dyDescent="0.2">
      <c r="CE9214"/>
      <c r="CF9214"/>
      <c r="CG9214"/>
      <c r="CH9214"/>
      <c r="CI9214"/>
    </row>
    <row r="9215" spans="83:87" x14ac:dyDescent="0.2">
      <c r="CE9215"/>
      <c r="CF9215"/>
      <c r="CG9215"/>
      <c r="CH9215"/>
      <c r="CI9215"/>
    </row>
    <row r="9216" spans="83:87" x14ac:dyDescent="0.2">
      <c r="CE9216"/>
      <c r="CF9216"/>
      <c r="CG9216"/>
      <c r="CH9216"/>
      <c r="CI9216"/>
    </row>
    <row r="9217" spans="83:87" x14ac:dyDescent="0.2">
      <c r="CE9217"/>
      <c r="CF9217"/>
      <c r="CG9217"/>
      <c r="CH9217"/>
      <c r="CI9217"/>
    </row>
    <row r="9218" spans="83:87" x14ac:dyDescent="0.2">
      <c r="CE9218"/>
      <c r="CF9218"/>
      <c r="CG9218"/>
      <c r="CH9218"/>
      <c r="CI9218"/>
    </row>
    <row r="9219" spans="83:87" x14ac:dyDescent="0.2">
      <c r="CE9219"/>
      <c r="CF9219"/>
      <c r="CG9219"/>
      <c r="CH9219"/>
      <c r="CI9219"/>
    </row>
    <row r="9220" spans="83:87" x14ac:dyDescent="0.2">
      <c r="CE9220"/>
      <c r="CF9220"/>
      <c r="CG9220"/>
      <c r="CH9220"/>
      <c r="CI9220"/>
    </row>
    <row r="9221" spans="83:87" x14ac:dyDescent="0.2">
      <c r="CE9221"/>
      <c r="CF9221"/>
      <c r="CG9221"/>
      <c r="CH9221"/>
      <c r="CI9221"/>
    </row>
    <row r="9222" spans="83:87" x14ac:dyDescent="0.2">
      <c r="CE9222"/>
      <c r="CF9222"/>
      <c r="CG9222"/>
      <c r="CH9222"/>
      <c r="CI9222"/>
    </row>
    <row r="9223" spans="83:87" x14ac:dyDescent="0.2">
      <c r="CE9223"/>
      <c r="CF9223"/>
      <c r="CG9223"/>
      <c r="CH9223"/>
      <c r="CI9223"/>
    </row>
    <row r="9224" spans="83:87" x14ac:dyDescent="0.2">
      <c r="CE9224"/>
      <c r="CF9224"/>
      <c r="CG9224"/>
      <c r="CH9224"/>
      <c r="CI9224"/>
    </row>
    <row r="9225" spans="83:87" x14ac:dyDescent="0.2">
      <c r="CE9225"/>
      <c r="CF9225"/>
      <c r="CG9225"/>
      <c r="CH9225"/>
      <c r="CI9225"/>
    </row>
    <row r="9226" spans="83:87" x14ac:dyDescent="0.2">
      <c r="CE9226"/>
      <c r="CF9226"/>
      <c r="CG9226"/>
      <c r="CH9226"/>
      <c r="CI9226"/>
    </row>
    <row r="9227" spans="83:87" x14ac:dyDescent="0.2">
      <c r="CE9227"/>
      <c r="CF9227"/>
      <c r="CG9227"/>
      <c r="CH9227"/>
      <c r="CI9227"/>
    </row>
    <row r="9228" spans="83:87" x14ac:dyDescent="0.2">
      <c r="CE9228"/>
      <c r="CF9228"/>
      <c r="CG9228"/>
      <c r="CH9228"/>
      <c r="CI9228"/>
    </row>
    <row r="9229" spans="83:87" x14ac:dyDescent="0.2">
      <c r="CE9229"/>
      <c r="CF9229"/>
      <c r="CG9229"/>
      <c r="CH9229"/>
      <c r="CI9229"/>
    </row>
    <row r="9230" spans="83:87" x14ac:dyDescent="0.2">
      <c r="CE9230"/>
      <c r="CF9230"/>
      <c r="CG9230"/>
      <c r="CH9230"/>
      <c r="CI9230"/>
    </row>
    <row r="9231" spans="83:87" x14ac:dyDescent="0.2">
      <c r="CE9231"/>
      <c r="CF9231"/>
      <c r="CG9231"/>
      <c r="CH9231"/>
      <c r="CI9231"/>
    </row>
    <row r="9232" spans="83:87" x14ac:dyDescent="0.2">
      <c r="CE9232"/>
      <c r="CF9232"/>
      <c r="CG9232"/>
      <c r="CH9232"/>
      <c r="CI9232"/>
    </row>
    <row r="9233" spans="83:87" x14ac:dyDescent="0.2">
      <c r="CE9233"/>
      <c r="CF9233"/>
      <c r="CG9233"/>
      <c r="CH9233"/>
      <c r="CI9233"/>
    </row>
    <row r="9234" spans="83:87" x14ac:dyDescent="0.2">
      <c r="CE9234"/>
      <c r="CF9234"/>
      <c r="CG9234"/>
      <c r="CH9234"/>
      <c r="CI9234"/>
    </row>
    <row r="9235" spans="83:87" x14ac:dyDescent="0.2">
      <c r="CE9235"/>
      <c r="CF9235"/>
      <c r="CG9235"/>
      <c r="CH9235"/>
      <c r="CI9235"/>
    </row>
    <row r="9236" spans="83:87" x14ac:dyDescent="0.2">
      <c r="CE9236"/>
      <c r="CF9236"/>
      <c r="CG9236"/>
      <c r="CH9236"/>
      <c r="CI9236"/>
    </row>
    <row r="9237" spans="83:87" x14ac:dyDescent="0.2">
      <c r="CE9237"/>
      <c r="CF9237"/>
      <c r="CG9237"/>
      <c r="CH9237"/>
      <c r="CI9237"/>
    </row>
    <row r="9238" spans="83:87" x14ac:dyDescent="0.2">
      <c r="CE9238"/>
      <c r="CF9238"/>
      <c r="CG9238"/>
      <c r="CH9238"/>
      <c r="CI9238"/>
    </row>
    <row r="9239" spans="83:87" x14ac:dyDescent="0.2">
      <c r="CE9239"/>
      <c r="CF9239"/>
      <c r="CG9239"/>
      <c r="CH9239"/>
      <c r="CI9239"/>
    </row>
    <row r="9240" spans="83:87" x14ac:dyDescent="0.2">
      <c r="CE9240"/>
      <c r="CF9240"/>
      <c r="CG9240"/>
      <c r="CH9240"/>
      <c r="CI9240"/>
    </row>
    <row r="9241" spans="83:87" x14ac:dyDescent="0.2">
      <c r="CE9241"/>
      <c r="CF9241"/>
      <c r="CG9241"/>
      <c r="CH9241"/>
      <c r="CI9241"/>
    </row>
    <row r="9242" spans="83:87" x14ac:dyDescent="0.2">
      <c r="CE9242"/>
      <c r="CF9242"/>
      <c r="CG9242"/>
      <c r="CH9242"/>
      <c r="CI9242"/>
    </row>
    <row r="9243" spans="83:87" x14ac:dyDescent="0.2">
      <c r="CE9243"/>
      <c r="CF9243"/>
      <c r="CG9243"/>
      <c r="CH9243"/>
      <c r="CI9243"/>
    </row>
    <row r="9244" spans="83:87" x14ac:dyDescent="0.2">
      <c r="CE9244"/>
      <c r="CF9244"/>
      <c r="CG9244"/>
      <c r="CH9244"/>
      <c r="CI9244"/>
    </row>
    <row r="9245" spans="83:87" x14ac:dyDescent="0.2">
      <c r="CE9245"/>
      <c r="CF9245"/>
      <c r="CG9245"/>
      <c r="CH9245"/>
      <c r="CI9245"/>
    </row>
    <row r="9246" spans="83:87" x14ac:dyDescent="0.2">
      <c r="CE9246"/>
      <c r="CF9246"/>
      <c r="CG9246"/>
      <c r="CH9246"/>
      <c r="CI9246"/>
    </row>
    <row r="9247" spans="83:87" x14ac:dyDescent="0.2">
      <c r="CE9247"/>
      <c r="CF9247"/>
      <c r="CG9247"/>
      <c r="CH9247"/>
      <c r="CI9247"/>
    </row>
    <row r="9248" spans="83:87" x14ac:dyDescent="0.2">
      <c r="CE9248"/>
      <c r="CF9248"/>
      <c r="CG9248"/>
      <c r="CH9248"/>
      <c r="CI9248"/>
    </row>
    <row r="9249" spans="83:87" x14ac:dyDescent="0.2">
      <c r="CE9249"/>
      <c r="CF9249"/>
      <c r="CG9249"/>
      <c r="CH9249"/>
      <c r="CI9249"/>
    </row>
    <row r="9250" spans="83:87" x14ac:dyDescent="0.2">
      <c r="CE9250"/>
      <c r="CF9250"/>
      <c r="CG9250"/>
      <c r="CH9250"/>
      <c r="CI9250"/>
    </row>
    <row r="9251" spans="83:87" x14ac:dyDescent="0.2">
      <c r="CE9251"/>
      <c r="CF9251"/>
      <c r="CG9251"/>
      <c r="CH9251"/>
      <c r="CI9251"/>
    </row>
    <row r="9252" spans="83:87" x14ac:dyDescent="0.2">
      <c r="CE9252"/>
      <c r="CF9252"/>
      <c r="CG9252"/>
      <c r="CH9252"/>
      <c r="CI9252"/>
    </row>
    <row r="9253" spans="83:87" x14ac:dyDescent="0.2">
      <c r="CE9253"/>
      <c r="CF9253"/>
      <c r="CG9253"/>
      <c r="CH9253"/>
      <c r="CI9253"/>
    </row>
    <row r="9254" spans="83:87" x14ac:dyDescent="0.2">
      <c r="CE9254"/>
      <c r="CF9254"/>
      <c r="CG9254"/>
      <c r="CH9254"/>
      <c r="CI9254"/>
    </row>
    <row r="9255" spans="83:87" x14ac:dyDescent="0.2">
      <c r="CE9255"/>
      <c r="CF9255"/>
      <c r="CG9255"/>
      <c r="CH9255"/>
      <c r="CI9255"/>
    </row>
    <row r="9256" spans="83:87" x14ac:dyDescent="0.2">
      <c r="CE9256"/>
      <c r="CF9256"/>
      <c r="CG9256"/>
      <c r="CH9256"/>
      <c r="CI9256"/>
    </row>
    <row r="9257" spans="83:87" x14ac:dyDescent="0.2">
      <c r="CE9257"/>
      <c r="CF9257"/>
      <c r="CG9257"/>
      <c r="CH9257"/>
      <c r="CI9257"/>
    </row>
    <row r="9258" spans="83:87" x14ac:dyDescent="0.2">
      <c r="CE9258"/>
      <c r="CF9258"/>
      <c r="CG9258"/>
      <c r="CH9258"/>
      <c r="CI9258"/>
    </row>
    <row r="9259" spans="83:87" x14ac:dyDescent="0.2">
      <c r="CE9259"/>
      <c r="CF9259"/>
      <c r="CG9259"/>
      <c r="CH9259"/>
      <c r="CI9259"/>
    </row>
    <row r="9260" spans="83:87" x14ac:dyDescent="0.2">
      <c r="CE9260"/>
      <c r="CF9260"/>
      <c r="CG9260"/>
      <c r="CH9260"/>
      <c r="CI9260"/>
    </row>
    <row r="9261" spans="83:87" x14ac:dyDescent="0.2">
      <c r="CE9261"/>
      <c r="CF9261"/>
      <c r="CG9261"/>
      <c r="CH9261"/>
      <c r="CI9261"/>
    </row>
    <row r="9262" spans="83:87" x14ac:dyDescent="0.2">
      <c r="CE9262"/>
      <c r="CF9262"/>
      <c r="CG9262"/>
      <c r="CH9262"/>
      <c r="CI9262"/>
    </row>
    <row r="9263" spans="83:87" x14ac:dyDescent="0.2">
      <c r="CE9263"/>
      <c r="CF9263"/>
      <c r="CG9263"/>
      <c r="CH9263"/>
      <c r="CI9263"/>
    </row>
    <row r="9264" spans="83:87" x14ac:dyDescent="0.2">
      <c r="CE9264"/>
      <c r="CF9264"/>
      <c r="CG9264"/>
      <c r="CH9264"/>
      <c r="CI9264"/>
    </row>
    <row r="9265" spans="83:87" x14ac:dyDescent="0.2">
      <c r="CE9265"/>
      <c r="CF9265"/>
      <c r="CG9265"/>
      <c r="CH9265"/>
      <c r="CI9265"/>
    </row>
    <row r="9266" spans="83:87" x14ac:dyDescent="0.2">
      <c r="CE9266"/>
      <c r="CF9266"/>
      <c r="CG9266"/>
      <c r="CH9266"/>
      <c r="CI9266"/>
    </row>
    <row r="9267" spans="83:87" x14ac:dyDescent="0.2">
      <c r="CE9267"/>
      <c r="CF9267"/>
      <c r="CG9267"/>
      <c r="CH9267"/>
      <c r="CI9267"/>
    </row>
    <row r="9268" spans="83:87" x14ac:dyDescent="0.2">
      <c r="CE9268"/>
      <c r="CF9268"/>
      <c r="CG9268"/>
      <c r="CH9268"/>
      <c r="CI9268"/>
    </row>
    <row r="9269" spans="83:87" x14ac:dyDescent="0.2">
      <c r="CE9269"/>
      <c r="CF9269"/>
      <c r="CG9269"/>
      <c r="CH9269"/>
      <c r="CI9269"/>
    </row>
    <row r="9270" spans="83:87" x14ac:dyDescent="0.2">
      <c r="CE9270"/>
      <c r="CF9270"/>
      <c r="CG9270"/>
      <c r="CH9270"/>
      <c r="CI9270"/>
    </row>
    <row r="9271" spans="83:87" x14ac:dyDescent="0.2">
      <c r="CE9271"/>
      <c r="CF9271"/>
      <c r="CG9271"/>
      <c r="CH9271"/>
      <c r="CI9271"/>
    </row>
    <row r="9272" spans="83:87" x14ac:dyDescent="0.2">
      <c r="CE9272"/>
      <c r="CF9272"/>
      <c r="CG9272"/>
      <c r="CH9272"/>
      <c r="CI9272"/>
    </row>
    <row r="9273" spans="83:87" x14ac:dyDescent="0.2">
      <c r="CE9273"/>
      <c r="CF9273"/>
      <c r="CG9273"/>
      <c r="CH9273"/>
      <c r="CI9273"/>
    </row>
    <row r="9274" spans="83:87" x14ac:dyDescent="0.2">
      <c r="CE9274"/>
      <c r="CF9274"/>
      <c r="CG9274"/>
      <c r="CH9274"/>
      <c r="CI9274"/>
    </row>
    <row r="9275" spans="83:87" x14ac:dyDescent="0.2">
      <c r="CE9275"/>
      <c r="CF9275"/>
      <c r="CG9275"/>
      <c r="CH9275"/>
      <c r="CI9275"/>
    </row>
    <row r="9276" spans="83:87" x14ac:dyDescent="0.2">
      <c r="CE9276"/>
      <c r="CF9276"/>
      <c r="CG9276"/>
      <c r="CH9276"/>
      <c r="CI9276"/>
    </row>
    <row r="9277" spans="83:87" x14ac:dyDescent="0.2">
      <c r="CE9277"/>
      <c r="CF9277"/>
      <c r="CG9277"/>
      <c r="CH9277"/>
      <c r="CI9277"/>
    </row>
    <row r="9278" spans="83:87" x14ac:dyDescent="0.2">
      <c r="CE9278"/>
      <c r="CF9278"/>
      <c r="CG9278"/>
      <c r="CH9278"/>
      <c r="CI9278"/>
    </row>
    <row r="9279" spans="83:87" x14ac:dyDescent="0.2">
      <c r="CE9279"/>
      <c r="CF9279"/>
      <c r="CG9279"/>
      <c r="CH9279"/>
      <c r="CI9279"/>
    </row>
    <row r="9280" spans="83:87" x14ac:dyDescent="0.2">
      <c r="CE9280"/>
      <c r="CF9280"/>
      <c r="CG9280"/>
      <c r="CH9280"/>
      <c r="CI9280"/>
    </row>
    <row r="9281" spans="83:87" x14ac:dyDescent="0.2">
      <c r="CE9281"/>
      <c r="CF9281"/>
      <c r="CG9281"/>
      <c r="CH9281"/>
      <c r="CI9281"/>
    </row>
    <row r="9282" spans="83:87" x14ac:dyDescent="0.2">
      <c r="CE9282"/>
      <c r="CF9282"/>
      <c r="CG9282"/>
      <c r="CH9282"/>
      <c r="CI9282"/>
    </row>
    <row r="9283" spans="83:87" x14ac:dyDescent="0.2">
      <c r="CE9283"/>
      <c r="CF9283"/>
      <c r="CG9283"/>
      <c r="CH9283"/>
      <c r="CI9283"/>
    </row>
    <row r="9284" spans="83:87" x14ac:dyDescent="0.2">
      <c r="CE9284"/>
      <c r="CF9284"/>
      <c r="CG9284"/>
      <c r="CH9284"/>
      <c r="CI9284"/>
    </row>
    <row r="9285" spans="83:87" x14ac:dyDescent="0.2">
      <c r="CE9285"/>
      <c r="CF9285"/>
      <c r="CG9285"/>
      <c r="CH9285"/>
      <c r="CI9285"/>
    </row>
    <row r="9286" spans="83:87" x14ac:dyDescent="0.2">
      <c r="CE9286"/>
      <c r="CF9286"/>
      <c r="CG9286"/>
      <c r="CH9286"/>
      <c r="CI9286"/>
    </row>
    <row r="9287" spans="83:87" x14ac:dyDescent="0.2">
      <c r="CE9287"/>
      <c r="CF9287"/>
      <c r="CG9287"/>
      <c r="CH9287"/>
      <c r="CI9287"/>
    </row>
    <row r="9288" spans="83:87" x14ac:dyDescent="0.2">
      <c r="CE9288"/>
      <c r="CF9288"/>
      <c r="CG9288"/>
      <c r="CH9288"/>
      <c r="CI9288"/>
    </row>
    <row r="9289" spans="83:87" x14ac:dyDescent="0.2">
      <c r="CE9289"/>
      <c r="CF9289"/>
      <c r="CG9289"/>
      <c r="CH9289"/>
      <c r="CI9289"/>
    </row>
    <row r="9290" spans="83:87" x14ac:dyDescent="0.2">
      <c r="CE9290"/>
      <c r="CF9290"/>
      <c r="CG9290"/>
      <c r="CH9290"/>
      <c r="CI9290"/>
    </row>
    <row r="9291" spans="83:87" x14ac:dyDescent="0.2">
      <c r="CE9291"/>
      <c r="CF9291"/>
      <c r="CG9291"/>
      <c r="CH9291"/>
      <c r="CI9291"/>
    </row>
    <row r="9292" spans="83:87" x14ac:dyDescent="0.2">
      <c r="CE9292"/>
      <c r="CF9292"/>
      <c r="CG9292"/>
      <c r="CH9292"/>
      <c r="CI9292"/>
    </row>
    <row r="9293" spans="83:87" x14ac:dyDescent="0.2">
      <c r="CE9293"/>
      <c r="CF9293"/>
      <c r="CG9293"/>
      <c r="CH9293"/>
      <c r="CI9293"/>
    </row>
    <row r="9294" spans="83:87" x14ac:dyDescent="0.2">
      <c r="CE9294"/>
      <c r="CF9294"/>
      <c r="CG9294"/>
      <c r="CH9294"/>
      <c r="CI9294"/>
    </row>
    <row r="9295" spans="83:87" x14ac:dyDescent="0.2">
      <c r="CE9295"/>
      <c r="CF9295"/>
      <c r="CG9295"/>
      <c r="CH9295"/>
      <c r="CI9295"/>
    </row>
    <row r="9296" spans="83:87" x14ac:dyDescent="0.2">
      <c r="CE9296"/>
      <c r="CF9296"/>
      <c r="CG9296"/>
      <c r="CH9296"/>
      <c r="CI9296"/>
    </row>
    <row r="9297" spans="83:87" x14ac:dyDescent="0.2">
      <c r="CE9297"/>
      <c r="CF9297"/>
      <c r="CG9297"/>
      <c r="CH9297"/>
      <c r="CI9297"/>
    </row>
    <row r="9298" spans="83:87" x14ac:dyDescent="0.2">
      <c r="CE9298"/>
      <c r="CF9298"/>
      <c r="CG9298"/>
      <c r="CH9298"/>
      <c r="CI9298"/>
    </row>
    <row r="9299" spans="83:87" x14ac:dyDescent="0.2">
      <c r="CE9299"/>
      <c r="CF9299"/>
      <c r="CG9299"/>
      <c r="CH9299"/>
      <c r="CI9299"/>
    </row>
    <row r="9300" spans="83:87" x14ac:dyDescent="0.2">
      <c r="CE9300"/>
      <c r="CF9300"/>
      <c r="CG9300"/>
      <c r="CH9300"/>
      <c r="CI9300"/>
    </row>
    <row r="9301" spans="83:87" x14ac:dyDescent="0.2">
      <c r="CE9301"/>
      <c r="CF9301"/>
      <c r="CG9301"/>
      <c r="CH9301"/>
      <c r="CI9301"/>
    </row>
    <row r="9302" spans="83:87" x14ac:dyDescent="0.2">
      <c r="CE9302"/>
      <c r="CF9302"/>
      <c r="CG9302"/>
      <c r="CH9302"/>
      <c r="CI9302"/>
    </row>
    <row r="9303" spans="83:87" x14ac:dyDescent="0.2">
      <c r="CE9303"/>
      <c r="CF9303"/>
      <c r="CG9303"/>
      <c r="CH9303"/>
      <c r="CI9303"/>
    </row>
    <row r="9304" spans="83:87" x14ac:dyDescent="0.2">
      <c r="CE9304"/>
      <c r="CF9304"/>
      <c r="CG9304"/>
      <c r="CH9304"/>
      <c r="CI9304"/>
    </row>
    <row r="9305" spans="83:87" x14ac:dyDescent="0.2">
      <c r="CE9305"/>
      <c r="CF9305"/>
      <c r="CG9305"/>
      <c r="CH9305"/>
      <c r="CI9305"/>
    </row>
    <row r="9306" spans="83:87" x14ac:dyDescent="0.2">
      <c r="CE9306"/>
      <c r="CF9306"/>
      <c r="CG9306"/>
      <c r="CH9306"/>
      <c r="CI9306"/>
    </row>
    <row r="9307" spans="83:87" x14ac:dyDescent="0.2">
      <c r="CE9307"/>
      <c r="CF9307"/>
      <c r="CG9307"/>
      <c r="CH9307"/>
      <c r="CI9307"/>
    </row>
    <row r="9308" spans="83:87" x14ac:dyDescent="0.2">
      <c r="CE9308"/>
      <c r="CF9308"/>
      <c r="CG9308"/>
      <c r="CH9308"/>
      <c r="CI9308"/>
    </row>
    <row r="9309" spans="83:87" x14ac:dyDescent="0.2">
      <c r="CE9309"/>
      <c r="CF9309"/>
      <c r="CG9309"/>
      <c r="CH9309"/>
      <c r="CI9309"/>
    </row>
    <row r="9310" spans="83:87" x14ac:dyDescent="0.2">
      <c r="CE9310"/>
      <c r="CF9310"/>
      <c r="CG9310"/>
      <c r="CH9310"/>
      <c r="CI9310"/>
    </row>
    <row r="9311" spans="83:87" x14ac:dyDescent="0.2">
      <c r="CE9311"/>
      <c r="CF9311"/>
      <c r="CG9311"/>
      <c r="CH9311"/>
      <c r="CI9311"/>
    </row>
    <row r="9312" spans="83:87" x14ac:dyDescent="0.2">
      <c r="CE9312"/>
      <c r="CF9312"/>
      <c r="CG9312"/>
      <c r="CH9312"/>
      <c r="CI9312"/>
    </row>
    <row r="9313" spans="83:87" x14ac:dyDescent="0.2">
      <c r="CE9313"/>
      <c r="CF9313"/>
      <c r="CG9313"/>
      <c r="CH9313"/>
      <c r="CI9313"/>
    </row>
    <row r="9314" spans="83:87" x14ac:dyDescent="0.2">
      <c r="CE9314"/>
      <c r="CF9314"/>
      <c r="CG9314"/>
      <c r="CH9314"/>
      <c r="CI9314"/>
    </row>
    <row r="9315" spans="83:87" x14ac:dyDescent="0.2">
      <c r="CE9315"/>
      <c r="CF9315"/>
      <c r="CG9315"/>
      <c r="CH9315"/>
      <c r="CI9315"/>
    </row>
    <row r="9316" spans="83:87" x14ac:dyDescent="0.2">
      <c r="CE9316"/>
      <c r="CF9316"/>
      <c r="CG9316"/>
      <c r="CH9316"/>
      <c r="CI9316"/>
    </row>
    <row r="9317" spans="83:87" x14ac:dyDescent="0.2">
      <c r="CE9317"/>
      <c r="CF9317"/>
      <c r="CG9317"/>
      <c r="CH9317"/>
      <c r="CI9317"/>
    </row>
    <row r="9318" spans="83:87" x14ac:dyDescent="0.2">
      <c r="CE9318"/>
      <c r="CF9318"/>
      <c r="CG9318"/>
      <c r="CH9318"/>
      <c r="CI9318"/>
    </row>
    <row r="9319" spans="83:87" x14ac:dyDescent="0.2">
      <c r="CE9319"/>
      <c r="CF9319"/>
      <c r="CG9319"/>
      <c r="CH9319"/>
      <c r="CI9319"/>
    </row>
    <row r="9320" spans="83:87" x14ac:dyDescent="0.2">
      <c r="CE9320"/>
      <c r="CF9320"/>
      <c r="CG9320"/>
      <c r="CH9320"/>
      <c r="CI9320"/>
    </row>
    <row r="9321" spans="83:87" x14ac:dyDescent="0.2">
      <c r="CE9321"/>
      <c r="CF9321"/>
      <c r="CG9321"/>
      <c r="CH9321"/>
      <c r="CI9321"/>
    </row>
    <row r="9322" spans="83:87" x14ac:dyDescent="0.2">
      <c r="CE9322"/>
      <c r="CF9322"/>
      <c r="CG9322"/>
      <c r="CH9322"/>
      <c r="CI9322"/>
    </row>
    <row r="9323" spans="83:87" x14ac:dyDescent="0.2">
      <c r="CE9323"/>
      <c r="CF9323"/>
      <c r="CG9323"/>
      <c r="CH9323"/>
      <c r="CI9323"/>
    </row>
    <row r="9324" spans="83:87" x14ac:dyDescent="0.2">
      <c r="CE9324"/>
      <c r="CF9324"/>
      <c r="CG9324"/>
      <c r="CH9324"/>
      <c r="CI9324"/>
    </row>
    <row r="9325" spans="83:87" x14ac:dyDescent="0.2">
      <c r="CE9325"/>
      <c r="CF9325"/>
      <c r="CG9325"/>
      <c r="CH9325"/>
      <c r="CI9325"/>
    </row>
    <row r="9326" spans="83:87" x14ac:dyDescent="0.2">
      <c r="CE9326"/>
      <c r="CF9326"/>
      <c r="CG9326"/>
      <c r="CH9326"/>
      <c r="CI9326"/>
    </row>
    <row r="9327" spans="83:87" x14ac:dyDescent="0.2">
      <c r="CE9327"/>
      <c r="CF9327"/>
      <c r="CG9327"/>
      <c r="CH9327"/>
      <c r="CI9327"/>
    </row>
    <row r="9328" spans="83:87" x14ac:dyDescent="0.2">
      <c r="CE9328"/>
      <c r="CF9328"/>
      <c r="CG9328"/>
      <c r="CH9328"/>
      <c r="CI9328"/>
    </row>
    <row r="9329" spans="83:87" x14ac:dyDescent="0.2">
      <c r="CE9329"/>
      <c r="CF9329"/>
      <c r="CG9329"/>
      <c r="CH9329"/>
      <c r="CI9329"/>
    </row>
    <row r="9330" spans="83:87" x14ac:dyDescent="0.2">
      <c r="CE9330"/>
      <c r="CF9330"/>
      <c r="CG9330"/>
      <c r="CH9330"/>
      <c r="CI9330"/>
    </row>
    <row r="9331" spans="83:87" x14ac:dyDescent="0.2">
      <c r="CE9331"/>
      <c r="CF9331"/>
      <c r="CG9331"/>
      <c r="CH9331"/>
      <c r="CI9331"/>
    </row>
    <row r="9332" spans="83:87" x14ac:dyDescent="0.2">
      <c r="CE9332"/>
      <c r="CF9332"/>
      <c r="CG9332"/>
      <c r="CH9332"/>
      <c r="CI9332"/>
    </row>
    <row r="9333" spans="83:87" x14ac:dyDescent="0.2">
      <c r="CE9333"/>
      <c r="CF9333"/>
      <c r="CG9333"/>
      <c r="CH9333"/>
      <c r="CI9333"/>
    </row>
    <row r="9334" spans="83:87" x14ac:dyDescent="0.2">
      <c r="CE9334"/>
      <c r="CF9334"/>
      <c r="CG9334"/>
      <c r="CH9334"/>
      <c r="CI9334"/>
    </row>
    <row r="9335" spans="83:87" x14ac:dyDescent="0.2">
      <c r="CE9335"/>
      <c r="CF9335"/>
      <c r="CG9335"/>
      <c r="CH9335"/>
      <c r="CI9335"/>
    </row>
    <row r="9336" spans="83:87" x14ac:dyDescent="0.2">
      <c r="CE9336"/>
      <c r="CF9336"/>
      <c r="CG9336"/>
      <c r="CH9336"/>
      <c r="CI9336"/>
    </row>
    <row r="9337" spans="83:87" x14ac:dyDescent="0.2">
      <c r="CE9337"/>
      <c r="CF9337"/>
      <c r="CG9337"/>
      <c r="CH9337"/>
      <c r="CI9337"/>
    </row>
    <row r="9338" spans="83:87" x14ac:dyDescent="0.2">
      <c r="CE9338"/>
      <c r="CF9338"/>
      <c r="CG9338"/>
      <c r="CH9338"/>
      <c r="CI9338"/>
    </row>
    <row r="9339" spans="83:87" x14ac:dyDescent="0.2">
      <c r="CE9339"/>
      <c r="CF9339"/>
      <c r="CG9339"/>
      <c r="CH9339"/>
      <c r="CI9339"/>
    </row>
    <row r="9340" spans="83:87" x14ac:dyDescent="0.2">
      <c r="CE9340"/>
      <c r="CF9340"/>
      <c r="CG9340"/>
      <c r="CH9340"/>
      <c r="CI9340"/>
    </row>
    <row r="9341" spans="83:87" x14ac:dyDescent="0.2">
      <c r="CE9341"/>
      <c r="CF9341"/>
      <c r="CG9341"/>
      <c r="CH9341"/>
      <c r="CI9341"/>
    </row>
    <row r="9342" spans="83:87" x14ac:dyDescent="0.2">
      <c r="CE9342"/>
      <c r="CF9342"/>
      <c r="CG9342"/>
      <c r="CH9342"/>
      <c r="CI9342"/>
    </row>
    <row r="9343" spans="83:87" x14ac:dyDescent="0.2">
      <c r="CE9343"/>
      <c r="CF9343"/>
      <c r="CG9343"/>
      <c r="CH9343"/>
      <c r="CI9343"/>
    </row>
    <row r="9344" spans="83:87" x14ac:dyDescent="0.2">
      <c r="CE9344"/>
      <c r="CF9344"/>
      <c r="CG9344"/>
      <c r="CH9344"/>
      <c r="CI9344"/>
    </row>
    <row r="9345" spans="83:87" x14ac:dyDescent="0.2">
      <c r="CE9345"/>
      <c r="CF9345"/>
      <c r="CG9345"/>
      <c r="CH9345"/>
      <c r="CI9345"/>
    </row>
    <row r="9346" spans="83:87" x14ac:dyDescent="0.2">
      <c r="CE9346"/>
      <c r="CF9346"/>
      <c r="CG9346"/>
      <c r="CH9346"/>
      <c r="CI9346"/>
    </row>
    <row r="9347" spans="83:87" x14ac:dyDescent="0.2">
      <c r="CE9347"/>
      <c r="CF9347"/>
      <c r="CG9347"/>
      <c r="CH9347"/>
      <c r="CI9347"/>
    </row>
    <row r="9348" spans="83:87" x14ac:dyDescent="0.2">
      <c r="CE9348"/>
      <c r="CF9348"/>
      <c r="CG9348"/>
      <c r="CH9348"/>
      <c r="CI9348"/>
    </row>
    <row r="9349" spans="83:87" x14ac:dyDescent="0.2">
      <c r="CE9349"/>
      <c r="CF9349"/>
      <c r="CG9349"/>
      <c r="CH9349"/>
      <c r="CI9349"/>
    </row>
    <row r="9350" spans="83:87" x14ac:dyDescent="0.2">
      <c r="CE9350"/>
      <c r="CF9350"/>
      <c r="CG9350"/>
      <c r="CH9350"/>
      <c r="CI9350"/>
    </row>
    <row r="9351" spans="83:87" x14ac:dyDescent="0.2">
      <c r="CE9351"/>
      <c r="CF9351"/>
      <c r="CG9351"/>
      <c r="CH9351"/>
      <c r="CI9351"/>
    </row>
    <row r="9352" spans="83:87" x14ac:dyDescent="0.2">
      <c r="CE9352"/>
      <c r="CF9352"/>
      <c r="CG9352"/>
      <c r="CH9352"/>
      <c r="CI9352"/>
    </row>
    <row r="9353" spans="83:87" x14ac:dyDescent="0.2">
      <c r="CE9353"/>
      <c r="CF9353"/>
      <c r="CG9353"/>
      <c r="CH9353"/>
      <c r="CI9353"/>
    </row>
    <row r="9354" spans="83:87" x14ac:dyDescent="0.2">
      <c r="CE9354"/>
      <c r="CF9354"/>
      <c r="CG9354"/>
      <c r="CH9354"/>
      <c r="CI9354"/>
    </row>
    <row r="9355" spans="83:87" x14ac:dyDescent="0.2">
      <c r="CE9355"/>
      <c r="CF9355"/>
      <c r="CG9355"/>
      <c r="CH9355"/>
      <c r="CI9355"/>
    </row>
    <row r="9356" spans="83:87" x14ac:dyDescent="0.2">
      <c r="CE9356"/>
      <c r="CF9356"/>
      <c r="CG9356"/>
      <c r="CH9356"/>
      <c r="CI9356"/>
    </row>
    <row r="9357" spans="83:87" x14ac:dyDescent="0.2">
      <c r="CE9357"/>
      <c r="CF9357"/>
      <c r="CG9357"/>
      <c r="CH9357"/>
      <c r="CI9357"/>
    </row>
    <row r="9358" spans="83:87" x14ac:dyDescent="0.2">
      <c r="CE9358"/>
      <c r="CF9358"/>
      <c r="CG9358"/>
      <c r="CH9358"/>
      <c r="CI9358"/>
    </row>
    <row r="9359" spans="83:87" x14ac:dyDescent="0.2">
      <c r="CE9359"/>
      <c r="CF9359"/>
      <c r="CG9359"/>
      <c r="CH9359"/>
      <c r="CI9359"/>
    </row>
    <row r="9360" spans="83:87" x14ac:dyDescent="0.2">
      <c r="CE9360"/>
      <c r="CF9360"/>
      <c r="CG9360"/>
      <c r="CH9360"/>
      <c r="CI9360"/>
    </row>
    <row r="9361" spans="83:87" x14ac:dyDescent="0.2">
      <c r="CE9361"/>
      <c r="CF9361"/>
      <c r="CG9361"/>
      <c r="CH9361"/>
      <c r="CI9361"/>
    </row>
    <row r="9362" spans="83:87" x14ac:dyDescent="0.2">
      <c r="CE9362"/>
      <c r="CF9362"/>
      <c r="CG9362"/>
      <c r="CH9362"/>
      <c r="CI9362"/>
    </row>
    <row r="9363" spans="83:87" x14ac:dyDescent="0.2">
      <c r="CE9363"/>
      <c r="CF9363"/>
      <c r="CG9363"/>
      <c r="CH9363"/>
      <c r="CI9363"/>
    </row>
    <row r="9364" spans="83:87" x14ac:dyDescent="0.2">
      <c r="CE9364"/>
      <c r="CF9364"/>
      <c r="CG9364"/>
      <c r="CH9364"/>
      <c r="CI9364"/>
    </row>
    <row r="9365" spans="83:87" x14ac:dyDescent="0.2">
      <c r="CE9365"/>
      <c r="CF9365"/>
      <c r="CG9365"/>
      <c r="CH9365"/>
      <c r="CI9365"/>
    </row>
    <row r="9366" spans="83:87" x14ac:dyDescent="0.2">
      <c r="CE9366"/>
      <c r="CF9366"/>
      <c r="CG9366"/>
      <c r="CH9366"/>
      <c r="CI9366"/>
    </row>
    <row r="9367" spans="83:87" x14ac:dyDescent="0.2">
      <c r="CE9367"/>
      <c r="CF9367"/>
      <c r="CG9367"/>
      <c r="CH9367"/>
      <c r="CI9367"/>
    </row>
    <row r="9368" spans="83:87" x14ac:dyDescent="0.2">
      <c r="CE9368"/>
      <c r="CF9368"/>
      <c r="CG9368"/>
      <c r="CH9368"/>
      <c r="CI9368"/>
    </row>
    <row r="9369" spans="83:87" x14ac:dyDescent="0.2">
      <c r="CE9369"/>
      <c r="CF9369"/>
      <c r="CG9369"/>
      <c r="CH9369"/>
      <c r="CI9369"/>
    </row>
    <row r="9370" spans="83:87" x14ac:dyDescent="0.2">
      <c r="CE9370"/>
      <c r="CF9370"/>
      <c r="CG9370"/>
      <c r="CH9370"/>
      <c r="CI9370"/>
    </row>
    <row r="9371" spans="83:87" x14ac:dyDescent="0.2">
      <c r="CE9371"/>
      <c r="CF9371"/>
      <c r="CG9371"/>
      <c r="CH9371"/>
      <c r="CI9371"/>
    </row>
    <row r="9372" spans="83:87" x14ac:dyDescent="0.2">
      <c r="CE9372"/>
      <c r="CF9372"/>
      <c r="CG9372"/>
      <c r="CH9372"/>
      <c r="CI9372"/>
    </row>
    <row r="9373" spans="83:87" x14ac:dyDescent="0.2">
      <c r="CE9373"/>
      <c r="CF9373"/>
      <c r="CG9373"/>
      <c r="CH9373"/>
      <c r="CI9373"/>
    </row>
    <row r="9374" spans="83:87" x14ac:dyDescent="0.2">
      <c r="CE9374"/>
      <c r="CF9374"/>
      <c r="CG9374"/>
      <c r="CH9374"/>
      <c r="CI9374"/>
    </row>
    <row r="9375" spans="83:87" x14ac:dyDescent="0.2">
      <c r="CE9375"/>
      <c r="CF9375"/>
      <c r="CG9375"/>
      <c r="CH9375"/>
      <c r="CI9375"/>
    </row>
    <row r="9376" spans="83:87" x14ac:dyDescent="0.2">
      <c r="CE9376"/>
      <c r="CF9376"/>
      <c r="CG9376"/>
      <c r="CH9376"/>
      <c r="CI9376"/>
    </row>
    <row r="9377" spans="83:87" x14ac:dyDescent="0.2">
      <c r="CE9377"/>
      <c r="CF9377"/>
      <c r="CG9377"/>
      <c r="CH9377"/>
      <c r="CI9377"/>
    </row>
    <row r="9378" spans="83:87" x14ac:dyDescent="0.2">
      <c r="CE9378"/>
      <c r="CF9378"/>
      <c r="CG9378"/>
      <c r="CH9378"/>
      <c r="CI9378"/>
    </row>
    <row r="9379" spans="83:87" x14ac:dyDescent="0.2">
      <c r="CE9379"/>
      <c r="CF9379"/>
      <c r="CG9379"/>
      <c r="CH9379"/>
      <c r="CI9379"/>
    </row>
    <row r="9380" spans="83:87" x14ac:dyDescent="0.2">
      <c r="CE9380"/>
      <c r="CF9380"/>
      <c r="CG9380"/>
      <c r="CH9380"/>
      <c r="CI9380"/>
    </row>
    <row r="9381" spans="83:87" x14ac:dyDescent="0.2">
      <c r="CE9381"/>
      <c r="CF9381"/>
      <c r="CG9381"/>
      <c r="CH9381"/>
      <c r="CI9381"/>
    </row>
    <row r="9382" spans="83:87" x14ac:dyDescent="0.2">
      <c r="CE9382"/>
      <c r="CF9382"/>
      <c r="CG9382"/>
      <c r="CH9382"/>
      <c r="CI9382"/>
    </row>
    <row r="9383" spans="83:87" x14ac:dyDescent="0.2">
      <c r="CE9383"/>
      <c r="CF9383"/>
      <c r="CG9383"/>
      <c r="CH9383"/>
      <c r="CI9383"/>
    </row>
    <row r="9384" spans="83:87" x14ac:dyDescent="0.2">
      <c r="CE9384"/>
      <c r="CF9384"/>
      <c r="CG9384"/>
      <c r="CH9384"/>
      <c r="CI9384"/>
    </row>
    <row r="9385" spans="83:87" x14ac:dyDescent="0.2">
      <c r="CE9385"/>
      <c r="CF9385"/>
      <c r="CG9385"/>
      <c r="CH9385"/>
      <c r="CI9385"/>
    </row>
    <row r="9386" spans="83:87" x14ac:dyDescent="0.2">
      <c r="CE9386"/>
      <c r="CF9386"/>
      <c r="CG9386"/>
      <c r="CH9386"/>
      <c r="CI9386"/>
    </row>
    <row r="9387" spans="83:87" x14ac:dyDescent="0.2">
      <c r="CE9387"/>
      <c r="CF9387"/>
      <c r="CG9387"/>
      <c r="CH9387"/>
      <c r="CI9387"/>
    </row>
    <row r="9388" spans="83:87" x14ac:dyDescent="0.2">
      <c r="CE9388"/>
      <c r="CF9388"/>
      <c r="CG9388"/>
      <c r="CH9388"/>
      <c r="CI9388"/>
    </row>
    <row r="9389" spans="83:87" x14ac:dyDescent="0.2">
      <c r="CE9389"/>
      <c r="CF9389"/>
      <c r="CG9389"/>
      <c r="CH9389"/>
      <c r="CI9389"/>
    </row>
    <row r="9390" spans="83:87" x14ac:dyDescent="0.2">
      <c r="CE9390"/>
      <c r="CF9390"/>
      <c r="CG9390"/>
      <c r="CH9390"/>
      <c r="CI9390"/>
    </row>
    <row r="9391" spans="83:87" x14ac:dyDescent="0.2">
      <c r="CE9391"/>
      <c r="CF9391"/>
      <c r="CG9391"/>
      <c r="CH9391"/>
      <c r="CI9391"/>
    </row>
    <row r="9392" spans="83:87" x14ac:dyDescent="0.2">
      <c r="CE9392"/>
      <c r="CF9392"/>
      <c r="CG9392"/>
      <c r="CH9392"/>
      <c r="CI9392"/>
    </row>
    <row r="9393" spans="83:87" x14ac:dyDescent="0.2">
      <c r="CE9393"/>
      <c r="CF9393"/>
      <c r="CG9393"/>
      <c r="CH9393"/>
      <c r="CI9393"/>
    </row>
    <row r="9394" spans="83:87" x14ac:dyDescent="0.2">
      <c r="CE9394"/>
      <c r="CF9394"/>
      <c r="CG9394"/>
      <c r="CH9394"/>
      <c r="CI9394"/>
    </row>
    <row r="9395" spans="83:87" x14ac:dyDescent="0.2">
      <c r="CE9395"/>
      <c r="CF9395"/>
      <c r="CG9395"/>
      <c r="CH9395"/>
      <c r="CI9395"/>
    </row>
    <row r="9396" spans="83:87" x14ac:dyDescent="0.2">
      <c r="CE9396"/>
      <c r="CF9396"/>
      <c r="CG9396"/>
      <c r="CH9396"/>
      <c r="CI9396"/>
    </row>
    <row r="9397" spans="83:87" x14ac:dyDescent="0.2">
      <c r="CE9397"/>
      <c r="CF9397"/>
      <c r="CG9397"/>
      <c r="CH9397"/>
      <c r="CI9397"/>
    </row>
    <row r="9398" spans="83:87" x14ac:dyDescent="0.2">
      <c r="CE9398"/>
      <c r="CF9398"/>
      <c r="CG9398"/>
      <c r="CH9398"/>
      <c r="CI9398"/>
    </row>
    <row r="9399" spans="83:87" x14ac:dyDescent="0.2">
      <c r="CE9399"/>
      <c r="CF9399"/>
      <c r="CG9399"/>
      <c r="CH9399"/>
      <c r="CI9399"/>
    </row>
    <row r="9400" spans="83:87" x14ac:dyDescent="0.2">
      <c r="CE9400"/>
      <c r="CF9400"/>
      <c r="CG9400"/>
      <c r="CH9400"/>
      <c r="CI9400"/>
    </row>
    <row r="9401" spans="83:87" x14ac:dyDescent="0.2">
      <c r="CE9401"/>
      <c r="CF9401"/>
      <c r="CG9401"/>
      <c r="CH9401"/>
      <c r="CI9401"/>
    </row>
    <row r="9402" spans="83:87" x14ac:dyDescent="0.2">
      <c r="CE9402"/>
      <c r="CF9402"/>
      <c r="CG9402"/>
      <c r="CH9402"/>
      <c r="CI9402"/>
    </row>
    <row r="9403" spans="83:87" x14ac:dyDescent="0.2">
      <c r="CE9403"/>
      <c r="CF9403"/>
      <c r="CG9403"/>
      <c r="CH9403"/>
      <c r="CI9403"/>
    </row>
    <row r="9404" spans="83:87" x14ac:dyDescent="0.2">
      <c r="CE9404"/>
      <c r="CF9404"/>
      <c r="CG9404"/>
      <c r="CH9404"/>
      <c r="CI9404"/>
    </row>
    <row r="9405" spans="83:87" x14ac:dyDescent="0.2">
      <c r="CE9405"/>
      <c r="CF9405"/>
      <c r="CG9405"/>
      <c r="CH9405"/>
      <c r="CI9405"/>
    </row>
    <row r="9406" spans="83:87" x14ac:dyDescent="0.2">
      <c r="CE9406"/>
      <c r="CF9406"/>
      <c r="CG9406"/>
      <c r="CH9406"/>
      <c r="CI9406"/>
    </row>
    <row r="9407" spans="83:87" x14ac:dyDescent="0.2">
      <c r="CE9407"/>
      <c r="CF9407"/>
      <c r="CG9407"/>
      <c r="CH9407"/>
      <c r="CI9407"/>
    </row>
    <row r="9408" spans="83:87" x14ac:dyDescent="0.2">
      <c r="CE9408"/>
      <c r="CF9408"/>
      <c r="CG9408"/>
      <c r="CH9408"/>
      <c r="CI9408"/>
    </row>
    <row r="9409" spans="83:87" x14ac:dyDescent="0.2">
      <c r="CE9409"/>
      <c r="CF9409"/>
      <c r="CG9409"/>
      <c r="CH9409"/>
      <c r="CI9409"/>
    </row>
    <row r="9410" spans="83:87" x14ac:dyDescent="0.2">
      <c r="CE9410"/>
      <c r="CF9410"/>
      <c r="CG9410"/>
      <c r="CH9410"/>
      <c r="CI9410"/>
    </row>
    <row r="9411" spans="83:87" x14ac:dyDescent="0.2">
      <c r="CE9411"/>
      <c r="CF9411"/>
      <c r="CG9411"/>
      <c r="CH9411"/>
      <c r="CI9411"/>
    </row>
    <row r="9412" spans="83:87" x14ac:dyDescent="0.2">
      <c r="CE9412"/>
      <c r="CF9412"/>
      <c r="CG9412"/>
      <c r="CH9412"/>
      <c r="CI9412"/>
    </row>
    <row r="9413" spans="83:87" x14ac:dyDescent="0.2">
      <c r="CE9413"/>
      <c r="CF9413"/>
      <c r="CG9413"/>
      <c r="CH9413"/>
      <c r="CI9413"/>
    </row>
    <row r="9414" spans="83:87" x14ac:dyDescent="0.2">
      <c r="CE9414"/>
      <c r="CF9414"/>
      <c r="CG9414"/>
      <c r="CH9414"/>
      <c r="CI9414"/>
    </row>
    <row r="9415" spans="83:87" x14ac:dyDescent="0.2">
      <c r="CE9415"/>
      <c r="CF9415"/>
      <c r="CG9415"/>
      <c r="CH9415"/>
      <c r="CI9415"/>
    </row>
    <row r="9416" spans="83:87" x14ac:dyDescent="0.2">
      <c r="CE9416"/>
      <c r="CF9416"/>
      <c r="CG9416"/>
      <c r="CH9416"/>
      <c r="CI9416"/>
    </row>
    <row r="9417" spans="83:87" x14ac:dyDescent="0.2">
      <c r="CE9417"/>
      <c r="CF9417"/>
      <c r="CG9417"/>
      <c r="CH9417"/>
      <c r="CI9417"/>
    </row>
    <row r="9418" spans="83:87" x14ac:dyDescent="0.2">
      <c r="CE9418"/>
      <c r="CF9418"/>
      <c r="CG9418"/>
      <c r="CH9418"/>
      <c r="CI9418"/>
    </row>
    <row r="9419" spans="83:87" x14ac:dyDescent="0.2">
      <c r="CE9419"/>
      <c r="CF9419"/>
      <c r="CG9419"/>
      <c r="CH9419"/>
      <c r="CI9419"/>
    </row>
    <row r="9420" spans="83:87" x14ac:dyDescent="0.2">
      <c r="CE9420"/>
      <c r="CF9420"/>
      <c r="CG9420"/>
      <c r="CH9420"/>
      <c r="CI9420"/>
    </row>
    <row r="9421" spans="83:87" x14ac:dyDescent="0.2">
      <c r="CE9421"/>
      <c r="CF9421"/>
      <c r="CG9421"/>
      <c r="CH9421"/>
      <c r="CI9421"/>
    </row>
    <row r="9422" spans="83:87" x14ac:dyDescent="0.2">
      <c r="CE9422"/>
      <c r="CF9422"/>
      <c r="CG9422"/>
      <c r="CH9422"/>
      <c r="CI9422"/>
    </row>
    <row r="9423" spans="83:87" x14ac:dyDescent="0.2">
      <c r="CE9423"/>
      <c r="CF9423"/>
      <c r="CG9423"/>
      <c r="CH9423"/>
      <c r="CI9423"/>
    </row>
    <row r="9424" spans="83:87" x14ac:dyDescent="0.2">
      <c r="CE9424"/>
      <c r="CF9424"/>
      <c r="CG9424"/>
      <c r="CH9424"/>
      <c r="CI9424"/>
    </row>
    <row r="9425" spans="83:87" x14ac:dyDescent="0.2">
      <c r="CE9425"/>
      <c r="CF9425"/>
      <c r="CG9425"/>
      <c r="CH9425"/>
      <c r="CI9425"/>
    </row>
    <row r="9426" spans="83:87" x14ac:dyDescent="0.2">
      <c r="CE9426"/>
      <c r="CF9426"/>
      <c r="CG9426"/>
      <c r="CH9426"/>
      <c r="CI9426"/>
    </row>
    <row r="9427" spans="83:87" x14ac:dyDescent="0.2">
      <c r="CE9427"/>
      <c r="CF9427"/>
      <c r="CG9427"/>
      <c r="CH9427"/>
      <c r="CI9427"/>
    </row>
    <row r="9428" spans="83:87" x14ac:dyDescent="0.2">
      <c r="CE9428"/>
      <c r="CF9428"/>
      <c r="CG9428"/>
      <c r="CH9428"/>
      <c r="CI9428"/>
    </row>
    <row r="9429" spans="83:87" x14ac:dyDescent="0.2">
      <c r="CE9429"/>
      <c r="CF9429"/>
      <c r="CG9429"/>
      <c r="CH9429"/>
      <c r="CI9429"/>
    </row>
    <row r="9430" spans="83:87" x14ac:dyDescent="0.2">
      <c r="CE9430"/>
      <c r="CF9430"/>
      <c r="CG9430"/>
      <c r="CH9430"/>
      <c r="CI9430"/>
    </row>
    <row r="9431" spans="83:87" x14ac:dyDescent="0.2">
      <c r="CE9431"/>
      <c r="CF9431"/>
      <c r="CG9431"/>
      <c r="CH9431"/>
      <c r="CI9431"/>
    </row>
    <row r="9432" spans="83:87" x14ac:dyDescent="0.2">
      <c r="CE9432"/>
      <c r="CF9432"/>
      <c r="CG9432"/>
      <c r="CH9432"/>
      <c r="CI9432"/>
    </row>
    <row r="9433" spans="83:87" x14ac:dyDescent="0.2">
      <c r="CE9433"/>
      <c r="CF9433"/>
      <c r="CG9433"/>
      <c r="CH9433"/>
      <c r="CI9433"/>
    </row>
    <row r="9434" spans="83:87" x14ac:dyDescent="0.2">
      <c r="CE9434"/>
      <c r="CF9434"/>
      <c r="CG9434"/>
      <c r="CH9434"/>
      <c r="CI9434"/>
    </row>
    <row r="9435" spans="83:87" x14ac:dyDescent="0.2">
      <c r="CE9435"/>
      <c r="CF9435"/>
      <c r="CG9435"/>
      <c r="CH9435"/>
      <c r="CI9435"/>
    </row>
    <row r="9436" spans="83:87" x14ac:dyDescent="0.2">
      <c r="CE9436"/>
      <c r="CF9436"/>
      <c r="CG9436"/>
      <c r="CH9436"/>
      <c r="CI9436"/>
    </row>
    <row r="9437" spans="83:87" x14ac:dyDescent="0.2">
      <c r="CE9437"/>
      <c r="CF9437"/>
      <c r="CG9437"/>
      <c r="CH9437"/>
      <c r="CI9437"/>
    </row>
    <row r="9438" spans="83:87" x14ac:dyDescent="0.2">
      <c r="CE9438"/>
      <c r="CF9438"/>
      <c r="CG9438"/>
      <c r="CH9438"/>
      <c r="CI9438"/>
    </row>
    <row r="9439" spans="83:87" x14ac:dyDescent="0.2">
      <c r="CE9439"/>
      <c r="CF9439"/>
      <c r="CG9439"/>
      <c r="CH9439"/>
      <c r="CI9439"/>
    </row>
    <row r="9440" spans="83:87" x14ac:dyDescent="0.2">
      <c r="CE9440"/>
      <c r="CF9440"/>
      <c r="CG9440"/>
      <c r="CH9440"/>
      <c r="CI9440"/>
    </row>
    <row r="9441" spans="83:87" x14ac:dyDescent="0.2">
      <c r="CE9441"/>
      <c r="CF9441"/>
      <c r="CG9441"/>
      <c r="CH9441"/>
      <c r="CI9441"/>
    </row>
    <row r="9442" spans="83:87" x14ac:dyDescent="0.2">
      <c r="CE9442"/>
      <c r="CF9442"/>
      <c r="CG9442"/>
      <c r="CH9442"/>
      <c r="CI9442"/>
    </row>
    <row r="9443" spans="83:87" x14ac:dyDescent="0.2">
      <c r="CE9443"/>
      <c r="CF9443"/>
      <c r="CG9443"/>
      <c r="CH9443"/>
      <c r="CI9443"/>
    </row>
    <row r="9444" spans="83:87" x14ac:dyDescent="0.2">
      <c r="CE9444"/>
      <c r="CF9444"/>
      <c r="CG9444"/>
      <c r="CH9444"/>
      <c r="CI9444"/>
    </row>
    <row r="9445" spans="83:87" x14ac:dyDescent="0.2">
      <c r="CE9445"/>
      <c r="CF9445"/>
      <c r="CG9445"/>
      <c r="CH9445"/>
      <c r="CI9445"/>
    </row>
    <row r="9446" spans="83:87" x14ac:dyDescent="0.2">
      <c r="CE9446"/>
      <c r="CF9446"/>
      <c r="CG9446"/>
      <c r="CH9446"/>
      <c r="CI9446"/>
    </row>
    <row r="9447" spans="83:87" x14ac:dyDescent="0.2">
      <c r="CE9447"/>
      <c r="CF9447"/>
      <c r="CG9447"/>
      <c r="CH9447"/>
      <c r="CI9447"/>
    </row>
    <row r="9448" spans="83:87" x14ac:dyDescent="0.2">
      <c r="CE9448"/>
      <c r="CF9448"/>
      <c r="CG9448"/>
      <c r="CH9448"/>
      <c r="CI9448"/>
    </row>
    <row r="9449" spans="83:87" x14ac:dyDescent="0.2">
      <c r="CE9449"/>
      <c r="CF9449"/>
      <c r="CG9449"/>
      <c r="CH9449"/>
      <c r="CI9449"/>
    </row>
    <row r="9450" spans="83:87" x14ac:dyDescent="0.2">
      <c r="CE9450"/>
      <c r="CF9450"/>
      <c r="CG9450"/>
      <c r="CH9450"/>
      <c r="CI9450"/>
    </row>
    <row r="9451" spans="83:87" x14ac:dyDescent="0.2">
      <c r="CE9451"/>
      <c r="CF9451"/>
      <c r="CG9451"/>
      <c r="CH9451"/>
      <c r="CI9451"/>
    </row>
    <row r="9452" spans="83:87" x14ac:dyDescent="0.2">
      <c r="CE9452"/>
      <c r="CF9452"/>
      <c r="CG9452"/>
      <c r="CH9452"/>
      <c r="CI9452"/>
    </row>
    <row r="9453" spans="83:87" x14ac:dyDescent="0.2">
      <c r="CE9453"/>
      <c r="CF9453"/>
      <c r="CG9453"/>
      <c r="CH9453"/>
      <c r="CI9453"/>
    </row>
    <row r="9454" spans="83:87" x14ac:dyDescent="0.2">
      <c r="CE9454"/>
      <c r="CF9454"/>
      <c r="CG9454"/>
      <c r="CH9454"/>
      <c r="CI9454"/>
    </row>
    <row r="9455" spans="83:87" x14ac:dyDescent="0.2">
      <c r="CE9455"/>
      <c r="CF9455"/>
      <c r="CG9455"/>
      <c r="CH9455"/>
      <c r="CI9455"/>
    </row>
    <row r="9456" spans="83:87" x14ac:dyDescent="0.2">
      <c r="CE9456"/>
      <c r="CF9456"/>
      <c r="CG9456"/>
      <c r="CH9456"/>
      <c r="CI9456"/>
    </row>
    <row r="9457" spans="83:87" x14ac:dyDescent="0.2">
      <c r="CE9457"/>
      <c r="CF9457"/>
      <c r="CG9457"/>
      <c r="CH9457"/>
      <c r="CI9457"/>
    </row>
    <row r="9458" spans="83:87" x14ac:dyDescent="0.2">
      <c r="CE9458"/>
      <c r="CF9458"/>
      <c r="CG9458"/>
      <c r="CH9458"/>
      <c r="CI9458"/>
    </row>
    <row r="9459" spans="83:87" x14ac:dyDescent="0.2">
      <c r="CE9459"/>
      <c r="CF9459"/>
      <c r="CG9459"/>
      <c r="CH9459"/>
      <c r="CI9459"/>
    </row>
    <row r="9460" spans="83:87" x14ac:dyDescent="0.2">
      <c r="CE9460"/>
      <c r="CF9460"/>
      <c r="CG9460"/>
      <c r="CH9460"/>
      <c r="CI9460"/>
    </row>
    <row r="9461" spans="83:87" x14ac:dyDescent="0.2">
      <c r="CE9461"/>
      <c r="CF9461"/>
      <c r="CG9461"/>
      <c r="CH9461"/>
      <c r="CI9461"/>
    </row>
    <row r="9462" spans="83:87" x14ac:dyDescent="0.2">
      <c r="CE9462"/>
      <c r="CF9462"/>
      <c r="CG9462"/>
      <c r="CH9462"/>
      <c r="CI9462"/>
    </row>
    <row r="9463" spans="83:87" x14ac:dyDescent="0.2">
      <c r="CE9463"/>
      <c r="CF9463"/>
      <c r="CG9463"/>
      <c r="CH9463"/>
      <c r="CI9463"/>
    </row>
    <row r="9464" spans="83:87" x14ac:dyDescent="0.2">
      <c r="CE9464"/>
      <c r="CF9464"/>
      <c r="CG9464"/>
      <c r="CH9464"/>
      <c r="CI9464"/>
    </row>
    <row r="9465" spans="83:87" x14ac:dyDescent="0.2">
      <c r="CE9465"/>
      <c r="CF9465"/>
      <c r="CG9465"/>
      <c r="CH9465"/>
      <c r="CI9465"/>
    </row>
    <row r="9466" spans="83:87" x14ac:dyDescent="0.2">
      <c r="CE9466"/>
      <c r="CF9466"/>
      <c r="CG9466"/>
      <c r="CH9466"/>
      <c r="CI9466"/>
    </row>
    <row r="9467" spans="83:87" x14ac:dyDescent="0.2">
      <c r="CE9467"/>
      <c r="CF9467"/>
      <c r="CG9467"/>
      <c r="CH9467"/>
      <c r="CI9467"/>
    </row>
    <row r="9468" spans="83:87" x14ac:dyDescent="0.2">
      <c r="CE9468"/>
      <c r="CF9468"/>
      <c r="CG9468"/>
      <c r="CH9468"/>
      <c r="CI9468"/>
    </row>
    <row r="9469" spans="83:87" x14ac:dyDescent="0.2">
      <c r="CE9469"/>
      <c r="CF9469"/>
      <c r="CG9469"/>
      <c r="CH9469"/>
      <c r="CI9469"/>
    </row>
    <row r="9470" spans="83:87" x14ac:dyDescent="0.2">
      <c r="CE9470"/>
      <c r="CF9470"/>
      <c r="CG9470"/>
      <c r="CH9470"/>
      <c r="CI9470"/>
    </row>
    <row r="9471" spans="83:87" x14ac:dyDescent="0.2">
      <c r="CE9471"/>
      <c r="CF9471"/>
      <c r="CG9471"/>
      <c r="CH9471"/>
      <c r="CI9471"/>
    </row>
    <row r="9472" spans="83:87" x14ac:dyDescent="0.2">
      <c r="CE9472"/>
      <c r="CF9472"/>
      <c r="CG9472"/>
      <c r="CH9472"/>
      <c r="CI9472"/>
    </row>
    <row r="9473" spans="83:87" x14ac:dyDescent="0.2">
      <c r="CE9473"/>
      <c r="CF9473"/>
      <c r="CG9473"/>
      <c r="CH9473"/>
      <c r="CI9473"/>
    </row>
    <row r="9474" spans="83:87" x14ac:dyDescent="0.2">
      <c r="CE9474"/>
      <c r="CF9474"/>
      <c r="CG9474"/>
      <c r="CH9474"/>
      <c r="CI9474"/>
    </row>
    <row r="9475" spans="83:87" x14ac:dyDescent="0.2">
      <c r="CE9475"/>
      <c r="CF9475"/>
      <c r="CG9475"/>
      <c r="CH9475"/>
      <c r="CI9475"/>
    </row>
    <row r="9476" spans="83:87" x14ac:dyDescent="0.2">
      <c r="CE9476"/>
      <c r="CF9476"/>
      <c r="CG9476"/>
      <c r="CH9476"/>
      <c r="CI9476"/>
    </row>
    <row r="9477" spans="83:87" x14ac:dyDescent="0.2">
      <c r="CE9477"/>
      <c r="CF9477"/>
      <c r="CG9477"/>
      <c r="CH9477"/>
      <c r="CI9477"/>
    </row>
    <row r="9478" spans="83:87" x14ac:dyDescent="0.2">
      <c r="CE9478"/>
      <c r="CF9478"/>
      <c r="CG9478"/>
      <c r="CH9478"/>
      <c r="CI9478"/>
    </row>
    <row r="9479" spans="83:87" x14ac:dyDescent="0.2">
      <c r="CE9479"/>
      <c r="CF9479"/>
      <c r="CG9479"/>
      <c r="CH9479"/>
      <c r="CI9479"/>
    </row>
    <row r="9480" spans="83:87" x14ac:dyDescent="0.2">
      <c r="CE9480"/>
      <c r="CF9480"/>
      <c r="CG9480"/>
      <c r="CH9480"/>
      <c r="CI9480"/>
    </row>
    <row r="9481" spans="83:87" x14ac:dyDescent="0.2">
      <c r="CE9481"/>
      <c r="CF9481"/>
      <c r="CG9481"/>
      <c r="CH9481"/>
      <c r="CI9481"/>
    </row>
    <row r="9482" spans="83:87" x14ac:dyDescent="0.2">
      <c r="CE9482"/>
      <c r="CF9482"/>
      <c r="CG9482"/>
      <c r="CH9482"/>
      <c r="CI9482"/>
    </row>
    <row r="9483" spans="83:87" x14ac:dyDescent="0.2">
      <c r="CE9483"/>
      <c r="CF9483"/>
      <c r="CG9483"/>
      <c r="CH9483"/>
      <c r="CI9483"/>
    </row>
    <row r="9484" spans="83:87" x14ac:dyDescent="0.2">
      <c r="CE9484"/>
      <c r="CF9484"/>
      <c r="CG9484"/>
      <c r="CH9484"/>
      <c r="CI9484"/>
    </row>
    <row r="9485" spans="83:87" x14ac:dyDescent="0.2">
      <c r="CE9485"/>
      <c r="CF9485"/>
      <c r="CG9485"/>
      <c r="CH9485"/>
      <c r="CI9485"/>
    </row>
    <row r="9486" spans="83:87" x14ac:dyDescent="0.2">
      <c r="CE9486"/>
      <c r="CF9486"/>
      <c r="CG9486"/>
      <c r="CH9486"/>
      <c r="CI9486"/>
    </row>
    <row r="9487" spans="83:87" x14ac:dyDescent="0.2">
      <c r="CE9487"/>
      <c r="CF9487"/>
      <c r="CG9487"/>
      <c r="CH9487"/>
      <c r="CI9487"/>
    </row>
    <row r="9488" spans="83:87" x14ac:dyDescent="0.2">
      <c r="CE9488"/>
      <c r="CF9488"/>
      <c r="CG9488"/>
      <c r="CH9488"/>
      <c r="CI9488"/>
    </row>
    <row r="9489" spans="83:87" x14ac:dyDescent="0.2">
      <c r="CE9489"/>
      <c r="CF9489"/>
      <c r="CG9489"/>
      <c r="CH9489"/>
      <c r="CI9489"/>
    </row>
    <row r="9490" spans="83:87" x14ac:dyDescent="0.2">
      <c r="CE9490"/>
      <c r="CF9490"/>
      <c r="CG9490"/>
      <c r="CH9490"/>
      <c r="CI9490"/>
    </row>
    <row r="9491" spans="83:87" x14ac:dyDescent="0.2">
      <c r="CE9491"/>
      <c r="CF9491"/>
      <c r="CG9491"/>
      <c r="CH9491"/>
      <c r="CI9491"/>
    </row>
    <row r="9492" spans="83:87" x14ac:dyDescent="0.2">
      <c r="CE9492"/>
      <c r="CF9492"/>
      <c r="CG9492"/>
      <c r="CH9492"/>
      <c r="CI9492"/>
    </row>
    <row r="9493" spans="83:87" x14ac:dyDescent="0.2">
      <c r="CE9493"/>
      <c r="CF9493"/>
      <c r="CG9493"/>
      <c r="CH9493"/>
      <c r="CI9493"/>
    </row>
    <row r="9494" spans="83:87" x14ac:dyDescent="0.2">
      <c r="CE9494"/>
      <c r="CF9494"/>
      <c r="CG9494"/>
      <c r="CH9494"/>
      <c r="CI9494"/>
    </row>
    <row r="9495" spans="83:87" x14ac:dyDescent="0.2">
      <c r="CE9495"/>
      <c r="CF9495"/>
      <c r="CG9495"/>
      <c r="CH9495"/>
      <c r="CI9495"/>
    </row>
    <row r="9496" spans="83:87" x14ac:dyDescent="0.2">
      <c r="CE9496"/>
      <c r="CF9496"/>
      <c r="CG9496"/>
      <c r="CH9496"/>
      <c r="CI9496"/>
    </row>
    <row r="9497" spans="83:87" x14ac:dyDescent="0.2">
      <c r="CE9497"/>
      <c r="CF9497"/>
      <c r="CG9497"/>
      <c r="CH9497"/>
      <c r="CI9497"/>
    </row>
    <row r="9498" spans="83:87" x14ac:dyDescent="0.2">
      <c r="CE9498"/>
      <c r="CF9498"/>
      <c r="CG9498"/>
      <c r="CH9498"/>
      <c r="CI9498"/>
    </row>
    <row r="9499" spans="83:87" x14ac:dyDescent="0.2">
      <c r="CE9499"/>
      <c r="CF9499"/>
      <c r="CG9499"/>
      <c r="CH9499"/>
      <c r="CI9499"/>
    </row>
    <row r="9500" spans="83:87" x14ac:dyDescent="0.2">
      <c r="CE9500"/>
      <c r="CF9500"/>
      <c r="CG9500"/>
      <c r="CH9500"/>
      <c r="CI9500"/>
    </row>
    <row r="9501" spans="83:87" x14ac:dyDescent="0.2">
      <c r="CE9501"/>
      <c r="CF9501"/>
      <c r="CG9501"/>
      <c r="CH9501"/>
      <c r="CI9501"/>
    </row>
    <row r="9502" spans="83:87" x14ac:dyDescent="0.2">
      <c r="CE9502"/>
      <c r="CF9502"/>
      <c r="CG9502"/>
      <c r="CH9502"/>
      <c r="CI9502"/>
    </row>
    <row r="9503" spans="83:87" x14ac:dyDescent="0.2">
      <c r="CE9503"/>
      <c r="CF9503"/>
      <c r="CG9503"/>
      <c r="CH9503"/>
      <c r="CI9503"/>
    </row>
    <row r="9504" spans="83:87" x14ac:dyDescent="0.2">
      <c r="CE9504"/>
      <c r="CF9504"/>
      <c r="CG9504"/>
      <c r="CH9504"/>
      <c r="CI9504"/>
    </row>
    <row r="9505" spans="83:87" x14ac:dyDescent="0.2">
      <c r="CE9505"/>
      <c r="CF9505"/>
      <c r="CG9505"/>
      <c r="CH9505"/>
      <c r="CI9505"/>
    </row>
    <row r="9506" spans="83:87" x14ac:dyDescent="0.2">
      <c r="CE9506"/>
      <c r="CF9506"/>
      <c r="CG9506"/>
      <c r="CH9506"/>
      <c r="CI9506"/>
    </row>
    <row r="9507" spans="83:87" x14ac:dyDescent="0.2">
      <c r="CE9507"/>
      <c r="CF9507"/>
      <c r="CG9507"/>
      <c r="CH9507"/>
      <c r="CI9507"/>
    </row>
    <row r="9508" spans="83:87" x14ac:dyDescent="0.2">
      <c r="CE9508"/>
      <c r="CF9508"/>
      <c r="CG9508"/>
      <c r="CH9508"/>
      <c r="CI9508"/>
    </row>
    <row r="9509" spans="83:87" x14ac:dyDescent="0.2">
      <c r="CE9509"/>
      <c r="CF9509"/>
      <c r="CG9509"/>
      <c r="CH9509"/>
      <c r="CI9509"/>
    </row>
    <row r="9510" spans="83:87" x14ac:dyDescent="0.2">
      <c r="CE9510"/>
      <c r="CF9510"/>
      <c r="CG9510"/>
      <c r="CH9510"/>
      <c r="CI9510"/>
    </row>
    <row r="9511" spans="83:87" x14ac:dyDescent="0.2">
      <c r="CE9511"/>
      <c r="CF9511"/>
      <c r="CG9511"/>
      <c r="CH9511"/>
      <c r="CI9511"/>
    </row>
    <row r="9512" spans="83:87" x14ac:dyDescent="0.2">
      <c r="CE9512"/>
      <c r="CF9512"/>
      <c r="CG9512"/>
      <c r="CH9512"/>
      <c r="CI9512"/>
    </row>
    <row r="9513" spans="83:87" x14ac:dyDescent="0.2">
      <c r="CE9513"/>
      <c r="CF9513"/>
      <c r="CG9513"/>
      <c r="CH9513"/>
      <c r="CI9513"/>
    </row>
    <row r="9514" spans="83:87" x14ac:dyDescent="0.2">
      <c r="CE9514"/>
      <c r="CF9514"/>
      <c r="CG9514"/>
      <c r="CH9514"/>
      <c r="CI9514"/>
    </row>
    <row r="9515" spans="83:87" x14ac:dyDescent="0.2">
      <c r="CE9515"/>
      <c r="CF9515"/>
      <c r="CG9515"/>
      <c r="CH9515"/>
      <c r="CI9515"/>
    </row>
    <row r="9516" spans="83:87" x14ac:dyDescent="0.2">
      <c r="CE9516"/>
      <c r="CF9516"/>
      <c r="CG9516"/>
      <c r="CH9516"/>
      <c r="CI9516"/>
    </row>
    <row r="9517" spans="83:87" x14ac:dyDescent="0.2">
      <c r="CE9517"/>
      <c r="CF9517"/>
      <c r="CG9517"/>
      <c r="CH9517"/>
      <c r="CI9517"/>
    </row>
    <row r="9518" spans="83:87" x14ac:dyDescent="0.2">
      <c r="CE9518"/>
      <c r="CF9518"/>
      <c r="CG9518"/>
      <c r="CH9518"/>
      <c r="CI9518"/>
    </row>
    <row r="9519" spans="83:87" x14ac:dyDescent="0.2">
      <c r="CE9519"/>
      <c r="CF9519"/>
      <c r="CG9519"/>
      <c r="CH9519"/>
      <c r="CI9519"/>
    </row>
    <row r="9520" spans="83:87" x14ac:dyDescent="0.2">
      <c r="CE9520"/>
      <c r="CF9520"/>
      <c r="CG9520"/>
      <c r="CH9520"/>
      <c r="CI9520"/>
    </row>
    <row r="9521" spans="83:87" x14ac:dyDescent="0.2">
      <c r="CE9521"/>
      <c r="CF9521"/>
      <c r="CG9521"/>
      <c r="CH9521"/>
      <c r="CI9521"/>
    </row>
    <row r="9522" spans="83:87" x14ac:dyDescent="0.2">
      <c r="CE9522"/>
      <c r="CF9522"/>
      <c r="CG9522"/>
      <c r="CH9522"/>
      <c r="CI9522"/>
    </row>
    <row r="9523" spans="83:87" x14ac:dyDescent="0.2">
      <c r="CE9523"/>
      <c r="CF9523"/>
      <c r="CG9523"/>
      <c r="CH9523"/>
      <c r="CI9523"/>
    </row>
    <row r="9524" spans="83:87" x14ac:dyDescent="0.2">
      <c r="CE9524"/>
      <c r="CF9524"/>
      <c r="CG9524"/>
      <c r="CH9524"/>
      <c r="CI9524"/>
    </row>
    <row r="9525" spans="83:87" x14ac:dyDescent="0.2">
      <c r="CE9525"/>
      <c r="CF9525"/>
      <c r="CG9525"/>
      <c r="CH9525"/>
      <c r="CI9525"/>
    </row>
    <row r="9526" spans="83:87" x14ac:dyDescent="0.2">
      <c r="CE9526"/>
      <c r="CF9526"/>
      <c r="CG9526"/>
      <c r="CH9526"/>
      <c r="CI9526"/>
    </row>
    <row r="9527" spans="83:87" x14ac:dyDescent="0.2">
      <c r="CE9527"/>
      <c r="CF9527"/>
      <c r="CG9527"/>
      <c r="CH9527"/>
      <c r="CI9527"/>
    </row>
    <row r="9528" spans="83:87" x14ac:dyDescent="0.2">
      <c r="CE9528"/>
      <c r="CF9528"/>
      <c r="CG9528"/>
      <c r="CH9528"/>
      <c r="CI9528"/>
    </row>
    <row r="9529" spans="83:87" x14ac:dyDescent="0.2">
      <c r="CE9529"/>
      <c r="CF9529"/>
      <c r="CG9529"/>
      <c r="CH9529"/>
      <c r="CI9529"/>
    </row>
    <row r="9530" spans="83:87" x14ac:dyDescent="0.2">
      <c r="CE9530"/>
      <c r="CF9530"/>
      <c r="CG9530"/>
      <c r="CH9530"/>
      <c r="CI9530"/>
    </row>
    <row r="9531" spans="83:87" x14ac:dyDescent="0.2">
      <c r="CE9531"/>
      <c r="CF9531"/>
      <c r="CG9531"/>
      <c r="CH9531"/>
      <c r="CI9531"/>
    </row>
    <row r="9532" spans="83:87" x14ac:dyDescent="0.2">
      <c r="CE9532"/>
      <c r="CF9532"/>
      <c r="CG9532"/>
      <c r="CH9532"/>
      <c r="CI9532"/>
    </row>
    <row r="9533" spans="83:87" x14ac:dyDescent="0.2">
      <c r="CE9533"/>
      <c r="CF9533"/>
      <c r="CG9533"/>
      <c r="CH9533"/>
      <c r="CI9533"/>
    </row>
    <row r="9534" spans="83:87" x14ac:dyDescent="0.2">
      <c r="CE9534"/>
      <c r="CF9534"/>
      <c r="CG9534"/>
      <c r="CH9534"/>
      <c r="CI9534"/>
    </row>
    <row r="9535" spans="83:87" x14ac:dyDescent="0.2">
      <c r="CE9535"/>
      <c r="CF9535"/>
      <c r="CG9535"/>
      <c r="CH9535"/>
      <c r="CI9535"/>
    </row>
    <row r="9536" spans="83:87" x14ac:dyDescent="0.2">
      <c r="CE9536"/>
      <c r="CF9536"/>
      <c r="CG9536"/>
      <c r="CH9536"/>
      <c r="CI9536"/>
    </row>
    <row r="9537" spans="83:87" x14ac:dyDescent="0.2">
      <c r="CE9537"/>
      <c r="CF9537"/>
      <c r="CG9537"/>
      <c r="CH9537"/>
      <c r="CI9537"/>
    </row>
    <row r="9538" spans="83:87" x14ac:dyDescent="0.2">
      <c r="CE9538"/>
      <c r="CF9538"/>
      <c r="CG9538"/>
      <c r="CH9538"/>
      <c r="CI9538"/>
    </row>
    <row r="9539" spans="83:87" x14ac:dyDescent="0.2">
      <c r="CE9539"/>
      <c r="CF9539"/>
      <c r="CG9539"/>
      <c r="CH9539"/>
      <c r="CI9539"/>
    </row>
    <row r="9540" spans="83:87" x14ac:dyDescent="0.2">
      <c r="CE9540"/>
      <c r="CF9540"/>
      <c r="CG9540"/>
      <c r="CH9540"/>
      <c r="CI9540"/>
    </row>
    <row r="9541" spans="83:87" x14ac:dyDescent="0.2">
      <c r="CE9541"/>
      <c r="CF9541"/>
      <c r="CG9541"/>
      <c r="CH9541"/>
      <c r="CI9541"/>
    </row>
    <row r="9542" spans="83:87" x14ac:dyDescent="0.2">
      <c r="CE9542"/>
      <c r="CF9542"/>
      <c r="CG9542"/>
      <c r="CH9542"/>
      <c r="CI9542"/>
    </row>
    <row r="9543" spans="83:87" x14ac:dyDescent="0.2">
      <c r="CE9543"/>
      <c r="CF9543"/>
      <c r="CG9543"/>
      <c r="CH9543"/>
      <c r="CI9543"/>
    </row>
    <row r="9544" spans="83:87" x14ac:dyDescent="0.2">
      <c r="CE9544"/>
      <c r="CF9544"/>
      <c r="CG9544"/>
      <c r="CH9544"/>
      <c r="CI9544"/>
    </row>
    <row r="9545" spans="83:87" x14ac:dyDescent="0.2">
      <c r="CE9545"/>
      <c r="CF9545"/>
      <c r="CG9545"/>
      <c r="CH9545"/>
      <c r="CI9545"/>
    </row>
    <row r="9546" spans="83:87" x14ac:dyDescent="0.2">
      <c r="CE9546"/>
      <c r="CF9546"/>
      <c r="CG9546"/>
      <c r="CH9546"/>
      <c r="CI9546"/>
    </row>
    <row r="9547" spans="83:87" x14ac:dyDescent="0.2">
      <c r="CE9547"/>
      <c r="CF9547"/>
      <c r="CG9547"/>
      <c r="CH9547"/>
      <c r="CI9547"/>
    </row>
    <row r="9548" spans="83:87" x14ac:dyDescent="0.2">
      <c r="CE9548"/>
      <c r="CF9548"/>
      <c r="CG9548"/>
      <c r="CH9548"/>
      <c r="CI9548"/>
    </row>
    <row r="9549" spans="83:87" x14ac:dyDescent="0.2">
      <c r="CE9549"/>
      <c r="CF9549"/>
      <c r="CG9549"/>
      <c r="CH9549"/>
      <c r="CI9549"/>
    </row>
    <row r="9550" spans="83:87" x14ac:dyDescent="0.2">
      <c r="CE9550"/>
      <c r="CF9550"/>
      <c r="CG9550"/>
      <c r="CH9550"/>
      <c r="CI9550"/>
    </row>
    <row r="9551" spans="83:87" x14ac:dyDescent="0.2">
      <c r="CE9551"/>
      <c r="CF9551"/>
      <c r="CG9551"/>
      <c r="CH9551"/>
      <c r="CI9551"/>
    </row>
    <row r="9552" spans="83:87" x14ac:dyDescent="0.2">
      <c r="CE9552"/>
      <c r="CF9552"/>
      <c r="CG9552"/>
      <c r="CH9552"/>
      <c r="CI9552"/>
    </row>
    <row r="9553" spans="83:87" x14ac:dyDescent="0.2">
      <c r="CE9553"/>
      <c r="CF9553"/>
      <c r="CG9553"/>
      <c r="CH9553"/>
      <c r="CI9553"/>
    </row>
    <row r="9554" spans="83:87" x14ac:dyDescent="0.2">
      <c r="CE9554"/>
      <c r="CF9554"/>
      <c r="CG9554"/>
      <c r="CH9554"/>
      <c r="CI9554"/>
    </row>
    <row r="9555" spans="83:87" x14ac:dyDescent="0.2">
      <c r="CE9555"/>
      <c r="CF9555"/>
      <c r="CG9555"/>
      <c r="CH9555"/>
      <c r="CI9555"/>
    </row>
    <row r="9556" spans="83:87" x14ac:dyDescent="0.2">
      <c r="CE9556"/>
      <c r="CF9556"/>
      <c r="CG9556"/>
      <c r="CH9556"/>
      <c r="CI9556"/>
    </row>
    <row r="9557" spans="83:87" x14ac:dyDescent="0.2">
      <c r="CE9557"/>
      <c r="CF9557"/>
      <c r="CG9557"/>
      <c r="CH9557"/>
      <c r="CI9557"/>
    </row>
    <row r="9558" spans="83:87" x14ac:dyDescent="0.2">
      <c r="CE9558"/>
      <c r="CF9558"/>
      <c r="CG9558"/>
      <c r="CH9558"/>
      <c r="CI9558"/>
    </row>
    <row r="9559" spans="83:87" x14ac:dyDescent="0.2">
      <c r="CE9559"/>
      <c r="CF9559"/>
      <c r="CG9559"/>
      <c r="CH9559"/>
      <c r="CI9559"/>
    </row>
    <row r="9560" spans="83:87" x14ac:dyDescent="0.2">
      <c r="CE9560"/>
      <c r="CF9560"/>
      <c r="CG9560"/>
      <c r="CH9560"/>
      <c r="CI9560"/>
    </row>
    <row r="9561" spans="83:87" x14ac:dyDescent="0.2">
      <c r="CE9561"/>
      <c r="CF9561"/>
      <c r="CG9561"/>
      <c r="CH9561"/>
      <c r="CI9561"/>
    </row>
    <row r="9562" spans="83:87" x14ac:dyDescent="0.2">
      <c r="CE9562"/>
      <c r="CF9562"/>
      <c r="CG9562"/>
      <c r="CH9562"/>
      <c r="CI9562"/>
    </row>
    <row r="9563" spans="83:87" x14ac:dyDescent="0.2">
      <c r="CE9563"/>
      <c r="CF9563"/>
      <c r="CG9563"/>
      <c r="CH9563"/>
      <c r="CI9563"/>
    </row>
    <row r="9564" spans="83:87" x14ac:dyDescent="0.2">
      <c r="CE9564"/>
      <c r="CF9564"/>
      <c r="CG9564"/>
      <c r="CH9564"/>
      <c r="CI9564"/>
    </row>
    <row r="9565" spans="83:87" x14ac:dyDescent="0.2">
      <c r="CE9565"/>
      <c r="CF9565"/>
      <c r="CG9565"/>
      <c r="CH9565"/>
      <c r="CI9565"/>
    </row>
    <row r="9566" spans="83:87" x14ac:dyDescent="0.2">
      <c r="CE9566"/>
      <c r="CF9566"/>
      <c r="CG9566"/>
      <c r="CH9566"/>
      <c r="CI9566"/>
    </row>
    <row r="9567" spans="83:87" x14ac:dyDescent="0.2">
      <c r="CE9567"/>
      <c r="CF9567"/>
      <c r="CG9567"/>
      <c r="CH9567"/>
      <c r="CI9567"/>
    </row>
    <row r="9568" spans="83:87" x14ac:dyDescent="0.2">
      <c r="CE9568"/>
      <c r="CF9568"/>
      <c r="CG9568"/>
      <c r="CH9568"/>
      <c r="CI9568"/>
    </row>
    <row r="9569" spans="83:87" x14ac:dyDescent="0.2">
      <c r="CE9569"/>
      <c r="CF9569"/>
      <c r="CG9569"/>
      <c r="CH9569"/>
      <c r="CI9569"/>
    </row>
    <row r="9570" spans="83:87" x14ac:dyDescent="0.2">
      <c r="CE9570"/>
      <c r="CF9570"/>
      <c r="CG9570"/>
      <c r="CH9570"/>
      <c r="CI9570"/>
    </row>
    <row r="9571" spans="83:87" x14ac:dyDescent="0.2">
      <c r="CE9571"/>
      <c r="CF9571"/>
      <c r="CG9571"/>
      <c r="CH9571"/>
      <c r="CI9571"/>
    </row>
    <row r="9572" spans="83:87" x14ac:dyDescent="0.2">
      <c r="CE9572"/>
      <c r="CF9572"/>
      <c r="CG9572"/>
      <c r="CH9572"/>
      <c r="CI9572"/>
    </row>
    <row r="9573" spans="83:87" x14ac:dyDescent="0.2">
      <c r="CE9573"/>
      <c r="CF9573"/>
      <c r="CG9573"/>
      <c r="CH9573"/>
      <c r="CI9573"/>
    </row>
    <row r="9574" spans="83:87" x14ac:dyDescent="0.2">
      <c r="CE9574"/>
      <c r="CF9574"/>
      <c r="CG9574"/>
      <c r="CH9574"/>
      <c r="CI9574"/>
    </row>
    <row r="9575" spans="83:87" x14ac:dyDescent="0.2">
      <c r="CE9575"/>
      <c r="CF9575"/>
      <c r="CG9575"/>
      <c r="CH9575"/>
      <c r="CI9575"/>
    </row>
    <row r="9576" spans="83:87" x14ac:dyDescent="0.2">
      <c r="CE9576"/>
      <c r="CF9576"/>
      <c r="CG9576"/>
      <c r="CH9576"/>
      <c r="CI9576"/>
    </row>
    <row r="9577" spans="83:87" x14ac:dyDescent="0.2">
      <c r="CE9577"/>
      <c r="CF9577"/>
      <c r="CG9577"/>
      <c r="CH9577"/>
      <c r="CI9577"/>
    </row>
    <row r="9578" spans="83:87" x14ac:dyDescent="0.2">
      <c r="CE9578"/>
      <c r="CF9578"/>
      <c r="CG9578"/>
      <c r="CH9578"/>
      <c r="CI9578"/>
    </row>
    <row r="9579" spans="83:87" x14ac:dyDescent="0.2">
      <c r="CE9579"/>
      <c r="CF9579"/>
      <c r="CG9579"/>
      <c r="CH9579"/>
      <c r="CI9579"/>
    </row>
    <row r="9580" spans="83:87" x14ac:dyDescent="0.2">
      <c r="CE9580"/>
      <c r="CF9580"/>
      <c r="CG9580"/>
      <c r="CH9580"/>
      <c r="CI9580"/>
    </row>
    <row r="9581" spans="83:87" x14ac:dyDescent="0.2">
      <c r="CE9581"/>
      <c r="CF9581"/>
      <c r="CG9581"/>
      <c r="CH9581"/>
      <c r="CI9581"/>
    </row>
    <row r="9582" spans="83:87" x14ac:dyDescent="0.2">
      <c r="CE9582"/>
      <c r="CF9582"/>
      <c r="CG9582"/>
      <c r="CH9582"/>
      <c r="CI9582"/>
    </row>
    <row r="9583" spans="83:87" x14ac:dyDescent="0.2">
      <c r="CE9583"/>
      <c r="CF9583"/>
      <c r="CG9583"/>
      <c r="CH9583"/>
      <c r="CI9583"/>
    </row>
    <row r="9584" spans="83:87" x14ac:dyDescent="0.2">
      <c r="CE9584"/>
      <c r="CF9584"/>
      <c r="CG9584"/>
      <c r="CH9584"/>
      <c r="CI9584"/>
    </row>
    <row r="9585" spans="83:87" x14ac:dyDescent="0.2">
      <c r="CE9585"/>
      <c r="CF9585"/>
      <c r="CG9585"/>
      <c r="CH9585"/>
      <c r="CI9585"/>
    </row>
    <row r="9586" spans="83:87" x14ac:dyDescent="0.2">
      <c r="CE9586"/>
      <c r="CF9586"/>
      <c r="CG9586"/>
      <c r="CH9586"/>
      <c r="CI9586"/>
    </row>
    <row r="9587" spans="83:87" x14ac:dyDescent="0.2">
      <c r="CE9587"/>
      <c r="CF9587"/>
      <c r="CG9587"/>
      <c r="CH9587"/>
      <c r="CI9587"/>
    </row>
    <row r="9588" spans="83:87" x14ac:dyDescent="0.2">
      <c r="CE9588"/>
      <c r="CF9588"/>
      <c r="CG9588"/>
      <c r="CH9588"/>
      <c r="CI9588"/>
    </row>
    <row r="9589" spans="83:87" x14ac:dyDescent="0.2">
      <c r="CE9589"/>
      <c r="CF9589"/>
      <c r="CG9589"/>
      <c r="CH9589"/>
      <c r="CI9589"/>
    </row>
    <row r="9590" spans="83:87" x14ac:dyDescent="0.2">
      <c r="CE9590"/>
      <c r="CF9590"/>
      <c r="CG9590"/>
      <c r="CH9590"/>
      <c r="CI9590"/>
    </row>
    <row r="9591" spans="83:87" x14ac:dyDescent="0.2">
      <c r="CE9591"/>
      <c r="CF9591"/>
      <c r="CG9591"/>
      <c r="CH9591"/>
      <c r="CI9591"/>
    </row>
    <row r="9592" spans="83:87" x14ac:dyDescent="0.2">
      <c r="CE9592"/>
      <c r="CF9592"/>
      <c r="CG9592"/>
      <c r="CH9592"/>
      <c r="CI9592"/>
    </row>
    <row r="9593" spans="83:87" x14ac:dyDescent="0.2">
      <c r="CE9593"/>
      <c r="CF9593"/>
      <c r="CG9593"/>
      <c r="CH9593"/>
      <c r="CI9593"/>
    </row>
    <row r="9594" spans="83:87" x14ac:dyDescent="0.2">
      <c r="CE9594"/>
      <c r="CF9594"/>
      <c r="CG9594"/>
      <c r="CH9594"/>
      <c r="CI9594"/>
    </row>
    <row r="9595" spans="83:87" x14ac:dyDescent="0.2">
      <c r="CE9595"/>
      <c r="CF9595"/>
      <c r="CG9595"/>
      <c r="CH9595"/>
      <c r="CI9595"/>
    </row>
    <row r="9596" spans="83:87" x14ac:dyDescent="0.2">
      <c r="CE9596"/>
      <c r="CF9596"/>
      <c r="CG9596"/>
      <c r="CH9596"/>
      <c r="CI9596"/>
    </row>
    <row r="9597" spans="83:87" x14ac:dyDescent="0.2">
      <c r="CE9597"/>
      <c r="CF9597"/>
      <c r="CG9597"/>
      <c r="CH9597"/>
      <c r="CI9597"/>
    </row>
    <row r="9598" spans="83:87" x14ac:dyDescent="0.2">
      <c r="CE9598"/>
      <c r="CF9598"/>
      <c r="CG9598"/>
      <c r="CH9598"/>
      <c r="CI9598"/>
    </row>
    <row r="9599" spans="83:87" x14ac:dyDescent="0.2">
      <c r="CE9599"/>
      <c r="CF9599"/>
      <c r="CG9599"/>
      <c r="CH9599"/>
      <c r="CI9599"/>
    </row>
    <row r="9600" spans="83:87" x14ac:dyDescent="0.2">
      <c r="CE9600"/>
      <c r="CF9600"/>
      <c r="CG9600"/>
      <c r="CH9600"/>
      <c r="CI9600"/>
    </row>
    <row r="9601" spans="83:87" x14ac:dyDescent="0.2">
      <c r="CE9601"/>
      <c r="CF9601"/>
      <c r="CG9601"/>
      <c r="CH9601"/>
      <c r="CI9601"/>
    </row>
    <row r="9602" spans="83:87" x14ac:dyDescent="0.2">
      <c r="CE9602"/>
      <c r="CF9602"/>
      <c r="CG9602"/>
      <c r="CH9602"/>
      <c r="CI9602"/>
    </row>
    <row r="9603" spans="83:87" x14ac:dyDescent="0.2">
      <c r="CE9603"/>
      <c r="CF9603"/>
      <c r="CG9603"/>
      <c r="CH9603"/>
      <c r="CI9603"/>
    </row>
    <row r="9604" spans="83:87" x14ac:dyDescent="0.2">
      <c r="CE9604"/>
      <c r="CF9604"/>
      <c r="CG9604"/>
      <c r="CH9604"/>
      <c r="CI9604"/>
    </row>
    <row r="9605" spans="83:87" x14ac:dyDescent="0.2">
      <c r="CE9605"/>
      <c r="CF9605"/>
      <c r="CG9605"/>
      <c r="CH9605"/>
      <c r="CI9605"/>
    </row>
    <row r="9606" spans="83:87" x14ac:dyDescent="0.2">
      <c r="CE9606"/>
      <c r="CF9606"/>
      <c r="CG9606"/>
      <c r="CH9606"/>
      <c r="CI9606"/>
    </row>
    <row r="9607" spans="83:87" x14ac:dyDescent="0.2">
      <c r="CE9607"/>
      <c r="CF9607"/>
      <c r="CG9607"/>
      <c r="CH9607"/>
      <c r="CI9607"/>
    </row>
    <row r="9608" spans="83:87" x14ac:dyDescent="0.2">
      <c r="CE9608"/>
      <c r="CF9608"/>
      <c r="CG9608"/>
      <c r="CH9608"/>
      <c r="CI9608"/>
    </row>
    <row r="9609" spans="83:87" x14ac:dyDescent="0.2">
      <c r="CE9609"/>
      <c r="CF9609"/>
      <c r="CG9609"/>
      <c r="CH9609"/>
      <c r="CI9609"/>
    </row>
    <row r="9610" spans="83:87" x14ac:dyDescent="0.2">
      <c r="CE9610"/>
      <c r="CF9610"/>
      <c r="CG9610"/>
      <c r="CH9610"/>
      <c r="CI9610"/>
    </row>
    <row r="9611" spans="83:87" x14ac:dyDescent="0.2">
      <c r="CE9611"/>
      <c r="CF9611"/>
      <c r="CG9611"/>
      <c r="CH9611"/>
      <c r="CI9611"/>
    </row>
    <row r="9612" spans="83:87" x14ac:dyDescent="0.2">
      <c r="CE9612"/>
      <c r="CF9612"/>
      <c r="CG9612"/>
      <c r="CH9612"/>
      <c r="CI9612"/>
    </row>
    <row r="9613" spans="83:87" x14ac:dyDescent="0.2">
      <c r="CE9613"/>
      <c r="CF9613"/>
      <c r="CG9613"/>
      <c r="CH9613"/>
      <c r="CI9613"/>
    </row>
    <row r="9614" spans="83:87" x14ac:dyDescent="0.2">
      <c r="CE9614"/>
      <c r="CF9614"/>
      <c r="CG9614"/>
      <c r="CH9614"/>
      <c r="CI9614"/>
    </row>
    <row r="9615" spans="83:87" x14ac:dyDescent="0.2">
      <c r="CE9615"/>
      <c r="CF9615"/>
      <c r="CG9615"/>
      <c r="CH9615"/>
      <c r="CI9615"/>
    </row>
    <row r="9616" spans="83:87" x14ac:dyDescent="0.2">
      <c r="CE9616"/>
      <c r="CF9616"/>
      <c r="CG9616"/>
      <c r="CH9616"/>
      <c r="CI9616"/>
    </row>
    <row r="9617" spans="83:87" x14ac:dyDescent="0.2">
      <c r="CE9617"/>
      <c r="CF9617"/>
      <c r="CG9617"/>
      <c r="CH9617"/>
      <c r="CI9617"/>
    </row>
    <row r="9618" spans="83:87" x14ac:dyDescent="0.2">
      <c r="CE9618"/>
      <c r="CF9618"/>
      <c r="CG9618"/>
      <c r="CH9618"/>
      <c r="CI9618"/>
    </row>
    <row r="9619" spans="83:87" x14ac:dyDescent="0.2">
      <c r="CE9619"/>
      <c r="CF9619"/>
      <c r="CG9619"/>
      <c r="CH9619"/>
      <c r="CI9619"/>
    </row>
    <row r="9620" spans="83:87" x14ac:dyDescent="0.2">
      <c r="CE9620"/>
      <c r="CF9620"/>
      <c r="CG9620"/>
      <c r="CH9620"/>
      <c r="CI9620"/>
    </row>
    <row r="9621" spans="83:87" x14ac:dyDescent="0.2">
      <c r="CE9621"/>
      <c r="CF9621"/>
      <c r="CG9621"/>
      <c r="CH9621"/>
      <c r="CI9621"/>
    </row>
    <row r="9622" spans="83:87" x14ac:dyDescent="0.2">
      <c r="CE9622"/>
      <c r="CF9622"/>
      <c r="CG9622"/>
      <c r="CH9622"/>
      <c r="CI9622"/>
    </row>
    <row r="9623" spans="83:87" x14ac:dyDescent="0.2">
      <c r="CE9623"/>
      <c r="CF9623"/>
      <c r="CG9623"/>
      <c r="CH9623"/>
      <c r="CI9623"/>
    </row>
    <row r="9624" spans="83:87" x14ac:dyDescent="0.2">
      <c r="CE9624"/>
      <c r="CF9624"/>
      <c r="CG9624"/>
      <c r="CH9624"/>
      <c r="CI9624"/>
    </row>
    <row r="9625" spans="83:87" x14ac:dyDescent="0.2">
      <c r="CE9625"/>
      <c r="CF9625"/>
      <c r="CG9625"/>
      <c r="CH9625"/>
      <c r="CI9625"/>
    </row>
    <row r="9626" spans="83:87" x14ac:dyDescent="0.2">
      <c r="CE9626"/>
      <c r="CF9626"/>
      <c r="CG9626"/>
      <c r="CH9626"/>
      <c r="CI9626"/>
    </row>
    <row r="9627" spans="83:87" x14ac:dyDescent="0.2">
      <c r="CE9627"/>
      <c r="CF9627"/>
      <c r="CG9627"/>
      <c r="CH9627"/>
      <c r="CI9627"/>
    </row>
    <row r="9628" spans="83:87" x14ac:dyDescent="0.2">
      <c r="CE9628"/>
      <c r="CF9628"/>
      <c r="CG9628"/>
      <c r="CH9628"/>
      <c r="CI9628"/>
    </row>
    <row r="9629" spans="83:87" x14ac:dyDescent="0.2">
      <c r="CE9629"/>
      <c r="CF9629"/>
      <c r="CG9629"/>
      <c r="CH9629"/>
      <c r="CI9629"/>
    </row>
    <row r="9630" spans="83:87" x14ac:dyDescent="0.2">
      <c r="CE9630"/>
      <c r="CF9630"/>
      <c r="CG9630"/>
      <c r="CH9630"/>
      <c r="CI9630"/>
    </row>
    <row r="9631" spans="83:87" x14ac:dyDescent="0.2">
      <c r="CE9631"/>
      <c r="CF9631"/>
      <c r="CG9631"/>
      <c r="CH9631"/>
      <c r="CI9631"/>
    </row>
    <row r="9632" spans="83:87" x14ac:dyDescent="0.2">
      <c r="CE9632"/>
      <c r="CF9632"/>
      <c r="CG9632"/>
      <c r="CH9632"/>
      <c r="CI9632"/>
    </row>
    <row r="9633" spans="83:87" x14ac:dyDescent="0.2">
      <c r="CE9633"/>
      <c r="CF9633"/>
      <c r="CG9633"/>
      <c r="CH9633"/>
      <c r="CI9633"/>
    </row>
    <row r="9634" spans="83:87" x14ac:dyDescent="0.2">
      <c r="CE9634"/>
      <c r="CF9634"/>
      <c r="CG9634"/>
      <c r="CH9634"/>
      <c r="CI9634"/>
    </row>
    <row r="9635" spans="83:87" x14ac:dyDescent="0.2">
      <c r="CE9635"/>
      <c r="CF9635"/>
      <c r="CG9635"/>
      <c r="CH9635"/>
      <c r="CI9635"/>
    </row>
    <row r="9636" spans="83:87" x14ac:dyDescent="0.2">
      <c r="CE9636"/>
      <c r="CF9636"/>
      <c r="CG9636"/>
      <c r="CH9636"/>
      <c r="CI9636"/>
    </row>
    <row r="9637" spans="83:87" x14ac:dyDescent="0.2">
      <c r="CE9637"/>
      <c r="CF9637"/>
      <c r="CG9637"/>
      <c r="CH9637"/>
      <c r="CI9637"/>
    </row>
    <row r="9638" spans="83:87" x14ac:dyDescent="0.2">
      <c r="CE9638"/>
      <c r="CF9638"/>
      <c r="CG9638"/>
      <c r="CH9638"/>
      <c r="CI9638"/>
    </row>
    <row r="9639" spans="83:87" x14ac:dyDescent="0.2">
      <c r="CE9639"/>
      <c r="CF9639"/>
      <c r="CG9639"/>
      <c r="CH9639"/>
      <c r="CI9639"/>
    </row>
    <row r="9640" spans="83:87" x14ac:dyDescent="0.2">
      <c r="CE9640"/>
      <c r="CF9640"/>
      <c r="CG9640"/>
      <c r="CH9640"/>
      <c r="CI9640"/>
    </row>
    <row r="9641" spans="83:87" x14ac:dyDescent="0.2">
      <c r="CE9641"/>
      <c r="CF9641"/>
      <c r="CG9641"/>
      <c r="CH9641"/>
      <c r="CI9641"/>
    </row>
    <row r="9642" spans="83:87" x14ac:dyDescent="0.2">
      <c r="CE9642"/>
      <c r="CF9642"/>
      <c r="CG9642"/>
      <c r="CH9642"/>
      <c r="CI9642"/>
    </row>
    <row r="9643" spans="83:87" x14ac:dyDescent="0.2">
      <c r="CE9643"/>
      <c r="CF9643"/>
      <c r="CG9643"/>
      <c r="CH9643"/>
      <c r="CI9643"/>
    </row>
    <row r="9644" spans="83:87" x14ac:dyDescent="0.2">
      <c r="CE9644"/>
      <c r="CF9644"/>
      <c r="CG9644"/>
      <c r="CH9644"/>
      <c r="CI9644"/>
    </row>
    <row r="9645" spans="83:87" x14ac:dyDescent="0.2">
      <c r="CE9645"/>
      <c r="CF9645"/>
      <c r="CG9645"/>
      <c r="CH9645"/>
      <c r="CI9645"/>
    </row>
    <row r="9646" spans="83:87" x14ac:dyDescent="0.2">
      <c r="CE9646"/>
      <c r="CF9646"/>
      <c r="CG9646"/>
      <c r="CH9646"/>
      <c r="CI9646"/>
    </row>
    <row r="9647" spans="83:87" x14ac:dyDescent="0.2">
      <c r="CE9647"/>
      <c r="CF9647"/>
      <c r="CG9647"/>
      <c r="CH9647"/>
      <c r="CI9647"/>
    </row>
    <row r="9648" spans="83:87" x14ac:dyDescent="0.2">
      <c r="CE9648"/>
      <c r="CF9648"/>
      <c r="CG9648"/>
      <c r="CH9648"/>
      <c r="CI9648"/>
    </row>
    <row r="9649" spans="83:87" x14ac:dyDescent="0.2">
      <c r="CE9649"/>
      <c r="CF9649"/>
      <c r="CG9649"/>
      <c r="CH9649"/>
      <c r="CI9649"/>
    </row>
    <row r="9650" spans="83:87" x14ac:dyDescent="0.2">
      <c r="CE9650"/>
      <c r="CF9650"/>
      <c r="CG9650"/>
      <c r="CH9650"/>
      <c r="CI9650"/>
    </row>
    <row r="9651" spans="83:87" x14ac:dyDescent="0.2">
      <c r="CE9651"/>
      <c r="CF9651"/>
      <c r="CG9651"/>
      <c r="CH9651"/>
      <c r="CI9651"/>
    </row>
    <row r="9652" spans="83:87" x14ac:dyDescent="0.2">
      <c r="CE9652"/>
      <c r="CF9652"/>
      <c r="CG9652"/>
      <c r="CH9652"/>
      <c r="CI9652"/>
    </row>
    <row r="9653" spans="83:87" x14ac:dyDescent="0.2">
      <c r="CE9653"/>
      <c r="CF9653"/>
      <c r="CG9653"/>
      <c r="CH9653"/>
      <c r="CI9653"/>
    </row>
    <row r="9654" spans="83:87" x14ac:dyDescent="0.2">
      <c r="CE9654"/>
      <c r="CF9654"/>
      <c r="CG9654"/>
      <c r="CH9654"/>
      <c r="CI9654"/>
    </row>
    <row r="9655" spans="83:87" x14ac:dyDescent="0.2">
      <c r="CE9655"/>
      <c r="CF9655"/>
      <c r="CG9655"/>
      <c r="CH9655"/>
      <c r="CI9655"/>
    </row>
    <row r="9656" spans="83:87" x14ac:dyDescent="0.2">
      <c r="CE9656"/>
      <c r="CF9656"/>
      <c r="CG9656"/>
      <c r="CH9656"/>
      <c r="CI9656"/>
    </row>
    <row r="9657" spans="83:87" x14ac:dyDescent="0.2">
      <c r="CE9657"/>
      <c r="CF9657"/>
      <c r="CG9657"/>
      <c r="CH9657"/>
      <c r="CI9657"/>
    </row>
    <row r="9658" spans="83:87" x14ac:dyDescent="0.2">
      <c r="CE9658"/>
      <c r="CF9658"/>
      <c r="CG9658"/>
      <c r="CH9658"/>
      <c r="CI9658"/>
    </row>
    <row r="9659" spans="83:87" x14ac:dyDescent="0.2">
      <c r="CE9659"/>
      <c r="CF9659"/>
      <c r="CG9659"/>
      <c r="CH9659"/>
      <c r="CI9659"/>
    </row>
    <row r="9660" spans="83:87" x14ac:dyDescent="0.2">
      <c r="CE9660"/>
      <c r="CF9660"/>
      <c r="CG9660"/>
      <c r="CH9660"/>
      <c r="CI9660"/>
    </row>
    <row r="9661" spans="83:87" x14ac:dyDescent="0.2">
      <c r="CE9661"/>
      <c r="CF9661"/>
      <c r="CG9661"/>
      <c r="CH9661"/>
      <c r="CI9661"/>
    </row>
    <row r="9662" spans="83:87" x14ac:dyDescent="0.2">
      <c r="CE9662"/>
      <c r="CF9662"/>
      <c r="CG9662"/>
      <c r="CH9662"/>
      <c r="CI9662"/>
    </row>
    <row r="9663" spans="83:87" x14ac:dyDescent="0.2">
      <c r="CE9663"/>
      <c r="CF9663"/>
      <c r="CG9663"/>
      <c r="CH9663"/>
      <c r="CI9663"/>
    </row>
    <row r="9664" spans="83:87" x14ac:dyDescent="0.2">
      <c r="CE9664"/>
      <c r="CF9664"/>
      <c r="CG9664"/>
      <c r="CH9664"/>
      <c r="CI9664"/>
    </row>
    <row r="9665" spans="83:87" x14ac:dyDescent="0.2">
      <c r="CE9665"/>
      <c r="CF9665"/>
      <c r="CG9665"/>
      <c r="CH9665"/>
      <c r="CI9665"/>
    </row>
    <row r="9666" spans="83:87" x14ac:dyDescent="0.2">
      <c r="CE9666"/>
      <c r="CF9666"/>
      <c r="CG9666"/>
      <c r="CH9666"/>
      <c r="CI9666"/>
    </row>
    <row r="9667" spans="83:87" x14ac:dyDescent="0.2">
      <c r="CE9667"/>
      <c r="CF9667"/>
      <c r="CG9667"/>
      <c r="CH9667"/>
      <c r="CI9667"/>
    </row>
    <row r="9668" spans="83:87" x14ac:dyDescent="0.2">
      <c r="CE9668"/>
      <c r="CF9668"/>
      <c r="CG9668"/>
      <c r="CH9668"/>
      <c r="CI9668"/>
    </row>
    <row r="9669" spans="83:87" x14ac:dyDescent="0.2">
      <c r="CE9669"/>
      <c r="CF9669"/>
      <c r="CG9669"/>
      <c r="CH9669"/>
      <c r="CI9669"/>
    </row>
    <row r="9670" spans="83:87" x14ac:dyDescent="0.2">
      <c r="CE9670"/>
      <c r="CF9670"/>
      <c r="CG9670"/>
      <c r="CH9670"/>
      <c r="CI9670"/>
    </row>
    <row r="9671" spans="83:87" x14ac:dyDescent="0.2">
      <c r="CE9671"/>
      <c r="CF9671"/>
      <c r="CG9671"/>
      <c r="CH9671"/>
      <c r="CI9671"/>
    </row>
    <row r="9672" spans="83:87" x14ac:dyDescent="0.2">
      <c r="CE9672"/>
      <c r="CF9672"/>
      <c r="CG9672"/>
      <c r="CH9672"/>
      <c r="CI9672"/>
    </row>
    <row r="9673" spans="83:87" x14ac:dyDescent="0.2">
      <c r="CE9673"/>
      <c r="CF9673"/>
      <c r="CG9673"/>
      <c r="CH9673"/>
      <c r="CI9673"/>
    </row>
    <row r="9674" spans="83:87" x14ac:dyDescent="0.2">
      <c r="CE9674"/>
      <c r="CF9674"/>
      <c r="CG9674"/>
      <c r="CH9674"/>
      <c r="CI9674"/>
    </row>
    <row r="9675" spans="83:87" x14ac:dyDescent="0.2">
      <c r="CE9675"/>
      <c r="CF9675"/>
      <c r="CG9675"/>
      <c r="CH9675"/>
      <c r="CI9675"/>
    </row>
    <row r="9676" spans="83:87" x14ac:dyDescent="0.2">
      <c r="CE9676"/>
      <c r="CF9676"/>
      <c r="CG9676"/>
      <c r="CH9676"/>
      <c r="CI9676"/>
    </row>
    <row r="9677" spans="83:87" x14ac:dyDescent="0.2">
      <c r="CE9677"/>
      <c r="CF9677"/>
      <c r="CG9677"/>
      <c r="CH9677"/>
      <c r="CI9677"/>
    </row>
    <row r="9678" spans="83:87" x14ac:dyDescent="0.2">
      <c r="CE9678"/>
      <c r="CF9678"/>
      <c r="CG9678"/>
      <c r="CH9678"/>
      <c r="CI9678"/>
    </row>
    <row r="9679" spans="83:87" x14ac:dyDescent="0.2">
      <c r="CE9679"/>
      <c r="CF9679"/>
      <c r="CG9679"/>
      <c r="CH9679"/>
      <c r="CI9679"/>
    </row>
    <row r="9680" spans="83:87" x14ac:dyDescent="0.2">
      <c r="CE9680"/>
      <c r="CF9680"/>
      <c r="CG9680"/>
      <c r="CH9680"/>
      <c r="CI9680"/>
    </row>
    <row r="9681" spans="83:87" x14ac:dyDescent="0.2">
      <c r="CE9681"/>
      <c r="CF9681"/>
      <c r="CG9681"/>
      <c r="CH9681"/>
      <c r="CI9681"/>
    </row>
    <row r="9682" spans="83:87" x14ac:dyDescent="0.2">
      <c r="CE9682"/>
      <c r="CF9682"/>
      <c r="CG9682"/>
      <c r="CH9682"/>
      <c r="CI9682"/>
    </row>
    <row r="9683" spans="83:87" x14ac:dyDescent="0.2">
      <c r="CE9683"/>
      <c r="CF9683"/>
      <c r="CG9683"/>
      <c r="CH9683"/>
      <c r="CI9683"/>
    </row>
    <row r="9684" spans="83:87" x14ac:dyDescent="0.2">
      <c r="CE9684"/>
      <c r="CF9684"/>
      <c r="CG9684"/>
      <c r="CH9684"/>
      <c r="CI9684"/>
    </row>
    <row r="9685" spans="83:87" x14ac:dyDescent="0.2">
      <c r="CE9685"/>
      <c r="CF9685"/>
      <c r="CG9685"/>
      <c r="CH9685"/>
      <c r="CI9685"/>
    </row>
    <row r="9686" spans="83:87" x14ac:dyDescent="0.2">
      <c r="CE9686"/>
      <c r="CF9686"/>
      <c r="CG9686"/>
      <c r="CH9686"/>
      <c r="CI9686"/>
    </row>
    <row r="9687" spans="83:87" x14ac:dyDescent="0.2">
      <c r="CE9687"/>
      <c r="CF9687"/>
      <c r="CG9687"/>
      <c r="CH9687"/>
      <c r="CI9687"/>
    </row>
    <row r="9688" spans="83:87" x14ac:dyDescent="0.2">
      <c r="CE9688"/>
      <c r="CF9688"/>
      <c r="CG9688"/>
      <c r="CH9688"/>
      <c r="CI9688"/>
    </row>
    <row r="9689" spans="83:87" x14ac:dyDescent="0.2">
      <c r="CE9689"/>
      <c r="CF9689"/>
      <c r="CG9689"/>
      <c r="CH9689"/>
      <c r="CI9689"/>
    </row>
    <row r="9690" spans="83:87" x14ac:dyDescent="0.2">
      <c r="CE9690"/>
      <c r="CF9690"/>
      <c r="CG9690"/>
      <c r="CH9690"/>
      <c r="CI9690"/>
    </row>
    <row r="9691" spans="83:87" x14ac:dyDescent="0.2">
      <c r="CE9691"/>
      <c r="CF9691"/>
      <c r="CG9691"/>
      <c r="CH9691"/>
      <c r="CI9691"/>
    </row>
    <row r="9692" spans="83:87" x14ac:dyDescent="0.2">
      <c r="CE9692"/>
      <c r="CF9692"/>
      <c r="CG9692"/>
      <c r="CH9692"/>
      <c r="CI9692"/>
    </row>
    <row r="9693" spans="83:87" x14ac:dyDescent="0.2">
      <c r="CE9693"/>
      <c r="CF9693"/>
      <c r="CG9693"/>
      <c r="CH9693"/>
      <c r="CI9693"/>
    </row>
    <row r="9694" spans="83:87" x14ac:dyDescent="0.2">
      <c r="CE9694"/>
      <c r="CF9694"/>
      <c r="CG9694"/>
      <c r="CH9694"/>
      <c r="CI9694"/>
    </row>
    <row r="9695" spans="83:87" x14ac:dyDescent="0.2">
      <c r="CE9695"/>
      <c r="CF9695"/>
      <c r="CG9695"/>
      <c r="CH9695"/>
      <c r="CI9695"/>
    </row>
    <row r="9696" spans="83:87" x14ac:dyDescent="0.2">
      <c r="CE9696"/>
      <c r="CF9696"/>
      <c r="CG9696"/>
      <c r="CH9696"/>
      <c r="CI9696"/>
    </row>
    <row r="9697" spans="83:87" x14ac:dyDescent="0.2">
      <c r="CE9697"/>
      <c r="CF9697"/>
      <c r="CG9697"/>
      <c r="CH9697"/>
      <c r="CI9697"/>
    </row>
    <row r="9698" spans="83:87" x14ac:dyDescent="0.2">
      <c r="CE9698"/>
      <c r="CF9698"/>
      <c r="CG9698"/>
      <c r="CH9698"/>
      <c r="CI9698"/>
    </row>
    <row r="9699" spans="83:87" x14ac:dyDescent="0.2">
      <c r="CE9699"/>
      <c r="CF9699"/>
      <c r="CG9699"/>
      <c r="CH9699"/>
      <c r="CI9699"/>
    </row>
    <row r="9700" spans="83:87" x14ac:dyDescent="0.2">
      <c r="CE9700"/>
      <c r="CF9700"/>
      <c r="CG9700"/>
      <c r="CH9700"/>
      <c r="CI9700"/>
    </row>
    <row r="9701" spans="83:87" x14ac:dyDescent="0.2">
      <c r="CE9701"/>
      <c r="CF9701"/>
      <c r="CG9701"/>
      <c r="CH9701"/>
      <c r="CI9701"/>
    </row>
    <row r="9702" spans="83:87" x14ac:dyDescent="0.2">
      <c r="CE9702"/>
      <c r="CF9702"/>
      <c r="CG9702"/>
      <c r="CH9702"/>
      <c r="CI9702"/>
    </row>
    <row r="9703" spans="83:87" x14ac:dyDescent="0.2">
      <c r="CE9703"/>
      <c r="CF9703"/>
      <c r="CG9703"/>
      <c r="CH9703"/>
      <c r="CI9703"/>
    </row>
    <row r="9704" spans="83:87" x14ac:dyDescent="0.2">
      <c r="CE9704"/>
      <c r="CF9704"/>
      <c r="CG9704"/>
      <c r="CH9704"/>
      <c r="CI9704"/>
    </row>
    <row r="9705" spans="83:87" x14ac:dyDescent="0.2">
      <c r="CE9705"/>
      <c r="CF9705"/>
      <c r="CG9705"/>
      <c r="CH9705"/>
      <c r="CI9705"/>
    </row>
    <row r="9706" spans="83:87" x14ac:dyDescent="0.2">
      <c r="CE9706"/>
      <c r="CF9706"/>
      <c r="CG9706"/>
      <c r="CH9706"/>
      <c r="CI9706"/>
    </row>
    <row r="9707" spans="83:87" x14ac:dyDescent="0.2">
      <c r="CE9707"/>
      <c r="CF9707"/>
      <c r="CG9707"/>
      <c r="CH9707"/>
      <c r="CI9707"/>
    </row>
    <row r="9708" spans="83:87" x14ac:dyDescent="0.2">
      <c r="CE9708"/>
      <c r="CF9708"/>
      <c r="CG9708"/>
      <c r="CH9708"/>
      <c r="CI9708"/>
    </row>
    <row r="9709" spans="83:87" x14ac:dyDescent="0.2">
      <c r="CE9709"/>
      <c r="CF9709"/>
      <c r="CG9709"/>
      <c r="CH9709"/>
      <c r="CI9709"/>
    </row>
    <row r="9710" spans="83:87" x14ac:dyDescent="0.2">
      <c r="CE9710"/>
      <c r="CF9710"/>
      <c r="CG9710"/>
      <c r="CH9710"/>
      <c r="CI9710"/>
    </row>
    <row r="9711" spans="83:87" x14ac:dyDescent="0.2">
      <c r="CE9711"/>
      <c r="CF9711"/>
      <c r="CG9711"/>
      <c r="CH9711"/>
      <c r="CI9711"/>
    </row>
    <row r="9712" spans="83:87" x14ac:dyDescent="0.2">
      <c r="CE9712"/>
      <c r="CF9712"/>
      <c r="CG9712"/>
      <c r="CH9712"/>
      <c r="CI9712"/>
    </row>
    <row r="9713" spans="83:87" x14ac:dyDescent="0.2">
      <c r="CE9713"/>
      <c r="CF9713"/>
      <c r="CG9713"/>
      <c r="CH9713"/>
      <c r="CI9713"/>
    </row>
    <row r="9714" spans="83:87" x14ac:dyDescent="0.2">
      <c r="CE9714"/>
      <c r="CF9714"/>
      <c r="CG9714"/>
      <c r="CH9714"/>
      <c r="CI9714"/>
    </row>
    <row r="9715" spans="83:87" x14ac:dyDescent="0.2">
      <c r="CE9715"/>
      <c r="CF9715"/>
      <c r="CG9715"/>
      <c r="CH9715"/>
      <c r="CI9715"/>
    </row>
    <row r="9716" spans="83:87" x14ac:dyDescent="0.2">
      <c r="CE9716"/>
      <c r="CF9716"/>
      <c r="CG9716"/>
      <c r="CH9716"/>
      <c r="CI9716"/>
    </row>
    <row r="9717" spans="83:87" x14ac:dyDescent="0.2">
      <c r="CE9717"/>
      <c r="CF9717"/>
      <c r="CG9717"/>
      <c r="CH9717"/>
      <c r="CI9717"/>
    </row>
    <row r="9718" spans="83:87" x14ac:dyDescent="0.2">
      <c r="CE9718"/>
      <c r="CF9718"/>
      <c r="CG9718"/>
      <c r="CH9718"/>
      <c r="CI9718"/>
    </row>
  </sheetData>
  <sheetProtection formatCells="0" formatColumns="0" formatRows="0" insertColumns="0" insertRows="0" insertHyperlinks="0" deleteColumns="0" deleteRows="0" sort="0" autoFilter="0" pivotTables="0"/>
  <phoneticPr fontId="14" type="noConversion"/>
  <dataValidations count="19">
    <dataValidation type="list" allowBlank="1" showInputMessage="1" showErrorMessage="1" errorTitle="Vælg fra listen" error="Vælg et observationssæt fra listen (baseret på overskrifterne i datatabellen)" promptTitle="Vælg et observationssæt" prompt="Vælg et observationssæt fra listen i drop-down menuen (baseret på overskrifterne i data arket)." sqref="B5" xr:uid="{2C601342-4564-4D84-8007-813212F25AB7}">
      <formula1>DataTitel_liste</formula1>
    </dataValidation>
    <dataValidation allowBlank="1" showInputMessage="1" showErrorMessage="1" promptTitle="Antal observationer" prompt="Antal observationer i det valgte observationssæt." sqref="B30" xr:uid="{248A2953-F291-4F2C-B66C-46EBC4E82B1C}"/>
    <dataValidation allowBlank="1" showInputMessage="1" showErrorMessage="1" promptTitle="Gennemsnit" prompt="Gennemsnit i det valgte observationssæt. _x000a_Forudsætter at data typen er interval." sqref="B31" xr:uid="{D60ED3C7-1A85-48EE-A7A8-7B930CAF7A0E}"/>
    <dataValidation allowBlank="1" showInputMessage="1" showErrorMessage="1" promptTitle="Standardafvigelse" prompt="Standardafvigelse i det valgte observationssæt. _x000a_Forudsætter at data typen er interval." sqref="B32" xr:uid="{07831D72-C382-4062-A739-0D237B91EF19}"/>
    <dataValidation allowBlank="1" showInputMessage="1" showErrorMessage="1" promptTitle="Andel" prompt="Andel i det valgte observationssæt. _x000a_Forudsætter at data typen er nominal, hvor succes er TRUE og øvrige værdier er FALSE. Lokal variant af TRUE/FALSE anvendes, hvis Excel sproget ikke er engelsk, fx (SAND/FALSK)." sqref="B34" xr:uid="{B05798C3-BE52-4035-904A-CCB8D8322F4A}"/>
    <dataValidation allowBlank="1" showInputMessage="1" showErrorMessage="1" promptTitle="Intensitet" prompt="Intensitet i det valgte observationssæt. _x000a_Forudsætter at data typen er antal successer observeret indenfor lige store tidsintervaller." sqref="B35" xr:uid="{9425AC8D-29A9-4746-966B-CF85538CDD40}"/>
    <dataValidation allowBlank="1" showInputMessage="1" showErrorMessage="1" promptTitle="Median" prompt="Median i det valgte observationssæt. _x000a_Forudsætter at data typen er ordinal eller interval." sqref="B38" xr:uid="{6DAD40A4-E29B-410B-B31B-940177480BFF}"/>
    <dataValidation allowBlank="1" showInputMessage="1" showErrorMessage="1" promptTitle="Typetal" prompt="Typetal i det valgte observationssæt. _x000a_Forudsætter at data typen er tal, hvor mindst 2 er ens." sqref="B41" xr:uid="{0C75FAA2-EB30-4760-B092-268212161ED4}"/>
    <dataValidation allowBlank="1" showInputMessage="1" showErrorMessage="1" promptTitle="Variationsbredde" prompt="Variationsbredde i det valgte observationssæt. _x000a_Forudsætter at data typen er ordinal eller interval." sqref="B42" xr:uid="{437F9502-3E02-41E4-AB05-701E5225BC72}"/>
    <dataValidation allowBlank="1" showInputMessage="1" showErrorMessage="1" promptTitle="Interkvartilbredde" prompt="Interkvartilbredde i det valgte observationssæt. _x000a_Forudsætter at data typen er ordinal eller interval." sqref="B43" xr:uid="{98B282D7-AD43-4712-8906-4640486C0114}"/>
    <dataValidation allowBlank="1" showInputMessage="1" showErrorMessage="1" promptTitle="Afrundet simpel brøk" prompt="Afrundet simpel brøk i det valgte observationssæt. _x000a_Forudsætter at data typen er nominal, hvor succes er TRUE og øvrige værdier er FALSE. Lokal variant af TRUE/FALSE anvendes, hvis Excel sproget ikke er engelsk, fx (SAND/FALSK)." sqref="B44" xr:uid="{AA822D92-CE89-4889-8DCB-824AA4DD9325}"/>
    <dataValidation allowBlank="1" showInputMessage="1" showErrorMessage="1" promptTitle="Uforkortet simpel brøk" prompt="Uforkortet simpel brøk i det valgte observationssæt. _x000a_Forudsætter at data typen er nominal, hvor succes er TRUE og øvrige værdier er FALSE. Lokal variant af TRUE/FALSE anvendes, hvis Excel sproget ikke er engelsk, fx (SAND/FALSK)." sqref="B45" xr:uid="{F18A4F5D-DFA0-4745-B7BC-0F2B29D93336}"/>
    <dataValidation allowBlank="1" showInputMessage="1" showErrorMessage="1" promptTitle="Varians" prompt="Varians i det valgte observationssæt. _x000a_Forudsætter at data typen er interval." sqref="B33" xr:uid="{5BFD0F85-B8AD-417D-AE8B-713B24BD4DA9}"/>
    <dataValidation allowBlank="1" showInputMessage="1" showErrorMessage="1" promptTitle="Skævhed" prompt="Skævhed i det valgte observationssæt._x000a_Forudsætter at data typen er interval." sqref="B46" xr:uid="{2838B55D-E9B8-4478-83F8-412B9B187555}"/>
    <dataValidation allowBlank="1" showInputMessage="1" showErrorMessage="1" promptTitle="Minimum" prompt="Minimum for det valgte observationssæt._x000a_Forudsætter at data typen er interval." sqref="B36" xr:uid="{E8BDF522-0B1C-4F42-943F-273E0DB25020}"/>
    <dataValidation allowBlank="1" showInputMessage="1" showErrorMessage="1" promptTitle="Maksimum" prompt="Maksimum i det valgte observationssæt._x000a_Forudsætter at data typen er interval." sqref="B40" xr:uid="{59D171F7-7B43-400B-AA94-13A6505754CB}"/>
    <dataValidation allowBlank="1" showInputMessage="1" showErrorMessage="1" promptTitle="Nedre kvartil" prompt="Nedre kvartil i observationssættet._x000a_Forudsætter at data typen er ordinal eller interval." sqref="B37" xr:uid="{DBB1C6D2-906A-4BE3-A999-3D8DD2A6B008}"/>
    <dataValidation allowBlank="1" showInputMessage="1" showErrorMessage="1" promptTitle="Øvre kvartil" prompt="Øvre kvartil i det valgte observationssæt._x000a_Forudsætter at data typen er ordinal eller interval." sqref="B39" xr:uid="{BB05FD2E-1FBE-4A2C-BD70-CB4C2A79F9F7}"/>
    <dataValidation allowBlank="1" showInputMessage="1" showErrorMessage="1" promptTitle="Kurtosis" prompt="Kurtosis i det valgte observationssæt._x000a_Forudsætter at data typen er interval." sqref="B47" xr:uid="{06E63793-7A2D-4BA7-95C7-433AF31CF3C6}"/>
  </dataValidations>
  <hyperlinks>
    <hyperlink ref="B1" location="V_Manual_Beskrivende_Statistik" display="Gå til Manual i brug af Beskrivende Statistik arket                                     " xr:uid="{2CCA6D64-383A-43DF-87BC-180AF5C98DD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" r:id="rId4" name="Histogram intervalspinner">
              <controlPr defaultSize="0" print="0" autoPict="0">
                <anchor>
                  <from>
                    <xdr:col>7</xdr:col>
                    <xdr:colOff>828675</xdr:colOff>
                    <xdr:row>8</xdr:row>
                    <xdr:rowOff>152400</xdr:rowOff>
                  </from>
                  <to>
                    <xdr:col>7</xdr:col>
                    <xdr:colOff>1133475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5" name="Spinner 34">
              <controlPr defaultSize="0" print="0" autoPict="0">
                <anchor>
                  <from>
                    <xdr:col>11</xdr:col>
                    <xdr:colOff>504825</xdr:colOff>
                    <xdr:row>25</xdr:row>
                    <xdr:rowOff>66675</xdr:rowOff>
                  </from>
                  <to>
                    <xdr:col>11</xdr:col>
                    <xdr:colOff>819150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Spinner 108">
              <controlPr defaultSize="0" print="0" autoPict="0">
                <anchor>
                  <from>
                    <xdr:col>1</xdr:col>
                    <xdr:colOff>66675</xdr:colOff>
                    <xdr:row>9</xdr:row>
                    <xdr:rowOff>85725</xdr:rowOff>
                  </from>
                  <to>
                    <xdr:col>1</xdr:col>
                    <xdr:colOff>228600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7" name="Spinner 109">
              <controlPr defaultSize="0" print="0" autoPict="0">
                <anchor>
                  <from>
                    <xdr:col>1</xdr:col>
                    <xdr:colOff>2809875</xdr:colOff>
                    <xdr:row>18</xdr:row>
                    <xdr:rowOff>47625</xdr:rowOff>
                  </from>
                  <to>
                    <xdr:col>1</xdr:col>
                    <xdr:colOff>2981325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0C11CFABFF98349BD7BFD4811820EAF" ma:contentTypeVersion="5" ma:contentTypeDescription="Opret et nyt dokument." ma:contentTypeScope="" ma:versionID="c492f6f430c3829265f02a6c04163758">
  <xsd:schema xmlns:xsd="http://www.w3.org/2001/XMLSchema" xmlns:xs="http://www.w3.org/2001/XMLSchema" xmlns:p="http://schemas.microsoft.com/office/2006/metadata/properties" xmlns:ns3="7096a9c3-13d0-44a4-a2f7-39c55b9e22c7" xmlns:ns4="ffe4fa7a-95c0-4837-89bf-7ba97c147df7" targetNamespace="http://schemas.microsoft.com/office/2006/metadata/properties" ma:root="true" ma:fieldsID="619340582a67895998d3c54a2923d467" ns3:_="" ns4:_="">
    <xsd:import namespace="7096a9c3-13d0-44a4-a2f7-39c55b9e22c7"/>
    <xsd:import namespace="ffe4fa7a-95c0-4837-89bf-7ba97c147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6a9c3-13d0-44a4-a2f7-39c55b9e22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e4fa7a-95c0-4837-89bf-7ba97c147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E941B9-A812-43B6-8E71-7AD0BE65C2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1A4B8E-7370-43D7-87A4-76B8BFC80C03}">
  <ds:schemaRefs>
    <ds:schemaRef ds:uri="7096a9c3-13d0-44a4-a2f7-39c55b9e22c7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ffe4fa7a-95c0-4837-89bf-7ba97c147df7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CFBC3DE-D1C0-45C7-BFCE-96CD4F9A3A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A043E7E-7780-43FB-811A-ECD9D04175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96a9c3-13d0-44a4-a2f7-39c55b9e22c7"/>
    <ds:schemaRef ds:uri="ffe4fa7a-95c0-4837-89bf-7ba97c147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Velkommen</vt:lpstr>
      <vt:lpstr>Data</vt:lpstr>
      <vt:lpstr>DataBeregning</vt:lpstr>
      <vt:lpstr>Lister</vt:lpstr>
      <vt:lpstr>BeskrivendeStatistik</vt:lpstr>
      <vt:lpstr>Beregningsmetode_liste</vt:lpstr>
      <vt:lpstr>DataHeaders</vt:lpstr>
      <vt:lpstr>Fordeling_liste</vt:lpstr>
      <vt:lpstr>HypoteseRetning_liste</vt:lpstr>
      <vt:lpstr>Hypotesetype_Liste</vt:lpstr>
      <vt:lpstr>Inkluderet_Liste</vt:lpstr>
      <vt:lpstr>SandFalsk_liste</vt:lpstr>
      <vt:lpstr>V_Manual_Beskrivende_Statistik</vt:lpstr>
      <vt:lpstr>V_Manual_Data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JBKstat.BeskrivendeStatistik</dc:title>
  <dc:creator>Jakob Bjerre Knudsen</dc:creator>
  <cp:lastModifiedBy>Jakob</cp:lastModifiedBy>
  <cp:lastPrinted>2019-08-09T07:03:21Z</cp:lastPrinted>
  <dcterms:created xsi:type="dcterms:W3CDTF">2018-12-03T09:30:39Z</dcterms:created>
  <dcterms:modified xsi:type="dcterms:W3CDTF">2021-02-13T12:27:26Z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0x01010030C11CFABFF98349BD7BFD4811820EAF</vt:lpwstr>
  </property>
</Properties>
</file>
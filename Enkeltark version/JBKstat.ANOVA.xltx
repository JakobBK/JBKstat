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workbookPr codeName="ThisWorkbook"/>
  <mc:AlternateContent xmlns:mc="http://schemas.openxmlformats.org/markup-compatibility/2006">
    <mc:Choice Requires="x15">
      <x15ac:absPath xmlns:x15ac="http://schemas.microsoft.com/office/spreadsheetml/2010/11/ac" url="C:\Users\Jakob\Documents\Arbejde\Statistik\JBKstat\Opdelt i ark\"/>
    </mc:Choice>
  </mc:AlternateContent>
  <xr:revisionPtr revIDLastSave="0" documentId="8_{BA9C0463-CDA1-46C1-8AA7-4FDEAF51351B}" xr6:coauthVersionLast="46" xr6:coauthVersionMax="46" xr10:uidLastSave="{00000000-0000-0000-0000-000000000000}"/>
  <bookViews>
    <workbookView xWindow="-120" yWindow="-120" windowWidth="29040" windowHeight="15840" tabRatio="727" xr2:uid="{00000000-000D-0000-FFFF-FFFF00000000}"/>
  </bookViews>
  <sheets>
    <sheet name="Velkommen" sheetId="43" r:id="rId1"/>
    <sheet name="Data" sheetId="62" r:id="rId2"/>
    <sheet name="DataBeregning" sheetId="64" state="hidden" r:id="rId3"/>
    <sheet name="Lister" sheetId="60" state="hidden" r:id="rId4"/>
    <sheet name="ANOVA" sheetId="52" r:id="rId5"/>
    <sheet name="ANOVA slicer" sheetId="61" state="hidden" r:id="rId6"/>
  </sheets>
  <definedNames>
    <definedName name="AklMs">_xlfn.ANCHORARRAY(ANOVA!$BZ$9)</definedName>
    <definedName name="AksMs">_xlfn.ANCHORARRAY(ANOVA!$CA$9)</definedName>
    <definedName name="AkxMs">_xlfn.ANCHORARRAY(ANOVA!$BX$9)</definedName>
    <definedName name="AkyMs">_xlfn.ANCHORARRAY(ANOVA!$BY$9)</definedName>
    <definedName name="AlG">_xlfn.ANCHORARRAY(ANOVA!$CI$9)</definedName>
    <definedName name="AlMs">_xlfn.ANCHORARRAY(ANOVA!$BM$9)</definedName>
    <definedName name="AlNorm">_xlfn.ANCHORARRAY(ANOVA!$AZ$9)</definedName>
    <definedName name="AlS">_xlfn.ANCHORARRAY(ANOVA!$CP$9)</definedName>
    <definedName name="AlxNorm">_xlfn.ANCHORARRAY(ANOVA!$AX$9)</definedName>
    <definedName name="AlyNorm">_xlfn.ANCHORARRAY(ANOVA!$AY$9)</definedName>
    <definedName name="AsMs">_xlfn.ANCHORARRAY(ANOVA!$BN$9)</definedName>
    <definedName name="AxG">_xlfn.ANCHORARRAY(ANOVA!$CD$9)</definedName>
    <definedName name="AxMs">_xlfn.ANCHORARRAY(ANOVA!$BE$9)</definedName>
    <definedName name="AxNorm">_xlfn.ANCHORARRAY(ANOVA!$AU$9)</definedName>
    <definedName name="AxS">_xlfn.ANCHORARRAY(ANOVA!$CK$9)</definedName>
    <definedName name="AyGa">_xlfn.ANCHORARRAY(ANOVA!$CH$9)</definedName>
    <definedName name="AyGn">_xlfn.ANCHORARRAY(ANOVA!$CG$9)</definedName>
    <definedName name="AyGs">_xlfn.ANCHORARRAY(ANOVA!$CF$9)</definedName>
    <definedName name="AyMs">_xlfn.ANCHORARRAY(ANOVA!$BF$9)</definedName>
    <definedName name="AyNorm">_xlfn.ANCHORARRAY(ANOVA!$AV$9)</definedName>
    <definedName name="AySa">_xlfn.ANCHORARRAY(ANOVA!$CO$9)</definedName>
    <definedName name="AySn">_xlfn.ANCHORARRAY(ANOVA!$CN$9)</definedName>
    <definedName name="AySs">_xlfn.ANCHORARRAY(ANOVA!$CM$9)</definedName>
    <definedName name="Beregningsmetode_liste">Lister!$G$2:$G$10</definedName>
    <definedName name="Data">Data!$A$2:INDEX(Data!$A$2:$CV$1048576,DataBeregning!$B$2,DataBeregning!$B$3)</definedName>
    <definedName name="DataHeaders">Data!$A$1:$CV$1</definedName>
    <definedName name="DataTitel_liste">_xlfn.ANCHORARRAY(Lister!$C$2)</definedName>
    <definedName name="DataTitelTest_liste">_xlfn.ANCHORARRAY(Lister!$C$2)</definedName>
    <definedName name="Fordeling_liste">Lister!$E$2:$E$5</definedName>
    <definedName name="HypoteseRetning_liste">Lister!$D$2:$D$5</definedName>
    <definedName name="Hypotesetype_Liste">Lister!$F$2:$F$8</definedName>
    <definedName name="Inkluderet">"Inkluderet"</definedName>
    <definedName name="Inkluderet_Liste">Lister!$A$2:$A$3</definedName>
    <definedName name="SandFalsk_liste">Lister!$B$2:$B$3</definedName>
    <definedName name="Slicer_Variabel">#N/A</definedName>
    <definedName name="Udeladt">"Udeladt"</definedName>
    <definedName name="V_Manual_Data">Velkommen!$A$27</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7"/>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5" i="64" l="1"/>
  <c r="N5" i="64"/>
  <c r="T5" i="64"/>
  <c r="Z5" i="64"/>
  <c r="AF5" i="64"/>
  <c r="AL5" i="64"/>
  <c r="AR5" i="64"/>
  <c r="AX5" i="64"/>
  <c r="BD5" i="64"/>
  <c r="BJ5" i="64"/>
  <c r="BP5" i="64"/>
  <c r="BV5" i="64"/>
  <c r="CB5" i="64"/>
  <c r="CH5" i="64"/>
  <c r="CN5" i="64"/>
  <c r="CT5" i="64"/>
  <c r="CK9" i="52" a="1"/>
  <c r="CK9" i="52" s="1"/>
  <c r="CD9" i="52" a="1"/>
  <c r="CD9" i="52" s="1"/>
  <c r="C2" i="60" a="1"/>
  <c r="C2" i="60" s="1"/>
  <c r="B4" i="64" a="1"/>
  <c r="B4" i="64" s="1"/>
  <c r="B3" i="64" s="1"/>
  <c r="B6" i="64" s="1" a="1"/>
  <c r="B6" i="64" s="1"/>
  <c r="CS5" i="64" l="1"/>
  <c r="CM5" i="64"/>
  <c r="CG5" i="64"/>
  <c r="CA5" i="64"/>
  <c r="BU5" i="64"/>
  <c r="BO5" i="64"/>
  <c r="BI5" i="64"/>
  <c r="BC5" i="64"/>
  <c r="AW5" i="64"/>
  <c r="AQ5" i="64"/>
  <c r="AK5" i="64"/>
  <c r="AE5" i="64"/>
  <c r="Y5" i="64"/>
  <c r="S5" i="64"/>
  <c r="M5" i="64"/>
  <c r="G5" i="64"/>
  <c r="B5" i="64"/>
  <c r="CR5" i="64"/>
  <c r="CL5" i="64"/>
  <c r="CF5" i="64"/>
  <c r="BZ5" i="64"/>
  <c r="BT5" i="64"/>
  <c r="BN5" i="64"/>
  <c r="BH5" i="64"/>
  <c r="BB5" i="64"/>
  <c r="AV5" i="64"/>
  <c r="AP5" i="64"/>
  <c r="AJ5" i="64"/>
  <c r="AD5" i="64"/>
  <c r="X5" i="64"/>
  <c r="R5" i="64"/>
  <c r="L5" i="64"/>
  <c r="F5" i="64"/>
  <c r="CW5" i="64"/>
  <c r="CQ5" i="64"/>
  <c r="CK5" i="64"/>
  <c r="CE5" i="64"/>
  <c r="BY5" i="64"/>
  <c r="BS5" i="64"/>
  <c r="BM5" i="64"/>
  <c r="BG5" i="64"/>
  <c r="BA5" i="64"/>
  <c r="AU5" i="64"/>
  <c r="AO5" i="64"/>
  <c r="AI5" i="64"/>
  <c r="AC5" i="64"/>
  <c r="W5" i="64"/>
  <c r="Q5" i="64"/>
  <c r="K5" i="64"/>
  <c r="E5" i="64"/>
  <c r="CV5" i="64"/>
  <c r="CP5" i="64"/>
  <c r="CJ5" i="64"/>
  <c r="CD5" i="64"/>
  <c r="BX5" i="64"/>
  <c r="BR5" i="64"/>
  <c r="BL5" i="64"/>
  <c r="BF5" i="64"/>
  <c r="AZ5" i="64"/>
  <c r="AT5" i="64"/>
  <c r="AN5" i="64"/>
  <c r="AH5" i="64"/>
  <c r="AB5" i="64"/>
  <c r="V5" i="64"/>
  <c r="P5" i="64"/>
  <c r="J5" i="64"/>
  <c r="D5" i="64"/>
  <c r="CU5" i="64"/>
  <c r="CO5" i="64"/>
  <c r="CI5" i="64"/>
  <c r="CC5" i="64"/>
  <c r="BW5" i="64"/>
  <c r="BQ5" i="64"/>
  <c r="BK5" i="64"/>
  <c r="BE5" i="64"/>
  <c r="AY5" i="64"/>
  <c r="AS5" i="64"/>
  <c r="AM5" i="64"/>
  <c r="AG5" i="64"/>
  <c r="AA5" i="64"/>
  <c r="U5" i="64"/>
  <c r="O5" i="64"/>
  <c r="I5" i="64"/>
  <c r="C5" i="64"/>
  <c r="B5" i="61"/>
  <c r="B45" i="61" s="1"/>
  <c r="C45" i="61" s="1" a="1"/>
  <c r="C45" i="61" s="1"/>
  <c r="B1" i="64" a="1"/>
  <c r="B1" i="64" s="1"/>
  <c r="D15" i="61"/>
  <c r="B3" i="60"/>
  <c r="B2" i="60"/>
  <c r="B18" i="61" l="1"/>
  <c r="C18" i="61" s="1" a="1"/>
  <c r="C18" i="61" s="1"/>
  <c r="B40" i="61"/>
  <c r="C40" i="61" s="1" a="1"/>
  <c r="C40" i="61" s="1"/>
  <c r="B39" i="61"/>
  <c r="C39" i="61" s="1" a="1"/>
  <c r="C39" i="61" s="1"/>
  <c r="B53" i="61"/>
  <c r="C53" i="61" s="1" a="1"/>
  <c r="C53" i="61" s="1"/>
  <c r="B58" i="61"/>
  <c r="C58" i="61" s="1" a="1"/>
  <c r="C58" i="61" s="1"/>
  <c r="B46" i="61"/>
  <c r="C46" i="61" s="1" a="1"/>
  <c r="C46" i="61" s="1"/>
  <c r="B36" i="61"/>
  <c r="C36" i="61" s="1" a="1"/>
  <c r="C36" i="61" s="1"/>
  <c r="B30" i="61"/>
  <c r="C30" i="61" s="1" a="1"/>
  <c r="C30" i="61" s="1"/>
  <c r="B32" i="61"/>
  <c r="C32" i="61" s="1" a="1"/>
  <c r="C32" i="61" s="1"/>
  <c r="B57" i="61"/>
  <c r="C57" i="61" s="1" a="1"/>
  <c r="C57" i="61" s="1"/>
  <c r="B35" i="61"/>
  <c r="C35" i="61" s="1" a="1"/>
  <c r="C35" i="61" s="1"/>
  <c r="B26" i="61"/>
  <c r="C26" i="61" s="1" a="1"/>
  <c r="C26" i="61" s="1"/>
  <c r="B56" i="61"/>
  <c r="C56" i="61" s="1" a="1"/>
  <c r="C56" i="61" s="1"/>
  <c r="B41" i="61"/>
  <c r="C41" i="61" s="1" a="1"/>
  <c r="C41" i="61" s="1"/>
  <c r="B55" i="61"/>
  <c r="C55" i="61" s="1" a="1"/>
  <c r="C55" i="61" s="1"/>
  <c r="B21" i="61"/>
  <c r="C21" i="61" s="1" a="1"/>
  <c r="C21" i="61" s="1"/>
  <c r="B22" i="61"/>
  <c r="C22" i="61" s="1" a="1"/>
  <c r="C22" i="61" s="1"/>
  <c r="B17" i="61"/>
  <c r="C17" i="61" s="1" a="1"/>
  <c r="C17" i="61" s="1"/>
  <c r="B19" i="61"/>
  <c r="C19" i="61" s="1" a="1"/>
  <c r="C19" i="61" s="1"/>
  <c r="B27" i="61"/>
  <c r="C27" i="61" s="1" a="1"/>
  <c r="C27" i="61" s="1"/>
  <c r="B28" i="61"/>
  <c r="C28" i="61" s="1" a="1"/>
  <c r="C28" i="61" s="1"/>
  <c r="B23" i="61"/>
  <c r="C23" i="61" s="1" a="1"/>
  <c r="C23" i="61" s="1"/>
  <c r="B12" i="61"/>
  <c r="C12" i="61" s="1" a="1"/>
  <c r="C12" i="61" s="1"/>
  <c r="B43" i="61"/>
  <c r="C43" i="61" s="1" a="1"/>
  <c r="C43" i="61" s="1"/>
  <c r="B59" i="61"/>
  <c r="C59" i="61" s="1" a="1"/>
  <c r="C59" i="61" s="1"/>
  <c r="B48" i="61"/>
  <c r="C48" i="61" s="1" a="1"/>
  <c r="C48" i="61" s="1"/>
  <c r="B33" i="61"/>
  <c r="C33" i="61" s="1" a="1"/>
  <c r="C33" i="61" s="1"/>
  <c r="B16" i="61"/>
  <c r="C16" i="61" s="1" a="1"/>
  <c r="C16" i="61" s="1"/>
  <c r="B52" i="61"/>
  <c r="C52" i="61" s="1" a="1"/>
  <c r="C52" i="61" s="1"/>
  <c r="B29" i="61"/>
  <c r="C29" i="61" s="1" a="1"/>
  <c r="C29" i="61" s="1"/>
  <c r="B42" i="61"/>
  <c r="C42" i="61" s="1" a="1"/>
  <c r="C42" i="61" s="1"/>
  <c r="B49" i="61"/>
  <c r="C49" i="61" s="1" a="1"/>
  <c r="C49" i="61" s="1"/>
  <c r="B38" i="61"/>
  <c r="C38" i="61" s="1" a="1"/>
  <c r="C38" i="61" s="1"/>
  <c r="B44" i="61"/>
  <c r="C44" i="61" s="1" a="1"/>
  <c r="C44" i="61" s="1"/>
  <c r="B54" i="61"/>
  <c r="C54" i="61" s="1" a="1"/>
  <c r="C54" i="61" s="1"/>
  <c r="B14" i="61"/>
  <c r="C14" i="61" s="1" a="1"/>
  <c r="C14" i="61" s="1"/>
  <c r="B50" i="61"/>
  <c r="C50" i="61" s="1" a="1"/>
  <c r="C50" i="61" s="1"/>
  <c r="B51" i="61"/>
  <c r="C51" i="61" s="1" a="1"/>
  <c r="C51" i="61" s="1"/>
  <c r="B34" i="61"/>
  <c r="C34" i="61" s="1" a="1"/>
  <c r="C34" i="61" s="1"/>
  <c r="B11" i="61"/>
  <c r="C11" i="61" s="1" a="1"/>
  <c r="C11" i="61" s="1"/>
  <c r="B47" i="61"/>
  <c r="C47" i="61" s="1" a="1"/>
  <c r="C47" i="61" s="1"/>
  <c r="B24" i="61"/>
  <c r="C24" i="61" s="1" a="1"/>
  <c r="C24" i="61" s="1"/>
  <c r="B60" i="61"/>
  <c r="C60" i="61" s="1" a="1"/>
  <c r="C60" i="61" s="1"/>
  <c r="B20" i="61"/>
  <c r="C20" i="61" s="1" a="1"/>
  <c r="C20" i="61" s="1"/>
  <c r="B15" i="61"/>
  <c r="C15" i="61" s="1" a="1"/>
  <c r="C15" i="61" s="1"/>
  <c r="B13" i="61"/>
  <c r="C13" i="61" s="1" a="1"/>
  <c r="C13" i="61" s="1"/>
  <c r="B31" i="61"/>
  <c r="C31" i="61" s="1" a="1"/>
  <c r="C31" i="61" s="1"/>
  <c r="B25" i="61"/>
  <c r="C25" i="61" s="1" a="1"/>
  <c r="C25" i="61" s="1"/>
  <c r="B37" i="61"/>
  <c r="C37" i="61" s="1" a="1"/>
  <c r="C37" i="61" s="1"/>
  <c r="B2" i="64"/>
  <c r="B4" i="61"/>
  <c r="D45" i="61"/>
  <c r="D34" i="61"/>
  <c r="D17" i="61"/>
  <c r="D53" i="61"/>
  <c r="D36" i="61"/>
  <c r="D19" i="61"/>
  <c r="D55" i="61"/>
  <c r="D44" i="61"/>
  <c r="D51" i="61"/>
  <c r="D40" i="61"/>
  <c r="D23" i="61"/>
  <c r="D59" i="61"/>
  <c r="D42" i="61"/>
  <c r="D25" i="61"/>
  <c r="D14" i="61"/>
  <c r="D50" i="61"/>
  <c r="D21" i="61"/>
  <c r="D57" i="61"/>
  <c r="D46" i="61"/>
  <c r="D29" i="61"/>
  <c r="D12" i="61"/>
  <c r="D48" i="61"/>
  <c r="D31" i="61"/>
  <c r="D20" i="61"/>
  <c r="D56" i="61"/>
  <c r="D27" i="61"/>
  <c r="D16" i="61"/>
  <c r="D52" i="61"/>
  <c r="D35" i="61"/>
  <c r="D18" i="61"/>
  <c r="D54" i="61"/>
  <c r="D37" i="61"/>
  <c r="D26" i="61"/>
  <c r="D33" i="61"/>
  <c r="D22" i="61"/>
  <c r="D58" i="61"/>
  <c r="D41" i="61"/>
  <c r="D24" i="61"/>
  <c r="D60" i="61"/>
  <c r="D43" i="61"/>
  <c r="D32" i="61"/>
  <c r="D39" i="61"/>
  <c r="D28" i="61"/>
  <c r="D11" i="61"/>
  <c r="D47" i="61"/>
  <c r="D30" i="61"/>
  <c r="D13" i="61"/>
  <c r="D49" i="61"/>
  <c r="D38" i="61"/>
  <c r="CS9" i="52" l="1" a="1"/>
  <c r="CS9" i="52" s="1"/>
  <c r="CQ11" i="52"/>
  <c r="CS10" i="52" l="1" a="1"/>
  <c r="CS10" i="52" s="1"/>
  <c r="CQ9" i="52"/>
  <c r="CS11" i="52" l="1" a="1"/>
  <c r="CS11" i="52" s="1"/>
  <c r="BS9" i="52" a="1"/>
  <c r="BS9" i="52" s="1"/>
  <c r="BO9" i="52" a="1"/>
  <c r="BO9" i="52" s="1"/>
  <c r="AW9" i="52" a="1"/>
  <c r="AW9" i="52" s="1"/>
  <c r="BB9" i="52" a="1"/>
  <c r="BB9" i="52" s="1"/>
  <c r="BC9" i="52" s="1" a="1"/>
  <c r="BC9" i="52" s="1"/>
  <c r="CA9" i="52" a="1"/>
  <c r="CA9" i="52" s="1"/>
  <c r="BA15" i="52"/>
  <c r="BU9" i="52" a="1"/>
  <c r="BU9" i="52" s="1"/>
  <c r="BP9" i="52" a="1"/>
  <c r="BP9" i="52" s="1"/>
  <c r="BQ9" i="52" s="1" a="1"/>
  <c r="BQ9" i="52" s="1"/>
  <c r="B59" i="52"/>
  <c r="CJ19" i="52" s="1"/>
  <c r="BR9" i="52" a="1"/>
  <c r="BR9" i="52" s="1"/>
  <c r="BT9" i="52" s="1" a="1"/>
  <c r="BT9" i="52" s="1"/>
  <c r="BA25" i="52"/>
  <c r="BV9" i="52" l="1" a="1"/>
  <c r="BV9" i="52" s="1"/>
  <c r="BW9" i="52" a="1"/>
  <c r="BW9" i="52" s="1"/>
  <c r="H54" i="52" a="1"/>
  <c r="H54" i="52" s="1"/>
  <c r="CS15" i="52" a="1"/>
  <c r="CS15" i="52" s="1"/>
  <c r="CQ13" i="52"/>
  <c r="CS12" i="52" a="1"/>
  <c r="CS12" i="52" s="1"/>
  <c r="BD9" i="52" a="1"/>
  <c r="BD9" i="52" s="1"/>
  <c r="BA21" i="52"/>
  <c r="BA17" i="52"/>
  <c r="CJ15" i="52"/>
  <c r="CJ21" i="52"/>
  <c r="CL9" i="52" s="1" a="1"/>
  <c r="CL9" i="52" s="1"/>
  <c r="AX9" i="52" l="1" a="1"/>
  <c r="AX9" i="52" s="1"/>
  <c r="CS14" i="52" a="1"/>
  <c r="CS14" i="52" s="1"/>
  <c r="CS20" i="52" a="1"/>
  <c r="CS20" i="52" s="1"/>
  <c r="CQ15" i="52"/>
  <c r="CS13" i="52" s="1" a="1"/>
  <c r="CS13" i="52" s="1"/>
  <c r="CQ17" i="52" s="1"/>
  <c r="BE9" i="52" a="1"/>
  <c r="BE9" i="52" s="1"/>
  <c r="BY9" i="52" a="1"/>
  <c r="BY9" i="52" s="1"/>
  <c r="BX9" i="52" a="1"/>
  <c r="BX9" i="52" s="1"/>
  <c r="BZ9" i="52" a="1"/>
  <c r="BZ9" i="52" s="1"/>
  <c r="CP9" i="52" a="1"/>
  <c r="CP9" i="52" s="1"/>
  <c r="CM9" i="52" a="1"/>
  <c r="CM9" i="52" s="1"/>
  <c r="B60" i="52"/>
  <c r="CJ23" i="52"/>
  <c r="BG9" i="52" l="1" a="1"/>
  <c r="BG9" i="52" s="1"/>
  <c r="BF9" i="52" a="1"/>
  <c r="BF9" i="52" s="1"/>
  <c r="CQ21" i="52"/>
  <c r="D59" i="52" s="1"/>
  <c r="C59" i="52"/>
  <c r="CS16" i="52" a="1"/>
  <c r="CS16" i="52" s="1"/>
  <c r="CS17" i="52" s="1" a="1"/>
  <c r="CS17" i="52" s="1"/>
  <c r="CQ19" i="52"/>
  <c r="CC19" i="52"/>
  <c r="CE9" i="52" s="1" a="1"/>
  <c r="CE9" i="52" s="1"/>
  <c r="CC15" i="52"/>
  <c r="B61" i="52"/>
  <c r="CS21" i="52" l="1" a="1"/>
  <c r="CS21" i="52" s="1"/>
  <c r="AZ9" i="52" s="1" a="1"/>
  <c r="AZ9" i="52" s="1"/>
  <c r="AQ21" i="52"/>
  <c r="CS19" i="52" a="1"/>
  <c r="CS19" i="52" s="1"/>
  <c r="AQ17" i="52" s="1"/>
  <c r="CS18" i="52" a="1"/>
  <c r="CS18" i="52" s="1"/>
  <c r="AQ15" i="52" s="1"/>
  <c r="BH9" i="52" a="1"/>
  <c r="BH9" i="52" s="1"/>
  <c r="BI9" i="52" a="1"/>
  <c r="BI9" i="52" s="1"/>
  <c r="CJ25" i="52" a="1"/>
  <c r="CJ25" i="52" s="1"/>
  <c r="CQ23" i="52"/>
  <c r="D60" i="52" s="1"/>
  <c r="E59" i="52" s="1"/>
  <c r="C60" i="52"/>
  <c r="C61" i="52" s="1"/>
  <c r="CI9" i="52" a="1"/>
  <c r="CI9" i="52" s="1"/>
  <c r="CF9" i="52" a="1"/>
  <c r="CF9" i="52" s="1"/>
  <c r="CG9" i="52" l="1" a="1"/>
  <c r="CG9" i="52" s="1"/>
  <c r="CB9" i="52" a="1"/>
  <c r="CB9" i="52" s="1"/>
  <c r="BA19" i="52" a="1"/>
  <c r="BA19" i="52" s="1"/>
  <c r="BA23" i="52" s="1"/>
  <c r="AQ19" i="52"/>
  <c r="AQ23" i="52" s="1"/>
  <c r="AQ25" i="52" s="1"/>
  <c r="AQ27" i="52" s="1"/>
  <c r="AQ29" i="52" s="1"/>
  <c r="AR9" i="52" s="1" a="1"/>
  <c r="AR9" i="52" s="1"/>
  <c r="AS9" i="52" s="1" a="1"/>
  <c r="AS9" i="52" s="1"/>
  <c r="BJ9" i="52" a="1"/>
  <c r="BJ9" i="52" s="1"/>
  <c r="BK9" i="52" s="1" a="1"/>
  <c r="BK9" i="52" s="1"/>
  <c r="BL9" i="52" s="1" a="1"/>
  <c r="BL9" i="52" s="1"/>
  <c r="CJ35" i="52"/>
  <c r="K54" i="52"/>
  <c r="CO9" i="52" a="1"/>
  <c r="CO9" i="52" s="1"/>
  <c r="CJ31" i="52" s="1" a="1"/>
  <c r="CJ31" i="52" s="1"/>
  <c r="CJ33" i="52" s="1" a="1"/>
  <c r="CJ33" i="52" s="1"/>
  <c r="CJ41" i="52"/>
  <c r="CN9" i="52" a="1"/>
  <c r="CN9" i="52" s="1"/>
  <c r="CH9" i="52" a="1"/>
  <c r="CH9" i="52" s="1"/>
  <c r="CC25" i="52" s="1" a="1"/>
  <c r="CC25" i="52" s="1"/>
  <c r="CC27" i="52" s="1" a="1"/>
  <c r="CC27" i="52" s="1"/>
  <c r="CC37" i="52"/>
  <c r="CC9" i="52" s="1"/>
  <c r="E54" i="52"/>
  <c r="E55" i="52" s="1"/>
  <c r="CC35" i="52"/>
  <c r="CC21" i="52"/>
  <c r="CC29" i="52"/>
  <c r="CJ37" i="52" l="1" a="1"/>
  <c r="CJ37" i="52" s="1"/>
  <c r="CJ39" i="52" s="1" a="1"/>
  <c r="CJ39" i="52" s="1"/>
  <c r="BA27" i="52"/>
  <c r="BA9" i="52" s="1"/>
  <c r="BN9" i="52" a="1"/>
  <c r="BN9" i="52" s="1"/>
  <c r="C91" i="52" a="1"/>
  <c r="C91" i="52" s="1"/>
  <c r="AT9" i="52" a="1"/>
  <c r="AT9" i="52" s="1"/>
  <c r="AU9" i="52" a="1"/>
  <c r="AU9" i="52" s="1"/>
  <c r="BM9" i="52" a="1"/>
  <c r="BM9" i="52" s="1"/>
  <c r="B91" i="52" a="1"/>
  <c r="B91" i="52" s="1"/>
  <c r="D91" i="52" a="1"/>
  <c r="D91" i="52" s="1"/>
  <c r="E91" i="52" a="1"/>
  <c r="E91" i="52" s="1"/>
  <c r="A91" i="52" a="1"/>
  <c r="A91" i="52" s="1"/>
  <c r="K55" i="52"/>
  <c r="CJ27" i="52"/>
  <c r="CJ9" i="52" s="1"/>
  <c r="CC31" i="52" a="1"/>
  <c r="CC31" i="52" s="1"/>
  <c r="CC33" i="52" s="1" a="1"/>
  <c r="CC33" i="52" s="1"/>
  <c r="AV9" i="52" l="1" a="1"/>
  <c r="AV9" i="52" s="1"/>
  <c r="AY9" i="52" s="1" a="1"/>
  <c r="AY9" i="52" s="1"/>
  <c r="B6" i="61"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<sst xmlns="http://schemas.openxmlformats.org/spreadsheetml/2006/main" count="247" uniqueCount="216">
  <si>
    <t>Gennemsnit</t>
  </si>
  <si>
    <t>Standardafvigelse</t>
  </si>
  <si>
    <t>Konfidensniveau</t>
  </si>
  <si>
    <t>Formålet er at fremme læring af beskrivende statistik og statistisk analyse.</t>
  </si>
  <si>
    <t>Overskrift input</t>
  </si>
  <si>
    <t>X akse</t>
  </si>
  <si>
    <t>Anvendelse af JBKstat</t>
  </si>
  <si>
    <t>Manual i brug af data arket</t>
  </si>
  <si>
    <t>Eksempel 1 (interval)</t>
  </si>
  <si>
    <t>Antal observationer</t>
  </si>
  <si>
    <t>Variabel</t>
  </si>
  <si>
    <t>Konfidensinterval</t>
  </si>
  <si>
    <t>1. Indsæt data i tabellen på data arket</t>
  </si>
  <si>
    <t xml:space="preserve">Gå til Manual i brug af Data arket                                          </t>
  </si>
  <si>
    <t xml:space="preserve">Gå til Data                                                                                             </t>
  </si>
  <si>
    <t>Formål med JBKstat</t>
  </si>
  <si>
    <t>JBKstat er et værktøj til studerende på Erhvervsakademi Aarhus.</t>
  </si>
  <si>
    <t>Teststørrelse</t>
  </si>
  <si>
    <t>Tosidet</t>
  </si>
  <si>
    <t>Normalfordeling</t>
  </si>
  <si>
    <t>Frihedsgrader</t>
  </si>
  <si>
    <t>t-fordeling</t>
  </si>
  <si>
    <t>Normalfordeling med kendt standardafvigelse</t>
  </si>
  <si>
    <t>Venstresidet hypotese om værdi</t>
  </si>
  <si>
    <t>Højresidet hypotese om værdi</t>
  </si>
  <si>
    <t>Tosidet hypotese om værdi</t>
  </si>
  <si>
    <t>Venstresidet hypotese om forskel</t>
  </si>
  <si>
    <t>Højresidet hypotese om forskel</t>
  </si>
  <si>
    <t>Tosidet hypotese om forskel</t>
  </si>
  <si>
    <t>t-fordeling med pooled standardafvigelse</t>
  </si>
  <si>
    <t>Normalfordeling med kendte standardafvigelser</t>
  </si>
  <si>
    <t>t-fordeling uden pooled standardafvigelse</t>
  </si>
  <si>
    <t>Chi-i-anden-fordeling</t>
  </si>
  <si>
    <t>F-fordeling</t>
  </si>
  <si>
    <t>Normalfordeling med forbedret teststørrelse</t>
  </si>
  <si>
    <t>Synlig</t>
  </si>
  <si>
    <t>Alternativ hypotese</t>
  </si>
  <si>
    <t>Nulhypotese</t>
  </si>
  <si>
    <t>Skal vurderes</t>
  </si>
  <si>
    <t>Kun data arket skal udfyldes, før en analyse kan udføres</t>
  </si>
  <si>
    <t>Analysen på hvert af de øvrige ark kan udføres uafhængigt</t>
  </si>
  <si>
    <t>Det kan være en fordel at skrive datatypen ind i overskriften, hvis det ikke giver sig selv</t>
  </si>
  <si>
    <t>Det anbefales at bruge korte, beskrivende overskrifter</t>
  </si>
  <si>
    <t>Formålet med arket Data er at indeholde alt data, som bruges til videre analyse</t>
  </si>
  <si>
    <t>Eksempel 3 (nominal)</t>
  </si>
  <si>
    <t>Eksempel 2 (interval)</t>
  </si>
  <si>
    <t>Antal variable</t>
  </si>
  <si>
    <t>Eksempel 4 (nominal)</t>
  </si>
  <si>
    <t>Venstresidet</t>
  </si>
  <si>
    <t>Højresidet</t>
  </si>
  <si>
    <t>p-værdi</t>
  </si>
  <si>
    <t xml:space="preserve">Gå til Manual i brug af ANOVA arket               </t>
  </si>
  <si>
    <t>ANOVA</t>
  </si>
  <si>
    <t>Mellem observationssæt</t>
  </si>
  <si>
    <t>I observationssæt</t>
  </si>
  <si>
    <t>Total</t>
  </si>
  <si>
    <t>Sum af kvadrater</t>
  </si>
  <si>
    <t>Gennemsnit af kvadrater</t>
  </si>
  <si>
    <t>F-teststørrelse</t>
  </si>
  <si>
    <t>Sum of squares for treatments</t>
  </si>
  <si>
    <t>Sum of squares for error</t>
  </si>
  <si>
    <t>Konklusion på hypotesetest</t>
  </si>
  <si>
    <t>p værdi</t>
  </si>
  <si>
    <t>H0: Alle populationsgennemsnit er ens</t>
  </si>
  <si>
    <t>Forskel i gennemsnit</t>
  </si>
  <si>
    <t>This work is licensed under a Creative Commons Attribution-ShareAlike 4.0 International Public License</t>
  </si>
  <si>
    <t>Alle populationer er normalfordelte</t>
  </si>
  <si>
    <t>Populationernes standardafvigelser er ens</t>
  </si>
  <si>
    <t>Skal testes med en hypotesetest</t>
  </si>
  <si>
    <t>Alle stikprøver har mindst 3 observationer</t>
  </si>
  <si>
    <t>Stikprøverne er uafhængige af hinanden</t>
  </si>
  <si>
    <t>H0: alle populationers standardafvigelser er ens</t>
  </si>
  <si>
    <t>Sekvens</t>
  </si>
  <si>
    <t>Intervalbredde</t>
  </si>
  <si>
    <t>Maksimum cifferantal</t>
  </si>
  <si>
    <t>Maksimum cifferantal uden decimaler, y akse</t>
  </si>
  <si>
    <t>Par ID</t>
  </si>
  <si>
    <t>Inkluderet_liste</t>
  </si>
  <si>
    <t>Inkluderet</t>
  </si>
  <si>
    <t>Udeladt</t>
  </si>
  <si>
    <t>Variabel ID</t>
  </si>
  <si>
    <t>Anbefaling</t>
  </si>
  <si>
    <t>Valg til lineær regression</t>
  </si>
  <si>
    <t>SandFalsk_liste</t>
  </si>
  <si>
    <t>Slicer til valg om inkludering af variable i ANOVA</t>
  </si>
  <si>
    <t>Beregninger til slicer om variable</t>
  </si>
  <si>
    <t>Max antal variable, baseret på tabelstørrelse</t>
  </si>
  <si>
    <t>Tabel ID</t>
  </si>
  <si>
    <t>Variabel i ANOVA</t>
  </si>
  <si>
    <t>Max rækker i data tabel</t>
  </si>
  <si>
    <t>Variabel position i Data</t>
  </si>
  <si>
    <t>Sum antal observationer</t>
  </si>
  <si>
    <t>Vægtet total gennemsnit</t>
  </si>
  <si>
    <t>Antal observationer -1</t>
  </si>
  <si>
    <t>Varians</t>
  </si>
  <si>
    <t>Sum af kvadrater mellem observationssæt</t>
  </si>
  <si>
    <t>Sum af kvadrater i observationssæt</t>
  </si>
  <si>
    <t>Gennemsnit af kvadrater mellem observationssæt</t>
  </si>
  <si>
    <t>Gennemsnit af kvadrater i observationssæt</t>
  </si>
  <si>
    <t>Negativ 3 standardafvigelser fra gennemsnit</t>
  </si>
  <si>
    <t>Positiv 3 standardafvigelser fra gennemsnit</t>
  </si>
  <si>
    <t>Minimum af negativ 3 afvigelser fra gennemsnit</t>
  </si>
  <si>
    <t>Maksimum af positiv 3 afvigelser fra gennemsnit</t>
  </si>
  <si>
    <t>Mindste intervalbredde for et observationssæt</t>
  </si>
  <si>
    <t>Minimum antal punkter i en kurve</t>
  </si>
  <si>
    <t>Forhold mellem total og mindste intervalbredde</t>
  </si>
  <si>
    <t>Diagram ID</t>
  </si>
  <si>
    <t>Mod, stacked ID</t>
  </si>
  <si>
    <t>Div, stacked ID</t>
  </si>
  <si>
    <t>Sammenligning af normalfordelinger, titel</t>
  </si>
  <si>
    <t>X akse, AxNorm</t>
  </si>
  <si>
    <t>Y akse, AyNorm</t>
  </si>
  <si>
    <t>Label, AlNorm</t>
  </si>
  <si>
    <t>Antal rækker i diagram</t>
  </si>
  <si>
    <t>Antal x akse punkter i diagram</t>
  </si>
  <si>
    <t>Afrundet gennemsnit</t>
  </si>
  <si>
    <t>Afrundet standardafvigelse</t>
  </si>
  <si>
    <t>Label x, AlxNorm</t>
  </si>
  <si>
    <t>Label y, AlyNorm</t>
  </si>
  <si>
    <t>Sammenligning af normalfordelinger, serie 1</t>
  </si>
  <si>
    <t>Sammenligning af normalfordelinger, serie 2</t>
  </si>
  <si>
    <t>Sammenligning med estimerede normalfordelinger</t>
  </si>
  <si>
    <t>Estimeret normalfordeling</t>
  </si>
  <si>
    <t>Antal parvise sammenligninger</t>
  </si>
  <si>
    <t>Par position opslag</t>
  </si>
  <si>
    <t>Antal variable ID</t>
  </si>
  <si>
    <t>Variabel navn, lodret</t>
  </si>
  <si>
    <t>Variabel navn, vandret</t>
  </si>
  <si>
    <t>t værdi for forskel i gennemsnit</t>
  </si>
  <si>
    <t>Signifikant med bonferroni justering</t>
  </si>
  <si>
    <t>Bonferroni justeret alpha</t>
  </si>
  <si>
    <t>Afrunding</t>
  </si>
  <si>
    <t>Kategorier, lodret label</t>
  </si>
  <si>
    <t>Kategorier, lodret x</t>
  </si>
  <si>
    <t>Kategorier, lodret y</t>
  </si>
  <si>
    <t>Kategorier, vandret x</t>
  </si>
  <si>
    <t>Kategorier, vandret y</t>
  </si>
  <si>
    <t>Kategorier, vandret label</t>
  </si>
  <si>
    <t>Kategorier ID</t>
  </si>
  <si>
    <t>Div kategorier ID</t>
  </si>
  <si>
    <t>Mod kategorier ID</t>
  </si>
  <si>
    <t>Multiple sammenligninger, titel</t>
  </si>
  <si>
    <t>Multiple sammenligninger, serie 1</t>
  </si>
  <si>
    <t>Multiple sammenligninger, serie 2</t>
  </si>
  <si>
    <t>Forskel mellem gennemsnit</t>
  </si>
  <si>
    <t>Signifikans, visualisering, AsMs</t>
  </si>
  <si>
    <t>Label, AlMs</t>
  </si>
  <si>
    <t>Par position lodret, AxMs</t>
  </si>
  <si>
    <t>Par position vandret, AyMs</t>
  </si>
  <si>
    <t>Kategorier x, AkxMs</t>
  </si>
  <si>
    <t>Kategorier y, AkyMs</t>
  </si>
  <si>
    <t>Kategorier, label, AklMs</t>
  </si>
  <si>
    <t>Bobbelstørrelse, label, AksMs</t>
  </si>
  <si>
    <t>Bobbelstørrelse</t>
  </si>
  <si>
    <t>Antal signifikante par</t>
  </si>
  <si>
    <t>Hypotesetest om forskel mellem flere gennemsnit, titel</t>
  </si>
  <si>
    <t>Hypotesetest om forskel mellem flere gennemsnit, serie 1</t>
  </si>
  <si>
    <t>Hypotesetest om forskel mellem flere gennemsnit, serie 2</t>
  </si>
  <si>
    <t>Antal datapunkter i tabel</t>
  </si>
  <si>
    <t>Maksimum x akse</t>
  </si>
  <si>
    <t>Nulhypotese, AyGn</t>
  </si>
  <si>
    <t>Alternativhypotese, AyGa</t>
  </si>
  <si>
    <t>F.dist, AyGs</t>
  </si>
  <si>
    <t>Hypotesetest om forskel mellem flere gennemsnit, serie 3</t>
  </si>
  <si>
    <t>Visualisering ID, AxG</t>
  </si>
  <si>
    <t>X akse label, AlG</t>
  </si>
  <si>
    <t>X position, nulhypotese label</t>
  </si>
  <si>
    <t>Y position, nulhypotese label</t>
  </si>
  <si>
    <t>Nulhypotese label</t>
  </si>
  <si>
    <t>X position, alternativ hypotese label</t>
  </si>
  <si>
    <t>Y position, alternativ hypotese label</t>
  </si>
  <si>
    <t>Alternativ hypotese label</t>
  </si>
  <si>
    <t>Nulhypotese afvises</t>
  </si>
  <si>
    <t>Variable i ANOVA</t>
  </si>
  <si>
    <t>Visualisering ID, AxS</t>
  </si>
  <si>
    <t>Nulhypotese, AySn</t>
  </si>
  <si>
    <t>Alternativhypotese, AySa</t>
  </si>
  <si>
    <t>X akse label, AlS</t>
  </si>
  <si>
    <t>Frihedsgrader i fordeling</t>
  </si>
  <si>
    <t>Chisq.dist, AySs</t>
  </si>
  <si>
    <t>Bartlett's test, teststørrelse</t>
  </si>
  <si>
    <t>Bartlett's test, nulhypotesen afvises</t>
  </si>
  <si>
    <t>Bartlett's test, hjælpeberegning (n-k)</t>
  </si>
  <si>
    <t>Hypotesetest om forskel mellem flere standardafvigelser, titel</t>
  </si>
  <si>
    <t>Hypotesetest om forskel mellem flere standardafvigelser, serie 1</t>
  </si>
  <si>
    <t>Hypotesetest om forskel mellem flere standardafvigelser, serie 2</t>
  </si>
  <si>
    <t>Hypotesetest om forskel mellem flere standardafvigelser, serie 3</t>
  </si>
  <si>
    <t>Sammenlign flere gennemsnit og standardafvigelser</t>
  </si>
  <si>
    <t>Dette spill-arrays er horisontalt og skal derfor være længst til højre på arket</t>
  </si>
  <si>
    <t>Resultater af multiple sammenligninger</t>
  </si>
  <si>
    <t>Absolutte forskelle</t>
  </si>
  <si>
    <t>Kontrol af forudsætninger for hypotesetest om forskelle i gennemsnit</t>
  </si>
  <si>
    <t>Kontrol af forudsætninger for hypotesetest om forskelle i standardafvigelser</t>
  </si>
  <si>
    <t>Signifikant forskel mellem gennemsnit</t>
  </si>
  <si>
    <t>Par af variable, sorteret efter forskel mellem gennemsnit</t>
  </si>
  <si>
    <t>ANOVA tabel</t>
  </si>
  <si>
    <t>Afstand mellem X akse labels</t>
  </si>
  <si>
    <t>Hypotese_liste</t>
  </si>
  <si>
    <t>Fordeling_liste</t>
  </si>
  <si>
    <t>Hypotesetesetype_liste</t>
  </si>
  <si>
    <t>Beregningsmetode_liste</t>
  </si>
  <si>
    <t>Max antal observationer</t>
  </si>
  <si>
    <t>Har overskrift</t>
  </si>
  <si>
    <t>Sidste position for variabel</t>
  </si>
  <si>
    <t>Vælg uafhængige variable (Multi-Select)</t>
  </si>
  <si>
    <t>DataTitel_liste</t>
  </si>
  <si>
    <t>Overskriften anvendes som reference til dine data i al videre analyse og skal derfor være unik</t>
  </si>
  <si>
    <t>1. Giv hvert observationssæt en unik overskrift</t>
  </si>
  <si>
    <t>2. Indsæt data under hver overskrift</t>
  </si>
  <si>
    <t>Data er indsat korrekt, hvis det står under en overskrift og ikke indeholder blanke celler</t>
  </si>
  <si>
    <t>Den sikreste måde at indsætte data på, er igennem indsæt speciel =&gt; indsæt værdier (se figur 1)</t>
  </si>
  <si>
    <t>3. Fortsæt til en af de 6 øvrige ark for at udføre statistisk analyse af dine data</t>
  </si>
  <si>
    <t>Gennemsnit, variabel 1</t>
  </si>
  <si>
    <t>Gennemsnit, variabel 2</t>
  </si>
  <si>
    <t xml:space="preserve">          Resultat overblik</t>
  </si>
  <si>
    <t>v. 1.21.ANOVA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</si>
</sst>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000"/>
    <numFmt numFmtId="165" formatCode="0.000%"/>
    <numFmt numFmtId="166" formatCode="#,##0.000"/>
    <numFmt numFmtId="167" formatCode="#,##0.00\ &quot;kr.&quot;"/>
    <numFmt numFmtId="168" formatCode="#,##0\ &quot;kr.&quot;"/>
  </numFmts>
  <fonts count="18" x14ac:knownFonts="1">
    <font>
      <sz val="11"/>
      <color theme="1"/>
      <name val="Tw Cen MT"/>
      <family val="2"/>
      <scheme val="minor"/>
    </font>
    <font>
      <sz val="11"/>
      <color theme="1"/>
      <name val="Tw Cen MT"/>
      <family val="2"/>
      <scheme val="minor"/>
    </font>
    <font>
      <sz val="11"/>
      <color rgb="FF006100"/>
      <name val="Tw Cen MT"/>
      <family val="2"/>
      <scheme val="minor"/>
    </font>
    <font>
      <sz val="11"/>
      <color rgb="FF9C0006"/>
      <name val="Tw Cen MT"/>
      <family val="2"/>
      <scheme val="minor"/>
    </font>
    <font>
      <sz val="11"/>
      <color rgb="FF9C6500"/>
      <name val="Tw Cen MT"/>
      <family val="2"/>
      <scheme val="minor"/>
    </font>
    <font>
      <sz val="11"/>
      <color rgb="FF3F3F76"/>
      <name val="Tw Cen MT"/>
      <family val="2"/>
      <scheme val="minor"/>
    </font>
    <font>
      <sz val="11"/>
      <color rgb="FFFA7D00"/>
      <name val="Tw Cen MT"/>
      <family val="2"/>
      <scheme val="minor"/>
    </font>
    <font>
      <b/>
      <sz val="11"/>
      <color theme="0"/>
      <name val="Tw Cen MT"/>
      <family val="2"/>
      <scheme val="minor"/>
    </font>
    <font>
      <sz val="11"/>
      <color rgb="FFFF0000"/>
      <name val="Tw Cen MT"/>
      <family val="2"/>
      <scheme val="minor"/>
    </font>
    <font>
      <b/>
      <sz val="11"/>
      <color theme="1"/>
      <name val="Tw Cen MT"/>
      <family val="2"/>
      <scheme val="minor"/>
    </font>
    <font>
      <b/>
      <sz val="14"/>
      <name val="Tw Cen MT"/>
      <family val="2"/>
      <scheme val="minor"/>
    </font>
    <font>
      <b/>
      <sz val="11"/>
      <name val="Tw Cen MT"/>
      <family val="2"/>
      <scheme val="minor"/>
    </font>
    <font>
      <sz val="14"/>
      <color theme="1"/>
      <name val="Tw Cen MT"/>
      <family val="2"/>
      <scheme val="major"/>
    </font>
    <font>
      <i/>
      <sz val="11"/>
      <color rgb="FF7F7F7F"/>
      <name val="Tw Cen MT"/>
      <family val="2"/>
      <scheme val="minor"/>
    </font>
    <font>
      <sz val="8"/>
      <name val="Tw Cen MT"/>
      <family val="2"/>
      <scheme val="minor"/>
    </font>
    <font>
      <sz val="11"/>
      <name val="Tw Cen MT"/>
      <family val="2"/>
      <scheme val="minor"/>
    </font>
    <font>
      <u/>
      <sz val="11"/>
      <color theme="10"/>
      <name val="Tw Cen MT"/>
      <family val="2"/>
      <scheme val="minor"/>
    </font>
    <font>
      <b/>
      <sz val="11"/>
      <color rgb="FF9C0006"/>
      <name val="Tw Cen MT"/>
      <family val="2"/>
      <scheme val="minor"/>
    </font>
  </fonts>
  <fills count="1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39997558519241921"/>
        <bgColor indexed="65"/>
      </patternFill>
    </fill>
    <fill>
      <patternFill patternType="solid">
        <fgColor theme="9"/>
      </patternFill>
    </fill>
    <fill>
      <patternFill patternType="solid">
        <fgColor theme="4" tint="0.79998168889431442"/>
        <bgColor indexed="65"/>
      </patternFill>
    </fill>
    <fill>
      <patternFill patternType="solid">
        <fgColor theme="9" tint="0.59999389629810485"/>
        <bgColor indexed="65"/>
      </patternFill>
    </fill>
    <fill>
      <patternFill patternType="solid">
        <fgColor rgb="FFFFC7CE"/>
        <bgColor indexed="64"/>
      </patternFill>
    </fill>
  </fills>
  <borders count="5">
    <border>
      <left/>
      <right/>
      <top/>
      <bottom/>
      <diagonal/>
    </border>
    <border>
      <left/>
      <right/>
      <top/>
      <bottom style="double">
        <color rgb="FFFF80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bottom style="double">
        <color auto="1"/>
      </bottom>
      <diagonal/>
    </border>
    <border>
      <left style="thin">
        <color theme="0" tint="-0.24994659260841701"/>
      </left>
      <right/>
      <top style="thin">
        <color theme="0" tint="-0.24994659260841701"/>
      </top>
      <bottom style="thin">
        <color theme="0" tint="-0.24994659260841701"/>
      </bottom>
      <diagonal/>
    </border>
  </borders>
  <cellStyleXfs count="30">
    <xf numFmtId="0" fontId="0" fillId="0" borderId="0">
      <alignment vertical="top"/>
    </xf>
    <xf numFmtId="0" fontId="12" fillId="0" borderId="0" applyNumberFormat="0" applyFill="0" applyBorder="0" applyProtection="0">
      <alignment vertical="top"/>
    </xf>
    <xf numFmtId="0" fontId="10" fillId="0" borderId="0" applyNumberFormat="0" applyFill="0" applyBorder="0" applyProtection="0">
      <alignment vertical="top"/>
    </xf>
    <xf numFmtId="0" fontId="11" fillId="0" borderId="0" applyNumberFormat="0" applyFill="0" applyBorder="0" applyProtection="0">
      <alignment vertical="top"/>
    </xf>
    <xf numFmtId="0" fontId="15" fillId="0" borderId="2" applyNumberFormat="0" applyFont="0" applyFill="0" applyAlignment="0" applyProtection="0">
      <alignment vertical="top"/>
    </xf>
    <xf numFmtId="0" fontId="11" fillId="0" borderId="0" applyNumberFormat="0" applyFill="0" applyBorder="0" applyProtection="0">
      <alignment horizontal="centerContinuous" vertical="top" wrapText="1"/>
    </xf>
    <xf numFmtId="0" fontId="2"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0" fontId="5" fillId="5" borderId="2" applyNumberFormat="0" applyAlignment="0" applyProtection="0"/>
    <xf numFmtId="164" fontId="11" fillId="0" borderId="2" applyNumberFormat="0" applyAlignment="0" applyProtection="0"/>
    <xf numFmtId="0" fontId="5" fillId="6" borderId="2" applyNumberFormat="0" applyAlignment="0" applyProtection="0"/>
    <xf numFmtId="0" fontId="6" fillId="0" borderId="1" applyNumberFormat="0" applyFill="0" applyAlignment="0" applyProtection="0"/>
    <xf numFmtId="0" fontId="7" fillId="7" borderId="2" applyNumberFormat="0" applyAlignment="0" applyProtection="0"/>
    <xf numFmtId="0" fontId="8" fillId="0" borderId="0" applyNumberFormat="0" applyFill="0" applyBorder="0" applyAlignment="0" applyProtection="0"/>
    <xf numFmtId="0" fontId="1" fillId="8" borderId="2" applyNumberFormat="0" applyAlignment="0" applyProtection="0">
      <alignment vertical="top" wrapText="1"/>
    </xf>
    <xf numFmtId="166" fontId="9" fillId="0" borderId="3" applyNumberFormat="0" applyFill="0" applyAlignment="0" applyProtection="0"/>
    <xf numFmtId="0" fontId="13" fillId="0" borderId="0" applyNumberFormat="0" applyAlignment="0" applyProtection="0">
      <alignment vertical="top"/>
    </xf>
    <xf numFmtId="166" fontId="1" fillId="0" borderId="0" applyFont="0" applyFill="0" applyBorder="0" applyAlignment="0" applyProtection="0"/>
    <xf numFmtId="3" fontId="1" fillId="0" borderId="0" applyFont="0" applyFill="0" applyBorder="0" applyAlignment="0" applyProtection="0"/>
    <xf numFmtId="167" fontId="1" fillId="0" borderId="0" applyFont="0" applyFill="0" applyBorder="0" applyAlignment="0" applyProtection="0"/>
    <xf numFmtId="168" fontId="1" fillId="0" borderId="0" applyFont="0" applyFill="0" applyBorder="0" applyAlignment="0" applyProtection="0"/>
    <xf numFmtId="165" fontId="1" fillId="0" borderId="0" applyFont="0" applyFill="0" applyBorder="0" applyAlignment="0" applyProtection="0"/>
    <xf numFmtId="0" fontId="1" fillId="0" borderId="0" applyNumberFormat="0" applyFill="0" applyBorder="0" applyAlignment="0" applyProtection="0">
      <alignment vertical="top"/>
    </xf>
    <xf numFmtId="0" fontId="1" fillId="0" borderId="0" applyNumberFormat="0" applyFont="0" applyBorder="0" applyAlignment="0" applyProtection="0">
      <alignment vertical="top"/>
    </xf>
    <xf numFmtId="0" fontId="15" fillId="11" borderId="0" applyNumberFormat="0" applyBorder="0" applyAlignment="0" applyProtection="0"/>
    <xf numFmtId="0" fontId="1" fillId="10" borderId="0" applyNumberFormat="0" applyBorder="0" applyAlignment="0" applyProtection="0"/>
    <xf numFmtId="0" fontId="16" fillId="0" borderId="0" applyNumberFormat="0" applyFill="0" applyBorder="0" applyAlignment="0" applyProtection="0">
      <alignment vertical="top"/>
    </xf>
    <xf numFmtId="0" fontId="1" fillId="12" borderId="0" applyNumberFormat="0" applyBorder="0" applyAlignment="0" applyProtection="0"/>
    <xf numFmtId="0" fontId="1" fillId="13" borderId="0" applyNumberFormat="0" applyBorder="0" applyAlignment="0" applyProtection="0"/>
  </cellStyleXfs>
  <cellXfs count="43">
    <xf numFmtId="0" fontId="0" fillId="0" borderId="0" xfId="0">
      <alignment vertical="top"/>
    </xf>
    <xf numFmtId="0" fontId="10" fillId="0" borderId="0" xfId="2">
      <alignment vertical="top"/>
    </xf>
    <xf numFmtId="0" fontId="5" fillId="5" borderId="2" xfId="9" applyAlignment="1">
      <alignment vertical="top"/>
    </xf>
    <xf numFmtId="0" fontId="11" fillId="0" borderId="0" xfId="3">
      <alignment vertical="top"/>
    </xf>
    <xf numFmtId="0" fontId="13" fillId="0" borderId="0" xfId="17">
      <alignment vertical="top"/>
    </xf>
    <xf numFmtId="0" fontId="13" fillId="0" borderId="0" xfId="17" applyAlignment="1">
      <alignment horizontal="left" vertical="top"/>
    </xf>
    <xf numFmtId="0" fontId="1" fillId="10" borderId="0" xfId="23" applyFill="1" applyAlignment="1">
      <alignment horizontal="left" vertical="top"/>
    </xf>
    <xf numFmtId="0" fontId="1" fillId="9" borderId="0" xfId="23" applyFill="1" applyAlignment="1">
      <alignment horizontal="left" vertical="top"/>
    </xf>
    <xf numFmtId="0" fontId="10" fillId="10" borderId="0" xfId="2" applyFill="1">
      <alignment vertical="top"/>
    </xf>
    <xf numFmtId="0" fontId="13" fillId="0" borderId="0" xfId="17" applyFill="1">
      <alignment vertical="top"/>
    </xf>
    <xf numFmtId="0" fontId="10" fillId="9" borderId="0" xfId="2" applyFill="1">
      <alignment vertical="top"/>
    </xf>
    <xf numFmtId="0" fontId="1" fillId="10" borderId="0" xfId="26" applyAlignment="1">
      <alignment vertical="top"/>
    </xf>
    <xf numFmtId="0" fontId="16" fillId="0" borderId="0" xfId="27">
      <alignment vertical="top"/>
    </xf>
    <xf numFmtId="0" fontId="0" fillId="0" borderId="0" xfId="0" applyProtection="1">
      <alignment vertical="top"/>
      <protection locked="0"/>
    </xf>
    <xf numFmtId="9" fontId="5" fillId="5" borderId="2" xfId="22" applyNumberFormat="1" applyFont="1" applyFill="1" applyBorder="1" applyAlignment="1" applyProtection="1">
      <alignment vertical="top"/>
      <protection locked="0"/>
    </xf>
    <xf numFmtId="0" fontId="13" fillId="0" borderId="0" xfId="17" applyProtection="1">
      <alignment vertical="top"/>
      <protection locked="0"/>
    </xf>
    <xf numFmtId="0" fontId="11" fillId="0" borderId="0" xfId="3" applyProtection="1">
      <alignment vertical="top"/>
      <protection locked="0"/>
    </xf>
    <xf numFmtId="0" fontId="0" fillId="0" borderId="0" xfId="0" applyProtection="1">
      <alignment vertical="top"/>
    </xf>
    <xf numFmtId="0" fontId="0" fillId="0" borderId="2" xfId="4" applyFont="1" applyProtection="1">
      <alignment vertical="top"/>
    </xf>
    <xf numFmtId="0" fontId="7" fillId="7" borderId="2" xfId="13" applyAlignment="1" applyProtection="1">
      <alignment vertical="top"/>
    </xf>
    <xf numFmtId="0" fontId="0" fillId="0" borderId="4" xfId="4" applyFont="1" applyBorder="1" applyProtection="1">
      <alignment vertical="top"/>
    </xf>
    <xf numFmtId="0" fontId="13" fillId="0" borderId="0" xfId="17" applyProtection="1">
      <alignment vertical="top"/>
    </xf>
    <xf numFmtId="0" fontId="1" fillId="12" borderId="0" xfId="28" applyAlignment="1">
      <alignment vertical="top"/>
    </xf>
    <xf numFmtId="0" fontId="0" fillId="0" borderId="2" xfId="4" applyFont="1">
      <alignment vertical="top"/>
    </xf>
    <xf numFmtId="0" fontId="0" fillId="0" borderId="0" xfId="0" quotePrefix="1">
      <alignment vertical="top"/>
    </xf>
    <xf numFmtId="0" fontId="11" fillId="0" borderId="2" xfId="10" applyNumberFormat="1" applyAlignment="1">
      <alignment vertical="top"/>
    </xf>
    <xf numFmtId="166" fontId="11" fillId="0" borderId="2" xfId="18" applyFont="1" applyBorder="1" applyAlignment="1">
      <alignment vertical="top"/>
    </xf>
    <xf numFmtId="3" fontId="11" fillId="0" borderId="2" xfId="19" applyFont="1" applyBorder="1" applyAlignment="1">
      <alignment vertical="top"/>
    </xf>
    <xf numFmtId="165" fontId="11" fillId="0" borderId="2" xfId="10" applyNumberFormat="1" applyAlignment="1">
      <alignment vertical="top"/>
    </xf>
    <xf numFmtId="0" fontId="5" fillId="6" borderId="2" xfId="11" applyAlignment="1" applyProtection="1">
      <alignment vertical="top"/>
      <protection locked="0"/>
    </xf>
    <xf numFmtId="0" fontId="5" fillId="6" borderId="2" xfId="11" applyAlignment="1">
      <alignment vertical="top"/>
    </xf>
    <xf numFmtId="0" fontId="10" fillId="11" borderId="0" xfId="2" applyFill="1" applyProtection="1">
      <alignment vertical="top"/>
    </xf>
    <xf numFmtId="0" fontId="1" fillId="13" borderId="0" xfId="29" applyAlignment="1" applyProtection="1"/>
    <xf numFmtId="0" fontId="0" fillId="0" borderId="4" xfId="4" applyFont="1" applyBorder="1">
      <alignment vertical="top"/>
    </xf>
    <xf numFmtId="0" fontId="0" fillId="0" borderId="0" xfId="24" applyFont="1" applyBorder="1">
      <alignment vertical="top"/>
    </xf>
    <xf numFmtId="0" fontId="0" fillId="0" borderId="2" xfId="4" applyFont="1" applyAlignment="1" applyProtection="1">
      <alignment vertical="top"/>
      <protection locked="0"/>
    </xf>
    <xf numFmtId="0" fontId="0" fillId="0" borderId="0" xfId="0" applyNumberFormat="1">
      <alignment vertical="top"/>
    </xf>
    <xf numFmtId="0" fontId="0" fillId="0" borderId="2" xfId="4" applyFont="1" applyFill="1">
      <alignment vertical="top"/>
    </xf>
    <xf numFmtId="166" fontId="5" fillId="6" borderId="2" xfId="11" applyNumberFormat="1" applyAlignment="1">
      <alignment vertical="top"/>
    </xf>
    <xf numFmtId="3" fontId="5" fillId="6" borderId="2" xfId="11" applyNumberFormat="1" applyAlignment="1">
      <alignment vertical="top"/>
    </xf>
    <xf numFmtId="0" fontId="15" fillId="0" borderId="2" xfId="3" applyFont="1" applyBorder="1">
      <alignment vertical="top"/>
    </xf>
    <xf numFmtId="0" fontId="17" fillId="14" borderId="2" xfId="10" applyNumberFormat="1" applyFont="1" applyFill="1" applyAlignment="1">
      <alignment vertical="top"/>
    </xf>
    <xf numFmtId="0" fontId="11" fillId="5" borderId="2" xfId="3" applyFill="1" applyBorder="1">
      <alignment vertical="top"/>
    </xf>
  </cellXfs>
  <cellStyles count="30">
    <cellStyle name="20% - Accent1" xfId="28" builtinId="30"/>
    <cellStyle name="40% - Accent6" xfId="29" builtinId="51"/>
    <cellStyle name="60% - Accent1" xfId="26" builtinId="32"/>
    <cellStyle name="Accent6" xfId="25" builtinId="49" customBuiltin="1"/>
    <cellStyle name="Bad" xfId="7" builtinId="27" hidden="1"/>
    <cellStyle name="Calculation" xfId="11" builtinId="22" customBuiltin="1"/>
    <cellStyle name="Check Cell" xfId="13" builtinId="23" customBuiltin="1"/>
    <cellStyle name="Comma" xfId="18" builtinId="3" customBuiltin="1"/>
    <cellStyle name="Comma [0]" xfId="19" builtinId="6" customBuiltin="1"/>
    <cellStyle name="Currency" xfId="20" builtinId="4" customBuiltin="1"/>
    <cellStyle name="Currency [0]" xfId="21" builtinId="7" customBuiltin="1"/>
    <cellStyle name="Explanatory Text" xfId="17" builtinId="53" customBuiltin="1"/>
    <cellStyle name="Good" xfId="6" builtinId="26" hidden="1"/>
    <cellStyle name="Heading 1" xfId="2" builtinId="16" customBuiltin="1"/>
    <cellStyle name="Heading 2" xfId="3" builtinId="17" customBuiltin="1"/>
    <cellStyle name="Heading 3" xfId="4" builtinId="18" customBuiltin="1"/>
    <cellStyle name="Heading 4" xfId="5" builtinId="19" customBuiltin="1"/>
    <cellStyle name="Hyperlink" xfId="27" builtinId="8"/>
    <cellStyle name="Input" xfId="9" builtinId="20" customBuiltin="1"/>
    <cellStyle name="Linked Cell" xfId="12" builtinId="24" hidden="1"/>
    <cellStyle name="Neutral" xfId="8" builtinId="28" hidden="1"/>
    <cellStyle name="Normal" xfId="0" builtinId="0" customBuiltin="1"/>
    <cellStyle name="Normal Fill" xfId="24" xr:uid="{F8B51D0D-85A6-44BC-88ED-53A39908D51E}"/>
    <cellStyle name="Normal Font" xfId="23" xr:uid="{38BB73A8-EBB3-49D5-98B5-B3C1275E03C2}"/>
    <cellStyle name="Note" xfId="15" builtinId="10" customBuiltin="1"/>
    <cellStyle name="Output" xfId="10" builtinId="21" customBuiltin="1"/>
    <cellStyle name="Percent" xfId="22" builtinId="5" customBuiltin="1"/>
    <cellStyle name="Title" xfId="1" builtinId="15" hidden="1" customBuiltin="1"/>
    <cellStyle name="Total" xfId="16" builtinId="25" customBuiltin="1"/>
    <cellStyle name="Warning Text" xfId="14" builtinId="11" hidden="1"/>
  </cellStyles>
  <dxfs count="120">
    <dxf>
      <font>
        <color rgb="FF006100"/>
      </font>
      <fill>
        <patternFill>
          <bgColor rgb="FFC6EFCE"/>
        </patternFill>
      </fill>
    </dxf>
    <dxf>
      <font>
        <color rgb="FF006100"/>
      </font>
      <fill>
        <patternFill>
          <bgColor rgb="FFC6EFCE"/>
        </patternFill>
      </fill>
    </dxf>
    <dxf>
      <border>
        <left/>
        <right/>
        <bottom/>
        <vertical/>
        <horizontal/>
      </border>
    </dxf>
    <dxf>
      <font>
        <color rgb="FF9C0006"/>
      </font>
      <fill>
        <patternFill>
          <bgColor rgb="FFFFC7CE"/>
        </patternFill>
      </fill>
    </dxf>
    <dxf>
      <numFmt numFmtId="0" formatCode="General"/>
    </dxf>
    <dxf>
      <numFmt numFmtId="0" formatCode="General"/>
    </dxf>
    <dxf>
      <numFmt numFmtId="0" formatCode="General"/>
    </dxf>
    <dxf>
      <numFmt numFmtId="0" formatCode="General"/>
    </dxf>
    <dxf>
      <fill>
        <patternFill>
          <bgColor theme="3" tint="0.79998168889431442"/>
        </patternFill>
      </fill>
    </dxf>
    <dxf>
      <fill>
        <patternFill>
          <bgColor theme="3" tint="0.79998168889431442"/>
        </patternFill>
      </fill>
    </dxf>
    <dxf>
      <fill>
        <patternFill patternType="none">
          <bgColor auto="1"/>
        </patternFill>
      </fill>
      <border>
        <left style="thick">
          <color theme="3" tint="-0.24994659260841701"/>
        </left>
      </border>
    </dxf>
    <dxf>
      <font>
        <b/>
        <i val="0"/>
        <color theme="0"/>
      </font>
      <fill>
        <patternFill>
          <bgColor theme="3"/>
        </patternFill>
      </fill>
    </dxf>
    <dxf>
      <border>
        <top style="thick">
          <color theme="3" tint="-0.24994659260841701"/>
        </top>
      </border>
    </dxf>
    <dxf>
      <font>
        <b/>
        <i val="0"/>
        <color theme="0"/>
      </font>
      <fill>
        <patternFill>
          <bgColor theme="3"/>
        </patternFill>
      </fill>
    </dxf>
    <dxf>
      <border>
        <left style="thin">
          <color theme="3" tint="0.39994506668294322"/>
        </left>
        <right style="thin">
          <color theme="3" tint="0.39994506668294322"/>
        </right>
        <top style="thin">
          <color theme="3" tint="0.39994506668294322"/>
        </top>
        <bottom style="thin">
          <color theme="3" tint="0.39994506668294322"/>
        </bottom>
        <vertical style="thin">
          <color theme="3" tint="0.39994506668294322"/>
        </vertical>
        <horizontal style="thin">
          <color theme="3" tint="0.39994506668294322"/>
        </horizontal>
      </border>
    </dxf>
    <dxf>
      <fill>
        <patternFill>
          <bgColor theme="9" tint="0.79998168889431442"/>
        </patternFill>
      </fill>
    </dxf>
    <dxf>
      <fill>
        <patternFill>
          <bgColor theme="9" tint="0.79998168889431442"/>
        </patternFill>
      </fill>
    </dxf>
    <dxf>
      <fill>
        <patternFill patternType="none">
          <bgColor auto="1"/>
        </patternFill>
      </fill>
      <border>
        <left style="thick">
          <color theme="9" tint="-0.24994659260841701"/>
        </left>
      </border>
    </dxf>
    <dxf>
      <font>
        <b/>
        <i val="0"/>
        <color theme="0"/>
      </font>
      <fill>
        <patternFill>
          <bgColor theme="9"/>
        </patternFill>
      </fill>
    </dxf>
    <dxf>
      <border>
        <top style="thick">
          <color theme="9" tint="-0.24994659260841701"/>
        </top>
      </border>
    </dxf>
    <dxf>
      <font>
        <b/>
        <i val="0"/>
        <color theme="0"/>
      </font>
      <fill>
        <patternFill>
          <bgColor theme="9"/>
        </patternFill>
      </fill>
    </dxf>
    <dxf>
      <border>
        <left style="thin">
          <color theme="9" tint="0.39994506668294322"/>
        </left>
        <right style="thin">
          <color theme="9" tint="0.39994506668294322"/>
        </right>
        <top style="thin">
          <color theme="9" tint="0.39994506668294322"/>
        </top>
        <bottom style="thin">
          <color theme="9" tint="0.39994506668294322"/>
        </bottom>
        <vertical style="thin">
          <color theme="9" tint="0.39994506668294322"/>
        </vertical>
        <horizontal style="thin">
          <color theme="9" tint="0.39994506668294322"/>
        </horizontal>
      </border>
    </dxf>
    <dxf>
      <fill>
        <patternFill>
          <bgColor theme="8" tint="0.79998168889431442"/>
        </patternFill>
      </fill>
    </dxf>
    <dxf>
      <fill>
        <patternFill>
          <bgColor theme="8" tint="0.79998168889431442"/>
        </patternFill>
      </fill>
    </dxf>
    <dxf>
      <fill>
        <patternFill patternType="none">
          <bgColor auto="1"/>
        </patternFill>
      </fill>
      <border>
        <left style="thick">
          <color theme="8" tint="-0.24994659260841701"/>
        </left>
      </border>
    </dxf>
    <dxf>
      <font>
        <b/>
        <i val="0"/>
        <color theme="0"/>
      </font>
      <fill>
        <patternFill>
          <bgColor theme="8"/>
        </patternFill>
      </fill>
    </dxf>
    <dxf>
      <border>
        <top style="thick">
          <color theme="8" tint="-0.24994659260841701"/>
        </top>
      </border>
    </dxf>
    <dxf>
      <font>
        <b/>
        <i val="0"/>
        <color theme="0"/>
      </font>
      <fill>
        <patternFill>
          <bgColor theme="8"/>
        </patternFill>
      </fill>
    </dxf>
    <dxf>
      <border>
        <left style="thin">
          <color theme="8" tint="0.39994506668294322"/>
        </left>
        <right style="thin">
          <color theme="8" tint="0.39994506668294322"/>
        </right>
        <top style="thin">
          <color theme="8" tint="0.39994506668294322"/>
        </top>
        <bottom style="thin">
          <color theme="8" tint="0.39994506668294322"/>
        </bottom>
        <vertical style="thin">
          <color theme="8" tint="0.39994506668294322"/>
        </vertical>
        <horizontal style="thin">
          <color theme="8" tint="0.39994506668294322"/>
        </horizontal>
      </border>
    </dxf>
    <dxf>
      <fill>
        <patternFill>
          <bgColor theme="7" tint="0.79998168889431442"/>
        </patternFill>
      </fill>
    </dxf>
    <dxf>
      <fill>
        <patternFill>
          <bgColor theme="7" tint="0.79998168889431442"/>
        </patternFill>
      </fill>
    </dxf>
    <dxf>
      <fill>
        <patternFill patternType="none">
          <bgColor auto="1"/>
        </patternFill>
      </fill>
      <border>
        <left style="thick">
          <color theme="7" tint="-0.24994659260841701"/>
        </left>
      </border>
    </dxf>
    <dxf>
      <font>
        <b/>
        <i val="0"/>
        <color theme="0"/>
      </font>
      <fill>
        <patternFill>
          <bgColor theme="7"/>
        </patternFill>
      </fill>
    </dxf>
    <dxf>
      <border>
        <top style="thick">
          <color theme="7" tint="-0.24994659260841701"/>
        </top>
      </border>
    </dxf>
    <dxf>
      <font>
        <b/>
        <i val="0"/>
        <color theme="0"/>
      </font>
      <fill>
        <patternFill>
          <bgColor theme="7"/>
        </patternFill>
      </fill>
    </dxf>
    <dxf>
      <border>
        <left style="thin">
          <color theme="7" tint="0.39994506668294322"/>
        </left>
        <right style="thin">
          <color theme="7" tint="0.39994506668294322"/>
        </right>
        <top style="thin">
          <color theme="7" tint="0.39994506668294322"/>
        </top>
        <bottom style="thin">
          <color theme="7" tint="0.39994506668294322"/>
        </bottom>
        <vertical style="thin">
          <color theme="7" tint="0.39994506668294322"/>
        </vertical>
        <horizontal style="thin">
          <color theme="7" tint="0.39994506668294322"/>
        </horizontal>
      </border>
    </dxf>
    <dxf>
      <fill>
        <patternFill>
          <bgColor theme="6" tint="0.79998168889431442"/>
        </patternFill>
      </fill>
    </dxf>
    <dxf>
      <fill>
        <patternFill>
          <bgColor theme="6" tint="0.79998168889431442"/>
        </patternFill>
      </fill>
    </dxf>
    <dxf>
      <fill>
        <patternFill patternType="none">
          <bgColor auto="1"/>
        </patternFill>
      </fill>
      <border>
        <left style="thick">
          <color theme="6" tint="-0.24994659260841701"/>
        </left>
      </border>
    </dxf>
    <dxf>
      <font>
        <b/>
        <i val="0"/>
        <color theme="0"/>
      </font>
      <fill>
        <patternFill>
          <bgColor theme="6"/>
        </patternFill>
      </fill>
    </dxf>
    <dxf>
      <border>
        <top style="thick">
          <color theme="6" tint="-0.24994659260841701"/>
        </top>
      </border>
    </dxf>
    <dxf>
      <font>
        <b/>
        <i val="0"/>
        <color theme="0"/>
      </font>
      <fill>
        <patternFill>
          <bgColor theme="6"/>
        </patternFill>
      </fill>
    </dxf>
    <dxf>
      <border>
        <left style="thin">
          <color theme="6" tint="0.39994506668294322"/>
        </left>
        <right style="thin">
          <color theme="6" tint="0.39994506668294322"/>
        </right>
        <top style="thin">
          <color theme="6" tint="0.39994506668294322"/>
        </top>
        <bottom style="thin">
          <color theme="6" tint="0.39994506668294322"/>
        </bottom>
        <vertical style="thin">
          <color theme="6" tint="0.39994506668294322"/>
        </vertical>
        <horizontal style="thin">
          <color theme="6" tint="0.39994506668294322"/>
        </horizontal>
      </border>
    </dxf>
    <dxf>
      <fill>
        <patternFill>
          <bgColor theme="5" tint="0.79998168889431442"/>
        </patternFill>
      </fill>
    </dxf>
    <dxf>
      <fill>
        <patternFill>
          <bgColor theme="5" tint="0.79998168889431442"/>
        </patternFill>
      </fill>
    </dxf>
    <dxf>
      <fill>
        <patternFill patternType="none">
          <bgColor auto="1"/>
        </patternFill>
      </fill>
      <border>
        <left style="thick">
          <color theme="5" tint="-0.24994659260841701"/>
        </left>
      </border>
    </dxf>
    <dxf>
      <font>
        <b/>
        <i val="0"/>
        <color theme="0"/>
      </font>
      <fill>
        <patternFill>
          <bgColor theme="5"/>
        </patternFill>
      </fill>
    </dxf>
    <dxf>
      <border>
        <top style="thick">
          <color theme="5" tint="-0.24994659260841701"/>
        </top>
      </border>
    </dxf>
    <dxf>
      <font>
        <b/>
        <i val="0"/>
        <color theme="0"/>
      </font>
      <fill>
        <patternFill>
          <bgColor theme="5"/>
        </patternFill>
      </fill>
    </dxf>
    <dxf>
      <border>
        <left style="thin">
          <color theme="5" tint="0.39994506668294322"/>
        </left>
        <right style="thin">
          <color theme="5" tint="0.39994506668294322"/>
        </right>
        <top style="thin">
          <color theme="5" tint="0.39994506668294322"/>
        </top>
        <bottom style="thin">
          <color theme="5" tint="0.39994506668294322"/>
        </bottom>
        <vertical style="thin">
          <color theme="5" tint="0.39994506668294322"/>
        </vertical>
        <horizontal style="thin">
          <color theme="5" tint="0.39994506668294322"/>
        </horizontal>
      </border>
    </dxf>
    <dxf>
      <fill>
        <patternFill>
          <bgColor theme="4" tint="0.79998168889431442"/>
        </patternFill>
      </fill>
    </dxf>
    <dxf>
      <fill>
        <patternFill>
          <bgColor theme="4" tint="0.79998168889431442"/>
        </patternFill>
      </fill>
    </dxf>
    <dxf>
      <fill>
        <patternFill patternType="none">
          <bgColor auto="1"/>
        </patternFill>
      </fill>
      <border>
        <left style="thick">
          <color theme="4" tint="-0.24994659260841701"/>
        </left>
      </border>
    </dxf>
    <dxf>
      <font>
        <b/>
        <i val="0"/>
        <color theme="0"/>
      </font>
      <fill>
        <patternFill>
          <bgColor theme="4"/>
        </patternFill>
      </fill>
    </dxf>
    <dxf>
      <border>
        <top style="thick">
          <color theme="4" tint="-0.24994659260841701"/>
        </top>
      </border>
    </dxf>
    <dxf>
      <font>
        <b/>
        <i val="0"/>
        <color theme="0"/>
      </font>
      <fill>
        <patternFill>
          <bgColor theme="4"/>
        </patternFill>
      </fill>
    </dxf>
    <dxf>
      <border>
        <left style="thin">
          <color theme="4" tint="0.39994506668294322"/>
        </left>
        <right style="thin">
          <color theme="4" tint="0.39994506668294322"/>
        </right>
        <top style="thin">
          <color theme="4" tint="0.39994506668294322"/>
        </top>
        <bottom style="thin">
          <color theme="4" tint="0.39994506668294322"/>
        </bottom>
        <vertical style="thin">
          <color theme="4" tint="0.39994506668294322"/>
        </vertical>
        <horizontal style="thin">
          <color theme="4" tint="0.39994506668294322"/>
        </horizontal>
      </border>
    </dxf>
    <dxf>
      <fill>
        <patternFill>
          <bgColor theme="0" tint="-0.24994659260841701"/>
        </patternFill>
      </fill>
    </dxf>
    <dxf>
      <fill>
        <patternFill>
          <bgColor theme="0" tint="-0.24994659260841701"/>
        </patternFill>
      </fill>
    </dxf>
    <dxf>
      <fill>
        <patternFill patternType="none">
          <bgColor auto="1"/>
        </patternFill>
      </fill>
      <border>
        <left style="thick">
          <color theme="1" tint="0.24994659260841701"/>
        </left>
      </border>
    </dxf>
    <dxf>
      <font>
        <b/>
        <i val="0"/>
        <color theme="0"/>
      </font>
      <fill>
        <patternFill>
          <bgColor theme="1"/>
        </patternFill>
      </fill>
    </dxf>
    <dxf>
      <border>
        <top style="thick">
          <color theme="1" tint="0.24994659260841701"/>
        </top>
      </border>
    </dxf>
    <dxf>
      <font>
        <b/>
        <i val="0"/>
        <color theme="0"/>
      </font>
      <fill>
        <patternFill>
          <bgColor theme="1"/>
        </patternFill>
      </fill>
    </dxf>
    <dxf>
      <border>
        <left style="thin">
          <color theme="1" tint="0.34998626667073579"/>
        </left>
        <right style="thin">
          <color theme="1" tint="0.34998626667073579"/>
        </right>
        <top style="thin">
          <color theme="1" tint="0.34998626667073579"/>
        </top>
        <bottom style="thin">
          <color theme="1" tint="0.34998626667073579"/>
        </bottom>
        <vertical style="thin">
          <color theme="1" tint="0.34998626667073579"/>
        </vertical>
        <horizontal style="thin">
          <color theme="1" tint="0.34998626667073579"/>
        </horizontal>
      </border>
    </dxf>
    <dxf>
      <border>
        <left style="thin">
          <color theme="9" tint="0.39994506668294322"/>
        </left>
        <right style="thin">
          <color theme="9" tint="0.39994506668294322"/>
        </right>
        <vertical style="thin">
          <color theme="9" tint="0.39994506668294322"/>
        </vertical>
      </border>
    </dxf>
    <dxf>
      <border>
        <left style="thin">
          <color theme="9" tint="0.39994506668294322"/>
        </left>
        <right style="thin">
          <color theme="9" tint="0.39994506668294322"/>
        </right>
        <vertical style="thin">
          <color theme="9" tint="0.39994506668294322"/>
        </vertical>
      </border>
    </dxf>
    <dxf>
      <border>
        <top style="thin">
          <color theme="9" tint="0.39994506668294322"/>
        </top>
        <bottom style="thin">
          <color theme="9" tint="0.39994506668294322"/>
        </bottom>
        <horizontal style="thin">
          <color theme="9" tint="0.39994506668294322"/>
        </horizontal>
      </border>
    </dxf>
    <dxf>
      <border>
        <top style="thin">
          <color theme="9" tint="0.39994506668294322"/>
        </top>
        <bottom style="thin">
          <color theme="9" tint="0.39994506668294322"/>
        </bottom>
        <horizontal style="thin">
          <color theme="9" tint="0.39994506668294322"/>
        </horizontal>
      </border>
    </dxf>
    <dxf>
      <fill>
        <patternFill patternType="none">
          <bgColor auto="1"/>
        </patternFill>
      </fill>
      <border>
        <left style="thick">
          <color theme="9" tint="-0.24994659260841701"/>
        </left>
      </border>
    </dxf>
    <dxf>
      <border>
        <top style="thick">
          <color theme="9" tint="-0.24994659260841701"/>
        </top>
      </border>
    </dxf>
    <dxf>
      <font>
        <b/>
        <i val="0"/>
        <color theme="0"/>
      </font>
      <fill>
        <patternFill>
          <bgColor theme="9"/>
        </patternFill>
      </fill>
    </dxf>
    <dxf>
      <border>
        <left style="thin">
          <color theme="9" tint="0.39994506668294322"/>
        </left>
        <right style="thin">
          <color theme="9" tint="0.39994506668294322"/>
        </right>
        <top style="thin">
          <color theme="9" tint="0.39994506668294322"/>
        </top>
        <bottom style="thin">
          <color theme="9" tint="0.39994506668294322"/>
        </bottom>
        <vertical/>
        <horizontal/>
      </border>
    </dxf>
    <dxf>
      <border>
        <left style="thin">
          <color theme="8" tint="0.39994506668294322"/>
        </left>
        <right style="thin">
          <color theme="8" tint="0.39994506668294322"/>
        </right>
        <vertical style="thin">
          <color theme="8" tint="0.39994506668294322"/>
        </vertical>
      </border>
    </dxf>
    <dxf>
      <border>
        <left style="thin">
          <color theme="8" tint="0.39994506668294322"/>
        </left>
        <right style="thin">
          <color theme="8" tint="0.39994506668294322"/>
        </right>
        <vertical style="thin">
          <color theme="8" tint="0.39994506668294322"/>
        </vertical>
      </border>
    </dxf>
    <dxf>
      <border>
        <top style="thin">
          <color theme="8" tint="0.39994506668294322"/>
        </top>
        <bottom style="thin">
          <color theme="8" tint="0.39994506668294322"/>
        </bottom>
        <horizontal style="thin">
          <color theme="8" tint="0.39994506668294322"/>
        </horizontal>
      </border>
    </dxf>
    <dxf>
      <border>
        <top style="thin">
          <color theme="8" tint="0.39994506668294322"/>
        </top>
        <bottom style="thin">
          <color theme="8" tint="0.39994506668294322"/>
        </bottom>
        <horizontal style="thin">
          <color theme="8" tint="0.39994506668294322"/>
        </horizontal>
      </border>
    </dxf>
    <dxf>
      <fill>
        <patternFill patternType="none">
          <bgColor auto="1"/>
        </patternFill>
      </fill>
      <border>
        <left style="thick">
          <color theme="8" tint="-0.24994659260841701"/>
        </left>
      </border>
    </dxf>
    <dxf>
      <border>
        <top style="thick">
          <color theme="8" tint="-0.24994659260841701"/>
        </top>
      </border>
    </dxf>
    <dxf>
      <font>
        <b/>
        <i val="0"/>
        <color theme="0"/>
      </font>
      <fill>
        <patternFill>
          <bgColor theme="8"/>
        </patternFill>
      </fill>
    </dxf>
    <dxf>
      <border>
        <left style="thin">
          <color theme="8" tint="0.39994506668294322"/>
        </left>
        <right style="thin">
          <color theme="8" tint="0.39994506668294322"/>
        </right>
        <top style="thin">
          <color theme="8" tint="0.39994506668294322"/>
        </top>
        <bottom style="thin">
          <color theme="8" tint="0.39994506668294322"/>
        </bottom>
        <vertical/>
        <horizontal/>
      </border>
    </dxf>
    <dxf>
      <border>
        <left style="thin">
          <color theme="7" tint="0.39994506668294322"/>
        </left>
        <right style="thin">
          <color theme="7" tint="0.39994506668294322"/>
        </right>
        <vertical style="thin">
          <color theme="7" tint="0.39994506668294322"/>
        </vertical>
      </border>
    </dxf>
    <dxf>
      <border>
        <left style="thin">
          <color theme="7" tint="0.39994506668294322"/>
        </left>
        <right style="thin">
          <color theme="7" tint="0.39994506668294322"/>
        </right>
        <vertical style="thin">
          <color theme="7" tint="0.39994506668294322"/>
        </vertical>
      </border>
    </dxf>
    <dxf>
      <border>
        <top style="thin">
          <color theme="7" tint="0.39994506668294322"/>
        </top>
        <bottom style="thin">
          <color theme="7" tint="0.39994506668294322"/>
        </bottom>
        <horizontal style="thin">
          <color theme="7" tint="0.39994506668294322"/>
        </horizontal>
      </border>
    </dxf>
    <dxf>
      <border>
        <top style="thin">
          <color theme="7" tint="0.39994506668294322"/>
        </top>
        <bottom style="thin">
          <color theme="7" tint="0.39994506668294322"/>
        </bottom>
        <horizontal style="thin">
          <color theme="7" tint="0.39994506668294322"/>
        </horizontal>
      </border>
    </dxf>
    <dxf>
      <fill>
        <patternFill patternType="none">
          <bgColor auto="1"/>
        </patternFill>
      </fill>
      <border>
        <left style="thick">
          <color theme="7" tint="-0.24994659260841701"/>
        </left>
      </border>
    </dxf>
    <dxf>
      <border>
        <top style="thick">
          <color theme="7" tint="-0.24994659260841701"/>
        </top>
      </border>
    </dxf>
    <dxf>
      <font>
        <b/>
        <i val="0"/>
        <color theme="0"/>
      </font>
      <fill>
        <patternFill>
          <bgColor theme="7"/>
        </patternFill>
      </fill>
    </dxf>
    <dxf>
      <border>
        <left style="thin">
          <color theme="7" tint="0.39994506668294322"/>
        </left>
        <right style="thin">
          <color theme="7" tint="0.39994506668294322"/>
        </right>
        <top style="thin">
          <color theme="7" tint="0.39994506668294322"/>
        </top>
        <bottom style="thin">
          <color theme="7" tint="0.39994506668294322"/>
        </bottom>
        <vertical/>
        <horizontal/>
      </border>
    </dxf>
    <dxf>
      <border>
        <left style="thin">
          <color theme="6" tint="0.39994506668294322"/>
        </left>
        <right style="thin">
          <color theme="6" tint="0.39994506668294322"/>
        </right>
        <vertical style="thin">
          <color theme="6" tint="0.39994506668294322"/>
        </vertical>
      </border>
    </dxf>
    <dxf>
      <border>
        <left style="thin">
          <color theme="6" tint="0.39994506668294322"/>
        </left>
        <right style="thin">
          <color theme="6" tint="0.39994506668294322"/>
        </right>
        <vertical style="thin">
          <color theme="6" tint="0.39994506668294322"/>
        </vertical>
      </border>
    </dxf>
    <dxf>
      <border>
        <top style="thin">
          <color theme="6" tint="0.39994506668294322"/>
        </top>
        <bottom style="thin">
          <color theme="6" tint="0.39994506668294322"/>
        </bottom>
        <horizontal style="thin">
          <color theme="6" tint="0.39994506668294322"/>
        </horizontal>
      </border>
    </dxf>
    <dxf>
      <border>
        <top style="thin">
          <color theme="6" tint="0.39994506668294322"/>
        </top>
        <bottom style="thin">
          <color theme="6" tint="0.39994506668294322"/>
        </bottom>
        <horizontal style="thin">
          <color theme="6" tint="0.39994506668294322"/>
        </horizontal>
      </border>
    </dxf>
    <dxf>
      <fill>
        <patternFill patternType="none">
          <bgColor auto="1"/>
        </patternFill>
      </fill>
      <border>
        <left style="thick">
          <color theme="6" tint="-0.24994659260841701"/>
        </left>
      </border>
    </dxf>
    <dxf>
      <border>
        <top style="thick">
          <color theme="6" tint="-0.24994659260841701"/>
        </top>
      </border>
    </dxf>
    <dxf>
      <font>
        <b/>
        <i val="0"/>
        <color theme="0"/>
      </font>
      <fill>
        <patternFill>
          <bgColor theme="6"/>
        </patternFill>
      </fill>
    </dxf>
    <dxf>
      <border>
        <left style="thin">
          <color theme="6" tint="0.39994506668294322"/>
        </left>
        <right style="thin">
          <color theme="6" tint="0.39994506668294322"/>
        </right>
        <top style="thin">
          <color theme="6" tint="0.39994506668294322"/>
        </top>
        <bottom style="thin">
          <color theme="6" tint="0.39994506668294322"/>
        </bottom>
        <vertical/>
        <horizontal/>
      </border>
    </dxf>
    <dxf>
      <border>
        <left style="thin">
          <color theme="5" tint="0.39994506668294322"/>
        </left>
        <right style="thin">
          <color theme="5" tint="0.39994506668294322"/>
        </right>
        <vertical style="thin">
          <color theme="5" tint="0.39994506668294322"/>
        </vertical>
      </border>
    </dxf>
    <dxf>
      <border>
        <left style="thin">
          <color theme="5" tint="0.39994506668294322"/>
        </left>
        <right style="thin">
          <color theme="5" tint="0.39994506668294322"/>
        </right>
        <vertical style="thin">
          <color theme="5" tint="0.39994506668294322"/>
        </vertical>
      </border>
    </dxf>
    <dxf>
      <border>
        <top style="thin">
          <color theme="5" tint="0.39994506668294322"/>
        </top>
        <bottom style="thin">
          <color theme="5" tint="0.39994506668294322"/>
        </bottom>
        <horizontal style="thin">
          <color theme="5" tint="0.39994506668294322"/>
        </horizontal>
      </border>
    </dxf>
    <dxf>
      <border>
        <top style="thin">
          <color theme="5" tint="0.39994506668294322"/>
        </top>
        <bottom style="thin">
          <color theme="5" tint="0.39994506668294322"/>
        </bottom>
        <horizontal style="thin">
          <color theme="5" tint="0.39994506668294322"/>
        </horizontal>
      </border>
    </dxf>
    <dxf>
      <fill>
        <patternFill patternType="none">
          <bgColor auto="1"/>
        </patternFill>
      </fill>
      <border>
        <left style="thick">
          <color theme="5" tint="-0.24994659260841701"/>
        </left>
      </border>
    </dxf>
    <dxf>
      <border>
        <top style="thick">
          <color theme="5" tint="-0.24994659260841701"/>
        </top>
      </border>
    </dxf>
    <dxf>
      <font>
        <b/>
        <i val="0"/>
        <color theme="0"/>
      </font>
      <fill>
        <patternFill>
          <bgColor theme="5"/>
        </patternFill>
      </fill>
    </dxf>
    <dxf>
      <border>
        <left style="thin">
          <color theme="5" tint="0.39994506668294322"/>
        </left>
        <right style="thin">
          <color theme="5" tint="0.39994506668294322"/>
        </right>
        <top style="thin">
          <color theme="5" tint="0.39994506668294322"/>
        </top>
        <bottom style="thin">
          <color theme="5" tint="0.39994506668294322"/>
        </bottom>
        <vertical/>
        <horizontal/>
      </border>
    </dxf>
    <dxf>
      <border>
        <left style="thin">
          <color theme="4" tint="0.39994506668294322"/>
        </left>
        <right style="thin">
          <color theme="4" tint="0.39994506668294322"/>
        </right>
        <vertical style="thin">
          <color theme="4" tint="0.39994506668294322"/>
        </vertical>
      </border>
    </dxf>
    <dxf>
      <border>
        <left style="thin">
          <color theme="4" tint="0.39994506668294322"/>
        </left>
        <right style="thin">
          <color theme="4" tint="0.39994506668294322"/>
        </right>
        <vertical style="thin">
          <color theme="4" tint="0.39994506668294322"/>
        </vertical>
      </border>
    </dxf>
    <dxf>
      <border>
        <top style="thin">
          <color theme="4" tint="0.39994506668294322"/>
        </top>
        <bottom style="thin">
          <color theme="4" tint="0.39994506668294322"/>
        </bottom>
        <horizontal style="thin">
          <color theme="4" tint="0.39994506668294322"/>
        </horizontal>
      </border>
    </dxf>
    <dxf>
      <border>
        <top style="thin">
          <color theme="4" tint="0.39994506668294322"/>
        </top>
        <bottom style="thin">
          <color theme="4" tint="0.39994506668294322"/>
        </bottom>
        <horizontal style="thin">
          <color theme="4" tint="0.39994506668294322"/>
        </horizontal>
      </border>
    </dxf>
    <dxf>
      <fill>
        <patternFill patternType="none">
          <bgColor auto="1"/>
        </patternFill>
      </fill>
      <border>
        <left style="thick">
          <color theme="4" tint="-0.24994659260841701"/>
        </left>
      </border>
    </dxf>
    <dxf>
      <border>
        <top style="thick">
          <color theme="4" tint="-0.24994659260841701"/>
        </top>
      </border>
    </dxf>
    <dxf>
      <font>
        <b/>
        <i val="0"/>
        <color theme="0"/>
      </font>
      <fill>
        <patternFill>
          <bgColor theme="4"/>
        </patternFill>
      </fill>
    </dxf>
    <dxf>
      <border>
        <left style="thin">
          <color theme="4" tint="0.39994506668294322"/>
        </left>
        <right style="thin">
          <color theme="4" tint="0.39994506668294322"/>
        </right>
        <top style="thin">
          <color theme="4" tint="0.39994506668294322"/>
        </top>
        <bottom style="thin">
          <color theme="4" tint="0.39994506668294322"/>
        </bottom>
        <vertical/>
        <horizontal/>
      </border>
    </dxf>
    <dxf>
      <border>
        <left style="thin">
          <color theme="1" tint="0.34998626667073579"/>
        </left>
        <right style="thin">
          <color theme="1" tint="0.34998626667073579"/>
        </right>
        <vertical style="thin">
          <color theme="1" tint="0.34998626667073579"/>
        </vertical>
      </border>
    </dxf>
    <dxf>
      <border>
        <left style="thin">
          <color theme="1" tint="0.34998626667073579"/>
        </left>
        <right style="thin">
          <color theme="1" tint="0.34998626667073579"/>
        </right>
        <vertical style="thin">
          <color theme="1" tint="0.34998626667073579"/>
        </vertical>
      </border>
    </dxf>
    <dxf>
      <border>
        <top style="thin">
          <color theme="1" tint="0.34998626667073579"/>
        </top>
        <bottom style="thin">
          <color theme="1" tint="0.34998626667073579"/>
        </bottom>
        <horizontal style="thin">
          <color theme="1" tint="0.34998626667073579"/>
        </horizontal>
      </border>
    </dxf>
    <dxf>
      <border>
        <top style="thin">
          <color theme="1" tint="0.34998626667073579"/>
        </top>
        <bottom style="thin">
          <color theme="1" tint="0.34998626667073579"/>
        </bottom>
        <horizontal style="thin">
          <color theme="1" tint="0.34998626667073579"/>
        </horizontal>
      </border>
    </dxf>
    <dxf>
      <fill>
        <patternFill patternType="none">
          <bgColor auto="1"/>
        </patternFill>
      </fill>
      <border>
        <left style="thick">
          <color theme="1" tint="0.24994659260841701"/>
        </left>
      </border>
    </dxf>
    <dxf>
      <border>
        <top style="thick">
          <color theme="1" tint="0.24994659260841701"/>
        </top>
      </border>
    </dxf>
    <dxf>
      <font>
        <b/>
        <i val="0"/>
        <color theme="0"/>
      </font>
      <fill>
        <patternFill>
          <bgColor theme="1"/>
        </patternFill>
      </fill>
    </dxf>
    <dxf>
      <border>
        <left style="thin">
          <color theme="1" tint="0.34998626667073579"/>
        </left>
        <right style="thin">
          <color theme="1" tint="0.34998626667073579"/>
        </right>
        <top style="thin">
          <color theme="1" tint="0.34998626667073579"/>
        </top>
        <bottom style="thin">
          <color theme="1" tint="0.34998626667073579"/>
        </bottom>
        <vertical/>
        <horizontal/>
      </border>
    </dxf>
  </dxfs>
  <tableStyles count="15" defaultTableStyle="Table 1" defaultPivotStyle="PivotStyleLight16">
    <tableStyle name="List 0" pivot="0" count="8" xr9:uid="{00000000-0011-0000-FFFF-FFFF00000000}">
      <tableStyleElement type="wholeTable" dxfId="119"/>
      <tableStyleElement type="headerRow" dxfId="118"/>
      <tableStyleElement type="totalRow" dxfId="117"/>
      <tableStyleElement type="lastColumn" dxfId="116"/>
      <tableStyleElement type="firstRowStripe" dxfId="115"/>
      <tableStyleElement type="secondRowStripe" dxfId="114"/>
      <tableStyleElement type="firstColumnStripe" dxfId="113"/>
      <tableStyleElement type="secondColumnStripe" dxfId="112"/>
    </tableStyle>
    <tableStyle name="List 1" pivot="0" count="8" xr9:uid="{00000000-0011-0000-FFFF-FFFF01000000}">
      <tableStyleElement type="wholeTable" dxfId="111"/>
      <tableStyleElement type="headerRow" dxfId="110"/>
      <tableStyleElement type="totalRow" dxfId="109"/>
      <tableStyleElement type="lastColumn" dxfId="108"/>
      <tableStyleElement type="firstRowStripe" dxfId="107"/>
      <tableStyleElement type="secondRowStripe" dxfId="106"/>
      <tableStyleElement type="firstColumnStripe" dxfId="105"/>
      <tableStyleElement type="secondColumnStripe" dxfId="104"/>
    </tableStyle>
    <tableStyle name="List 2" pivot="0" count="8" xr9:uid="{00000000-0011-0000-FFFF-FFFF02000000}">
      <tableStyleElement type="wholeTable" dxfId="103"/>
      <tableStyleElement type="headerRow" dxfId="102"/>
      <tableStyleElement type="totalRow" dxfId="101"/>
      <tableStyleElement type="lastColumn" dxfId="100"/>
      <tableStyleElement type="firstRowStripe" dxfId="99"/>
      <tableStyleElement type="secondRowStripe" dxfId="98"/>
      <tableStyleElement type="firstColumnStripe" dxfId="97"/>
      <tableStyleElement type="secondColumnStripe" dxfId="96"/>
    </tableStyle>
    <tableStyle name="List 3" pivot="0" count="8" xr9:uid="{00000000-0011-0000-FFFF-FFFF03000000}">
      <tableStyleElement type="wholeTable" dxfId="95"/>
      <tableStyleElement type="headerRow" dxfId="94"/>
      <tableStyleElement type="totalRow" dxfId="93"/>
      <tableStyleElement type="lastColumn" dxfId="92"/>
      <tableStyleElement type="firstRowStripe" dxfId="91"/>
      <tableStyleElement type="secondRowStripe" dxfId="90"/>
      <tableStyleElement type="firstColumnStripe" dxfId="89"/>
      <tableStyleElement type="secondColumnStripe" dxfId="88"/>
    </tableStyle>
    <tableStyle name="List 4" pivot="0" count="8" xr9:uid="{00000000-0011-0000-FFFF-FFFF04000000}">
      <tableStyleElement type="wholeTable" dxfId="87"/>
      <tableStyleElement type="headerRow" dxfId="86"/>
      <tableStyleElement type="totalRow" dxfId="85"/>
      <tableStyleElement type="lastColumn" dxfId="84"/>
      <tableStyleElement type="firstRowStripe" dxfId="83"/>
      <tableStyleElement type="secondRowStripe" dxfId="82"/>
      <tableStyleElement type="firstColumnStripe" dxfId="81"/>
      <tableStyleElement type="secondColumnStripe" dxfId="80"/>
    </tableStyle>
    <tableStyle name="List 5" pivot="0" count="8" xr9:uid="{00000000-0011-0000-FFFF-FFFF05000000}">
      <tableStyleElement type="wholeTable" dxfId="79"/>
      <tableStyleElement type="headerRow" dxfId="78"/>
      <tableStyleElement type="totalRow" dxfId="77"/>
      <tableStyleElement type="lastColumn" dxfId="76"/>
      <tableStyleElement type="firstRowStripe" dxfId="75"/>
      <tableStyleElement type="secondRowStripe" dxfId="74"/>
      <tableStyleElement type="firstColumnStripe" dxfId="73"/>
      <tableStyleElement type="secondColumnStripe" dxfId="72"/>
    </tableStyle>
    <tableStyle name="List 6" pivot="0" count="8" xr9:uid="{00000000-0011-0000-FFFF-FFFF06000000}">
      <tableStyleElement type="wholeTable" dxfId="71"/>
      <tableStyleElement type="headerRow" dxfId="70"/>
      <tableStyleElement type="totalRow" dxfId="69"/>
      <tableStyleElement type="lastColumn" dxfId="68"/>
      <tableStyleElement type="firstRowStripe" dxfId="67"/>
      <tableStyleElement type="secondRowStripe" dxfId="66"/>
      <tableStyleElement type="firstColumnStripe" dxfId="65"/>
      <tableStyleElement type="secondColumnStripe" dxfId="64"/>
    </tableStyle>
    <tableStyle name="Table 0" pivot="0" count="7" xr9:uid="{00000000-0011-0000-FFFF-FFFF07000000}">
      <tableStyleElement type="wholeTable" dxfId="63"/>
      <tableStyleElement type="headerRow" dxfId="62"/>
      <tableStyleElement type="totalRow" dxfId="61"/>
      <tableStyleElement type="firstColumn" dxfId="60"/>
      <tableStyleElement type="lastColumn" dxfId="59"/>
      <tableStyleElement type="secondRowStripe" dxfId="58"/>
      <tableStyleElement type="secondColumnStripe" dxfId="57"/>
    </tableStyle>
    <tableStyle name="Table 1" pivot="0" count="7" xr9:uid="{00000000-0011-0000-FFFF-FFFF08000000}">
      <tableStyleElement type="wholeTable" dxfId="56"/>
      <tableStyleElement type="headerRow" dxfId="55"/>
      <tableStyleElement type="totalRow" dxfId="54"/>
      <tableStyleElement type="firstColumn" dxfId="53"/>
      <tableStyleElement type="lastColumn" dxfId="52"/>
      <tableStyleElement type="secondRowStripe" dxfId="51"/>
      <tableStyleElement type="secondColumnStripe" dxfId="50"/>
    </tableStyle>
    <tableStyle name="Table 2" pivot="0" count="7" xr9:uid="{00000000-0011-0000-FFFF-FFFF09000000}">
      <tableStyleElement type="wholeTable" dxfId="49"/>
      <tableStyleElement type="headerRow" dxfId="48"/>
      <tableStyleElement type="totalRow" dxfId="47"/>
      <tableStyleElement type="firstColumn" dxfId="46"/>
      <tableStyleElement type="lastColumn" dxfId="45"/>
      <tableStyleElement type="secondRowStripe" dxfId="44"/>
      <tableStyleElement type="secondColumnStripe" dxfId="43"/>
    </tableStyle>
    <tableStyle name="Table 3" pivot="0" count="7" xr9:uid="{00000000-0011-0000-FFFF-FFFF0A000000}">
      <tableStyleElement type="wholeTable" dxfId="42"/>
      <tableStyleElement type="headerRow" dxfId="41"/>
      <tableStyleElement type="totalRow" dxfId="40"/>
      <tableStyleElement type="firstColumn" dxfId="39"/>
      <tableStyleElement type="lastColumn" dxfId="38"/>
      <tableStyleElement type="secondRowStripe" dxfId="37"/>
      <tableStyleElement type="secondColumnStripe" dxfId="36"/>
    </tableStyle>
    <tableStyle name="Table 4" pivot="0" count="7" xr9:uid="{00000000-0011-0000-FFFF-FFFF0B000000}">
      <tableStyleElement type="wholeTable" dxfId="35"/>
      <tableStyleElement type="headerRow" dxfId="34"/>
      <tableStyleElement type="totalRow" dxfId="33"/>
      <tableStyleElement type="firstColumn" dxfId="32"/>
      <tableStyleElement type="lastColumn" dxfId="31"/>
      <tableStyleElement type="secondRowStripe" dxfId="30"/>
      <tableStyleElement type="secondColumnStripe" dxfId="29"/>
    </tableStyle>
    <tableStyle name="Table 5" pivot="0" count="7" xr9:uid="{00000000-0011-0000-FFFF-FFFF0C000000}">
      <tableStyleElement type="wholeTable" dxfId="28"/>
      <tableStyleElement type="headerRow" dxfId="27"/>
      <tableStyleElement type="totalRow" dxfId="26"/>
      <tableStyleElement type="firstColumn" dxfId="25"/>
      <tableStyleElement type="lastColumn" dxfId="24"/>
      <tableStyleElement type="secondRowStripe" dxfId="23"/>
      <tableStyleElement type="secondColumnStripe" dxfId="22"/>
    </tableStyle>
    <tableStyle name="Table 6" pivot="0" count="7" xr9:uid="{00000000-0011-0000-FFFF-FFFF0D000000}">
      <tableStyleElement type="wholeTable" dxfId="21"/>
      <tableStyleElement type="headerRow" dxfId="20"/>
      <tableStyleElement type="totalRow" dxfId="19"/>
      <tableStyleElement type="firstColumn" dxfId="18"/>
      <tableStyleElement type="lastColumn" dxfId="17"/>
      <tableStyleElement type="secondRowStripe" dxfId="16"/>
      <tableStyleElement type="secondColumnStripe" dxfId="15"/>
    </tableStyle>
    <tableStyle name="Table 7" pivot="0" count="7" xr9:uid="{6BE13D90-1AF0-4518-A1F1-60987CE17347}">
      <tableStyleElement type="wholeTable" dxfId="14"/>
      <tableStyleElement type="headerRow" dxfId="13"/>
      <tableStyleElement type="totalRow" dxfId="12"/>
      <tableStyleElement type="firstColumn" dxfId="11"/>
      <tableStyleElement type="lastColumn" dxfId="10"/>
      <tableStyleElement type="secondRowStripe" dxfId="9"/>
      <tableStyleElement type="secondColumnStripe" dxfId="8"/>
    </tableStyle>
  </tableStyles>
  <colors>
    <mruColors>
      <color rgb="FFFFC7CE"/>
      <color rgb="FF9C0006"/>
      <color rgb="FFD9D9D9"/>
      <color rgb="FF7F7F7F"/>
      <color rgb="FF3F3F76"/>
      <color rgb="FFBFBFBF"/>
      <color rgb="FF3F3F6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ANOVA!$CC$9</c:f>
          <c:strCache>
            <c:ptCount val="1"/>
            <c:pt idx="0">
              <c:v>Hypotesetest om forskel mellem flere gennemsnit
Nulhypotese om at alle populationers gennemsnit er ens
 afvises med 95% konfidens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ANOVA!$CC$13</c:f>
              <c:strCache>
                <c:ptCount val="1"/>
                <c:pt idx="0">
                  <c:v>Alternativ hypotese</c:v>
                </c:pt>
              </c:strCache>
            </c:strRef>
          </c:tx>
          <c:spPr>
            <a:solidFill>
              <a:schemeClr val="accent1"/>
            </a:solidFill>
            <a:ln w="25400">
              <a:noFill/>
            </a:ln>
            <a:effectLst/>
          </c:spPr>
          <c:cat>
            <c:strRef>
              <c:f>[0]!AlG</c:f>
              <c:strCache>
                <c:ptCount val="250"/>
                <c:pt idx="0">
                  <c:v>0</c:v>
                </c:pt>
                <c:pt idx="25">
                  <c:v>0.861</c:v>
                </c:pt>
                <c:pt idx="50">
                  <c:v>1.723</c:v>
                </c:pt>
                <c:pt idx="75">
                  <c:v>2.584</c:v>
                </c:pt>
                <c:pt idx="100">
                  <c:v>3.445</c:v>
                </c:pt>
                <c:pt idx="125">
                  <c:v>4.306</c:v>
                </c:pt>
                <c:pt idx="150">
                  <c:v>5.168</c:v>
                </c:pt>
                <c:pt idx="175">
                  <c:v>6.029</c:v>
                </c:pt>
                <c:pt idx="200">
                  <c:v>6.89</c:v>
                </c:pt>
                <c:pt idx="225">
                  <c:v>7.752</c:v>
                </c:pt>
                <c:pt idx="249">
                  <c:v>8.579</c:v>
                </c:pt>
              </c:strCache>
            </c:strRef>
          </c:cat>
          <c:val>
            <c:numRef>
              <c:f>[0]!AyGa</c:f>
              <c:numCache>
                <c:formatCode>General</c:formatCode>
                <c:ptCount val="25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3.6207573194551715E-2</c:v>
                </c:pt>
                <c:pt idx="101">
                  <c:v>3.5130373452467903E-2</c:v>
                </c:pt>
                <c:pt idx="102">
                  <c:v>3.4086994779636316E-2</c:v>
                </c:pt>
                <c:pt idx="103">
                  <c:v>3.3076319790228424E-2</c:v>
                </c:pt>
                <c:pt idx="104">
                  <c:v>3.2097269842137698E-2</c:v>
                </c:pt>
                <c:pt idx="105">
                  <c:v>3.1148803630451225E-2</c:v>
                </c:pt>
                <c:pt idx="106">
                  <c:v>3.0229915834267793E-2</c:v>
                </c:pt>
                <c:pt idx="107">
                  <c:v>2.9339635814752792E-2</c:v>
                </c:pt>
                <c:pt idx="108">
                  <c:v>2.8477026362407024E-2</c:v>
                </c:pt>
                <c:pt idx="109">
                  <c:v>2.7641182491609701E-2</c:v>
                </c:pt>
                <c:pt idx="110">
                  <c:v>2.6831230280575491E-2</c:v>
                </c:pt>
                <c:pt idx="111">
                  <c:v>2.6046325754941556E-2</c:v>
                </c:pt>
                <c:pt idx="112">
                  <c:v>2.5285653813273922E-2</c:v>
                </c:pt>
                <c:pt idx="113">
                  <c:v>2.4548427192851448E-2</c:v>
                </c:pt>
                <c:pt idx="114">
                  <c:v>2.3833885474153556E-2</c:v>
                </c:pt>
                <c:pt idx="115">
                  <c:v>2.3141294122541144E-2</c:v>
                </c:pt>
                <c:pt idx="116">
                  <c:v>2.2469943565682025E-2</c:v>
                </c:pt>
                <c:pt idx="117">
                  <c:v>2.1819148305330376E-2</c:v>
                </c:pt>
                <c:pt idx="118">
                  <c:v>2.1188246062126707E-2</c:v>
                </c:pt>
                <c:pt idx="119">
                  <c:v>2.0576596952137979E-2</c:v>
                </c:pt>
                <c:pt idx="120">
                  <c:v>1.99835826939097E-2</c:v>
                </c:pt>
                <c:pt idx="121">
                  <c:v>1.9408605844851289E-2</c:v>
                </c:pt>
                <c:pt idx="122">
                  <c:v>1.8851089065822769E-2</c:v>
                </c:pt>
                <c:pt idx="123">
                  <c:v>1.8310474412837192E-2</c:v>
                </c:pt>
                <c:pt idx="124">
                  <c:v>1.7786222654836249E-2</c:v>
                </c:pt>
                <c:pt idx="125">
                  <c:v>1.7277812616538015E-2</c:v>
                </c:pt>
                <c:pt idx="126">
                  <c:v>1.678474054539612E-2</c:v>
                </c:pt>
                <c:pt idx="127">
                  <c:v>1.6306519501748138E-2</c:v>
                </c:pt>
                <c:pt idx="128">
                  <c:v>1.5842678771267042E-2</c:v>
                </c:pt>
                <c:pt idx="129">
                  <c:v>1.5392763298865407E-2</c:v>
                </c:pt>
                <c:pt idx="130">
                  <c:v>1.4956333143235686E-2</c:v>
                </c:pt>
                <c:pt idx="131">
                  <c:v>1.4532962951241834E-2</c:v>
                </c:pt>
                <c:pt idx="132">
                  <c:v>1.4122241451409293E-2</c:v>
                </c:pt>
                <c:pt idx="133">
                  <c:v>1.3723770965789384E-2</c:v>
                </c:pt>
                <c:pt idx="134">
                  <c:v>1.3337166939503374E-2</c:v>
                </c:pt>
                <c:pt idx="135">
                  <c:v>1.29620574872981E-2</c:v>
                </c:pt>
                <c:pt idx="136">
                  <c:v>1.259808295647215E-2</c:v>
                </c:pt>
                <c:pt idx="137">
                  <c:v>1.2244895505555936E-2</c:v>
                </c:pt>
                <c:pt idx="138">
                  <c:v>1.1902158698153767E-2</c:v>
                </c:pt>
                <c:pt idx="139">
                  <c:v>1.1569547111378834E-2</c:v>
                </c:pt>
                <c:pt idx="140">
                  <c:v>1.1246745958334522E-2</c:v>
                </c:pt>
                <c:pt idx="141">
                  <c:v>1.0933450724116209E-2</c:v>
                </c:pt>
                <c:pt idx="142">
                  <c:v>1.0629366814829325E-2</c:v>
                </c:pt>
                <c:pt idx="143">
                  <c:v>1.0334209219137564E-2</c:v>
                </c:pt>
                <c:pt idx="144">
                  <c:v>1.0047702181875248E-2</c:v>
                </c:pt>
                <c:pt idx="145">
                  <c:v>9.7695788892752725E-3</c:v>
                </c:pt>
                <c:pt idx="146">
                  <c:v>9.4995811653814516E-3</c:v>
                </c:pt>
                <c:pt idx="147">
                  <c:v>9.2374591792312166E-3</c:v>
                </c:pt>
                <c:pt idx="148">
                  <c:v>8.9829711624096909E-3</c:v>
                </c:pt>
                <c:pt idx="149">
                  <c:v>8.7358831365925271E-3</c:v>
                </c:pt>
                <c:pt idx="150">
                  <c:v>8.4959686507088978E-3</c:v>
                </c:pt>
                <c:pt idx="151">
                  <c:v>8.2630085273705228E-3</c:v>
                </c:pt>
                <c:pt idx="152">
                  <c:v>8.0367906182259429E-3</c:v>
                </c:pt>
                <c:pt idx="153">
                  <c:v>7.817109567912716E-3</c:v>
                </c:pt>
                <c:pt idx="154">
                  <c:v>7.6037665862920371E-3</c:v>
                </c:pt>
                <c:pt idx="155">
                  <c:v>7.3965692286631669E-3</c:v>
                </c:pt>
                <c:pt idx="156">
                  <c:v>7.1953311836657303E-3</c:v>
                </c:pt>
                <c:pt idx="157">
                  <c:v>6.9998720685896902E-3</c:v>
                </c:pt>
                <c:pt idx="158">
                  <c:v>6.8100172318231803E-3</c:v>
                </c:pt>
                <c:pt idx="159">
                  <c:v>6.625597562178529E-3</c:v>
                </c:pt>
                <c:pt idx="160">
                  <c:v>6.4464493048467762E-3</c:v>
                </c:pt>
                <c:pt idx="161">
                  <c:v>6.2724138837404698E-3</c:v>
                </c:pt>
                <c:pt idx="162">
                  <c:v>6.1033377299934454E-3</c:v>
                </c:pt>
                <c:pt idx="163">
                  <c:v>5.9390721163949337E-3</c:v>
                </c:pt>
                <c:pt idx="164">
                  <c:v>5.7794729975441678E-3</c:v>
                </c:pt>
                <c:pt idx="165">
                  <c:v>5.6244008555190687E-3</c:v>
                </c:pt>
                <c:pt idx="166">
                  <c:v>5.4737205508607906E-3</c:v>
                </c:pt>
                <c:pt idx="167">
                  <c:v>5.327301178683198E-3</c:v>
                </c:pt>
                <c:pt idx="168">
                  <c:v>5.1850159297233767E-3</c:v>
                </c:pt>
                <c:pt idx="169">
                  <c:v>5.0467419561563013E-3</c:v>
                </c:pt>
                <c:pt idx="170">
                  <c:v>4.9123602420033151E-3</c:v>
                </c:pt>
                <c:pt idx="171">
                  <c:v>4.781755477970372E-3</c:v>
                </c:pt>
                <c:pt idx="172">
                  <c:v>4.6548159405581579E-3</c:v>
                </c:pt>
                <c:pt idx="173">
                  <c:v>4.5314333752920453E-3</c:v>
                </c:pt>
                <c:pt idx="174">
                  <c:v>4.411502883925454E-3</c:v>
                </c:pt>
                <c:pt idx="175">
                  <c:v>4.2949228154755955E-3</c:v>
                </c:pt>
                <c:pt idx="176">
                  <c:v>4.1815946609558589E-3</c:v>
                </c:pt>
                <c:pt idx="177">
                  <c:v>4.0714229516739999E-3</c:v>
                </c:pt>
                <c:pt idx="178">
                  <c:v>3.9643151609702306E-3</c:v>
                </c:pt>
                <c:pt idx="179">
                  <c:v>3.8601816092737528E-3</c:v>
                </c:pt>
                <c:pt idx="180">
                  <c:v>3.7589353723610675E-3</c:v>
                </c:pt>
                <c:pt idx="181">
                  <c:v>3.6604921927032184E-3</c:v>
                </c:pt>
                <c:pt idx="182">
                  <c:v>3.564770393793641E-3</c:v>
                </c:pt>
                <c:pt idx="183">
                  <c:v>3.4716907973521898E-3</c:v>
                </c:pt>
                <c:pt idx="184">
                  <c:v>3.3811766433043899E-3</c:v>
                </c:pt>
                <c:pt idx="185">
                  <c:v>3.2931535124391597E-3</c:v>
                </c:pt>
                <c:pt idx="186">
                  <c:v>3.2075492516513782E-3</c:v>
                </c:pt>
                <c:pt idx="187">
                  <c:v>3.1242939016791422E-3</c:v>
                </c:pt>
                <c:pt idx="188">
                  <c:v>3.0433196272491325E-3</c:v>
                </c:pt>
                <c:pt idx="189">
                  <c:v>2.9645606495461115E-3</c:v>
                </c:pt>
                <c:pt idx="190">
                  <c:v>2.8879531809260467E-3</c:v>
                </c:pt>
                <c:pt idx="191">
                  <c:v>2.8134353617951997E-3</c:v>
                </c:pt>
                <c:pt idx="192">
                  <c:v>2.7409471995800765E-3</c:v>
                </c:pt>
                <c:pt idx="193">
                  <c:v>2.6704305097160676E-3</c:v>
                </c:pt>
                <c:pt idx="194">
                  <c:v>2.601828858585245E-3</c:v>
                </c:pt>
                <c:pt idx="195">
                  <c:v>2.5350875083360027E-3</c:v>
                </c:pt>
                <c:pt idx="196">
                  <c:v>2.4701533635199044E-3</c:v>
                </c:pt>
                <c:pt idx="197">
                  <c:v>2.4069749194833745E-3</c:v>
                </c:pt>
                <c:pt idx="198">
                  <c:v>2.3455022124539535E-3</c:v>
                </c:pt>
                <c:pt idx="199">
                  <c:v>2.285686771263078E-3</c:v>
                </c:pt>
                <c:pt idx="200">
                  <c:v>2.2274815706496065E-3</c:v>
                </c:pt>
                <c:pt idx="201">
                  <c:v>2.1708409860898403E-3</c:v>
                </c:pt>
                <c:pt idx="202">
                  <c:v>2.1157207501022041E-3</c:v>
                </c:pt>
                <c:pt idx="203">
                  <c:v>2.0620779099763181E-3</c:v>
                </c:pt>
                <c:pt idx="204">
                  <c:v>2.0098707868779903E-3</c:v>
                </c:pt>
                <c:pt idx="205">
                  <c:v>1.9590589362834562E-3</c:v>
                </c:pt>
                <c:pt idx="206">
                  <c:v>1.9096031096978456E-3</c:v>
                </c:pt>
                <c:pt idx="207">
                  <c:v>1.8614652176143168E-3</c:v>
                </c:pt>
                <c:pt idx="208">
                  <c:v>1.8146082936719783E-3</c:v>
                </c:pt>
                <c:pt idx="209">
                  <c:v>1.7689964599721456E-3</c:v>
                </c:pt>
                <c:pt idx="210">
                  <c:v>1.7245948935138281E-3</c:v>
                </c:pt>
                <c:pt idx="211">
                  <c:v>1.6813697937108673E-3</c:v>
                </c:pt>
                <c:pt idx="212">
                  <c:v>1.63928835095429E-3</c:v>
                </c:pt>
                <c:pt idx="213">
                  <c:v>1.5983187161848253E-3</c:v>
                </c:pt>
                <c:pt idx="214">
                  <c:v>1.5584299714417875E-3</c:v>
                </c:pt>
                <c:pt idx="215">
                  <c:v>1.5195921013555502E-3</c:v>
                </c:pt>
                <c:pt idx="216">
                  <c:v>1.4817759655521483E-3</c:v>
                </c:pt>
                <c:pt idx="217">
                  <c:v>1.4449532719395786E-3</c:v>
                </c:pt>
                <c:pt idx="218">
                  <c:v>1.4090965508463606E-3</c:v>
                </c:pt>
                <c:pt idx="219">
                  <c:v>1.3741791299840386E-3</c:v>
                </c:pt>
                <c:pt idx="220">
                  <c:v>1.3401751102062611E-3</c:v>
                </c:pt>
                <c:pt idx="221">
                  <c:v>1.3070593420379587E-3</c:v>
                </c:pt>
                <c:pt idx="222">
                  <c:v>1.2748074029491352E-3</c:v>
                </c:pt>
                <c:pt idx="223">
                  <c:v>1.2433955753486422E-3</c:v>
                </c:pt>
                <c:pt idx="224">
                  <c:v>1.2128008252741199E-3</c:v>
                </c:pt>
                <c:pt idx="225">
                  <c:v>1.1830007817551383E-3</c:v>
                </c:pt>
                <c:pt idx="226">
                  <c:v>1.1539737168273978E-3</c:v>
                </c:pt>
                <c:pt idx="227">
                  <c:v>1.1256985261765126E-3</c:v>
                </c:pt>
                <c:pt idx="228">
                  <c:v>1.098154710390717E-3</c:v>
                </c:pt>
                <c:pt idx="229">
                  <c:v>1.0713223568025257E-3</c:v>
                </c:pt>
                <c:pt idx="230">
                  <c:v>1.045182121900015E-3</c:v>
                </c:pt>
                <c:pt idx="231">
                  <c:v>1.0197152142891474E-3</c:v>
                </c:pt>
                <c:pt idx="232">
                  <c:v>9.9490337818906893E-4</c:v>
                </c:pt>
                <c:pt idx="233">
                  <c:v>9.7072887744301475E-4</c:v>
                </c:pt>
                <c:pt idx="234">
                  <c:v>9.4717448002805578E-4</c:v>
                </c:pt>
                <c:pt idx="235">
                  <c:v>9.2422344304740329E-4</c:v>
                </c:pt>
                <c:pt idx="236">
                  <c:v>9.0185949818960684E-4</c:v>
                </c:pt>
                <c:pt idx="237">
                  <c:v>8.8006683763952966E-4</c:v>
                </c:pt>
                <c:pt idx="238">
                  <c:v>8.5883010042641435E-4</c:v>
                </c:pt>
                <c:pt idx="239">
                  <c:v>8.3813435919490855E-4</c:v>
                </c:pt>
                <c:pt idx="240">
                  <c:v>8.1796510738542112E-4</c:v>
                </c:pt>
                <c:pt idx="241">
                  <c:v>7.983082468105366E-4</c:v>
                </c:pt>
                <c:pt idx="242">
                  <c:v>7.7915007561476872E-4</c:v>
                </c:pt>
                <c:pt idx="243">
                  <c:v>7.6047727660531229E-4</c:v>
                </c:pt>
                <c:pt idx="244">
                  <c:v>7.4227690594184958E-4</c:v>
                </c:pt>
                <c:pt idx="245">
                  <c:v>7.2453638217389812E-4</c:v>
                </c:pt>
                <c:pt idx="246">
                  <c:v>7.0724347561458253E-4</c:v>
                </c:pt>
                <c:pt idx="247">
                  <c:v>6.9038629804002612E-4</c:v>
                </c:pt>
                <c:pt idx="248">
                  <c:v>6.7395329270396797E-4</c:v>
                </c:pt>
                <c:pt idx="249">
                  <c:v>6.5793322465757084E-4</c:v>
                </c:pt>
              </c:numCache>
            </c:numRef>
          </c:val>
          <c:extLst>
            <c:ext xmlns:c16="http://schemas.microsoft.com/office/drawing/2014/chart" uri="{C3380CC4-5D6E-409C-BE32-E72D297353CC}">
              <c16:uniqueId val="{00000000-4810-47BD-894D-11DB21D7DF81}"/>
            </c:ext>
          </c:extLst>
        </c:ser>
        <c:ser>
          <c:idx val="1"/>
          <c:order val="1"/>
          <c:tx>
            <c:strRef>
              <c:f>ANOVA!$CC$11</c:f>
              <c:strCache>
                <c:ptCount val="1"/>
                <c:pt idx="0">
                  <c:v>Nulhypotese</c:v>
                </c:pt>
              </c:strCache>
            </c:strRef>
          </c:tx>
          <c:spPr>
            <a:solidFill>
              <a:schemeClr val="accent2"/>
            </a:solidFill>
            <a:ln w="25400">
              <a:noFill/>
            </a:ln>
            <a:effectLst/>
          </c:spPr>
          <c:cat>
            <c:strRef>
              <c:f>[0]!AlG</c:f>
              <c:strCache>
                <c:ptCount val="250"/>
                <c:pt idx="0">
                  <c:v>0</c:v>
                </c:pt>
                <c:pt idx="25">
                  <c:v>0.861</c:v>
                </c:pt>
                <c:pt idx="50">
                  <c:v>1.723</c:v>
                </c:pt>
                <c:pt idx="75">
                  <c:v>2.584</c:v>
                </c:pt>
                <c:pt idx="100">
                  <c:v>3.445</c:v>
                </c:pt>
                <c:pt idx="125">
                  <c:v>4.306</c:v>
                </c:pt>
                <c:pt idx="150">
                  <c:v>5.168</c:v>
                </c:pt>
                <c:pt idx="175">
                  <c:v>6.029</c:v>
                </c:pt>
                <c:pt idx="200">
                  <c:v>6.89</c:v>
                </c:pt>
                <c:pt idx="225">
                  <c:v>7.752</c:v>
                </c:pt>
                <c:pt idx="249">
                  <c:v>8.579</c:v>
                </c:pt>
              </c:strCache>
            </c:strRef>
          </c:cat>
          <c:val>
            <c:numRef>
              <c:f>[0]!AyGn</c:f>
              <c:numCache>
                <c:formatCode>General</c:formatCode>
                <c:ptCount val="250"/>
                <c:pt idx="0">
                  <c:v>1</c:v>
                </c:pt>
                <c:pt idx="1">
                  <c:v>0.96415631893896581</c:v>
                </c:pt>
                <c:pt idx="2">
                  <c:v>0.92966803880132187</c:v>
                </c:pt>
                <c:pt idx="3">
                  <c:v>0.89648124620809611</c:v>
                </c:pt>
                <c:pt idx="4">
                  <c:v>0.86454427764871955</c:v>
                </c:pt>
                <c:pt idx="5">
                  <c:v>0.83380762121200558</c:v>
                </c:pt>
                <c:pt idx="6">
                  <c:v>0.80422382279979376</c:v>
                </c:pt>
                <c:pt idx="7">
                  <c:v>0.77574739661012126</c:v>
                </c:pt>
                <c:pt idx="8">
                  <c:v>0.74833473968732989</c:v>
                </c:pt>
                <c:pt idx="9">
                  <c:v>0.72194405034651732</c:v>
                </c:pt>
                <c:pt idx="10">
                  <c:v>0.69653525028923047</c:v>
                </c:pt>
                <c:pt idx="11">
                  <c:v>0.67206991023630136</c:v>
                </c:pt>
                <c:pt idx="12">
                  <c:v>0.64851117891227206</c:v>
                </c:pt>
                <c:pt idx="13">
                  <c:v>0.62582371522395908</c:v>
                </c:pt>
                <c:pt idx="14">
                  <c:v>0.60397362348341044</c:v>
                </c:pt>
                <c:pt idx="15">
                  <c:v>0.58292839153280418</c:v>
                </c:pt>
                <c:pt idx="16">
                  <c:v>0.56265683163578095</c:v>
                </c:pt>
                <c:pt idx="17">
                  <c:v>0.54312902400628027</c:v>
                </c:pt>
                <c:pt idx="18">
                  <c:v>0.524316262852208</c:v>
                </c:pt>
                <c:pt idx="19">
                  <c:v>0.50619100481719215</c:v>
                </c:pt>
                <c:pt idx="20">
                  <c:v>0.48872681970933252</c:v>
                </c:pt>
                <c:pt idx="21">
                  <c:v>0.4718983434111928</c:v>
                </c:pt>
                <c:pt idx="22">
                  <c:v>0.45568123287038503</c:v>
                </c:pt>
                <c:pt idx="23">
                  <c:v>0.44005212307491548</c:v>
                </c:pt>
                <c:pt idx="24">
                  <c:v>0.42498858592206529</c:v>
                </c:pt>
                <c:pt idx="25">
                  <c:v>0.41046909089393424</c:v>
                </c:pt>
                <c:pt idx="26">
                  <c:v>0.39647296745692678</c:v>
                </c:pt>
                <c:pt idx="27">
                  <c:v>0.38298036910639988</c:v>
                </c:pt>
                <c:pt idx="28">
                  <c:v>0.36997223898143639</c:v>
                </c:pt>
                <c:pt idx="29">
                  <c:v>0.35743027697827279</c:v>
                </c:pt>
                <c:pt idx="30">
                  <c:v>0.34533690829428981</c:v>
                </c:pt>
                <c:pt idx="31">
                  <c:v>0.33367525333769943</c:v>
                </c:pt>
                <c:pt idx="32">
                  <c:v>0.32242909894111627</c:v>
                </c:pt>
                <c:pt idx="33">
                  <c:v>0.31158287082011971</c:v>
                </c:pt>
                <c:pt idx="34">
                  <c:v>0.30112160722067222</c:v>
                </c:pt>
                <c:pt idx="35">
                  <c:v>0.29103093370190219</c:v>
                </c:pt>
                <c:pt idx="36">
                  <c:v>0.28129703900325542</c:v>
                </c:pt>
                <c:pt idx="37">
                  <c:v>0.27190665194741026</c:v>
                </c:pt>
                <c:pt idx="38">
                  <c:v>0.26284701933261334</c:v>
                </c:pt>
                <c:pt idx="39">
                  <c:v>0.25410588477025337</c:v>
                </c:pt>
                <c:pt idx="40">
                  <c:v>0.24567146842553902</c:v>
                </c:pt>
                <c:pt idx="41">
                  <c:v>0.23753244762111084</c:v>
                </c:pt>
                <c:pt idx="42">
                  <c:v>0.22967793826526423</c:v>
                </c:pt>
                <c:pt idx="43">
                  <c:v>0.22209747706823882</c:v>
                </c:pt>
                <c:pt idx="44">
                  <c:v>0.21478100451171675</c:v>
                </c:pt>
                <c:pt idx="45">
                  <c:v>0.20771884853826894</c:v>
                </c:pt>
                <c:pt idx="46">
                  <c:v>0.20090170892902393</c:v>
                </c:pt>
                <c:pt idx="47">
                  <c:v>0.19432064233928636</c:v>
                </c:pt>
                <c:pt idx="48">
                  <c:v>0.18796704796321512</c:v>
                </c:pt>
                <c:pt idx="49">
                  <c:v>0.18183265379999633</c:v>
                </c:pt>
                <c:pt idx="50">
                  <c:v>0.17590950349519938</c:v>
                </c:pt>
                <c:pt idx="51">
                  <c:v>0.170189943732203</c:v>
                </c:pt>
                <c:pt idx="52">
                  <c:v>0.16466661214971975</c:v>
                </c:pt>
                <c:pt idx="53">
                  <c:v>0.15933242576253434</c:v>
                </c:pt>
                <c:pt idx="54">
                  <c:v>0.15418056986360645</c:v>
                </c:pt>
                <c:pt idx="55">
                  <c:v>0.14920448738667683</c:v>
                </c:pt>
                <c:pt idx="56">
                  <c:v>0.14439786870945562</c:v>
                </c:pt>
                <c:pt idx="57">
                  <c:v>0.13975464187836859</c:v>
                </c:pt>
                <c:pt idx="58">
                  <c:v>0.13526896323669277</c:v>
                </c:pt>
                <c:pt idx="59">
                  <c:v>0.13093520843872647</c:v>
                </c:pt>
                <c:pt idx="60">
                  <c:v>0.12674796383341594</c:v>
                </c:pt>
                <c:pt idx="61">
                  <c:v>0.12270201820160426</c:v>
                </c:pt>
                <c:pt idx="62">
                  <c:v>0.11879235483176906</c:v>
                </c:pt>
                <c:pt idx="63">
                  <c:v>0.11501414391979549</c:v>
                </c:pt>
                <c:pt idx="64">
                  <c:v>0.11136273527896913</c:v>
                </c:pt>
                <c:pt idx="65">
                  <c:v>0.10783365134698773</c:v>
                </c:pt>
                <c:pt idx="66">
                  <c:v>0.10442258047737547</c:v>
                </c:pt>
                <c:pt idx="67">
                  <c:v>0.10112537050324176</c:v>
                </c:pt>
                <c:pt idx="68">
                  <c:v>9.7938022561856339E-2</c:v>
                </c:pt>
                <c:pt idx="69">
                  <c:v>9.4856685169023056E-2</c:v>
                </c:pt>
                <c:pt idx="70">
                  <c:v>9.1877648532716516E-2</c:v>
                </c:pt>
                <c:pt idx="71">
                  <c:v>8.8997339095911634E-2</c:v>
                </c:pt>
                <c:pt idx="72">
                  <c:v>8.6212314298971887E-2</c:v>
                </c:pt>
                <c:pt idx="73">
                  <c:v>8.3519257552389661E-2</c:v>
                </c:pt>
                <c:pt idx="74">
                  <c:v>8.0914973411068819E-2</c:v>
                </c:pt>
                <c:pt idx="75">
                  <c:v>7.8396382941726683E-2</c:v>
                </c:pt>
                <c:pt idx="76">
                  <c:v>7.5960519275357727E-2</c:v>
                </c:pt>
                <c:pt idx="77">
                  <c:v>7.3604523337050753E-2</c:v>
                </c:pt>
                <c:pt idx="78">
                  <c:v>7.1325639745787178E-2</c:v>
                </c:pt>
                <c:pt idx="79">
                  <c:v>6.912121287716419E-2</c:v>
                </c:pt>
                <c:pt idx="80">
                  <c:v>6.6988683082295067E-2</c:v>
                </c:pt>
                <c:pt idx="81">
                  <c:v>6.4925583056426123E-2</c:v>
                </c:pt>
                <c:pt idx="82">
                  <c:v>6.2929534351090374E-2</c:v>
                </c:pt>
                <c:pt idx="83">
                  <c:v>6.0998244023881945E-2</c:v>
                </c:pt>
                <c:pt idx="84">
                  <c:v>5.9129501420190821E-2</c:v>
                </c:pt>
                <c:pt idx="85">
                  <c:v>5.7321175081477681E-2</c:v>
                </c:pt>
                <c:pt idx="86">
                  <c:v>5.5571209774901563E-2</c:v>
                </c:pt>
                <c:pt idx="87">
                  <c:v>5.3877623639334557E-2</c:v>
                </c:pt>
                <c:pt idx="88">
                  <c:v>5.2238505443008232E-2</c:v>
                </c:pt>
                <c:pt idx="89">
                  <c:v>5.0652011948239699E-2</c:v>
                </c:pt>
                <c:pt idx="90">
                  <c:v>4.9116365378877584E-2</c:v>
                </c:pt>
                <c:pt idx="91">
                  <c:v>4.7629850986293881E-2</c:v>
                </c:pt>
                <c:pt idx="92">
                  <c:v>4.6190814709922638E-2</c:v>
                </c:pt>
                <c:pt idx="93">
                  <c:v>4.4797660928517648E-2</c:v>
                </c:pt>
                <c:pt idx="94">
                  <c:v>4.3448850298459844E-2</c:v>
                </c:pt>
                <c:pt idx="95">
                  <c:v>4.2142897675601899E-2</c:v>
                </c:pt>
                <c:pt idx="96">
                  <c:v>4.0878370117283888E-2</c:v>
                </c:pt>
                <c:pt idx="97">
                  <c:v>3.9653884961294988E-2</c:v>
                </c:pt>
                <c:pt idx="98">
                  <c:v>3.8468107978691976E-2</c:v>
                </c:pt>
                <c:pt idx="99">
                  <c:v>3.7319751597513211E-2</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numCache>
            </c:numRef>
          </c:val>
          <c:extLst>
            <c:ext xmlns:c16="http://schemas.microsoft.com/office/drawing/2014/chart" uri="{C3380CC4-5D6E-409C-BE32-E72D297353CC}">
              <c16:uniqueId val="{00000001-4810-47BD-894D-11DB21D7DF81}"/>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ANOVA!$CC$15</c:f>
              <c:strCache>
                <c:ptCount val="1"/>
                <c:pt idx="0">
                  <c:v>F fordeling med 2 og 33 frihedsgrader</c:v>
                </c:pt>
              </c:strCache>
            </c:strRef>
          </c:tx>
          <c:spPr>
            <a:ln w="28575" cap="rnd">
              <a:solidFill>
                <a:schemeClr val="bg1"/>
              </a:solidFill>
              <a:round/>
            </a:ln>
            <a:effectLst/>
          </c:spPr>
          <c:marker>
            <c:symbol val="none"/>
          </c:marker>
          <c:xVal>
            <c:numRef>
              <c:f>[0]!AxG</c:f>
              <c:numCache>
                <c:formatCode>General</c:formatCode>
                <c:ptCount val="25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numCache>
            </c:numRef>
          </c:xVal>
          <c:yVal>
            <c:numRef>
              <c:f>[0]!AyGs</c:f>
              <c:numCache>
                <c:formatCode>General</c:formatCode>
                <c:ptCount val="250"/>
                <c:pt idx="0">
                  <c:v>1</c:v>
                </c:pt>
                <c:pt idx="1">
                  <c:v>0.96415631893896581</c:v>
                </c:pt>
                <c:pt idx="2">
                  <c:v>0.92966803880132187</c:v>
                </c:pt>
                <c:pt idx="3">
                  <c:v>0.89648124620809611</c:v>
                </c:pt>
                <c:pt idx="4">
                  <c:v>0.86454427764871955</c:v>
                </c:pt>
                <c:pt idx="5">
                  <c:v>0.83380762121200558</c:v>
                </c:pt>
                <c:pt idx="6">
                  <c:v>0.80422382279979376</c:v>
                </c:pt>
                <c:pt idx="7">
                  <c:v>0.77574739661012126</c:v>
                </c:pt>
                <c:pt idx="8">
                  <c:v>0.74833473968732989</c:v>
                </c:pt>
                <c:pt idx="9">
                  <c:v>0.72194405034651732</c:v>
                </c:pt>
                <c:pt idx="10">
                  <c:v>0.69653525028923047</c:v>
                </c:pt>
                <c:pt idx="11">
                  <c:v>0.67206991023630136</c:v>
                </c:pt>
                <c:pt idx="12">
                  <c:v>0.64851117891227206</c:v>
                </c:pt>
                <c:pt idx="13">
                  <c:v>0.62582371522395908</c:v>
                </c:pt>
                <c:pt idx="14">
                  <c:v>0.60397362348341044</c:v>
                </c:pt>
                <c:pt idx="15">
                  <c:v>0.58292839153280418</c:v>
                </c:pt>
                <c:pt idx="16">
                  <c:v>0.56265683163578095</c:v>
                </c:pt>
                <c:pt idx="17">
                  <c:v>0.54312902400628027</c:v>
                </c:pt>
                <c:pt idx="18">
                  <c:v>0.524316262852208</c:v>
                </c:pt>
                <c:pt idx="19">
                  <c:v>0.50619100481719215</c:v>
                </c:pt>
                <c:pt idx="20">
                  <c:v>0.48872681970933252</c:v>
                </c:pt>
                <c:pt idx="21">
                  <c:v>0.4718983434111928</c:v>
                </c:pt>
                <c:pt idx="22">
                  <c:v>0.45568123287038503</c:v>
                </c:pt>
                <c:pt idx="23">
                  <c:v>0.44005212307491548</c:v>
                </c:pt>
                <c:pt idx="24">
                  <c:v>0.42498858592206529</c:v>
                </c:pt>
                <c:pt idx="25">
                  <c:v>0.41046909089393424</c:v>
                </c:pt>
                <c:pt idx="26">
                  <c:v>0.39647296745692678</c:v>
                </c:pt>
                <c:pt idx="27">
                  <c:v>0.38298036910639988</c:v>
                </c:pt>
                <c:pt idx="28">
                  <c:v>0.36997223898143639</c:v>
                </c:pt>
                <c:pt idx="29">
                  <c:v>0.35743027697827279</c:v>
                </c:pt>
                <c:pt idx="30">
                  <c:v>0.34533690829428981</c:v>
                </c:pt>
                <c:pt idx="31">
                  <c:v>0.33367525333769943</c:v>
                </c:pt>
                <c:pt idx="32">
                  <c:v>0.32242909894111627</c:v>
                </c:pt>
                <c:pt idx="33">
                  <c:v>0.31158287082011971</c:v>
                </c:pt>
                <c:pt idx="34">
                  <c:v>0.30112160722067222</c:v>
                </c:pt>
                <c:pt idx="35">
                  <c:v>0.29103093370190219</c:v>
                </c:pt>
                <c:pt idx="36">
                  <c:v>0.28129703900325542</c:v>
                </c:pt>
                <c:pt idx="37">
                  <c:v>0.27190665194741026</c:v>
                </c:pt>
                <c:pt idx="38">
                  <c:v>0.26284701933261334</c:v>
                </c:pt>
                <c:pt idx="39">
                  <c:v>0.25410588477025337</c:v>
                </c:pt>
                <c:pt idx="40">
                  <c:v>0.24567146842553902</c:v>
                </c:pt>
                <c:pt idx="41">
                  <c:v>0.23753244762111084</c:v>
                </c:pt>
                <c:pt idx="42">
                  <c:v>0.22967793826526423</c:v>
                </c:pt>
                <c:pt idx="43">
                  <c:v>0.22209747706823882</c:v>
                </c:pt>
                <c:pt idx="44">
                  <c:v>0.21478100451171675</c:v>
                </c:pt>
                <c:pt idx="45">
                  <c:v>0.20771884853826894</c:v>
                </c:pt>
                <c:pt idx="46">
                  <c:v>0.20090170892902393</c:v>
                </c:pt>
                <c:pt idx="47">
                  <c:v>0.19432064233928636</c:v>
                </c:pt>
                <c:pt idx="48">
                  <c:v>0.18796704796321512</c:v>
                </c:pt>
                <c:pt idx="49">
                  <c:v>0.18183265379999633</c:v>
                </c:pt>
                <c:pt idx="50">
                  <c:v>0.17590950349519938</c:v>
                </c:pt>
                <c:pt idx="51">
                  <c:v>0.170189943732203</c:v>
                </c:pt>
                <c:pt idx="52">
                  <c:v>0.16466661214971975</c:v>
                </c:pt>
                <c:pt idx="53">
                  <c:v>0.15933242576253434</c:v>
                </c:pt>
                <c:pt idx="54">
                  <c:v>0.15418056986360645</c:v>
                </c:pt>
                <c:pt idx="55">
                  <c:v>0.14920448738667683</c:v>
                </c:pt>
                <c:pt idx="56">
                  <c:v>0.14439786870945562</c:v>
                </c:pt>
                <c:pt idx="57">
                  <c:v>0.13975464187836859</c:v>
                </c:pt>
                <c:pt idx="58">
                  <c:v>0.13526896323669277</c:v>
                </c:pt>
                <c:pt idx="59">
                  <c:v>0.13093520843872647</c:v>
                </c:pt>
                <c:pt idx="60">
                  <c:v>0.12674796383341594</c:v>
                </c:pt>
                <c:pt idx="61">
                  <c:v>0.12270201820160426</c:v>
                </c:pt>
                <c:pt idx="62">
                  <c:v>0.11879235483176906</c:v>
                </c:pt>
                <c:pt idx="63">
                  <c:v>0.11501414391979549</c:v>
                </c:pt>
                <c:pt idx="64">
                  <c:v>0.11136273527896913</c:v>
                </c:pt>
                <c:pt idx="65">
                  <c:v>0.10783365134698773</c:v>
                </c:pt>
                <c:pt idx="66">
                  <c:v>0.10442258047737547</c:v>
                </c:pt>
                <c:pt idx="67">
                  <c:v>0.10112537050324176</c:v>
                </c:pt>
                <c:pt idx="68">
                  <c:v>9.7938022561856339E-2</c:v>
                </c:pt>
                <c:pt idx="69">
                  <c:v>9.4856685169023056E-2</c:v>
                </c:pt>
                <c:pt idx="70">
                  <c:v>9.1877648532716516E-2</c:v>
                </c:pt>
                <c:pt idx="71">
                  <c:v>8.8997339095911634E-2</c:v>
                </c:pt>
                <c:pt idx="72">
                  <c:v>8.6212314298971887E-2</c:v>
                </c:pt>
                <c:pt idx="73">
                  <c:v>8.3519257552389661E-2</c:v>
                </c:pt>
                <c:pt idx="74">
                  <c:v>8.0914973411068819E-2</c:v>
                </c:pt>
                <c:pt idx="75">
                  <c:v>7.8396382941726683E-2</c:v>
                </c:pt>
                <c:pt idx="76">
                  <c:v>7.5960519275357727E-2</c:v>
                </c:pt>
                <c:pt idx="77">
                  <c:v>7.3604523337050753E-2</c:v>
                </c:pt>
                <c:pt idx="78">
                  <c:v>7.1325639745787178E-2</c:v>
                </c:pt>
                <c:pt idx="79">
                  <c:v>6.912121287716419E-2</c:v>
                </c:pt>
                <c:pt idx="80">
                  <c:v>6.6988683082295067E-2</c:v>
                </c:pt>
                <c:pt idx="81">
                  <c:v>6.4925583056426123E-2</c:v>
                </c:pt>
                <c:pt idx="82">
                  <c:v>6.2929534351090374E-2</c:v>
                </c:pt>
                <c:pt idx="83">
                  <c:v>6.0998244023881945E-2</c:v>
                </c:pt>
                <c:pt idx="84">
                  <c:v>5.9129501420190821E-2</c:v>
                </c:pt>
                <c:pt idx="85">
                  <c:v>5.7321175081477681E-2</c:v>
                </c:pt>
                <c:pt idx="86">
                  <c:v>5.5571209774901563E-2</c:v>
                </c:pt>
                <c:pt idx="87">
                  <c:v>5.3877623639334557E-2</c:v>
                </c:pt>
                <c:pt idx="88">
                  <c:v>5.2238505443008232E-2</c:v>
                </c:pt>
                <c:pt idx="89">
                  <c:v>5.0652011948239699E-2</c:v>
                </c:pt>
                <c:pt idx="90">
                  <c:v>4.9116365378877584E-2</c:v>
                </c:pt>
                <c:pt idx="91">
                  <c:v>4.7629850986293881E-2</c:v>
                </c:pt>
                <c:pt idx="92">
                  <c:v>4.6190814709922638E-2</c:v>
                </c:pt>
                <c:pt idx="93">
                  <c:v>4.4797660928517648E-2</c:v>
                </c:pt>
                <c:pt idx="94">
                  <c:v>4.3448850298459844E-2</c:v>
                </c:pt>
                <c:pt idx="95">
                  <c:v>4.2142897675601899E-2</c:v>
                </c:pt>
                <c:pt idx="96">
                  <c:v>4.0878370117283888E-2</c:v>
                </c:pt>
                <c:pt idx="97">
                  <c:v>3.9653884961294988E-2</c:v>
                </c:pt>
                <c:pt idx="98">
                  <c:v>3.8468107978691976E-2</c:v>
                </c:pt>
                <c:pt idx="99">
                  <c:v>3.7319751597513211E-2</c:v>
                </c:pt>
                <c:pt idx="100">
                  <c:v>3.6207573194551715E-2</c:v>
                </c:pt>
                <c:pt idx="101">
                  <c:v>3.5130373452467903E-2</c:v>
                </c:pt>
                <c:pt idx="102">
                  <c:v>3.4086994779636316E-2</c:v>
                </c:pt>
                <c:pt idx="103">
                  <c:v>3.3076319790228424E-2</c:v>
                </c:pt>
                <c:pt idx="104">
                  <c:v>3.2097269842137698E-2</c:v>
                </c:pt>
                <c:pt idx="105">
                  <c:v>3.1148803630451225E-2</c:v>
                </c:pt>
                <c:pt idx="106">
                  <c:v>3.0229915834267793E-2</c:v>
                </c:pt>
                <c:pt idx="107">
                  <c:v>2.9339635814752792E-2</c:v>
                </c:pt>
                <c:pt idx="108">
                  <c:v>2.8477026362407024E-2</c:v>
                </c:pt>
                <c:pt idx="109">
                  <c:v>2.7641182491609701E-2</c:v>
                </c:pt>
                <c:pt idx="110">
                  <c:v>2.6831230280575491E-2</c:v>
                </c:pt>
                <c:pt idx="111">
                  <c:v>2.6046325754941556E-2</c:v>
                </c:pt>
                <c:pt idx="112">
                  <c:v>2.5285653813273922E-2</c:v>
                </c:pt>
                <c:pt idx="113">
                  <c:v>2.4548427192851448E-2</c:v>
                </c:pt>
                <c:pt idx="114">
                  <c:v>2.3833885474153556E-2</c:v>
                </c:pt>
                <c:pt idx="115">
                  <c:v>2.3141294122541144E-2</c:v>
                </c:pt>
                <c:pt idx="116">
                  <c:v>2.2469943565682025E-2</c:v>
                </c:pt>
                <c:pt idx="117">
                  <c:v>2.1819148305330376E-2</c:v>
                </c:pt>
                <c:pt idx="118">
                  <c:v>2.1188246062126707E-2</c:v>
                </c:pt>
                <c:pt idx="119">
                  <c:v>2.0576596952137979E-2</c:v>
                </c:pt>
                <c:pt idx="120">
                  <c:v>1.99835826939097E-2</c:v>
                </c:pt>
                <c:pt idx="121">
                  <c:v>1.9408605844851289E-2</c:v>
                </c:pt>
                <c:pt idx="122">
                  <c:v>1.8851089065822769E-2</c:v>
                </c:pt>
                <c:pt idx="123">
                  <c:v>1.8310474412837192E-2</c:v>
                </c:pt>
                <c:pt idx="124">
                  <c:v>1.7786222654836249E-2</c:v>
                </c:pt>
                <c:pt idx="125">
                  <c:v>1.7277812616538015E-2</c:v>
                </c:pt>
                <c:pt idx="126">
                  <c:v>1.678474054539612E-2</c:v>
                </c:pt>
                <c:pt idx="127">
                  <c:v>1.6306519501748138E-2</c:v>
                </c:pt>
                <c:pt idx="128">
                  <c:v>1.5842678771267042E-2</c:v>
                </c:pt>
                <c:pt idx="129">
                  <c:v>1.5392763298865407E-2</c:v>
                </c:pt>
                <c:pt idx="130">
                  <c:v>1.4956333143235686E-2</c:v>
                </c:pt>
                <c:pt idx="131">
                  <c:v>1.4532962951241834E-2</c:v>
                </c:pt>
                <c:pt idx="132">
                  <c:v>1.4122241451409293E-2</c:v>
                </c:pt>
                <c:pt idx="133">
                  <c:v>1.3723770965789384E-2</c:v>
                </c:pt>
                <c:pt idx="134">
                  <c:v>1.3337166939503374E-2</c:v>
                </c:pt>
                <c:pt idx="135">
                  <c:v>1.29620574872981E-2</c:v>
                </c:pt>
                <c:pt idx="136">
                  <c:v>1.259808295647215E-2</c:v>
                </c:pt>
                <c:pt idx="137">
                  <c:v>1.2244895505555936E-2</c:v>
                </c:pt>
                <c:pt idx="138">
                  <c:v>1.1902158698153767E-2</c:v>
                </c:pt>
                <c:pt idx="139">
                  <c:v>1.1569547111378834E-2</c:v>
                </c:pt>
                <c:pt idx="140">
                  <c:v>1.1246745958334522E-2</c:v>
                </c:pt>
                <c:pt idx="141">
                  <c:v>1.0933450724116209E-2</c:v>
                </c:pt>
                <c:pt idx="142">
                  <c:v>1.0629366814829325E-2</c:v>
                </c:pt>
                <c:pt idx="143">
                  <c:v>1.0334209219137564E-2</c:v>
                </c:pt>
                <c:pt idx="144">
                  <c:v>1.0047702181875248E-2</c:v>
                </c:pt>
                <c:pt idx="145">
                  <c:v>9.7695788892752725E-3</c:v>
                </c:pt>
                <c:pt idx="146">
                  <c:v>9.4995811653814516E-3</c:v>
                </c:pt>
                <c:pt idx="147">
                  <c:v>9.2374591792312166E-3</c:v>
                </c:pt>
                <c:pt idx="148">
                  <c:v>8.9829711624096909E-3</c:v>
                </c:pt>
                <c:pt idx="149">
                  <c:v>8.7358831365925271E-3</c:v>
                </c:pt>
                <c:pt idx="150">
                  <c:v>8.4959686507088978E-3</c:v>
                </c:pt>
                <c:pt idx="151">
                  <c:v>8.2630085273705228E-3</c:v>
                </c:pt>
                <c:pt idx="152">
                  <c:v>8.0367906182259429E-3</c:v>
                </c:pt>
                <c:pt idx="153">
                  <c:v>7.817109567912716E-3</c:v>
                </c:pt>
                <c:pt idx="154">
                  <c:v>7.6037665862920371E-3</c:v>
                </c:pt>
                <c:pt idx="155">
                  <c:v>7.3965692286631669E-3</c:v>
                </c:pt>
                <c:pt idx="156">
                  <c:v>7.1953311836657303E-3</c:v>
                </c:pt>
                <c:pt idx="157">
                  <c:v>6.9998720685896902E-3</c:v>
                </c:pt>
                <c:pt idx="158">
                  <c:v>6.8100172318231803E-3</c:v>
                </c:pt>
                <c:pt idx="159">
                  <c:v>6.625597562178529E-3</c:v>
                </c:pt>
                <c:pt idx="160">
                  <c:v>6.4464493048467762E-3</c:v>
                </c:pt>
                <c:pt idx="161">
                  <c:v>6.2724138837404698E-3</c:v>
                </c:pt>
                <c:pt idx="162">
                  <c:v>6.1033377299934454E-3</c:v>
                </c:pt>
                <c:pt idx="163">
                  <c:v>5.9390721163949337E-3</c:v>
                </c:pt>
                <c:pt idx="164">
                  <c:v>5.7794729975441678E-3</c:v>
                </c:pt>
                <c:pt idx="165">
                  <c:v>5.6244008555190687E-3</c:v>
                </c:pt>
                <c:pt idx="166">
                  <c:v>5.4737205508607906E-3</c:v>
                </c:pt>
                <c:pt idx="167">
                  <c:v>5.327301178683198E-3</c:v>
                </c:pt>
                <c:pt idx="168">
                  <c:v>5.1850159297233767E-3</c:v>
                </c:pt>
                <c:pt idx="169">
                  <c:v>5.0467419561563013E-3</c:v>
                </c:pt>
                <c:pt idx="170">
                  <c:v>4.9123602420033151E-3</c:v>
                </c:pt>
                <c:pt idx="171">
                  <c:v>4.781755477970372E-3</c:v>
                </c:pt>
                <c:pt idx="172">
                  <c:v>4.6548159405581579E-3</c:v>
                </c:pt>
                <c:pt idx="173">
                  <c:v>4.5314333752920453E-3</c:v>
                </c:pt>
                <c:pt idx="174">
                  <c:v>4.411502883925454E-3</c:v>
                </c:pt>
                <c:pt idx="175">
                  <c:v>4.2949228154755955E-3</c:v>
                </c:pt>
                <c:pt idx="176">
                  <c:v>4.1815946609558589E-3</c:v>
                </c:pt>
                <c:pt idx="177">
                  <c:v>4.0714229516739999E-3</c:v>
                </c:pt>
                <c:pt idx="178">
                  <c:v>3.9643151609702306E-3</c:v>
                </c:pt>
                <c:pt idx="179">
                  <c:v>3.8601816092737528E-3</c:v>
                </c:pt>
                <c:pt idx="180">
                  <c:v>3.7589353723610675E-3</c:v>
                </c:pt>
                <c:pt idx="181">
                  <c:v>3.6604921927032184E-3</c:v>
                </c:pt>
                <c:pt idx="182">
                  <c:v>3.564770393793641E-3</c:v>
                </c:pt>
                <c:pt idx="183">
                  <c:v>3.4716907973521898E-3</c:v>
                </c:pt>
                <c:pt idx="184">
                  <c:v>3.3811766433043899E-3</c:v>
                </c:pt>
                <c:pt idx="185">
                  <c:v>3.2931535124391597E-3</c:v>
                </c:pt>
                <c:pt idx="186">
                  <c:v>3.2075492516513782E-3</c:v>
                </c:pt>
                <c:pt idx="187">
                  <c:v>3.1242939016791422E-3</c:v>
                </c:pt>
                <c:pt idx="188">
                  <c:v>3.0433196272491325E-3</c:v>
                </c:pt>
                <c:pt idx="189">
                  <c:v>2.9645606495461115E-3</c:v>
                </c:pt>
                <c:pt idx="190">
                  <c:v>2.8879531809260467E-3</c:v>
                </c:pt>
                <c:pt idx="191">
                  <c:v>2.8134353617951997E-3</c:v>
                </c:pt>
                <c:pt idx="192">
                  <c:v>2.7409471995800765E-3</c:v>
                </c:pt>
                <c:pt idx="193">
                  <c:v>2.6704305097160676E-3</c:v>
                </c:pt>
                <c:pt idx="194">
                  <c:v>2.601828858585245E-3</c:v>
                </c:pt>
                <c:pt idx="195">
                  <c:v>2.5350875083360027E-3</c:v>
                </c:pt>
                <c:pt idx="196">
                  <c:v>2.4701533635199044E-3</c:v>
                </c:pt>
                <c:pt idx="197">
                  <c:v>2.4069749194833745E-3</c:v>
                </c:pt>
                <c:pt idx="198">
                  <c:v>2.3455022124539535E-3</c:v>
                </c:pt>
                <c:pt idx="199">
                  <c:v>2.285686771263078E-3</c:v>
                </c:pt>
                <c:pt idx="200">
                  <c:v>2.2274815706496065E-3</c:v>
                </c:pt>
                <c:pt idx="201">
                  <c:v>2.1708409860898403E-3</c:v>
                </c:pt>
                <c:pt idx="202">
                  <c:v>2.1157207501022041E-3</c:v>
                </c:pt>
                <c:pt idx="203">
                  <c:v>2.0620779099763181E-3</c:v>
                </c:pt>
                <c:pt idx="204">
                  <c:v>2.0098707868779903E-3</c:v>
                </c:pt>
                <c:pt idx="205">
                  <c:v>1.9590589362834562E-3</c:v>
                </c:pt>
                <c:pt idx="206">
                  <c:v>1.9096031096978456E-3</c:v>
                </c:pt>
                <c:pt idx="207">
                  <c:v>1.8614652176143168E-3</c:v>
                </c:pt>
                <c:pt idx="208">
                  <c:v>1.8146082936719783E-3</c:v>
                </c:pt>
                <c:pt idx="209">
                  <c:v>1.7689964599721456E-3</c:v>
                </c:pt>
                <c:pt idx="210">
                  <c:v>1.7245948935138281E-3</c:v>
                </c:pt>
                <c:pt idx="211">
                  <c:v>1.6813697937108673E-3</c:v>
                </c:pt>
                <c:pt idx="212">
                  <c:v>1.63928835095429E-3</c:v>
                </c:pt>
                <c:pt idx="213">
                  <c:v>1.5983187161848253E-3</c:v>
                </c:pt>
                <c:pt idx="214">
                  <c:v>1.5584299714417875E-3</c:v>
                </c:pt>
                <c:pt idx="215">
                  <c:v>1.5195921013555502E-3</c:v>
                </c:pt>
                <c:pt idx="216">
                  <c:v>1.4817759655521483E-3</c:v>
                </c:pt>
                <c:pt idx="217">
                  <c:v>1.4449532719395786E-3</c:v>
                </c:pt>
                <c:pt idx="218">
                  <c:v>1.4090965508463606E-3</c:v>
                </c:pt>
                <c:pt idx="219">
                  <c:v>1.3741791299840386E-3</c:v>
                </c:pt>
                <c:pt idx="220">
                  <c:v>1.3401751102062611E-3</c:v>
                </c:pt>
                <c:pt idx="221">
                  <c:v>1.3070593420379587E-3</c:v>
                </c:pt>
                <c:pt idx="222">
                  <c:v>1.2748074029491352E-3</c:v>
                </c:pt>
                <c:pt idx="223">
                  <c:v>1.2433955753486422E-3</c:v>
                </c:pt>
                <c:pt idx="224">
                  <c:v>1.2128008252741199E-3</c:v>
                </c:pt>
                <c:pt idx="225">
                  <c:v>1.1830007817551383E-3</c:v>
                </c:pt>
                <c:pt idx="226">
                  <c:v>1.1539737168273978E-3</c:v>
                </c:pt>
                <c:pt idx="227">
                  <c:v>1.1256985261765126E-3</c:v>
                </c:pt>
                <c:pt idx="228">
                  <c:v>1.098154710390717E-3</c:v>
                </c:pt>
                <c:pt idx="229">
                  <c:v>1.0713223568025257E-3</c:v>
                </c:pt>
                <c:pt idx="230">
                  <c:v>1.045182121900015E-3</c:v>
                </c:pt>
                <c:pt idx="231">
                  <c:v>1.0197152142891474E-3</c:v>
                </c:pt>
                <c:pt idx="232">
                  <c:v>9.9490337818906893E-4</c:v>
                </c:pt>
                <c:pt idx="233">
                  <c:v>9.7072887744301475E-4</c:v>
                </c:pt>
                <c:pt idx="234">
                  <c:v>9.4717448002805578E-4</c:v>
                </c:pt>
                <c:pt idx="235">
                  <c:v>9.2422344304740329E-4</c:v>
                </c:pt>
                <c:pt idx="236">
                  <c:v>9.0185949818960684E-4</c:v>
                </c:pt>
                <c:pt idx="237">
                  <c:v>8.8006683763952966E-4</c:v>
                </c:pt>
                <c:pt idx="238">
                  <c:v>8.5883010042641435E-4</c:v>
                </c:pt>
                <c:pt idx="239">
                  <c:v>8.3813435919490855E-4</c:v>
                </c:pt>
                <c:pt idx="240">
                  <c:v>8.1796510738542112E-4</c:v>
                </c:pt>
                <c:pt idx="241">
                  <c:v>7.983082468105366E-4</c:v>
                </c:pt>
                <c:pt idx="242">
                  <c:v>7.7915007561476872E-4</c:v>
                </c:pt>
                <c:pt idx="243">
                  <c:v>7.6047727660531229E-4</c:v>
                </c:pt>
                <c:pt idx="244">
                  <c:v>7.4227690594184958E-4</c:v>
                </c:pt>
                <c:pt idx="245">
                  <c:v>7.2453638217389812E-4</c:v>
                </c:pt>
                <c:pt idx="246">
                  <c:v>7.0724347561458253E-4</c:v>
                </c:pt>
                <c:pt idx="247">
                  <c:v>6.9038629804002612E-4</c:v>
                </c:pt>
                <c:pt idx="248">
                  <c:v>6.7395329270396797E-4</c:v>
                </c:pt>
                <c:pt idx="249">
                  <c:v>6.5793322465757084E-4</c:v>
                </c:pt>
              </c:numCache>
            </c:numRef>
          </c:yVal>
          <c:smooth val="1"/>
          <c:extLst>
            <c:ext xmlns:c16="http://schemas.microsoft.com/office/drawing/2014/chart" uri="{C3380CC4-5D6E-409C-BE32-E72D297353CC}">
              <c16:uniqueId val="{00000002-4810-47BD-894D-11DB21D7DF81}"/>
            </c:ext>
          </c:extLst>
        </c:ser>
        <c:ser>
          <c:idx val="2"/>
          <c:order val="3"/>
          <c:tx>
            <c:strRef>
              <c:f>ANOVA!$CC$29</c:f>
              <c:strCache>
                <c:ptCount val="1"/>
                <c:pt idx="0">
                  <c:v>95.528% mindre end 3.419</c:v>
                </c:pt>
              </c:strCache>
            </c:strRef>
          </c:tx>
          <c:spPr>
            <a:ln w="28575" cap="rnd">
              <a:noFill/>
              <a:round/>
            </a:ln>
            <a:effectLst/>
          </c:spPr>
          <c:marker>
            <c:symbol val="none"/>
          </c:marker>
          <c:dLbls>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extLst>
                <c:ext xmlns:c16="http://schemas.microsoft.com/office/drawing/2014/chart" uri="{C3380CC4-5D6E-409C-BE32-E72D297353CC}">
                  <c16:uniqueId val="{00000006-4810-47BD-894D-11DB21D7DF81}"/>
                </c:ext>
              </c:extLst>
            </c:dLbl>
            <c:spPr>
              <a:solidFill>
                <a:schemeClr val="bg1"/>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ANOVA!$CC$25</c:f>
              <c:numCache>
                <c:formatCode>#,##0.000</c:formatCode>
                <c:ptCount val="1"/>
                <c:pt idx="0">
                  <c:v>50</c:v>
                </c:pt>
              </c:numCache>
            </c:numRef>
          </c:xVal>
          <c:yVal>
            <c:numRef>
              <c:f>ANOVA!$CC$27</c:f>
              <c:numCache>
                <c:formatCode>#,##0.000</c:formatCode>
                <c:ptCount val="1"/>
                <c:pt idx="0">
                  <c:v>0.18183265379999633</c:v>
                </c:pt>
              </c:numCache>
            </c:numRef>
          </c:yVal>
          <c:smooth val="0"/>
          <c:extLst>
            <c:ext xmlns:c16="http://schemas.microsoft.com/office/drawing/2014/chart" uri="{C3380CC4-5D6E-409C-BE32-E72D297353CC}">
              <c16:uniqueId val="{00000003-4810-47BD-894D-11DB21D7DF81}"/>
            </c:ext>
          </c:extLst>
        </c:ser>
        <c:ser>
          <c:idx val="5"/>
          <c:order val="4"/>
          <c:tx>
            <c:strRef>
              <c:f>ANOVA!$CC$35</c:f>
              <c:strCache>
                <c:ptCount val="1"/>
                <c:pt idx="0">
                  <c:v>4.472% større end 3.419</c:v>
                </c:pt>
              </c:strCache>
            </c:strRef>
          </c:tx>
          <c:spPr>
            <a:ln w="28575"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ANOVA!$CC$31</c:f>
              <c:numCache>
                <c:formatCode>#,##0.000</c:formatCode>
                <c:ptCount val="1"/>
                <c:pt idx="0">
                  <c:v>175</c:v>
                </c:pt>
              </c:numCache>
            </c:numRef>
          </c:xVal>
          <c:yVal>
            <c:numRef>
              <c:f>ANOVA!$CC$33</c:f>
              <c:numCache>
                <c:formatCode>#,##0.000</c:formatCode>
                <c:ptCount val="1"/>
                <c:pt idx="0">
                  <c:v>4.411502883925454E-3</c:v>
                </c:pt>
              </c:numCache>
            </c:numRef>
          </c:yVal>
          <c:smooth val="0"/>
          <c:extLst>
            <c:ext xmlns:c16="http://schemas.microsoft.com/office/drawing/2014/chart" uri="{C3380CC4-5D6E-409C-BE32-E72D297353CC}">
              <c16:uniqueId val="{00000004-4810-47BD-894D-11DB21D7DF81}"/>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strRef>
              <c:f>ANOVA!$CC$15</c:f>
              <c:strCache>
                <c:ptCount val="1"/>
                <c:pt idx="0">
                  <c:v>F fordeling med 2 og 33 frihedsgrader</c:v>
                </c:pt>
              </c:strCache>
            </c:strRef>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out"/>
        <c:minorTickMark val="none"/>
        <c:tickLblPos val="nextTo"/>
        <c:spPr>
          <a:noFill/>
          <a:ln w="9525" cap="flat" cmpd="sng" algn="ctr">
            <a:solidFill>
              <a:schemeClr val="tx1">
                <a:lumMod val="50000"/>
                <a:lumOff val="50000"/>
              </a:schemeClr>
            </a:solid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tickMarkSkip val="25"/>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legend>
      <c:legendPos val="tr"/>
      <c:legendEntry>
        <c:idx val="2"/>
        <c:delete val="1"/>
      </c:legendEntry>
      <c:legendEntry>
        <c:idx val="3"/>
        <c:delete val="1"/>
      </c:legendEntry>
      <c:legendEntry>
        <c:idx val="4"/>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ANOVA!$CJ$9</c:f>
          <c:strCache>
            <c:ptCount val="1"/>
            <c:pt idx="0">
              <c:v>Hypotesetest om forskel mellem flere standardafvigelser (Bartlett's)
Nulhypotese om at alle populationers standardafvigelser er ens
 afvises med 95% konfidens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ANOVA!$CJ$13</c:f>
              <c:strCache>
                <c:ptCount val="1"/>
                <c:pt idx="0">
                  <c:v>Alternativ hypotese</c:v>
                </c:pt>
              </c:strCache>
            </c:strRef>
          </c:tx>
          <c:spPr>
            <a:solidFill>
              <a:schemeClr val="accent1"/>
            </a:solidFill>
            <a:ln w="25400">
              <a:noFill/>
            </a:ln>
            <a:effectLst/>
          </c:spPr>
          <c:cat>
            <c:strRef>
              <c:f>[0]!AlS</c:f>
              <c:strCache>
                <c:ptCount val="250"/>
                <c:pt idx="0">
                  <c:v>0</c:v>
                </c:pt>
                <c:pt idx="25">
                  <c:v>1.387</c:v>
                </c:pt>
                <c:pt idx="50">
                  <c:v>2.774</c:v>
                </c:pt>
                <c:pt idx="75">
                  <c:v>4.161</c:v>
                </c:pt>
                <c:pt idx="100">
                  <c:v>5.548</c:v>
                </c:pt>
                <c:pt idx="125">
                  <c:v>6.935</c:v>
                </c:pt>
                <c:pt idx="150">
                  <c:v>8.323</c:v>
                </c:pt>
                <c:pt idx="175">
                  <c:v>9.71</c:v>
                </c:pt>
                <c:pt idx="200">
                  <c:v>11.097</c:v>
                </c:pt>
                <c:pt idx="225">
                  <c:v>12.484</c:v>
                </c:pt>
                <c:pt idx="249">
                  <c:v>13.816</c:v>
                </c:pt>
              </c:strCache>
            </c:strRef>
          </c:cat>
          <c:val>
            <c:numRef>
              <c:f>[0]!AySa</c:f>
              <c:numCache>
                <c:formatCode>General</c:formatCode>
                <c:ptCount val="25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numCache>
            </c:numRef>
          </c:val>
          <c:extLst>
            <c:ext xmlns:c16="http://schemas.microsoft.com/office/drawing/2014/chart" uri="{C3380CC4-5D6E-409C-BE32-E72D297353CC}">
              <c16:uniqueId val="{00000000-33EA-4720-9A65-7F0ECC1B9512}"/>
            </c:ext>
          </c:extLst>
        </c:ser>
        <c:ser>
          <c:idx val="1"/>
          <c:order val="1"/>
          <c:tx>
            <c:strRef>
              <c:f>ANOVA!$CJ$11</c:f>
              <c:strCache>
                <c:ptCount val="1"/>
                <c:pt idx="0">
                  <c:v>Nulhypotese</c:v>
                </c:pt>
              </c:strCache>
            </c:strRef>
          </c:tx>
          <c:spPr>
            <a:solidFill>
              <a:schemeClr val="accent2"/>
            </a:solidFill>
            <a:ln w="25400">
              <a:noFill/>
            </a:ln>
            <a:effectLst/>
          </c:spPr>
          <c:cat>
            <c:strRef>
              <c:f>[0]!AlS</c:f>
              <c:strCache>
                <c:ptCount val="250"/>
                <c:pt idx="0">
                  <c:v>0</c:v>
                </c:pt>
                <c:pt idx="25">
                  <c:v>1.387</c:v>
                </c:pt>
                <c:pt idx="50">
                  <c:v>2.774</c:v>
                </c:pt>
                <c:pt idx="75">
                  <c:v>4.161</c:v>
                </c:pt>
                <c:pt idx="100">
                  <c:v>5.548</c:v>
                </c:pt>
                <c:pt idx="125">
                  <c:v>6.935</c:v>
                </c:pt>
                <c:pt idx="150">
                  <c:v>8.323</c:v>
                </c:pt>
                <c:pt idx="175">
                  <c:v>9.71</c:v>
                </c:pt>
                <c:pt idx="200">
                  <c:v>11.097</c:v>
                </c:pt>
                <c:pt idx="225">
                  <c:v>12.484</c:v>
                </c:pt>
                <c:pt idx="249">
                  <c:v>13.816</c:v>
                </c:pt>
              </c:strCache>
            </c:strRef>
          </c:cat>
          <c:val>
            <c:numRef>
              <c:f>[0]!AySn</c:f>
              <c:numCache>
                <c:formatCode>General</c:formatCode>
                <c:ptCount val="250"/>
                <c:pt idx="0">
                  <c:v>0.5</c:v>
                </c:pt>
                <c:pt idx="1">
                  <c:v>0.48631964299724262</c:v>
                </c:pt>
                <c:pt idx="2">
                  <c:v>0.47301359032993112</c:v>
                </c:pt>
                <c:pt idx="3">
                  <c:v>0.46007160076419201</c:v>
                </c:pt>
                <c:pt idx="4">
                  <c:v>0.44748371327362363</c:v>
                </c:pt>
                <c:pt idx="5">
                  <c:v>0.43524023937261824</c:v>
                </c:pt>
                <c:pt idx="6">
                  <c:v>0.42333175565945225</c:v>
                </c:pt>
                <c:pt idx="7">
                  <c:v>0.41174909656340142</c:v>
                </c:pt>
                <c:pt idx="8">
                  <c:v>0.40048334729030116</c:v>
                </c:pt>
                <c:pt idx="9">
                  <c:v>0.38952583696111998</c:v>
                </c:pt>
                <c:pt idx="10">
                  <c:v>0.37886813193826813</c:v>
                </c:pt>
                <c:pt idx="11">
                  <c:v>0.36850202933450144</c:v>
                </c:pt>
                <c:pt idx="12">
                  <c:v>0.35841955069942838</c:v>
                </c:pt>
                <c:pt idx="13">
                  <c:v>0.34861293587875619</c:v>
                </c:pt>
                <c:pt idx="14">
                  <c:v>0.33907463704155466</c:v>
                </c:pt>
                <c:pt idx="15">
                  <c:v>0.32979731287093694</c:v>
                </c:pt>
                <c:pt idx="16">
                  <c:v>0.32077382291368794</c:v>
                </c:pt>
                <c:pt idx="17">
                  <c:v>0.31199722208449093</c:v>
                </c:pt>
                <c:pt idx="18">
                  <c:v>0.30346075532052202</c:v>
                </c:pt>
                <c:pt idx="19">
                  <c:v>0.2951578523822998</c:v>
                </c:pt>
                <c:pt idx="20">
                  <c:v>0.28708212279678574</c:v>
                </c:pt>
                <c:pt idx="21">
                  <c:v>0.27922735093884682</c:v>
                </c:pt>
                <c:pt idx="22">
                  <c:v>0.27158749124729153</c:v>
                </c:pt>
                <c:pt idx="23">
                  <c:v>0.26415666357179912</c:v>
                </c:pt>
                <c:pt idx="24">
                  <c:v>0.25692914864716015</c:v>
                </c:pt>
                <c:pt idx="25">
                  <c:v>0.24989938369134482</c:v>
                </c:pt>
                <c:pt idx="26">
                  <c:v>0.24306195812401155</c:v>
                </c:pt>
                <c:pt idx="27">
                  <c:v>0.23641160940216002</c:v>
                </c:pt>
                <c:pt idx="28">
                  <c:v>0.22994321896972408</c:v>
                </c:pt>
                <c:pt idx="29">
                  <c:v>0.22365180831798601</c:v>
                </c:pt>
                <c:pt idx="30">
                  <c:v>0.21753253515378135</c:v>
                </c:pt>
                <c:pt idx="31">
                  <c:v>0.2115806896725442</c:v>
                </c:pt>
                <c:pt idx="32">
                  <c:v>0.20579169093332408</c:v>
                </c:pt>
                <c:pt idx="33">
                  <c:v>0.20016108333298616</c:v>
                </c:pt>
                <c:pt idx="34">
                  <c:v>0.19468453317687828</c:v>
                </c:pt>
                <c:pt idx="35">
                  <c:v>0.1893578253433286</c:v>
                </c:pt>
                <c:pt idx="36">
                  <c:v>0.18417686003940356</c:v>
                </c:pt>
                <c:pt idx="37">
                  <c:v>0.17913764964543169</c:v>
                </c:pt>
                <c:pt idx="38">
                  <c:v>0.17423631564586292</c:v>
                </c:pt>
                <c:pt idx="39">
                  <c:v>0.1694690856441019</c:v>
                </c:pt>
                <c:pt idx="40">
                  <c:v>0.16483229045901757</c:v>
                </c:pt>
                <c:pt idx="41">
                  <c:v>0.16032236130089444</c:v>
                </c:pt>
                <c:pt idx="42">
                  <c:v>0.15593582702465184</c:v>
                </c:pt>
                <c:pt idx="43">
                  <c:v>0.15166931145821691</c:v>
                </c:pt>
                <c:pt idx="44">
                  <c:v>0.1475195308039953</c:v>
                </c:pt>
                <c:pt idx="45">
                  <c:v>0.14348329111143945</c:v>
                </c:pt>
                <c:pt idx="46">
                  <c:v>0.13955748581876934</c:v>
                </c:pt>
                <c:pt idx="47">
                  <c:v>0.13573909336195331</c:v>
                </c:pt>
                <c:pt idx="48">
                  <c:v>0.13202517484910906</c:v>
                </c:pt>
                <c:pt idx="49">
                  <c:v>0.1284128717985345</c:v>
                </c:pt>
                <c:pt idx="50">
                  <c:v>0.12489940393862797</c:v>
                </c:pt>
                <c:pt idx="51">
                  <c:v>0.12148206706800389</c:v>
                </c:pt>
                <c:pt idx="52">
                  <c:v>0.11815823097415748</c:v>
                </c:pt>
                <c:pt idx="53">
                  <c:v>0.11492533740907598</c:v>
                </c:pt>
                <c:pt idx="54">
                  <c:v>0.11178089812023899</c:v>
                </c:pt>
                <c:pt idx="55">
                  <c:v>0.10872249293549151</c:v>
                </c:pt>
                <c:pt idx="56">
                  <c:v>0.10574776790031694</c:v>
                </c:pt>
                <c:pt idx="57">
                  <c:v>0.10285443346607481</c:v>
                </c:pt>
                <c:pt idx="58">
                  <c:v>0.1000402627278103</c:v>
                </c:pt>
                <c:pt idx="59">
                  <c:v>9.7303089710278109E-2</c:v>
                </c:pt>
                <c:pt idx="60">
                  <c:v>9.4640807700862237E-2</c:v>
                </c:pt>
                <c:pt idx="61">
                  <c:v>9.2051367628108047E-2</c:v>
                </c:pt>
                <c:pt idx="62">
                  <c:v>8.9532776484618881E-2</c:v>
                </c:pt>
                <c:pt idx="63">
                  <c:v>8.708309579310354E-2</c:v>
                </c:pt>
                <c:pt idx="64">
                  <c:v>8.4700440114393594E-2</c:v>
                </c:pt>
                <c:pt idx="65">
                  <c:v>8.2382975596282451E-2</c:v>
                </c:pt>
                <c:pt idx="66">
                  <c:v>8.0128918562069232E-2</c:v>
                </c:pt>
                <c:pt idx="67">
                  <c:v>7.7936534137721294E-2</c:v>
                </c:pt>
                <c:pt idx="68">
                  <c:v>7.5804134916598057E-2</c:v>
                </c:pt>
                <c:pt idx="69">
                  <c:v>7.3730079660709574E-2</c:v>
                </c:pt>
                <c:pt idx="70">
                  <c:v>7.1712772037509059E-2</c:v>
                </c:pt>
                <c:pt idx="71">
                  <c:v>6.975065939124811E-2</c:v>
                </c:pt>
                <c:pt idx="72">
                  <c:v>6.7842231547948065E-2</c:v>
                </c:pt>
                <c:pt idx="73">
                  <c:v>6.5986019653068786E-2</c:v>
                </c:pt>
                <c:pt idx="74">
                  <c:v>6.4180595040978866E-2</c:v>
                </c:pt>
                <c:pt idx="75">
                  <c:v>6.2424568135358904E-2</c:v>
                </c:pt>
                <c:pt idx="76">
                  <c:v>6.0716587379689588E-2</c:v>
                </c:pt>
                <c:pt idx="77">
                  <c:v>5.9055338197003024E-2</c:v>
                </c:pt>
                <c:pt idx="78">
                  <c:v>5.7439541978095886E-2</c:v>
                </c:pt>
                <c:pt idx="79">
                  <c:v>5.586795509742546E-2</c:v>
                </c:pt>
                <c:pt idx="80">
                  <c:v>5.4339367955931868E-2</c:v>
                </c:pt>
                <c:pt idx="81">
                  <c:v>5.2852604050049157E-2</c:v>
                </c:pt>
                <c:pt idx="82">
                  <c:v>5.1406519066189066E-2</c:v>
                </c:pt>
                <c:pt idx="83">
                  <c:v>5.0000000000000017E-2</c:v>
                </c:pt>
                <c:pt idx="84">
                  <c:v>4.863196429972428E-2</c:v>
                </c:pt>
                <c:pt idx="85">
                  <c:v>4.7301359032993102E-2</c:v>
                </c:pt>
                <c:pt idx="86">
                  <c:v>4.6007160076419217E-2</c:v>
                </c:pt>
                <c:pt idx="87">
                  <c:v>4.4748371327362375E-2</c:v>
                </c:pt>
                <c:pt idx="88">
                  <c:v>4.3524023937261846E-2</c:v>
                </c:pt>
                <c:pt idx="89">
                  <c:v>4.2333175565945236E-2</c:v>
                </c:pt>
                <c:pt idx="90">
                  <c:v>4.1174909656340165E-2</c:v>
                </c:pt>
                <c:pt idx="91">
                  <c:v>4.004833472903014E-2</c:v>
                </c:pt>
                <c:pt idx="92">
                  <c:v>3.8952583696112014E-2</c:v>
                </c:pt>
                <c:pt idx="93">
                  <c:v>3.7886813193826807E-2</c:v>
                </c:pt>
                <c:pt idx="94">
                  <c:v>3.6850202933450156E-2</c:v>
                </c:pt>
                <c:pt idx="95">
                  <c:v>3.5841955069942845E-2</c:v>
                </c:pt>
                <c:pt idx="96">
                  <c:v>3.4861293587875632E-2</c:v>
                </c:pt>
                <c:pt idx="97">
                  <c:v>3.3907463704155483E-2</c:v>
                </c:pt>
                <c:pt idx="98">
                  <c:v>3.2979731287093708E-2</c:v>
                </c:pt>
                <c:pt idx="99">
                  <c:v>3.2077382291368813E-2</c:v>
                </c:pt>
                <c:pt idx="100">
                  <c:v>3.1199722208449101E-2</c:v>
                </c:pt>
                <c:pt idx="101">
                  <c:v>3.0346075532052222E-2</c:v>
                </c:pt>
                <c:pt idx="102">
                  <c:v>2.951578523822998E-2</c:v>
                </c:pt>
                <c:pt idx="103">
                  <c:v>2.8708212279678583E-2</c:v>
                </c:pt>
                <c:pt idx="104">
                  <c:v>2.7922735093884699E-2</c:v>
                </c:pt>
                <c:pt idx="105">
                  <c:v>2.7158749124729167E-2</c:v>
                </c:pt>
                <c:pt idx="106">
                  <c:v>2.6415666357179918E-2</c:v>
                </c:pt>
                <c:pt idx="107">
                  <c:v>2.5692914864716032E-2</c:v>
                </c:pt>
                <c:pt idx="108">
                  <c:v>2.4989938369134497E-2</c:v>
                </c:pt>
                <c:pt idx="109">
                  <c:v>2.4306195812401163E-2</c:v>
                </c:pt>
                <c:pt idx="110">
                  <c:v>2.3641160940216007E-2</c:v>
                </c:pt>
                <c:pt idx="111">
                  <c:v>2.2994321896972415E-2</c:v>
                </c:pt>
                <c:pt idx="112">
                  <c:v>2.2365180831798611E-2</c:v>
                </c:pt>
                <c:pt idx="113">
                  <c:v>2.1753253515378147E-2</c:v>
                </c:pt>
                <c:pt idx="114">
                  <c:v>2.1158068967254421E-2</c:v>
                </c:pt>
                <c:pt idx="115">
                  <c:v>2.0579169093332423E-2</c:v>
                </c:pt>
                <c:pt idx="116">
                  <c:v>2.0016108333298626E-2</c:v>
                </c:pt>
                <c:pt idx="117">
                  <c:v>1.9468453317687845E-2</c:v>
                </c:pt>
                <c:pt idx="118">
                  <c:v>1.8935782534332861E-2</c:v>
                </c:pt>
                <c:pt idx="119">
                  <c:v>1.8417686003940358E-2</c:v>
                </c:pt>
                <c:pt idx="120">
                  <c:v>1.7913764964543177E-2</c:v>
                </c:pt>
                <c:pt idx="121">
                  <c:v>1.7423631564586307E-2</c:v>
                </c:pt>
                <c:pt idx="122">
                  <c:v>1.6946908564410196E-2</c:v>
                </c:pt>
                <c:pt idx="123">
                  <c:v>1.648322904590176E-2</c:v>
                </c:pt>
                <c:pt idx="124">
                  <c:v>1.6032236130089451E-2</c:v>
                </c:pt>
                <c:pt idx="125">
                  <c:v>1.5593582702465197E-2</c:v>
                </c:pt>
                <c:pt idx="126">
                  <c:v>1.5166931145821693E-2</c:v>
                </c:pt>
                <c:pt idx="127">
                  <c:v>1.4751953080399534E-2</c:v>
                </c:pt>
                <c:pt idx="128">
                  <c:v>1.4348329111143953E-2</c:v>
                </c:pt>
                <c:pt idx="129">
                  <c:v>1.3955748581876941E-2</c:v>
                </c:pt>
                <c:pt idx="130">
                  <c:v>1.3573909336195341E-2</c:v>
                </c:pt>
                <c:pt idx="131">
                  <c:v>1.3202517484910909E-2</c:v>
                </c:pt>
                <c:pt idx="132">
                  <c:v>1.2841287179853453E-2</c:v>
                </c:pt>
                <c:pt idx="133">
                  <c:v>1.2489940393862803E-2</c:v>
                </c:pt>
                <c:pt idx="134">
                  <c:v>1.2148206706800398E-2</c:v>
                </c:pt>
                <c:pt idx="135">
                  <c:v>1.1815823097415749E-2</c:v>
                </c:pt>
                <c:pt idx="136">
                  <c:v>1.1492533740907604E-2</c:v>
                </c:pt>
                <c:pt idx="137">
                  <c:v>1.1178089812023898E-2</c:v>
                </c:pt>
                <c:pt idx="138">
                  <c:v>1.0872249293549159E-2</c:v>
                </c:pt>
                <c:pt idx="139">
                  <c:v>1.0574776790031697E-2</c:v>
                </c:pt>
                <c:pt idx="140">
                  <c:v>1.0285443346607484E-2</c:v>
                </c:pt>
                <c:pt idx="141">
                  <c:v>1.0004026272781037E-2</c:v>
                </c:pt>
                <c:pt idx="142">
                  <c:v>9.7303089710278172E-3</c:v>
                </c:pt>
                <c:pt idx="143">
                  <c:v>9.4640807700862306E-3</c:v>
                </c:pt>
                <c:pt idx="144">
                  <c:v>9.205136762810805E-3</c:v>
                </c:pt>
                <c:pt idx="145">
                  <c:v>8.9532776484618961E-3</c:v>
                </c:pt>
                <c:pt idx="146">
                  <c:v>8.7083095793103592E-3</c:v>
                </c:pt>
                <c:pt idx="147">
                  <c:v>8.4700440114393628E-3</c:v>
                </c:pt>
                <c:pt idx="148">
                  <c:v>8.2382975596282434E-3</c:v>
                </c:pt>
                <c:pt idx="149">
                  <c:v>8.0128918562069225E-3</c:v>
                </c:pt>
                <c:pt idx="150">
                  <c:v>7.7936534137721305E-3</c:v>
                </c:pt>
                <c:pt idx="151">
                  <c:v>7.580413491659806E-3</c:v>
                </c:pt>
                <c:pt idx="152">
                  <c:v>7.3730079660709611E-3</c:v>
                </c:pt>
                <c:pt idx="153">
                  <c:v>7.1712772037509087E-3</c:v>
                </c:pt>
                <c:pt idx="154">
                  <c:v>6.9750659391248117E-3</c:v>
                </c:pt>
                <c:pt idx="155">
                  <c:v>6.7842231547948131E-3</c:v>
                </c:pt>
                <c:pt idx="156">
                  <c:v>6.5986019653068795E-3</c:v>
                </c:pt>
                <c:pt idx="157">
                  <c:v>6.4180595040978878E-3</c:v>
                </c:pt>
                <c:pt idx="158">
                  <c:v>6.2424568135358953E-3</c:v>
                </c:pt>
                <c:pt idx="159">
                  <c:v>6.0716587379689591E-3</c:v>
                </c:pt>
                <c:pt idx="160">
                  <c:v>5.9055338197003095E-3</c:v>
                </c:pt>
                <c:pt idx="161">
                  <c:v>5.7439541978095933E-3</c:v>
                </c:pt>
                <c:pt idx="162">
                  <c:v>5.5867955097425462E-3</c:v>
                </c:pt>
                <c:pt idx="163">
                  <c:v>5.4339367955931906E-3</c:v>
                </c:pt>
                <c:pt idx="164">
                  <c:v>5.2852604050049193E-3</c:v>
                </c:pt>
                <c:pt idx="165">
                  <c:v>5.1406519066189123E-3</c:v>
                </c:pt>
                <c:pt idx="166">
                  <c:v>5.0000000000000027E-3</c:v>
                </c:pt>
                <c:pt idx="167">
                  <c:v>4.8631964299724268E-3</c:v>
                </c:pt>
                <c:pt idx="168">
                  <c:v>4.7301359032993137E-3</c:v>
                </c:pt>
                <c:pt idx="169">
                  <c:v>4.6007160076419222E-3</c:v>
                </c:pt>
                <c:pt idx="170">
                  <c:v>4.4748371327362358E-3</c:v>
                </c:pt>
                <c:pt idx="171">
                  <c:v>4.3524023937261853E-3</c:v>
                </c:pt>
                <c:pt idx="172">
                  <c:v>4.2333175565945243E-3</c:v>
                </c:pt>
                <c:pt idx="173">
                  <c:v>4.1174909656340195E-3</c:v>
                </c:pt>
                <c:pt idx="174">
                  <c:v>4.0048334729030147E-3</c:v>
                </c:pt>
                <c:pt idx="175">
                  <c:v>3.8952583696112019E-3</c:v>
                </c:pt>
                <c:pt idx="176">
                  <c:v>3.7886813193826851E-3</c:v>
                </c:pt>
                <c:pt idx="177">
                  <c:v>3.6850202933450173E-3</c:v>
                </c:pt>
                <c:pt idx="178">
                  <c:v>3.5841955069942856E-3</c:v>
                </c:pt>
                <c:pt idx="179">
                  <c:v>3.4861293587875658E-3</c:v>
                </c:pt>
                <c:pt idx="180">
                  <c:v>3.3907463704155498E-3</c:v>
                </c:pt>
                <c:pt idx="181">
                  <c:v>3.2979731287093752E-3</c:v>
                </c:pt>
                <c:pt idx="182">
                  <c:v>3.2077382291368843E-3</c:v>
                </c:pt>
                <c:pt idx="183">
                  <c:v>3.1199722208449096E-3</c:v>
                </c:pt>
                <c:pt idx="184">
                  <c:v>3.0346075532052229E-3</c:v>
                </c:pt>
                <c:pt idx="185">
                  <c:v>2.9515785238229987E-3</c:v>
                </c:pt>
                <c:pt idx="186">
                  <c:v>2.8708212279678581E-3</c:v>
                </c:pt>
                <c:pt idx="187">
                  <c:v>2.7922735093884698E-3</c:v>
                </c:pt>
                <c:pt idx="188">
                  <c:v>2.7158749124729163E-3</c:v>
                </c:pt>
                <c:pt idx="189">
                  <c:v>2.641566635717994E-3</c:v>
                </c:pt>
                <c:pt idx="190">
                  <c:v>2.5692914864716035E-3</c:v>
                </c:pt>
                <c:pt idx="191">
                  <c:v>2.4989938369134488E-3</c:v>
                </c:pt>
                <c:pt idx="192">
                  <c:v>2.4306195812401174E-3</c:v>
                </c:pt>
                <c:pt idx="193">
                  <c:v>2.364116094021602E-3</c:v>
                </c:pt>
                <c:pt idx="194">
                  <c:v>2.2994321896972437E-3</c:v>
                </c:pt>
                <c:pt idx="195">
                  <c:v>2.2365180831798626E-3</c:v>
                </c:pt>
                <c:pt idx="196">
                  <c:v>2.1753253515378154E-3</c:v>
                </c:pt>
                <c:pt idx="197">
                  <c:v>2.1158068967254448E-3</c:v>
                </c:pt>
                <c:pt idx="198">
                  <c:v>2.0579169093332436E-3</c:v>
                </c:pt>
                <c:pt idx="199">
                  <c:v>2.0016108333298635E-3</c:v>
                </c:pt>
                <c:pt idx="200">
                  <c:v>1.9468453317687843E-3</c:v>
                </c:pt>
                <c:pt idx="201">
                  <c:v>1.8935782534332867E-3</c:v>
                </c:pt>
                <c:pt idx="202">
                  <c:v>1.8417686003940374E-3</c:v>
                </c:pt>
                <c:pt idx="203">
                  <c:v>1.7913764964543185E-3</c:v>
                </c:pt>
                <c:pt idx="204">
                  <c:v>1.7423631564586302E-3</c:v>
                </c:pt>
                <c:pt idx="205">
                  <c:v>1.6946908564410205E-3</c:v>
                </c:pt>
                <c:pt idx="206">
                  <c:v>1.6483229045901762E-3</c:v>
                </c:pt>
                <c:pt idx="207">
                  <c:v>1.603223613008945E-3</c:v>
                </c:pt>
                <c:pt idx="208">
                  <c:v>1.5593582702465197E-3</c:v>
                </c:pt>
                <c:pt idx="209">
                  <c:v>1.5166931145821703E-3</c:v>
                </c:pt>
                <c:pt idx="210">
                  <c:v>1.475195308039955E-3</c:v>
                </c:pt>
                <c:pt idx="211">
                  <c:v>1.4348329111143958E-3</c:v>
                </c:pt>
                <c:pt idx="212">
                  <c:v>1.3955748581876944E-3</c:v>
                </c:pt>
                <c:pt idx="213">
                  <c:v>1.3573909336195347E-3</c:v>
                </c:pt>
                <c:pt idx="214">
                  <c:v>1.3202517484910917E-3</c:v>
                </c:pt>
                <c:pt idx="215">
                  <c:v>1.2841287179853457E-3</c:v>
                </c:pt>
                <c:pt idx="216">
                  <c:v>1.2489940393862811E-3</c:v>
                </c:pt>
                <c:pt idx="217">
                  <c:v>1.2148206706800392E-3</c:v>
                </c:pt>
                <c:pt idx="218">
                  <c:v>1.1815823097415757E-3</c:v>
                </c:pt>
                <c:pt idx="219">
                  <c:v>1.1492533740907606E-3</c:v>
                </c:pt>
                <c:pt idx="220">
                  <c:v>1.11780898120239E-3</c:v>
                </c:pt>
                <c:pt idx="221">
                  <c:v>1.0872249293549163E-3</c:v>
                </c:pt>
                <c:pt idx="222">
                  <c:v>1.0574776790031699E-3</c:v>
                </c:pt>
                <c:pt idx="223">
                  <c:v>1.0285443346607485E-3</c:v>
                </c:pt>
                <c:pt idx="224">
                  <c:v>1.0004026272781037E-3</c:v>
                </c:pt>
                <c:pt idx="225">
                  <c:v>9.7303089710278176E-4</c:v>
                </c:pt>
                <c:pt idx="226">
                  <c:v>9.4640807700862358E-4</c:v>
                </c:pt>
                <c:pt idx="227">
                  <c:v>9.2051367628108124E-4</c:v>
                </c:pt>
                <c:pt idx="228">
                  <c:v>8.9532776484618911E-4</c:v>
                </c:pt>
                <c:pt idx="229">
                  <c:v>8.7083095793103642E-4</c:v>
                </c:pt>
                <c:pt idx="230">
                  <c:v>8.4700440114393648E-4</c:v>
                </c:pt>
                <c:pt idx="231">
                  <c:v>8.2382975596282564E-4</c:v>
                </c:pt>
                <c:pt idx="232">
                  <c:v>8.0128918562069335E-4</c:v>
                </c:pt>
                <c:pt idx="233">
                  <c:v>7.7936534137721368E-4</c:v>
                </c:pt>
                <c:pt idx="234">
                  <c:v>7.5804134916598171E-4</c:v>
                </c:pt>
                <c:pt idx="235">
                  <c:v>7.3730079660709602E-4</c:v>
                </c:pt>
                <c:pt idx="236">
                  <c:v>7.1712772037509087E-4</c:v>
                </c:pt>
                <c:pt idx="237">
                  <c:v>6.9750659391248167E-4</c:v>
                </c:pt>
                <c:pt idx="238">
                  <c:v>6.7842231547948111E-4</c:v>
                </c:pt>
                <c:pt idx="239">
                  <c:v>6.5986019653068828E-4</c:v>
                </c:pt>
                <c:pt idx="240">
                  <c:v>6.4180595040978924E-4</c:v>
                </c:pt>
                <c:pt idx="241">
                  <c:v>6.2424568135358927E-4</c:v>
                </c:pt>
                <c:pt idx="242">
                  <c:v>6.0716587379689639E-4</c:v>
                </c:pt>
                <c:pt idx="243">
                  <c:v>5.9055338197003086E-4</c:v>
                </c:pt>
                <c:pt idx="244">
                  <c:v>5.7439541978095913E-4</c:v>
                </c:pt>
                <c:pt idx="245">
                  <c:v>5.5867955097425512E-4</c:v>
                </c:pt>
                <c:pt idx="246">
                  <c:v>5.4339367955931895E-4</c:v>
                </c:pt>
                <c:pt idx="247">
                  <c:v>5.2852604050049237E-4</c:v>
                </c:pt>
                <c:pt idx="248">
                  <c:v>5.1406519066189119E-4</c:v>
                </c:pt>
                <c:pt idx="249">
                  <c:v>5.0000000000000055E-4</c:v>
                </c:pt>
              </c:numCache>
            </c:numRef>
          </c:val>
          <c:extLst>
            <c:ext xmlns:c16="http://schemas.microsoft.com/office/drawing/2014/chart" uri="{C3380CC4-5D6E-409C-BE32-E72D297353CC}">
              <c16:uniqueId val="{00000001-33EA-4720-9A65-7F0ECC1B9512}"/>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ANOVA!$CJ$15</c:f>
              <c:strCache>
                <c:ptCount val="1"/>
                <c:pt idx="0">
                  <c:v>Chi i anden fordeling med 2 frihedsgrader</c:v>
                </c:pt>
              </c:strCache>
            </c:strRef>
          </c:tx>
          <c:spPr>
            <a:ln w="28575" cap="rnd">
              <a:solidFill>
                <a:schemeClr val="bg1"/>
              </a:solidFill>
              <a:round/>
            </a:ln>
            <a:effectLst/>
          </c:spPr>
          <c:marker>
            <c:symbol val="none"/>
          </c:marker>
          <c:xVal>
            <c:numRef>
              <c:f>[0]!AxS</c:f>
              <c:numCache>
                <c:formatCode>General</c:formatCode>
                <c:ptCount val="25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numCache>
            </c:numRef>
          </c:xVal>
          <c:yVal>
            <c:numRef>
              <c:f>[0]!AySs</c:f>
              <c:numCache>
                <c:formatCode>General</c:formatCode>
                <c:ptCount val="250"/>
                <c:pt idx="0">
                  <c:v>0.5</c:v>
                </c:pt>
                <c:pt idx="1">
                  <c:v>0.48631964299724262</c:v>
                </c:pt>
                <c:pt idx="2">
                  <c:v>0.47301359032993112</c:v>
                </c:pt>
                <c:pt idx="3">
                  <c:v>0.46007160076419201</c:v>
                </c:pt>
                <c:pt idx="4">
                  <c:v>0.44748371327362363</c:v>
                </c:pt>
                <c:pt idx="5">
                  <c:v>0.43524023937261824</c:v>
                </c:pt>
                <c:pt idx="6">
                  <c:v>0.42333175565945225</c:v>
                </c:pt>
                <c:pt idx="7">
                  <c:v>0.41174909656340142</c:v>
                </c:pt>
                <c:pt idx="8">
                  <c:v>0.40048334729030116</c:v>
                </c:pt>
                <c:pt idx="9">
                  <c:v>0.38952583696111998</c:v>
                </c:pt>
                <c:pt idx="10">
                  <c:v>0.37886813193826813</c:v>
                </c:pt>
                <c:pt idx="11">
                  <c:v>0.36850202933450144</c:v>
                </c:pt>
                <c:pt idx="12">
                  <c:v>0.35841955069942838</c:v>
                </c:pt>
                <c:pt idx="13">
                  <c:v>0.34861293587875619</c:v>
                </c:pt>
                <c:pt idx="14">
                  <c:v>0.33907463704155466</c:v>
                </c:pt>
                <c:pt idx="15">
                  <c:v>0.32979731287093694</c:v>
                </c:pt>
                <c:pt idx="16">
                  <c:v>0.32077382291368794</c:v>
                </c:pt>
                <c:pt idx="17">
                  <c:v>0.31199722208449093</c:v>
                </c:pt>
                <c:pt idx="18">
                  <c:v>0.30346075532052202</c:v>
                </c:pt>
                <c:pt idx="19">
                  <c:v>0.2951578523822998</c:v>
                </c:pt>
                <c:pt idx="20">
                  <c:v>0.28708212279678574</c:v>
                </c:pt>
                <c:pt idx="21">
                  <c:v>0.27922735093884682</c:v>
                </c:pt>
                <c:pt idx="22">
                  <c:v>0.27158749124729153</c:v>
                </c:pt>
                <c:pt idx="23">
                  <c:v>0.26415666357179912</c:v>
                </c:pt>
                <c:pt idx="24">
                  <c:v>0.25692914864716015</c:v>
                </c:pt>
                <c:pt idx="25">
                  <c:v>0.24989938369134482</c:v>
                </c:pt>
                <c:pt idx="26">
                  <c:v>0.24306195812401155</c:v>
                </c:pt>
                <c:pt idx="27">
                  <c:v>0.23641160940216002</c:v>
                </c:pt>
                <c:pt idx="28">
                  <c:v>0.22994321896972408</c:v>
                </c:pt>
                <c:pt idx="29">
                  <c:v>0.22365180831798601</c:v>
                </c:pt>
                <c:pt idx="30">
                  <c:v>0.21753253515378135</c:v>
                </c:pt>
                <c:pt idx="31">
                  <c:v>0.2115806896725442</c:v>
                </c:pt>
                <c:pt idx="32">
                  <c:v>0.20579169093332408</c:v>
                </c:pt>
                <c:pt idx="33">
                  <c:v>0.20016108333298616</c:v>
                </c:pt>
                <c:pt idx="34">
                  <c:v>0.19468453317687828</c:v>
                </c:pt>
                <c:pt idx="35">
                  <c:v>0.1893578253433286</c:v>
                </c:pt>
                <c:pt idx="36">
                  <c:v>0.18417686003940356</c:v>
                </c:pt>
                <c:pt idx="37">
                  <c:v>0.17913764964543169</c:v>
                </c:pt>
                <c:pt idx="38">
                  <c:v>0.17423631564586292</c:v>
                </c:pt>
                <c:pt idx="39">
                  <c:v>0.1694690856441019</c:v>
                </c:pt>
                <c:pt idx="40">
                  <c:v>0.16483229045901757</c:v>
                </c:pt>
                <c:pt idx="41">
                  <c:v>0.16032236130089444</c:v>
                </c:pt>
                <c:pt idx="42">
                  <c:v>0.15593582702465184</c:v>
                </c:pt>
                <c:pt idx="43">
                  <c:v>0.15166931145821691</c:v>
                </c:pt>
                <c:pt idx="44">
                  <c:v>0.1475195308039953</c:v>
                </c:pt>
                <c:pt idx="45">
                  <c:v>0.14348329111143945</c:v>
                </c:pt>
                <c:pt idx="46">
                  <c:v>0.13955748581876934</c:v>
                </c:pt>
                <c:pt idx="47">
                  <c:v>0.13573909336195331</c:v>
                </c:pt>
                <c:pt idx="48">
                  <c:v>0.13202517484910906</c:v>
                </c:pt>
                <c:pt idx="49">
                  <c:v>0.1284128717985345</c:v>
                </c:pt>
                <c:pt idx="50">
                  <c:v>0.12489940393862797</c:v>
                </c:pt>
                <c:pt idx="51">
                  <c:v>0.12148206706800389</c:v>
                </c:pt>
                <c:pt idx="52">
                  <c:v>0.11815823097415748</c:v>
                </c:pt>
                <c:pt idx="53">
                  <c:v>0.11492533740907598</c:v>
                </c:pt>
                <c:pt idx="54">
                  <c:v>0.11178089812023899</c:v>
                </c:pt>
                <c:pt idx="55">
                  <c:v>0.10872249293549151</c:v>
                </c:pt>
                <c:pt idx="56">
                  <c:v>0.10574776790031694</c:v>
                </c:pt>
                <c:pt idx="57">
                  <c:v>0.10285443346607481</c:v>
                </c:pt>
                <c:pt idx="58">
                  <c:v>0.1000402627278103</c:v>
                </c:pt>
                <c:pt idx="59">
                  <c:v>9.7303089710278109E-2</c:v>
                </c:pt>
                <c:pt idx="60">
                  <c:v>9.4640807700862237E-2</c:v>
                </c:pt>
                <c:pt idx="61">
                  <c:v>9.2051367628108047E-2</c:v>
                </c:pt>
                <c:pt idx="62">
                  <c:v>8.9532776484618881E-2</c:v>
                </c:pt>
                <c:pt idx="63">
                  <c:v>8.708309579310354E-2</c:v>
                </c:pt>
                <c:pt idx="64">
                  <c:v>8.4700440114393594E-2</c:v>
                </c:pt>
                <c:pt idx="65">
                  <c:v>8.2382975596282451E-2</c:v>
                </c:pt>
                <c:pt idx="66">
                  <c:v>8.0128918562069232E-2</c:v>
                </c:pt>
                <c:pt idx="67">
                  <c:v>7.7936534137721294E-2</c:v>
                </c:pt>
                <c:pt idx="68">
                  <c:v>7.5804134916598057E-2</c:v>
                </c:pt>
                <c:pt idx="69">
                  <c:v>7.3730079660709574E-2</c:v>
                </c:pt>
                <c:pt idx="70">
                  <c:v>7.1712772037509059E-2</c:v>
                </c:pt>
                <c:pt idx="71">
                  <c:v>6.975065939124811E-2</c:v>
                </c:pt>
                <c:pt idx="72">
                  <c:v>6.7842231547948065E-2</c:v>
                </c:pt>
                <c:pt idx="73">
                  <c:v>6.5986019653068786E-2</c:v>
                </c:pt>
                <c:pt idx="74">
                  <c:v>6.4180595040978866E-2</c:v>
                </c:pt>
                <c:pt idx="75">
                  <c:v>6.2424568135358904E-2</c:v>
                </c:pt>
                <c:pt idx="76">
                  <c:v>6.0716587379689588E-2</c:v>
                </c:pt>
                <c:pt idx="77">
                  <c:v>5.9055338197003024E-2</c:v>
                </c:pt>
                <c:pt idx="78">
                  <c:v>5.7439541978095886E-2</c:v>
                </c:pt>
                <c:pt idx="79">
                  <c:v>5.586795509742546E-2</c:v>
                </c:pt>
                <c:pt idx="80">
                  <c:v>5.4339367955931868E-2</c:v>
                </c:pt>
                <c:pt idx="81">
                  <c:v>5.2852604050049157E-2</c:v>
                </c:pt>
                <c:pt idx="82">
                  <c:v>5.1406519066189066E-2</c:v>
                </c:pt>
                <c:pt idx="83">
                  <c:v>5.0000000000000017E-2</c:v>
                </c:pt>
                <c:pt idx="84">
                  <c:v>4.863196429972428E-2</c:v>
                </c:pt>
                <c:pt idx="85">
                  <c:v>4.7301359032993102E-2</c:v>
                </c:pt>
                <c:pt idx="86">
                  <c:v>4.6007160076419217E-2</c:v>
                </c:pt>
                <c:pt idx="87">
                  <c:v>4.4748371327362375E-2</c:v>
                </c:pt>
                <c:pt idx="88">
                  <c:v>4.3524023937261846E-2</c:v>
                </c:pt>
                <c:pt idx="89">
                  <c:v>4.2333175565945236E-2</c:v>
                </c:pt>
                <c:pt idx="90">
                  <c:v>4.1174909656340165E-2</c:v>
                </c:pt>
                <c:pt idx="91">
                  <c:v>4.004833472903014E-2</c:v>
                </c:pt>
                <c:pt idx="92">
                  <c:v>3.8952583696112014E-2</c:v>
                </c:pt>
                <c:pt idx="93">
                  <c:v>3.7886813193826807E-2</c:v>
                </c:pt>
                <c:pt idx="94">
                  <c:v>3.6850202933450156E-2</c:v>
                </c:pt>
                <c:pt idx="95">
                  <c:v>3.5841955069942845E-2</c:v>
                </c:pt>
                <c:pt idx="96">
                  <c:v>3.4861293587875632E-2</c:v>
                </c:pt>
                <c:pt idx="97">
                  <c:v>3.3907463704155483E-2</c:v>
                </c:pt>
                <c:pt idx="98">
                  <c:v>3.2979731287093708E-2</c:v>
                </c:pt>
                <c:pt idx="99">
                  <c:v>3.2077382291368813E-2</c:v>
                </c:pt>
                <c:pt idx="100">
                  <c:v>3.1199722208449101E-2</c:v>
                </c:pt>
                <c:pt idx="101">
                  <c:v>3.0346075532052222E-2</c:v>
                </c:pt>
                <c:pt idx="102">
                  <c:v>2.951578523822998E-2</c:v>
                </c:pt>
                <c:pt idx="103">
                  <c:v>2.8708212279678583E-2</c:v>
                </c:pt>
                <c:pt idx="104">
                  <c:v>2.7922735093884699E-2</c:v>
                </c:pt>
                <c:pt idx="105">
                  <c:v>2.7158749124729167E-2</c:v>
                </c:pt>
                <c:pt idx="106">
                  <c:v>2.6415666357179918E-2</c:v>
                </c:pt>
                <c:pt idx="107">
                  <c:v>2.5692914864716032E-2</c:v>
                </c:pt>
                <c:pt idx="108">
                  <c:v>2.4989938369134497E-2</c:v>
                </c:pt>
                <c:pt idx="109">
                  <c:v>2.4306195812401163E-2</c:v>
                </c:pt>
                <c:pt idx="110">
                  <c:v>2.3641160940216007E-2</c:v>
                </c:pt>
                <c:pt idx="111">
                  <c:v>2.2994321896972415E-2</c:v>
                </c:pt>
                <c:pt idx="112">
                  <c:v>2.2365180831798611E-2</c:v>
                </c:pt>
                <c:pt idx="113">
                  <c:v>2.1753253515378147E-2</c:v>
                </c:pt>
                <c:pt idx="114">
                  <c:v>2.1158068967254421E-2</c:v>
                </c:pt>
                <c:pt idx="115">
                  <c:v>2.0579169093332423E-2</c:v>
                </c:pt>
                <c:pt idx="116">
                  <c:v>2.0016108333298626E-2</c:v>
                </c:pt>
                <c:pt idx="117">
                  <c:v>1.9468453317687845E-2</c:v>
                </c:pt>
                <c:pt idx="118">
                  <c:v>1.8935782534332861E-2</c:v>
                </c:pt>
                <c:pt idx="119">
                  <c:v>1.8417686003940358E-2</c:v>
                </c:pt>
                <c:pt idx="120">
                  <c:v>1.7913764964543177E-2</c:v>
                </c:pt>
                <c:pt idx="121">
                  <c:v>1.7423631564586307E-2</c:v>
                </c:pt>
                <c:pt idx="122">
                  <c:v>1.6946908564410196E-2</c:v>
                </c:pt>
                <c:pt idx="123">
                  <c:v>1.648322904590176E-2</c:v>
                </c:pt>
                <c:pt idx="124">
                  <c:v>1.6032236130089451E-2</c:v>
                </c:pt>
                <c:pt idx="125">
                  <c:v>1.5593582702465197E-2</c:v>
                </c:pt>
                <c:pt idx="126">
                  <c:v>1.5166931145821693E-2</c:v>
                </c:pt>
                <c:pt idx="127">
                  <c:v>1.4751953080399534E-2</c:v>
                </c:pt>
                <c:pt idx="128">
                  <c:v>1.4348329111143953E-2</c:v>
                </c:pt>
                <c:pt idx="129">
                  <c:v>1.3955748581876941E-2</c:v>
                </c:pt>
                <c:pt idx="130">
                  <c:v>1.3573909336195341E-2</c:v>
                </c:pt>
                <c:pt idx="131">
                  <c:v>1.3202517484910909E-2</c:v>
                </c:pt>
                <c:pt idx="132">
                  <c:v>1.2841287179853453E-2</c:v>
                </c:pt>
                <c:pt idx="133">
                  <c:v>1.2489940393862803E-2</c:v>
                </c:pt>
                <c:pt idx="134">
                  <c:v>1.2148206706800398E-2</c:v>
                </c:pt>
                <c:pt idx="135">
                  <c:v>1.1815823097415749E-2</c:v>
                </c:pt>
                <c:pt idx="136">
                  <c:v>1.1492533740907604E-2</c:v>
                </c:pt>
                <c:pt idx="137">
                  <c:v>1.1178089812023898E-2</c:v>
                </c:pt>
                <c:pt idx="138">
                  <c:v>1.0872249293549159E-2</c:v>
                </c:pt>
                <c:pt idx="139">
                  <c:v>1.0574776790031697E-2</c:v>
                </c:pt>
                <c:pt idx="140">
                  <c:v>1.0285443346607484E-2</c:v>
                </c:pt>
                <c:pt idx="141">
                  <c:v>1.0004026272781037E-2</c:v>
                </c:pt>
                <c:pt idx="142">
                  <c:v>9.7303089710278172E-3</c:v>
                </c:pt>
                <c:pt idx="143">
                  <c:v>9.4640807700862306E-3</c:v>
                </c:pt>
                <c:pt idx="144">
                  <c:v>9.205136762810805E-3</c:v>
                </c:pt>
                <c:pt idx="145">
                  <c:v>8.9532776484618961E-3</c:v>
                </c:pt>
                <c:pt idx="146">
                  <c:v>8.7083095793103592E-3</c:v>
                </c:pt>
                <c:pt idx="147">
                  <c:v>8.4700440114393628E-3</c:v>
                </c:pt>
                <c:pt idx="148">
                  <c:v>8.2382975596282434E-3</c:v>
                </c:pt>
                <c:pt idx="149">
                  <c:v>8.0128918562069225E-3</c:v>
                </c:pt>
                <c:pt idx="150">
                  <c:v>7.7936534137721305E-3</c:v>
                </c:pt>
                <c:pt idx="151">
                  <c:v>7.580413491659806E-3</c:v>
                </c:pt>
                <c:pt idx="152">
                  <c:v>7.3730079660709611E-3</c:v>
                </c:pt>
                <c:pt idx="153">
                  <c:v>7.1712772037509087E-3</c:v>
                </c:pt>
                <c:pt idx="154">
                  <c:v>6.9750659391248117E-3</c:v>
                </c:pt>
                <c:pt idx="155">
                  <c:v>6.7842231547948131E-3</c:v>
                </c:pt>
                <c:pt idx="156">
                  <c:v>6.5986019653068795E-3</c:v>
                </c:pt>
                <c:pt idx="157">
                  <c:v>6.4180595040978878E-3</c:v>
                </c:pt>
                <c:pt idx="158">
                  <c:v>6.2424568135358953E-3</c:v>
                </c:pt>
                <c:pt idx="159">
                  <c:v>6.0716587379689591E-3</c:v>
                </c:pt>
                <c:pt idx="160">
                  <c:v>5.9055338197003095E-3</c:v>
                </c:pt>
                <c:pt idx="161">
                  <c:v>5.7439541978095933E-3</c:v>
                </c:pt>
                <c:pt idx="162">
                  <c:v>5.5867955097425462E-3</c:v>
                </c:pt>
                <c:pt idx="163">
                  <c:v>5.4339367955931906E-3</c:v>
                </c:pt>
                <c:pt idx="164">
                  <c:v>5.2852604050049193E-3</c:v>
                </c:pt>
                <c:pt idx="165">
                  <c:v>5.1406519066189123E-3</c:v>
                </c:pt>
                <c:pt idx="166">
                  <c:v>5.0000000000000027E-3</c:v>
                </c:pt>
                <c:pt idx="167">
                  <c:v>4.8631964299724268E-3</c:v>
                </c:pt>
                <c:pt idx="168">
                  <c:v>4.7301359032993137E-3</c:v>
                </c:pt>
                <c:pt idx="169">
                  <c:v>4.6007160076419222E-3</c:v>
                </c:pt>
                <c:pt idx="170">
                  <c:v>4.4748371327362358E-3</c:v>
                </c:pt>
                <c:pt idx="171">
                  <c:v>4.3524023937261853E-3</c:v>
                </c:pt>
                <c:pt idx="172">
                  <c:v>4.2333175565945243E-3</c:v>
                </c:pt>
                <c:pt idx="173">
                  <c:v>4.1174909656340195E-3</c:v>
                </c:pt>
                <c:pt idx="174">
                  <c:v>4.0048334729030147E-3</c:v>
                </c:pt>
                <c:pt idx="175">
                  <c:v>3.8952583696112019E-3</c:v>
                </c:pt>
                <c:pt idx="176">
                  <c:v>3.7886813193826851E-3</c:v>
                </c:pt>
                <c:pt idx="177">
                  <c:v>3.6850202933450173E-3</c:v>
                </c:pt>
                <c:pt idx="178">
                  <c:v>3.5841955069942856E-3</c:v>
                </c:pt>
                <c:pt idx="179">
                  <c:v>3.4861293587875658E-3</c:v>
                </c:pt>
                <c:pt idx="180">
                  <c:v>3.3907463704155498E-3</c:v>
                </c:pt>
                <c:pt idx="181">
                  <c:v>3.2979731287093752E-3</c:v>
                </c:pt>
                <c:pt idx="182">
                  <c:v>3.2077382291368843E-3</c:v>
                </c:pt>
                <c:pt idx="183">
                  <c:v>3.1199722208449096E-3</c:v>
                </c:pt>
                <c:pt idx="184">
                  <c:v>3.0346075532052229E-3</c:v>
                </c:pt>
                <c:pt idx="185">
                  <c:v>2.9515785238229987E-3</c:v>
                </c:pt>
                <c:pt idx="186">
                  <c:v>2.8708212279678581E-3</c:v>
                </c:pt>
                <c:pt idx="187">
                  <c:v>2.7922735093884698E-3</c:v>
                </c:pt>
                <c:pt idx="188">
                  <c:v>2.7158749124729163E-3</c:v>
                </c:pt>
                <c:pt idx="189">
                  <c:v>2.641566635717994E-3</c:v>
                </c:pt>
                <c:pt idx="190">
                  <c:v>2.5692914864716035E-3</c:v>
                </c:pt>
                <c:pt idx="191">
                  <c:v>2.4989938369134488E-3</c:v>
                </c:pt>
                <c:pt idx="192">
                  <c:v>2.4306195812401174E-3</c:v>
                </c:pt>
                <c:pt idx="193">
                  <c:v>2.364116094021602E-3</c:v>
                </c:pt>
                <c:pt idx="194">
                  <c:v>2.2994321896972437E-3</c:v>
                </c:pt>
                <c:pt idx="195">
                  <c:v>2.2365180831798626E-3</c:v>
                </c:pt>
                <c:pt idx="196">
                  <c:v>2.1753253515378154E-3</c:v>
                </c:pt>
                <c:pt idx="197">
                  <c:v>2.1158068967254448E-3</c:v>
                </c:pt>
                <c:pt idx="198">
                  <c:v>2.0579169093332436E-3</c:v>
                </c:pt>
                <c:pt idx="199">
                  <c:v>2.0016108333298635E-3</c:v>
                </c:pt>
                <c:pt idx="200">
                  <c:v>1.9468453317687843E-3</c:v>
                </c:pt>
                <c:pt idx="201">
                  <c:v>1.8935782534332867E-3</c:v>
                </c:pt>
                <c:pt idx="202">
                  <c:v>1.8417686003940374E-3</c:v>
                </c:pt>
                <c:pt idx="203">
                  <c:v>1.7913764964543185E-3</c:v>
                </c:pt>
                <c:pt idx="204">
                  <c:v>1.7423631564586302E-3</c:v>
                </c:pt>
                <c:pt idx="205">
                  <c:v>1.6946908564410205E-3</c:v>
                </c:pt>
                <c:pt idx="206">
                  <c:v>1.6483229045901762E-3</c:v>
                </c:pt>
                <c:pt idx="207">
                  <c:v>1.603223613008945E-3</c:v>
                </c:pt>
                <c:pt idx="208">
                  <c:v>1.5593582702465197E-3</c:v>
                </c:pt>
                <c:pt idx="209">
                  <c:v>1.5166931145821703E-3</c:v>
                </c:pt>
                <c:pt idx="210">
                  <c:v>1.475195308039955E-3</c:v>
                </c:pt>
                <c:pt idx="211">
                  <c:v>1.4348329111143958E-3</c:v>
                </c:pt>
                <c:pt idx="212">
                  <c:v>1.3955748581876944E-3</c:v>
                </c:pt>
                <c:pt idx="213">
                  <c:v>1.3573909336195347E-3</c:v>
                </c:pt>
                <c:pt idx="214">
                  <c:v>1.3202517484910917E-3</c:v>
                </c:pt>
                <c:pt idx="215">
                  <c:v>1.2841287179853457E-3</c:v>
                </c:pt>
                <c:pt idx="216">
                  <c:v>1.2489940393862811E-3</c:v>
                </c:pt>
                <c:pt idx="217">
                  <c:v>1.2148206706800392E-3</c:v>
                </c:pt>
                <c:pt idx="218">
                  <c:v>1.1815823097415757E-3</c:v>
                </c:pt>
                <c:pt idx="219">
                  <c:v>1.1492533740907606E-3</c:v>
                </c:pt>
                <c:pt idx="220">
                  <c:v>1.11780898120239E-3</c:v>
                </c:pt>
                <c:pt idx="221">
                  <c:v>1.0872249293549163E-3</c:v>
                </c:pt>
                <c:pt idx="222">
                  <c:v>1.0574776790031699E-3</c:v>
                </c:pt>
                <c:pt idx="223">
                  <c:v>1.0285443346607485E-3</c:v>
                </c:pt>
                <c:pt idx="224">
                  <c:v>1.0004026272781037E-3</c:v>
                </c:pt>
                <c:pt idx="225">
                  <c:v>9.7303089710278176E-4</c:v>
                </c:pt>
                <c:pt idx="226">
                  <c:v>9.4640807700862358E-4</c:v>
                </c:pt>
                <c:pt idx="227">
                  <c:v>9.2051367628108124E-4</c:v>
                </c:pt>
                <c:pt idx="228">
                  <c:v>8.9532776484618911E-4</c:v>
                </c:pt>
                <c:pt idx="229">
                  <c:v>8.7083095793103642E-4</c:v>
                </c:pt>
                <c:pt idx="230">
                  <c:v>8.4700440114393648E-4</c:v>
                </c:pt>
                <c:pt idx="231">
                  <c:v>8.2382975596282564E-4</c:v>
                </c:pt>
                <c:pt idx="232">
                  <c:v>8.0128918562069335E-4</c:v>
                </c:pt>
                <c:pt idx="233">
                  <c:v>7.7936534137721368E-4</c:v>
                </c:pt>
                <c:pt idx="234">
                  <c:v>7.5804134916598171E-4</c:v>
                </c:pt>
                <c:pt idx="235">
                  <c:v>7.3730079660709602E-4</c:v>
                </c:pt>
                <c:pt idx="236">
                  <c:v>7.1712772037509087E-4</c:v>
                </c:pt>
                <c:pt idx="237">
                  <c:v>6.9750659391248167E-4</c:v>
                </c:pt>
                <c:pt idx="238">
                  <c:v>6.7842231547948111E-4</c:v>
                </c:pt>
                <c:pt idx="239">
                  <c:v>6.5986019653068828E-4</c:v>
                </c:pt>
                <c:pt idx="240">
                  <c:v>6.4180595040978924E-4</c:v>
                </c:pt>
                <c:pt idx="241">
                  <c:v>6.2424568135358927E-4</c:v>
                </c:pt>
                <c:pt idx="242">
                  <c:v>6.0716587379689639E-4</c:v>
                </c:pt>
                <c:pt idx="243">
                  <c:v>5.9055338197003086E-4</c:v>
                </c:pt>
                <c:pt idx="244">
                  <c:v>5.7439541978095913E-4</c:v>
                </c:pt>
                <c:pt idx="245">
                  <c:v>5.5867955097425512E-4</c:v>
                </c:pt>
                <c:pt idx="246">
                  <c:v>5.4339367955931895E-4</c:v>
                </c:pt>
                <c:pt idx="247">
                  <c:v>5.2852604050049237E-4</c:v>
                </c:pt>
                <c:pt idx="248">
                  <c:v>5.1406519066189119E-4</c:v>
                </c:pt>
                <c:pt idx="249">
                  <c:v>5.0000000000000055E-4</c:v>
                </c:pt>
              </c:numCache>
            </c:numRef>
          </c:yVal>
          <c:smooth val="1"/>
          <c:extLst>
            <c:ext xmlns:c16="http://schemas.microsoft.com/office/drawing/2014/chart" uri="{C3380CC4-5D6E-409C-BE32-E72D297353CC}">
              <c16:uniqueId val="{00000002-33EA-4720-9A65-7F0ECC1B9512}"/>
            </c:ext>
          </c:extLst>
        </c:ser>
        <c:ser>
          <c:idx val="2"/>
          <c:order val="3"/>
          <c:tx>
            <c:strRef>
              <c:f>ANOVA!$CJ$35</c:f>
              <c:strCache>
                <c:ptCount val="1"/>
                <c:pt idx="0">
                  <c:v>100% mindre end 32.224</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ANOVA!$CJ$31</c:f>
              <c:numCache>
                <c:formatCode>#,##0.000</c:formatCode>
                <c:ptCount val="1"/>
                <c:pt idx="0">
                  <c:v>125</c:v>
                </c:pt>
              </c:numCache>
            </c:numRef>
          </c:xVal>
          <c:yVal>
            <c:numRef>
              <c:f>ANOVA!$CJ$33</c:f>
              <c:numCache>
                <c:formatCode>#,##0.000</c:formatCode>
                <c:ptCount val="1"/>
                <c:pt idx="0">
                  <c:v>1.6032236130089451E-2</c:v>
                </c:pt>
              </c:numCache>
            </c:numRef>
          </c:yVal>
          <c:smooth val="0"/>
          <c:extLst>
            <c:ext xmlns:c16="http://schemas.microsoft.com/office/drawing/2014/chart" uri="{C3380CC4-5D6E-409C-BE32-E72D297353CC}">
              <c16:uniqueId val="{00000003-33EA-4720-9A65-7F0ECC1B9512}"/>
            </c:ext>
          </c:extLst>
        </c:ser>
        <c:ser>
          <c:idx val="5"/>
          <c:order val="4"/>
          <c:tx>
            <c:strRef>
              <c:f>ANOVA!$CJ$41</c:f>
              <c:strCache>
                <c:ptCount val="1"/>
                <c:pt idx="0">
                  <c:v>0% større end 32.224</c:v>
                </c:pt>
              </c:strCache>
            </c:strRef>
          </c:tx>
          <c:spPr>
            <a:ln w="28575" cap="rnd">
              <a:solidFill>
                <a:schemeClr val="accent6"/>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ANOVA!$CJ$37</c:f>
              <c:numCache>
                <c:formatCode>#,##0.000</c:formatCode>
                <c:ptCount val="1"/>
                <c:pt idx="0">
                  <c:v>250</c:v>
                </c:pt>
              </c:numCache>
            </c:numRef>
          </c:xVal>
          <c:yVal>
            <c:numRef>
              <c:f>ANOVA!$CJ$39</c:f>
              <c:numCache>
                <c:formatCode>#,##0.000</c:formatCode>
                <c:ptCount val="1"/>
                <c:pt idx="0">
                  <c:v>5.0000000000000055E-4</c:v>
                </c:pt>
              </c:numCache>
            </c:numRef>
          </c:yVal>
          <c:smooth val="0"/>
          <c:extLst>
            <c:ext xmlns:c16="http://schemas.microsoft.com/office/drawing/2014/chart" uri="{C3380CC4-5D6E-409C-BE32-E72D297353CC}">
              <c16:uniqueId val="{00000004-33EA-4720-9A65-7F0ECC1B9512}"/>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strRef>
              <c:f>ANOVA!$CJ$15</c:f>
              <c:strCache>
                <c:ptCount val="1"/>
                <c:pt idx="0">
                  <c:v>Chi i anden fordeling med 2 frihedsgrader</c:v>
                </c:pt>
              </c:strCache>
            </c:strRef>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out"/>
        <c:minorTickMark val="none"/>
        <c:tickLblPos val="nextTo"/>
        <c:spPr>
          <a:noFill/>
          <a:ln w="9525" cap="flat" cmpd="sng" algn="ctr">
            <a:solidFill>
              <a:schemeClr val="tx1">
                <a:lumMod val="50000"/>
                <a:lumOff val="50000"/>
              </a:schemeClr>
            </a:solid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tickMarkSkip val="25"/>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legend>
      <c:legendPos val="tr"/>
      <c:legendEntry>
        <c:idx val="2"/>
        <c:delete val="1"/>
      </c:legendEntry>
      <c:legendEntry>
        <c:idx val="3"/>
        <c:delete val="1"/>
      </c:legendEntry>
      <c:legendEntry>
        <c:idx val="4"/>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ANOVA!$AQ$9</c:f>
          <c:strCache>
            <c:ptCount val="1"/>
            <c:pt idx="0">
              <c:v>Sammenligning med estimerede normalfordelinger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3.8368600930773704E-2"/>
          <c:y val="0.18175883539336118"/>
          <c:w val="0.92870884235020357"/>
          <c:h val="0.78532043650793648"/>
        </c:manualLayout>
      </c:layout>
      <c:scatterChart>
        <c:scatterStyle val="lineMarker"/>
        <c:varyColors val="0"/>
        <c:ser>
          <c:idx val="0"/>
          <c:order val="0"/>
          <c:tx>
            <c:strRef>
              <c:f>ANOVA!$AQ$11</c:f>
              <c:strCache>
                <c:ptCount val="1"/>
                <c:pt idx="0">
                  <c:v>Estimeret normalfordeling</c:v>
                </c:pt>
              </c:strCache>
            </c:strRef>
          </c:tx>
          <c:spPr>
            <a:ln w="19050" cap="rnd">
              <a:solidFill>
                <a:schemeClr val="accent1"/>
              </a:solidFill>
              <a:round/>
            </a:ln>
            <a:effectLst/>
          </c:spPr>
          <c:marker>
            <c:symbol val="none"/>
          </c:marker>
          <c:xVal>
            <c:numRef>
              <c:f>[0]!AxNorm</c:f>
              <c:numCache>
                <c:formatCode>General</c:formatCode>
                <c:ptCount val="2727"/>
                <c:pt idx="0">
                  <c:v>-11.066593778562057</c:v>
                </c:pt>
                <c:pt idx="1">
                  <c:v>-11.03565324724471</c:v>
                </c:pt>
                <c:pt idx="2">
                  <c:v>-11.004712715927365</c:v>
                </c:pt>
                <c:pt idx="3">
                  <c:v>-10.973772184610018</c:v>
                </c:pt>
                <c:pt idx="4">
                  <c:v>-10.942831653292671</c:v>
                </c:pt>
                <c:pt idx="5">
                  <c:v>-10.911891121975325</c:v>
                </c:pt>
                <c:pt idx="6">
                  <c:v>-10.88095059065798</c:v>
                </c:pt>
                <c:pt idx="7">
                  <c:v>-10.850010059340633</c:v>
                </c:pt>
                <c:pt idx="8">
                  <c:v>-10.819069528023286</c:v>
                </c:pt>
                <c:pt idx="9">
                  <c:v>-10.788128996705939</c:v>
                </c:pt>
                <c:pt idx="10">
                  <c:v>-10.757188465388595</c:v>
                </c:pt>
                <c:pt idx="11">
                  <c:v>-10.726247934071248</c:v>
                </c:pt>
                <c:pt idx="12">
                  <c:v>-10.695307402753901</c:v>
                </c:pt>
                <c:pt idx="13">
                  <c:v>-10.664366871436556</c:v>
                </c:pt>
                <c:pt idx="14">
                  <c:v>-10.633426340119209</c:v>
                </c:pt>
                <c:pt idx="15">
                  <c:v>-10.602485808801863</c:v>
                </c:pt>
                <c:pt idx="16">
                  <c:v>-10.571545277484516</c:v>
                </c:pt>
                <c:pt idx="17">
                  <c:v>-10.540604746167171</c:v>
                </c:pt>
                <c:pt idx="18">
                  <c:v>-10.509664214849824</c:v>
                </c:pt>
                <c:pt idx="19">
                  <c:v>-10.478723683532477</c:v>
                </c:pt>
                <c:pt idx="20">
                  <c:v>-10.447783152215131</c:v>
                </c:pt>
                <c:pt idx="21">
                  <c:v>-10.416842620897786</c:v>
                </c:pt>
                <c:pt idx="22">
                  <c:v>-10.385902089580439</c:v>
                </c:pt>
                <c:pt idx="23">
                  <c:v>-10.354961558263092</c:v>
                </c:pt>
                <c:pt idx="24">
                  <c:v>-10.324021026945747</c:v>
                </c:pt>
                <c:pt idx="25">
                  <c:v>-10.2930804956284</c:v>
                </c:pt>
                <c:pt idx="26">
                  <c:v>-10.262139964311054</c:v>
                </c:pt>
                <c:pt idx="27">
                  <c:v>-10.231199432993707</c:v>
                </c:pt>
                <c:pt idx="28">
                  <c:v>-10.200258901676362</c:v>
                </c:pt>
                <c:pt idx="29">
                  <c:v>-10.169318370359015</c:v>
                </c:pt>
                <c:pt idx="30">
                  <c:v>-10.138377839041668</c:v>
                </c:pt>
                <c:pt idx="31">
                  <c:v>-10.107437307724322</c:v>
                </c:pt>
                <c:pt idx="32">
                  <c:v>-10.076496776406977</c:v>
                </c:pt>
                <c:pt idx="33">
                  <c:v>-10.04555624508963</c:v>
                </c:pt>
                <c:pt idx="34">
                  <c:v>-10.014615713772283</c:v>
                </c:pt>
                <c:pt idx="35">
                  <c:v>-9.9836751824549363</c:v>
                </c:pt>
                <c:pt idx="36">
                  <c:v>-9.9527346511375914</c:v>
                </c:pt>
                <c:pt idx="37">
                  <c:v>-9.9217941198202446</c:v>
                </c:pt>
                <c:pt idx="38">
                  <c:v>-9.8908535885028979</c:v>
                </c:pt>
                <c:pt idx="39">
                  <c:v>-9.8599130571855511</c:v>
                </c:pt>
                <c:pt idx="40">
                  <c:v>-9.8289725258682061</c:v>
                </c:pt>
                <c:pt idx="41">
                  <c:v>-9.7980319945508594</c:v>
                </c:pt>
                <c:pt idx="42">
                  <c:v>-9.7670914632335126</c:v>
                </c:pt>
                <c:pt idx="43">
                  <c:v>-9.7361509319161677</c:v>
                </c:pt>
                <c:pt idx="44">
                  <c:v>-9.7052104005988209</c:v>
                </c:pt>
                <c:pt idx="45">
                  <c:v>-9.6742698692814741</c:v>
                </c:pt>
                <c:pt idx="46">
                  <c:v>-9.6433293379641274</c:v>
                </c:pt>
                <c:pt idx="47">
                  <c:v>-9.6123888066467824</c:v>
                </c:pt>
                <c:pt idx="48">
                  <c:v>-9.5814482753294357</c:v>
                </c:pt>
                <c:pt idx="49">
                  <c:v>-9.5505077440120889</c:v>
                </c:pt>
                <c:pt idx="50">
                  <c:v>-9.5195672126947422</c:v>
                </c:pt>
                <c:pt idx="51">
                  <c:v>-9.4886266813773972</c:v>
                </c:pt>
                <c:pt idx="52">
                  <c:v>-9.4576861500600504</c:v>
                </c:pt>
                <c:pt idx="53">
                  <c:v>-9.4267456187427037</c:v>
                </c:pt>
                <c:pt idx="54">
                  <c:v>-9.3958050874253587</c:v>
                </c:pt>
                <c:pt idx="55">
                  <c:v>-9.3648645561080119</c:v>
                </c:pt>
                <c:pt idx="56">
                  <c:v>-9.3339240247906652</c:v>
                </c:pt>
                <c:pt idx="57">
                  <c:v>-9.3029834934733184</c:v>
                </c:pt>
                <c:pt idx="58">
                  <c:v>-9.2720429621559735</c:v>
                </c:pt>
                <c:pt idx="59">
                  <c:v>-9.2411024308386267</c:v>
                </c:pt>
                <c:pt idx="60">
                  <c:v>-9.2101618995212799</c:v>
                </c:pt>
                <c:pt idx="61">
                  <c:v>-9.1792213682039332</c:v>
                </c:pt>
                <c:pt idx="62">
                  <c:v>-9.1482808368865882</c:v>
                </c:pt>
                <c:pt idx="63">
                  <c:v>-9.1173403055692415</c:v>
                </c:pt>
                <c:pt idx="64">
                  <c:v>-9.0863997742518947</c:v>
                </c:pt>
                <c:pt idx="65">
                  <c:v>-9.0554592429345497</c:v>
                </c:pt>
                <c:pt idx="66">
                  <c:v>-9.024518711617203</c:v>
                </c:pt>
                <c:pt idx="67">
                  <c:v>-8.9935781802998562</c:v>
                </c:pt>
                <c:pt idx="68">
                  <c:v>-8.9626376489825095</c:v>
                </c:pt>
                <c:pt idx="69">
                  <c:v>-8.9316971176651627</c:v>
                </c:pt>
                <c:pt idx="70">
                  <c:v>-8.9007565863478177</c:v>
                </c:pt>
                <c:pt idx="71">
                  <c:v>-8.869816055030471</c:v>
                </c:pt>
                <c:pt idx="72">
                  <c:v>-8.8388755237131242</c:v>
                </c:pt>
                <c:pt idx="73">
                  <c:v>-8.8079349923957793</c:v>
                </c:pt>
                <c:pt idx="74">
                  <c:v>-8.7769944610784325</c:v>
                </c:pt>
                <c:pt idx="75">
                  <c:v>-8.7460539297610858</c:v>
                </c:pt>
                <c:pt idx="76">
                  <c:v>-8.7151133984437408</c:v>
                </c:pt>
                <c:pt idx="77">
                  <c:v>-8.684172867126394</c:v>
                </c:pt>
                <c:pt idx="78">
                  <c:v>-8.6532323358090473</c:v>
                </c:pt>
                <c:pt idx="79">
                  <c:v>-8.6222918044917005</c:v>
                </c:pt>
                <c:pt idx="80">
                  <c:v>-8.5913512731743538</c:v>
                </c:pt>
                <c:pt idx="81">
                  <c:v>-8.5604107418570088</c:v>
                </c:pt>
                <c:pt idx="82">
                  <c:v>-8.529470210539662</c:v>
                </c:pt>
                <c:pt idx="83">
                  <c:v>-8.4985296792223153</c:v>
                </c:pt>
                <c:pt idx="84">
                  <c:v>-8.4675891479049703</c:v>
                </c:pt>
                <c:pt idx="85">
                  <c:v>-8.4366486165876236</c:v>
                </c:pt>
                <c:pt idx="86">
                  <c:v>-8.4057080852702768</c:v>
                </c:pt>
                <c:pt idx="87">
                  <c:v>-8.3747675539529318</c:v>
                </c:pt>
                <c:pt idx="88">
                  <c:v>-8.3438270226355851</c:v>
                </c:pt>
                <c:pt idx="89">
                  <c:v>-8.3128864913182383</c:v>
                </c:pt>
                <c:pt idx="90">
                  <c:v>-8.2819459600008916</c:v>
                </c:pt>
                <c:pt idx="91">
                  <c:v>-8.2510054286835448</c:v>
                </c:pt>
                <c:pt idx="92">
                  <c:v>-8.2200648973661998</c:v>
                </c:pt>
                <c:pt idx="93">
                  <c:v>-8.1891243660488531</c:v>
                </c:pt>
                <c:pt idx="94">
                  <c:v>-8.1581838347315063</c:v>
                </c:pt>
                <c:pt idx="95">
                  <c:v>-8.1272433034141613</c:v>
                </c:pt>
                <c:pt idx="96">
                  <c:v>-8.0963027720968146</c:v>
                </c:pt>
                <c:pt idx="97">
                  <c:v>-8.0653622407794678</c:v>
                </c:pt>
                <c:pt idx="98">
                  <c:v>-8.0344217094621229</c:v>
                </c:pt>
                <c:pt idx="99">
                  <c:v>-8.0034811781447761</c:v>
                </c:pt>
                <c:pt idx="100">
                  <c:v>-7.9725406468274294</c:v>
                </c:pt>
                <c:pt idx="101">
                  <c:v>-7.9416001155100826</c:v>
                </c:pt>
                <c:pt idx="102">
                  <c:v>-7.9106595841927367</c:v>
                </c:pt>
                <c:pt idx="103">
                  <c:v>-7.8797190528753909</c:v>
                </c:pt>
                <c:pt idx="104">
                  <c:v>-7.8487785215580441</c:v>
                </c:pt>
                <c:pt idx="105">
                  <c:v>-7.8178379902406974</c:v>
                </c:pt>
                <c:pt idx="106">
                  <c:v>-7.7868974589233515</c:v>
                </c:pt>
                <c:pt idx="107">
                  <c:v>-7.7559569276060056</c:v>
                </c:pt>
                <c:pt idx="108">
                  <c:v>-7.7250163962886589</c:v>
                </c:pt>
                <c:pt idx="109">
                  <c:v>-7.694075864971313</c:v>
                </c:pt>
                <c:pt idx="110">
                  <c:v>-7.6631353336539672</c:v>
                </c:pt>
                <c:pt idx="111">
                  <c:v>-7.6321948023366204</c:v>
                </c:pt>
                <c:pt idx="112">
                  <c:v>-7.6012542710192736</c:v>
                </c:pt>
                <c:pt idx="113">
                  <c:v>-7.5703137397019278</c:v>
                </c:pt>
                <c:pt idx="114">
                  <c:v>-7.5393732083845819</c:v>
                </c:pt>
                <c:pt idx="115">
                  <c:v>-7.5084326770672352</c:v>
                </c:pt>
                <c:pt idx="116">
                  <c:v>-7.4774921457498884</c:v>
                </c:pt>
                <c:pt idx="117">
                  <c:v>-7.4465516144325425</c:v>
                </c:pt>
                <c:pt idx="118">
                  <c:v>-7.4156110831151967</c:v>
                </c:pt>
                <c:pt idx="119">
                  <c:v>-7.3846705517978499</c:v>
                </c:pt>
                <c:pt idx="120">
                  <c:v>-7.3537300204805032</c:v>
                </c:pt>
                <c:pt idx="121">
                  <c:v>-7.3227894891631573</c:v>
                </c:pt>
                <c:pt idx="122">
                  <c:v>-7.2918489578458114</c:v>
                </c:pt>
                <c:pt idx="123">
                  <c:v>-7.2609084265284647</c:v>
                </c:pt>
                <c:pt idx="124">
                  <c:v>-7.2299678952111188</c:v>
                </c:pt>
                <c:pt idx="125">
                  <c:v>-7.199027363893773</c:v>
                </c:pt>
                <c:pt idx="126">
                  <c:v>-7.1680868325764262</c:v>
                </c:pt>
                <c:pt idx="127">
                  <c:v>-7.1371463012590795</c:v>
                </c:pt>
                <c:pt idx="128">
                  <c:v>-7.1062057699417336</c:v>
                </c:pt>
                <c:pt idx="129">
                  <c:v>-7.0752652386243877</c:v>
                </c:pt>
                <c:pt idx="130">
                  <c:v>-7.044324707307041</c:v>
                </c:pt>
                <c:pt idx="131">
                  <c:v>-7.0133841759896951</c:v>
                </c:pt>
                <c:pt idx="132">
                  <c:v>-6.9824436446723483</c:v>
                </c:pt>
                <c:pt idx="133">
                  <c:v>-6.9515031133550025</c:v>
                </c:pt>
                <c:pt idx="134">
                  <c:v>-6.9205625820376557</c:v>
                </c:pt>
                <c:pt idx="135">
                  <c:v>-6.8896220507203099</c:v>
                </c:pt>
                <c:pt idx="136">
                  <c:v>-6.8586815194029631</c:v>
                </c:pt>
                <c:pt idx="137">
                  <c:v>-6.8277409880856172</c:v>
                </c:pt>
                <c:pt idx="138">
                  <c:v>-6.7968004567682705</c:v>
                </c:pt>
                <c:pt idx="139">
                  <c:v>-6.7658599254509246</c:v>
                </c:pt>
                <c:pt idx="140">
                  <c:v>-6.7349193941335779</c:v>
                </c:pt>
                <c:pt idx="141">
                  <c:v>-6.703978862816232</c:v>
                </c:pt>
                <c:pt idx="142">
                  <c:v>-6.6730383314988861</c:v>
                </c:pt>
                <c:pt idx="143">
                  <c:v>-6.6420978001815394</c:v>
                </c:pt>
                <c:pt idx="144">
                  <c:v>-6.6111572688641935</c:v>
                </c:pt>
                <c:pt idx="145">
                  <c:v>-6.5802167375468468</c:v>
                </c:pt>
                <c:pt idx="146">
                  <c:v>-6.5492762062295009</c:v>
                </c:pt>
                <c:pt idx="147">
                  <c:v>-6.5183356749121542</c:v>
                </c:pt>
                <c:pt idx="148">
                  <c:v>-6.4873951435948083</c:v>
                </c:pt>
                <c:pt idx="149">
                  <c:v>-6.4564546122774615</c:v>
                </c:pt>
                <c:pt idx="150">
                  <c:v>-6.4255140809601157</c:v>
                </c:pt>
                <c:pt idx="151">
                  <c:v>-6.3945735496427689</c:v>
                </c:pt>
                <c:pt idx="152">
                  <c:v>-6.3636330183254231</c:v>
                </c:pt>
                <c:pt idx="153">
                  <c:v>-6.3326924870080763</c:v>
                </c:pt>
                <c:pt idx="154">
                  <c:v>-6.3017519556907304</c:v>
                </c:pt>
                <c:pt idx="155">
                  <c:v>-6.2708114243733846</c:v>
                </c:pt>
                <c:pt idx="156">
                  <c:v>-6.2398708930560378</c:v>
                </c:pt>
                <c:pt idx="157">
                  <c:v>-6.2089303617386919</c:v>
                </c:pt>
                <c:pt idx="158">
                  <c:v>-6.1779898304213452</c:v>
                </c:pt>
                <c:pt idx="159">
                  <c:v>-6.1470492991039993</c:v>
                </c:pt>
                <c:pt idx="160">
                  <c:v>-6.1161087677866526</c:v>
                </c:pt>
                <c:pt idx="161">
                  <c:v>-6.0851682364693067</c:v>
                </c:pt>
                <c:pt idx="162">
                  <c:v>-6.05422770515196</c:v>
                </c:pt>
                <c:pt idx="163">
                  <c:v>-6.0232871738346141</c:v>
                </c:pt>
                <c:pt idx="164">
                  <c:v>-5.9923466425172673</c:v>
                </c:pt>
                <c:pt idx="165">
                  <c:v>-5.9614061111999215</c:v>
                </c:pt>
                <c:pt idx="166">
                  <c:v>-5.9304655798825747</c:v>
                </c:pt>
                <c:pt idx="167">
                  <c:v>-5.8995250485652289</c:v>
                </c:pt>
                <c:pt idx="168">
                  <c:v>-5.868584517247883</c:v>
                </c:pt>
                <c:pt idx="169">
                  <c:v>-5.8376439859305362</c:v>
                </c:pt>
                <c:pt idx="170">
                  <c:v>-5.8067034546131904</c:v>
                </c:pt>
                <c:pt idx="171">
                  <c:v>-5.7757629232958436</c:v>
                </c:pt>
                <c:pt idx="172">
                  <c:v>-5.7448223919784978</c:v>
                </c:pt>
                <c:pt idx="173">
                  <c:v>-5.713881860661151</c:v>
                </c:pt>
                <c:pt idx="174">
                  <c:v>-5.6829413293438051</c:v>
                </c:pt>
                <c:pt idx="175">
                  <c:v>-5.6520007980264584</c:v>
                </c:pt>
                <c:pt idx="176">
                  <c:v>-5.6210602667091125</c:v>
                </c:pt>
                <c:pt idx="177">
                  <c:v>-5.5901197353917658</c:v>
                </c:pt>
                <c:pt idx="178">
                  <c:v>-5.5591792040744199</c:v>
                </c:pt>
                <c:pt idx="179">
                  <c:v>-5.5282386727570731</c:v>
                </c:pt>
                <c:pt idx="180">
                  <c:v>-5.4972981414397273</c:v>
                </c:pt>
                <c:pt idx="181">
                  <c:v>-5.4663576101223814</c:v>
                </c:pt>
                <c:pt idx="182">
                  <c:v>-5.4354170788050347</c:v>
                </c:pt>
                <c:pt idx="183">
                  <c:v>-5.4044765474876888</c:v>
                </c:pt>
                <c:pt idx="184">
                  <c:v>-5.373536016170342</c:v>
                </c:pt>
                <c:pt idx="185">
                  <c:v>-5.3425954848529962</c:v>
                </c:pt>
                <c:pt idx="186">
                  <c:v>-5.3116549535356494</c:v>
                </c:pt>
                <c:pt idx="187">
                  <c:v>-5.2807144222183036</c:v>
                </c:pt>
                <c:pt idx="188">
                  <c:v>-5.2497738909009568</c:v>
                </c:pt>
                <c:pt idx="189">
                  <c:v>-5.2188333595836109</c:v>
                </c:pt>
                <c:pt idx="190">
                  <c:v>-5.1878928282662642</c:v>
                </c:pt>
                <c:pt idx="191">
                  <c:v>-5.1569522969489183</c:v>
                </c:pt>
                <c:pt idx="192">
                  <c:v>-5.1260117656315725</c:v>
                </c:pt>
                <c:pt idx="193">
                  <c:v>-5.0950712343142257</c:v>
                </c:pt>
                <c:pt idx="194">
                  <c:v>-5.0641307029968798</c:v>
                </c:pt>
                <c:pt idx="195">
                  <c:v>-5.0331901716795331</c:v>
                </c:pt>
                <c:pt idx="196">
                  <c:v>-5.0022496403621872</c:v>
                </c:pt>
                <c:pt idx="197">
                  <c:v>-4.9713091090448405</c:v>
                </c:pt>
                <c:pt idx="198">
                  <c:v>-4.9403685777274946</c:v>
                </c:pt>
                <c:pt idx="199">
                  <c:v>-4.9094280464101479</c:v>
                </c:pt>
                <c:pt idx="200">
                  <c:v>-4.878487515092802</c:v>
                </c:pt>
                <c:pt idx="201">
                  <c:v>-4.8475469837754552</c:v>
                </c:pt>
                <c:pt idx="202">
                  <c:v>-4.8166064524581094</c:v>
                </c:pt>
                <c:pt idx="203">
                  <c:v>-4.7856659211407626</c:v>
                </c:pt>
                <c:pt idx="204">
                  <c:v>-4.7547253898234167</c:v>
                </c:pt>
                <c:pt idx="205">
                  <c:v>-4.7237848585060709</c:v>
                </c:pt>
                <c:pt idx="206">
                  <c:v>-4.6928443271887241</c:v>
                </c:pt>
                <c:pt idx="207">
                  <c:v>-4.6619037958713783</c:v>
                </c:pt>
                <c:pt idx="208">
                  <c:v>-4.6309632645540315</c:v>
                </c:pt>
                <c:pt idx="209">
                  <c:v>-4.6000227332366856</c:v>
                </c:pt>
                <c:pt idx="210">
                  <c:v>-4.5690822019193389</c:v>
                </c:pt>
                <c:pt idx="211">
                  <c:v>-4.538141670601993</c:v>
                </c:pt>
                <c:pt idx="212">
                  <c:v>-4.5072011392846463</c:v>
                </c:pt>
                <c:pt idx="213">
                  <c:v>-4.4762606079673004</c:v>
                </c:pt>
                <c:pt idx="214">
                  <c:v>-4.4453200766499537</c:v>
                </c:pt>
                <c:pt idx="215">
                  <c:v>-4.4143795453326078</c:v>
                </c:pt>
                <c:pt idx="216">
                  <c:v>-4.383439014015261</c:v>
                </c:pt>
                <c:pt idx="217">
                  <c:v>-4.3524984826979152</c:v>
                </c:pt>
                <c:pt idx="218">
                  <c:v>-4.3215579513805693</c:v>
                </c:pt>
                <c:pt idx="219">
                  <c:v>-4.2906174200632226</c:v>
                </c:pt>
                <c:pt idx="220">
                  <c:v>-4.2596768887458767</c:v>
                </c:pt>
                <c:pt idx="221">
                  <c:v>-4.2287363574285299</c:v>
                </c:pt>
                <c:pt idx="222">
                  <c:v>-4.1977958261111841</c:v>
                </c:pt>
                <c:pt idx="223">
                  <c:v>-4.1668552947938373</c:v>
                </c:pt>
                <c:pt idx="224">
                  <c:v>-4.1359147634764915</c:v>
                </c:pt>
                <c:pt idx="225">
                  <c:v>-4.1049742321591447</c:v>
                </c:pt>
                <c:pt idx="226">
                  <c:v>-4.0740337008417988</c:v>
                </c:pt>
                <c:pt idx="227">
                  <c:v>-4.0430931695244521</c:v>
                </c:pt>
                <c:pt idx="228">
                  <c:v>-4.0121526382071062</c:v>
                </c:pt>
                <c:pt idx="229">
                  <c:v>-3.9812121068897595</c:v>
                </c:pt>
                <c:pt idx="230">
                  <c:v>-3.9502715755724136</c:v>
                </c:pt>
                <c:pt idx="231">
                  <c:v>-3.9193310442550677</c:v>
                </c:pt>
                <c:pt idx="232">
                  <c:v>-3.888390512937721</c:v>
                </c:pt>
                <c:pt idx="233">
                  <c:v>-3.8574499816203751</c:v>
                </c:pt>
                <c:pt idx="234">
                  <c:v>-3.8265094503030284</c:v>
                </c:pt>
                <c:pt idx="235">
                  <c:v>-3.7955689189856825</c:v>
                </c:pt>
                <c:pt idx="236">
                  <c:v>-3.7646283876683357</c:v>
                </c:pt>
                <c:pt idx="237">
                  <c:v>-3.7336878563509899</c:v>
                </c:pt>
                <c:pt idx="238">
                  <c:v>-3.7027473250336431</c:v>
                </c:pt>
                <c:pt idx="239">
                  <c:v>-3.6718067937162973</c:v>
                </c:pt>
                <c:pt idx="240">
                  <c:v>-3.6408662623989505</c:v>
                </c:pt>
                <c:pt idx="241">
                  <c:v>-3.6099257310816046</c:v>
                </c:pt>
                <c:pt idx="242">
                  <c:v>-3.5789851997642579</c:v>
                </c:pt>
                <c:pt idx="243">
                  <c:v>-3.548044668446912</c:v>
                </c:pt>
                <c:pt idx="244">
                  <c:v>-3.5171041371295662</c:v>
                </c:pt>
                <c:pt idx="245">
                  <c:v>-3.4861636058122194</c:v>
                </c:pt>
                <c:pt idx="246">
                  <c:v>-3.4552230744948735</c:v>
                </c:pt>
                <c:pt idx="247">
                  <c:v>-3.4242825431775268</c:v>
                </c:pt>
                <c:pt idx="248">
                  <c:v>-3.3933420118601809</c:v>
                </c:pt>
                <c:pt idx="249">
                  <c:v>-3.3624014805428342</c:v>
                </c:pt>
                <c:pt idx="250">
                  <c:v>-3.3314609492254883</c:v>
                </c:pt>
                <c:pt idx="251">
                  <c:v>-3.3005204179081415</c:v>
                </c:pt>
                <c:pt idx="252">
                  <c:v>-3.2695798865907957</c:v>
                </c:pt>
                <c:pt idx="253">
                  <c:v>-3.2386393552734489</c:v>
                </c:pt>
                <c:pt idx="254">
                  <c:v>-3.2076988239561031</c:v>
                </c:pt>
                <c:pt idx="255">
                  <c:v>-3.1767582926387563</c:v>
                </c:pt>
                <c:pt idx="256">
                  <c:v>-3.1458177613214104</c:v>
                </c:pt>
                <c:pt idx="257">
                  <c:v>-3.1148772300040646</c:v>
                </c:pt>
                <c:pt idx="258">
                  <c:v>-3.0839366986867178</c:v>
                </c:pt>
                <c:pt idx="259">
                  <c:v>-3.052996167369372</c:v>
                </c:pt>
                <c:pt idx="260">
                  <c:v>-3.0220556360520252</c:v>
                </c:pt>
                <c:pt idx="261">
                  <c:v>-2.9911151047346785</c:v>
                </c:pt>
                <c:pt idx="262">
                  <c:v>-2.9601745734173335</c:v>
                </c:pt>
                <c:pt idx="263">
                  <c:v>-2.9292340420999867</c:v>
                </c:pt>
                <c:pt idx="264">
                  <c:v>-2.89829351078264</c:v>
                </c:pt>
                <c:pt idx="265">
                  <c:v>-2.8673529794652932</c:v>
                </c:pt>
                <c:pt idx="266">
                  <c:v>-2.8364124481479482</c:v>
                </c:pt>
                <c:pt idx="267">
                  <c:v>-2.8054719168306015</c:v>
                </c:pt>
                <c:pt idx="268">
                  <c:v>-2.7745313855132547</c:v>
                </c:pt>
                <c:pt idx="269">
                  <c:v>-2.7435908541959098</c:v>
                </c:pt>
                <c:pt idx="270">
                  <c:v>-2.712650322878563</c:v>
                </c:pt>
                <c:pt idx="271">
                  <c:v>-2.6817097915612162</c:v>
                </c:pt>
                <c:pt idx="272">
                  <c:v>-2.6507692602438695</c:v>
                </c:pt>
                <c:pt idx="273">
                  <c:v>-2.6198287289265245</c:v>
                </c:pt>
                <c:pt idx="274">
                  <c:v>-2.5888881976091778</c:v>
                </c:pt>
                <c:pt idx="275">
                  <c:v>-2.557947666291831</c:v>
                </c:pt>
                <c:pt idx="276">
                  <c:v>-2.5270071349744843</c:v>
                </c:pt>
                <c:pt idx="277">
                  <c:v>-2.4960666036571393</c:v>
                </c:pt>
                <c:pt idx="278">
                  <c:v>-2.4651260723397925</c:v>
                </c:pt>
                <c:pt idx="279">
                  <c:v>-2.4341855410224458</c:v>
                </c:pt>
                <c:pt idx="280">
                  <c:v>-2.403245009705099</c:v>
                </c:pt>
                <c:pt idx="281">
                  <c:v>-2.372304478387754</c:v>
                </c:pt>
                <c:pt idx="282">
                  <c:v>-2.3413639470704073</c:v>
                </c:pt>
                <c:pt idx="283">
                  <c:v>-2.3104234157530605</c:v>
                </c:pt>
                <c:pt idx="284">
                  <c:v>-2.2794828844357156</c:v>
                </c:pt>
                <c:pt idx="285">
                  <c:v>-2.2485423531183688</c:v>
                </c:pt>
                <c:pt idx="286">
                  <c:v>-2.2176018218010221</c:v>
                </c:pt>
                <c:pt idx="287">
                  <c:v>-2.1866612904836753</c:v>
                </c:pt>
                <c:pt idx="288">
                  <c:v>-2.1557207591663303</c:v>
                </c:pt>
                <c:pt idx="289">
                  <c:v>-2.1247802278489836</c:v>
                </c:pt>
                <c:pt idx="290">
                  <c:v>-2.0938396965316368</c:v>
                </c:pt>
                <c:pt idx="291">
                  <c:v>-2.0628991652142901</c:v>
                </c:pt>
                <c:pt idx="292">
                  <c:v>-2.0319586338969451</c:v>
                </c:pt>
                <c:pt idx="293">
                  <c:v>-2.0010181025795983</c:v>
                </c:pt>
                <c:pt idx="294">
                  <c:v>-1.9700775712622516</c:v>
                </c:pt>
                <c:pt idx="295">
                  <c:v>-1.9391370399449066</c:v>
                </c:pt>
                <c:pt idx="296">
                  <c:v>-1.9081965086275599</c:v>
                </c:pt>
                <c:pt idx="297">
                  <c:v>-1.8772559773102131</c:v>
                </c:pt>
                <c:pt idx="298">
                  <c:v>-1.8463154459928663</c:v>
                </c:pt>
                <c:pt idx="299">
                  <c:v>-1.8153749146755214</c:v>
                </c:pt>
                <c:pt idx="300">
                  <c:v>-1.7844343833581746</c:v>
                </c:pt>
                <c:pt idx="301">
                  <c:v>-1.7534938520408279</c:v>
                </c:pt>
                <c:pt idx="302">
                  <c:v>-1.7225533207234811</c:v>
                </c:pt>
                <c:pt idx="303">
                  <c:v>-1.6916127894061361</c:v>
                </c:pt>
                <c:pt idx="304">
                  <c:v>-1.6606722580887894</c:v>
                </c:pt>
                <c:pt idx="305">
                  <c:v>-1.6297317267714426</c:v>
                </c:pt>
                <c:pt idx="306">
                  <c:v>-1.5987911954540959</c:v>
                </c:pt>
                <c:pt idx="307">
                  <c:v>-1.5678506641367509</c:v>
                </c:pt>
                <c:pt idx="308">
                  <c:v>-1.5369101328194041</c:v>
                </c:pt>
                <c:pt idx="309">
                  <c:v>-1.5059696015020574</c:v>
                </c:pt>
                <c:pt idx="310">
                  <c:v>-1.4750290701847124</c:v>
                </c:pt>
                <c:pt idx="311">
                  <c:v>-1.4440885388673657</c:v>
                </c:pt>
                <c:pt idx="312">
                  <c:v>-1.4131480075500189</c:v>
                </c:pt>
                <c:pt idx="313">
                  <c:v>-1.3822074762326721</c:v>
                </c:pt>
                <c:pt idx="314">
                  <c:v>-1.3512669449153272</c:v>
                </c:pt>
                <c:pt idx="315">
                  <c:v>-1.3203264135979804</c:v>
                </c:pt>
                <c:pt idx="316">
                  <c:v>-1.2893858822806337</c:v>
                </c:pt>
                <c:pt idx="317">
                  <c:v>-1.2584453509632869</c:v>
                </c:pt>
                <c:pt idx="318">
                  <c:v>-1.2275048196459419</c:v>
                </c:pt>
                <c:pt idx="319">
                  <c:v>-1.1965642883285952</c:v>
                </c:pt>
                <c:pt idx="320">
                  <c:v>-1.1656237570112484</c:v>
                </c:pt>
                <c:pt idx="321">
                  <c:v>-1.1346832256939035</c:v>
                </c:pt>
                <c:pt idx="322">
                  <c:v>-1.1037426943765567</c:v>
                </c:pt>
                <c:pt idx="323">
                  <c:v>-1.0728021630592099</c:v>
                </c:pt>
                <c:pt idx="324">
                  <c:v>-1.0418616317418632</c:v>
                </c:pt>
                <c:pt idx="325">
                  <c:v>-1.0109211004245182</c:v>
                </c:pt>
                <c:pt idx="326">
                  <c:v>-0.97998056910717146</c:v>
                </c:pt>
                <c:pt idx="327">
                  <c:v>-0.94904003778982471</c:v>
                </c:pt>
                <c:pt idx="328">
                  <c:v>-0.91809950647247796</c:v>
                </c:pt>
                <c:pt idx="329">
                  <c:v>-0.88715897515513298</c:v>
                </c:pt>
                <c:pt idx="330">
                  <c:v>-0.85621844383778623</c:v>
                </c:pt>
                <c:pt idx="331">
                  <c:v>-0.82527791252043947</c:v>
                </c:pt>
                <c:pt idx="332">
                  <c:v>-0.79433738120309272</c:v>
                </c:pt>
                <c:pt idx="333">
                  <c:v>-0.76339684988574774</c:v>
                </c:pt>
                <c:pt idx="334">
                  <c:v>-0.73245631856840099</c:v>
                </c:pt>
                <c:pt idx="335">
                  <c:v>-0.70151578725105423</c:v>
                </c:pt>
                <c:pt idx="336">
                  <c:v>-0.67057525593370926</c:v>
                </c:pt>
                <c:pt idx="337">
                  <c:v>-0.6396347246163625</c:v>
                </c:pt>
                <c:pt idx="338">
                  <c:v>-0.60869419329901575</c:v>
                </c:pt>
                <c:pt idx="339">
                  <c:v>-0.577753661981669</c:v>
                </c:pt>
                <c:pt idx="340">
                  <c:v>-0.54681313066432402</c:v>
                </c:pt>
                <c:pt idx="341">
                  <c:v>-0.51587259934697727</c:v>
                </c:pt>
                <c:pt idx="342">
                  <c:v>-0.48493206802963051</c:v>
                </c:pt>
                <c:pt idx="343">
                  <c:v>-0.45399153671228376</c:v>
                </c:pt>
                <c:pt idx="344">
                  <c:v>-0.42305100539493878</c:v>
                </c:pt>
                <c:pt idx="345">
                  <c:v>-0.39211047407759203</c:v>
                </c:pt>
                <c:pt idx="346">
                  <c:v>-0.36116994276024528</c:v>
                </c:pt>
                <c:pt idx="347">
                  <c:v>-0.3302294114429003</c:v>
                </c:pt>
                <c:pt idx="348">
                  <c:v>-0.29928888012555355</c:v>
                </c:pt>
                <c:pt idx="349">
                  <c:v>-0.26834834880820679</c:v>
                </c:pt>
                <c:pt idx="350">
                  <c:v>-0.23740781749086004</c:v>
                </c:pt>
                <c:pt idx="351">
                  <c:v>-0.20646728617351506</c:v>
                </c:pt>
                <c:pt idx="352">
                  <c:v>-0.17552675485616831</c:v>
                </c:pt>
                <c:pt idx="353">
                  <c:v>-0.14458622353882156</c:v>
                </c:pt>
                <c:pt idx="354">
                  <c:v>-0.1136456922214748</c:v>
                </c:pt>
                <c:pt idx="355">
                  <c:v>-8.2705160904129826E-2</c:v>
                </c:pt>
                <c:pt idx="356">
                  <c:v>-5.1764629586783073E-2</c:v>
                </c:pt>
                <c:pt idx="357">
                  <c:v>-2.082409826943632E-2</c:v>
                </c:pt>
                <c:pt idx="358">
                  <c:v>1.0116433047910434E-2</c:v>
                </c:pt>
                <c:pt idx="359">
                  <c:v>4.1056964365255411E-2</c:v>
                </c:pt>
                <c:pt idx="360">
                  <c:v>7.1997495682602164E-2</c:v>
                </c:pt>
                <c:pt idx="361">
                  <c:v>0.10293802699994892</c:v>
                </c:pt>
                <c:pt idx="362">
                  <c:v>0.13387855831729389</c:v>
                </c:pt>
                <c:pt idx="363">
                  <c:v>0.16481908963464065</c:v>
                </c:pt>
                <c:pt idx="364">
                  <c:v>0.1957596209519874</c:v>
                </c:pt>
                <c:pt idx="365">
                  <c:v>0.22670015226933415</c:v>
                </c:pt>
                <c:pt idx="366">
                  <c:v>0.25764068358667913</c:v>
                </c:pt>
                <c:pt idx="367">
                  <c:v>0.28858121490402588</c:v>
                </c:pt>
                <c:pt idx="368">
                  <c:v>0.31952174622137264</c:v>
                </c:pt>
                <c:pt idx="369">
                  <c:v>0.35046227753871939</c:v>
                </c:pt>
                <c:pt idx="370">
                  <c:v>0.38140280885606437</c:v>
                </c:pt>
                <c:pt idx="371">
                  <c:v>0.41234334017341112</c:v>
                </c:pt>
                <c:pt idx="372">
                  <c:v>0.44328387149075787</c:v>
                </c:pt>
                <c:pt idx="373">
                  <c:v>0.47422440280810285</c:v>
                </c:pt>
                <c:pt idx="374">
                  <c:v>0.50516493412544961</c:v>
                </c:pt>
                <c:pt idx="375">
                  <c:v>0.53610546544279636</c:v>
                </c:pt>
                <c:pt idx="376">
                  <c:v>0.56704599676014311</c:v>
                </c:pt>
                <c:pt idx="377">
                  <c:v>0.59798652807748809</c:v>
                </c:pt>
                <c:pt idx="378">
                  <c:v>0.62892705939483484</c:v>
                </c:pt>
                <c:pt idx="379">
                  <c:v>0.6598675907121816</c:v>
                </c:pt>
                <c:pt idx="380">
                  <c:v>0.69080812202952835</c:v>
                </c:pt>
                <c:pt idx="381">
                  <c:v>0.72174865334687333</c:v>
                </c:pt>
                <c:pt idx="382">
                  <c:v>0.75268918466422008</c:v>
                </c:pt>
                <c:pt idx="383">
                  <c:v>0.78362971598156683</c:v>
                </c:pt>
                <c:pt idx="384">
                  <c:v>0.81457024729891181</c:v>
                </c:pt>
                <c:pt idx="385">
                  <c:v>0.84551077861625856</c:v>
                </c:pt>
                <c:pt idx="386">
                  <c:v>0.87645130993360532</c:v>
                </c:pt>
                <c:pt idx="387">
                  <c:v>0.90739184125095207</c:v>
                </c:pt>
                <c:pt idx="388">
                  <c:v>0.93833237256829705</c:v>
                </c:pt>
                <c:pt idx="389">
                  <c:v>0.9692729038856438</c:v>
                </c:pt>
                <c:pt idx="390">
                  <c:v>1.0002134352029906</c:v>
                </c:pt>
                <c:pt idx="391">
                  <c:v>1.0311539665203373</c:v>
                </c:pt>
                <c:pt idx="392">
                  <c:v>1.0620944978376823</c:v>
                </c:pt>
                <c:pt idx="393">
                  <c:v>1.093035029155029</c:v>
                </c:pt>
                <c:pt idx="394">
                  <c:v>1.1239755604723758</c:v>
                </c:pt>
                <c:pt idx="395">
                  <c:v>1.1549160917897225</c:v>
                </c:pt>
                <c:pt idx="396">
                  <c:v>1.1858566231070675</c:v>
                </c:pt>
                <c:pt idx="397">
                  <c:v>1.2167971544244143</c:v>
                </c:pt>
                <c:pt idx="398">
                  <c:v>1.247737685741761</c:v>
                </c:pt>
                <c:pt idx="399">
                  <c:v>1.278678217059106</c:v>
                </c:pt>
                <c:pt idx="400">
                  <c:v>1.3096187483764528</c:v>
                </c:pt>
                <c:pt idx="401">
                  <c:v>1.3405592796937995</c:v>
                </c:pt>
                <c:pt idx="402">
                  <c:v>1.3714998110111463</c:v>
                </c:pt>
                <c:pt idx="403">
                  <c:v>1.4024403423284912</c:v>
                </c:pt>
                <c:pt idx="404">
                  <c:v>1.433380873645838</c:v>
                </c:pt>
                <c:pt idx="405">
                  <c:v>1.4643214049631847</c:v>
                </c:pt>
                <c:pt idx="406">
                  <c:v>1.4952619362805315</c:v>
                </c:pt>
                <c:pt idx="407">
                  <c:v>1.5262024675978765</c:v>
                </c:pt>
                <c:pt idx="408">
                  <c:v>1.5571429989152232</c:v>
                </c:pt>
                <c:pt idx="409">
                  <c:v>1.58808353023257</c:v>
                </c:pt>
                <c:pt idx="410">
                  <c:v>1.619024061549915</c:v>
                </c:pt>
                <c:pt idx="411">
                  <c:v>1.6499645928672617</c:v>
                </c:pt>
                <c:pt idx="412">
                  <c:v>1.6809051241846085</c:v>
                </c:pt>
                <c:pt idx="413">
                  <c:v>1.7118456555019552</c:v>
                </c:pt>
                <c:pt idx="414">
                  <c:v>1.7427861868193002</c:v>
                </c:pt>
                <c:pt idx="415">
                  <c:v>1.773726718136647</c:v>
                </c:pt>
                <c:pt idx="416">
                  <c:v>1.8046672494539937</c:v>
                </c:pt>
                <c:pt idx="417">
                  <c:v>1.8356077807713405</c:v>
                </c:pt>
                <c:pt idx="418">
                  <c:v>1.8665483120886854</c:v>
                </c:pt>
                <c:pt idx="419">
                  <c:v>1.8974888434060322</c:v>
                </c:pt>
                <c:pt idx="420">
                  <c:v>1.9284293747233789</c:v>
                </c:pt>
                <c:pt idx="421">
                  <c:v>1.9593699060407257</c:v>
                </c:pt>
                <c:pt idx="422">
                  <c:v>1.9903104373580707</c:v>
                </c:pt>
                <c:pt idx="423">
                  <c:v>2.0212509686754174</c:v>
                </c:pt>
                <c:pt idx="424">
                  <c:v>2.0521914999927642</c:v>
                </c:pt>
                <c:pt idx="425">
                  <c:v>2.0831320313101092</c:v>
                </c:pt>
                <c:pt idx="426">
                  <c:v>2.1140725626274559</c:v>
                </c:pt>
                <c:pt idx="427">
                  <c:v>2.1450130939448027</c:v>
                </c:pt>
                <c:pt idx="428">
                  <c:v>2.1759536252621494</c:v>
                </c:pt>
                <c:pt idx="429">
                  <c:v>2.2068941565794944</c:v>
                </c:pt>
                <c:pt idx="430">
                  <c:v>2.2378346878968411</c:v>
                </c:pt>
                <c:pt idx="431">
                  <c:v>2.2687752192141879</c:v>
                </c:pt>
                <c:pt idx="432">
                  <c:v>2.2997157505315347</c:v>
                </c:pt>
                <c:pt idx="433">
                  <c:v>2.3306562818488796</c:v>
                </c:pt>
                <c:pt idx="434">
                  <c:v>2.3615968131662264</c:v>
                </c:pt>
                <c:pt idx="435">
                  <c:v>2.3925373444835731</c:v>
                </c:pt>
                <c:pt idx="436">
                  <c:v>2.4234778758009181</c:v>
                </c:pt>
                <c:pt idx="437">
                  <c:v>2.4544184071182649</c:v>
                </c:pt>
                <c:pt idx="438">
                  <c:v>2.4853589384356116</c:v>
                </c:pt>
                <c:pt idx="439">
                  <c:v>2.5162994697529584</c:v>
                </c:pt>
                <c:pt idx="440">
                  <c:v>2.5472400010703034</c:v>
                </c:pt>
                <c:pt idx="441">
                  <c:v>2.5781805323876501</c:v>
                </c:pt>
                <c:pt idx="442">
                  <c:v>2.6091210637049969</c:v>
                </c:pt>
                <c:pt idx="443">
                  <c:v>2.6400615950223436</c:v>
                </c:pt>
                <c:pt idx="444">
                  <c:v>2.6710021263396886</c:v>
                </c:pt>
                <c:pt idx="445">
                  <c:v>2.7019426576570353</c:v>
                </c:pt>
                <c:pt idx="446">
                  <c:v>2.7328831889743821</c:v>
                </c:pt>
                <c:pt idx="447">
                  <c:v>2.7638237202917288</c:v>
                </c:pt>
                <c:pt idx="448">
                  <c:v>2.7947642516090738</c:v>
                </c:pt>
                <c:pt idx="449">
                  <c:v>2.8257047829264206</c:v>
                </c:pt>
                <c:pt idx="450">
                  <c:v>2.8566453142437673</c:v>
                </c:pt>
                <c:pt idx="451">
                  <c:v>2.8875858455611123</c:v>
                </c:pt>
                <c:pt idx="452">
                  <c:v>2.9185263768784591</c:v>
                </c:pt>
                <c:pt idx="453">
                  <c:v>2.9494669081958058</c:v>
                </c:pt>
                <c:pt idx="454">
                  <c:v>2.9804074395131526</c:v>
                </c:pt>
                <c:pt idx="455">
                  <c:v>3.0113479708304975</c:v>
                </c:pt>
                <c:pt idx="456">
                  <c:v>3.0422885021478443</c:v>
                </c:pt>
                <c:pt idx="457">
                  <c:v>3.0732290334651911</c:v>
                </c:pt>
                <c:pt idx="458">
                  <c:v>3.1041695647825378</c:v>
                </c:pt>
                <c:pt idx="459">
                  <c:v>3.1351100960998828</c:v>
                </c:pt>
                <c:pt idx="460">
                  <c:v>3.1660506274172295</c:v>
                </c:pt>
                <c:pt idx="461">
                  <c:v>3.1969911587345763</c:v>
                </c:pt>
                <c:pt idx="462">
                  <c:v>3.2279316900519213</c:v>
                </c:pt>
                <c:pt idx="463">
                  <c:v>3.258872221369268</c:v>
                </c:pt>
                <c:pt idx="464">
                  <c:v>3.2898127526866148</c:v>
                </c:pt>
                <c:pt idx="465">
                  <c:v>3.3207532840039615</c:v>
                </c:pt>
                <c:pt idx="466">
                  <c:v>3.3516938153213065</c:v>
                </c:pt>
                <c:pt idx="467">
                  <c:v>3.3826343466386533</c:v>
                </c:pt>
                <c:pt idx="468">
                  <c:v>3.413574877956</c:v>
                </c:pt>
                <c:pt idx="469">
                  <c:v>3.4445154092733468</c:v>
                </c:pt>
                <c:pt idx="470">
                  <c:v>3.4754559405906917</c:v>
                </c:pt>
                <c:pt idx="471">
                  <c:v>3.5063964719080385</c:v>
                </c:pt>
                <c:pt idx="472">
                  <c:v>3.5373370032253852</c:v>
                </c:pt>
                <c:pt idx="473">
                  <c:v>3.568277534542732</c:v>
                </c:pt>
                <c:pt idx="474">
                  <c:v>3.599218065860077</c:v>
                </c:pt>
                <c:pt idx="475">
                  <c:v>3.6301585971774237</c:v>
                </c:pt>
                <c:pt idx="476">
                  <c:v>3.6610991284947705</c:v>
                </c:pt>
                <c:pt idx="477">
                  <c:v>3.6920396598121155</c:v>
                </c:pt>
                <c:pt idx="478">
                  <c:v>3.7229801911294622</c:v>
                </c:pt>
                <c:pt idx="479">
                  <c:v>3.753920722446809</c:v>
                </c:pt>
                <c:pt idx="480">
                  <c:v>3.7848612537641557</c:v>
                </c:pt>
                <c:pt idx="481">
                  <c:v>3.8158017850815007</c:v>
                </c:pt>
                <c:pt idx="482">
                  <c:v>3.8467423163988474</c:v>
                </c:pt>
                <c:pt idx="483">
                  <c:v>3.8776828477161942</c:v>
                </c:pt>
                <c:pt idx="484">
                  <c:v>3.908623379033541</c:v>
                </c:pt>
                <c:pt idx="485">
                  <c:v>3.9395639103508859</c:v>
                </c:pt>
                <c:pt idx="486">
                  <c:v>3.9705044416682327</c:v>
                </c:pt>
                <c:pt idx="487">
                  <c:v>4.0014449729855794</c:v>
                </c:pt>
                <c:pt idx="488">
                  <c:v>4.0323855043029244</c:v>
                </c:pt>
                <c:pt idx="489">
                  <c:v>4.0633260356202712</c:v>
                </c:pt>
                <c:pt idx="490">
                  <c:v>4.0942665669376179</c:v>
                </c:pt>
                <c:pt idx="491">
                  <c:v>4.1252070982549647</c:v>
                </c:pt>
                <c:pt idx="492">
                  <c:v>4.1561476295723097</c:v>
                </c:pt>
                <c:pt idx="493">
                  <c:v>4.1870881608896564</c:v>
                </c:pt>
                <c:pt idx="494">
                  <c:v>4.2180286922070032</c:v>
                </c:pt>
                <c:pt idx="495">
                  <c:v>4.2489692235243499</c:v>
                </c:pt>
                <c:pt idx="496">
                  <c:v>4.2799097548416949</c:v>
                </c:pt>
                <c:pt idx="497">
                  <c:v>4.3108502861590416</c:v>
                </c:pt>
                <c:pt idx="498">
                  <c:v>4.3417908174763884</c:v>
                </c:pt>
                <c:pt idx="499">
                  <c:v>4.3727313487937352</c:v>
                </c:pt>
                <c:pt idx="500">
                  <c:v>4.4036718801110801</c:v>
                </c:pt>
                <c:pt idx="501">
                  <c:v>4.4346124114284269</c:v>
                </c:pt>
                <c:pt idx="502">
                  <c:v>4.4655529427457736</c:v>
                </c:pt>
                <c:pt idx="503">
                  <c:v>4.4964934740631186</c:v>
                </c:pt>
                <c:pt idx="504">
                  <c:v>4.5274340053804654</c:v>
                </c:pt>
                <c:pt idx="505">
                  <c:v>4.5583745366978121</c:v>
                </c:pt>
                <c:pt idx="506">
                  <c:v>4.5893150680151589</c:v>
                </c:pt>
                <c:pt idx="507">
                  <c:v>4.6202555993325038</c:v>
                </c:pt>
                <c:pt idx="508">
                  <c:v>4.6511961306498506</c:v>
                </c:pt>
                <c:pt idx="509">
                  <c:v>4.6821366619671974</c:v>
                </c:pt>
                <c:pt idx="510">
                  <c:v>4.7130771932845441</c:v>
                </c:pt>
                <c:pt idx="511">
                  <c:v>4.7440177246018891</c:v>
                </c:pt>
                <c:pt idx="512">
                  <c:v>4.7749582559192358</c:v>
                </c:pt>
                <c:pt idx="513">
                  <c:v>4.8058987872365826</c:v>
                </c:pt>
                <c:pt idx="514">
                  <c:v>4.8368393185539276</c:v>
                </c:pt>
                <c:pt idx="515">
                  <c:v>4.8677798498712743</c:v>
                </c:pt>
                <c:pt idx="516">
                  <c:v>4.8987203811886211</c:v>
                </c:pt>
                <c:pt idx="517">
                  <c:v>4.9296609125059678</c:v>
                </c:pt>
                <c:pt idx="518">
                  <c:v>4.9606014438233128</c:v>
                </c:pt>
                <c:pt idx="519">
                  <c:v>4.9915419751406613</c:v>
                </c:pt>
                <c:pt idx="520">
                  <c:v>5.0224825064580063</c:v>
                </c:pt>
                <c:pt idx="521">
                  <c:v>5.0534230377753513</c:v>
                </c:pt>
                <c:pt idx="522">
                  <c:v>5.0843635690926998</c:v>
                </c:pt>
                <c:pt idx="523">
                  <c:v>5.1153041004100448</c:v>
                </c:pt>
                <c:pt idx="524">
                  <c:v>5.1462446317273898</c:v>
                </c:pt>
                <c:pt idx="525">
                  <c:v>5.1771851630447383</c:v>
                </c:pt>
                <c:pt idx="526">
                  <c:v>5.2081256943620833</c:v>
                </c:pt>
                <c:pt idx="527">
                  <c:v>5.2390662256794283</c:v>
                </c:pt>
                <c:pt idx="528">
                  <c:v>5.2700067569967768</c:v>
                </c:pt>
                <c:pt idx="529">
                  <c:v>5.3009472883141218</c:v>
                </c:pt>
                <c:pt idx="530">
                  <c:v>5.3318878196314703</c:v>
                </c:pt>
                <c:pt idx="531">
                  <c:v>5.3628283509488153</c:v>
                </c:pt>
                <c:pt idx="532">
                  <c:v>5.3937688822661602</c:v>
                </c:pt>
                <c:pt idx="533">
                  <c:v>5.4247094135835088</c:v>
                </c:pt>
                <c:pt idx="534">
                  <c:v>5.4556499449008538</c:v>
                </c:pt>
                <c:pt idx="535">
                  <c:v>5.4865904762181987</c:v>
                </c:pt>
                <c:pt idx="536">
                  <c:v>5.5175310075355473</c:v>
                </c:pt>
                <c:pt idx="537">
                  <c:v>5.5484715388528922</c:v>
                </c:pt>
                <c:pt idx="538">
                  <c:v>5.5794120701702372</c:v>
                </c:pt>
                <c:pt idx="539">
                  <c:v>5.6103526014875857</c:v>
                </c:pt>
                <c:pt idx="540">
                  <c:v>5.6412931328049307</c:v>
                </c:pt>
                <c:pt idx="541">
                  <c:v>5.6722336641222793</c:v>
                </c:pt>
                <c:pt idx="542">
                  <c:v>5.7031741954396242</c:v>
                </c:pt>
                <c:pt idx="543">
                  <c:v>5.7341147267569692</c:v>
                </c:pt>
                <c:pt idx="544">
                  <c:v>5.7650552580743177</c:v>
                </c:pt>
                <c:pt idx="545">
                  <c:v>5.7959957893916627</c:v>
                </c:pt>
                <c:pt idx="546">
                  <c:v>5.8269363207090077</c:v>
                </c:pt>
                <c:pt idx="547">
                  <c:v>5.8578768520263562</c:v>
                </c:pt>
                <c:pt idx="548">
                  <c:v>5.8888173833437012</c:v>
                </c:pt>
                <c:pt idx="549">
                  <c:v>5.9197579146610497</c:v>
                </c:pt>
                <c:pt idx="550">
                  <c:v>5.9506984459783947</c:v>
                </c:pt>
                <c:pt idx="551">
                  <c:v>5.9816389772957397</c:v>
                </c:pt>
                <c:pt idx="552">
                  <c:v>6.0125795086130882</c:v>
                </c:pt>
                <c:pt idx="553">
                  <c:v>6.0435200399304332</c:v>
                </c:pt>
                <c:pt idx="554">
                  <c:v>6.0744605712477782</c:v>
                </c:pt>
                <c:pt idx="555">
                  <c:v>6.1054011025651267</c:v>
                </c:pt>
                <c:pt idx="556">
                  <c:v>6.1363416338824717</c:v>
                </c:pt>
                <c:pt idx="557">
                  <c:v>6.1672821651998166</c:v>
                </c:pt>
                <c:pt idx="558">
                  <c:v>6.1982226965171652</c:v>
                </c:pt>
                <c:pt idx="559">
                  <c:v>6.2291632278345102</c:v>
                </c:pt>
                <c:pt idx="560">
                  <c:v>6.2601037591518587</c:v>
                </c:pt>
                <c:pt idx="561">
                  <c:v>6.2910442904692037</c:v>
                </c:pt>
                <c:pt idx="562">
                  <c:v>6.3219848217865486</c:v>
                </c:pt>
                <c:pt idx="563">
                  <c:v>6.3529253531038972</c:v>
                </c:pt>
                <c:pt idx="564">
                  <c:v>6.3838658844212421</c:v>
                </c:pt>
                <c:pt idx="565">
                  <c:v>6.4148064157385871</c:v>
                </c:pt>
                <c:pt idx="566">
                  <c:v>6.4457469470559356</c:v>
                </c:pt>
                <c:pt idx="567">
                  <c:v>6.4766874783732806</c:v>
                </c:pt>
                <c:pt idx="568">
                  <c:v>6.5076280096906256</c:v>
                </c:pt>
                <c:pt idx="569">
                  <c:v>6.5385685410079741</c:v>
                </c:pt>
                <c:pt idx="570">
                  <c:v>6.5695090723253191</c:v>
                </c:pt>
                <c:pt idx="571">
                  <c:v>6.6004496036426676</c:v>
                </c:pt>
                <c:pt idx="572">
                  <c:v>6.6313901349600126</c:v>
                </c:pt>
                <c:pt idx="573">
                  <c:v>6.6623306662773576</c:v>
                </c:pt>
                <c:pt idx="574">
                  <c:v>6.6932711975947061</c:v>
                </c:pt>
                <c:pt idx="575">
                  <c:v>6.7242117289120511</c:v>
                </c:pt>
                <c:pt idx="576">
                  <c:v>6.7551522602293961</c:v>
                </c:pt>
                <c:pt idx="577">
                  <c:v>6.7860927915467446</c:v>
                </c:pt>
                <c:pt idx="578">
                  <c:v>6.8170333228640896</c:v>
                </c:pt>
                <c:pt idx="579">
                  <c:v>6.8479738541814346</c:v>
                </c:pt>
                <c:pt idx="580">
                  <c:v>6.8789143854987831</c:v>
                </c:pt>
                <c:pt idx="581">
                  <c:v>6.9098549168161281</c:v>
                </c:pt>
                <c:pt idx="582">
                  <c:v>6.9407954481334766</c:v>
                </c:pt>
                <c:pt idx="583">
                  <c:v>6.9717359794508216</c:v>
                </c:pt>
                <c:pt idx="584">
                  <c:v>7.0026765107681666</c:v>
                </c:pt>
                <c:pt idx="585">
                  <c:v>7.0336170420855151</c:v>
                </c:pt>
                <c:pt idx="586">
                  <c:v>7.0645575734028601</c:v>
                </c:pt>
                <c:pt idx="587">
                  <c:v>7.095498104720205</c:v>
                </c:pt>
                <c:pt idx="588">
                  <c:v>7.1264386360375536</c:v>
                </c:pt>
                <c:pt idx="589">
                  <c:v>7.1573791673548985</c:v>
                </c:pt>
                <c:pt idx="590">
                  <c:v>7.1883196986722435</c:v>
                </c:pt>
                <c:pt idx="591">
                  <c:v>7.219260229989592</c:v>
                </c:pt>
                <c:pt idx="592">
                  <c:v>7.250200761306937</c:v>
                </c:pt>
                <c:pt idx="593">
                  <c:v>7.2811412926242856</c:v>
                </c:pt>
                <c:pt idx="594">
                  <c:v>7.3120818239416305</c:v>
                </c:pt>
                <c:pt idx="595">
                  <c:v>7.3430223552589755</c:v>
                </c:pt>
                <c:pt idx="596">
                  <c:v>7.373962886576324</c:v>
                </c:pt>
                <c:pt idx="597">
                  <c:v>7.404903417893669</c:v>
                </c:pt>
                <c:pt idx="598">
                  <c:v>7.435843949211014</c:v>
                </c:pt>
                <c:pt idx="599">
                  <c:v>7.4667844805283625</c:v>
                </c:pt>
                <c:pt idx="600">
                  <c:v>7.4977250118457075</c:v>
                </c:pt>
                <c:pt idx="601">
                  <c:v>7.528665543163056</c:v>
                </c:pt>
                <c:pt idx="602">
                  <c:v>7.559606074480401</c:v>
                </c:pt>
                <c:pt idx="603">
                  <c:v>7.590546605797746</c:v>
                </c:pt>
                <c:pt idx="604">
                  <c:v>7.6214871371150945</c:v>
                </c:pt>
                <c:pt idx="605">
                  <c:v>7.6524276684324395</c:v>
                </c:pt>
                <c:pt idx="606">
                  <c:v>7.6833681997497845</c:v>
                </c:pt>
                <c:pt idx="607">
                  <c:v>7.714308731067133</c:v>
                </c:pt>
                <c:pt idx="608">
                  <c:v>7.745249262384478</c:v>
                </c:pt>
                <c:pt idx="609">
                  <c:v>7.7761897937018229</c:v>
                </c:pt>
                <c:pt idx="610">
                  <c:v>7.8071303250191715</c:v>
                </c:pt>
                <c:pt idx="611">
                  <c:v>7.8380708563365165</c:v>
                </c:pt>
                <c:pt idx="612">
                  <c:v>7.869011387653865</c:v>
                </c:pt>
                <c:pt idx="613">
                  <c:v>7.89995191897121</c:v>
                </c:pt>
                <c:pt idx="614">
                  <c:v>7.9308924502885549</c:v>
                </c:pt>
                <c:pt idx="615">
                  <c:v>7.9618329816059035</c:v>
                </c:pt>
                <c:pt idx="616">
                  <c:v>7.9927735129232484</c:v>
                </c:pt>
                <c:pt idx="617">
                  <c:v>8.0237140442405934</c:v>
                </c:pt>
                <c:pt idx="618">
                  <c:v>8.054654575557942</c:v>
                </c:pt>
                <c:pt idx="619">
                  <c:v>8.0855951068752869</c:v>
                </c:pt>
                <c:pt idx="620">
                  <c:v>8.1165356381926319</c:v>
                </c:pt>
                <c:pt idx="621">
                  <c:v>8.1474761695099804</c:v>
                </c:pt>
                <c:pt idx="622">
                  <c:v>8.1784167008273254</c:v>
                </c:pt>
                <c:pt idx="623">
                  <c:v>8.2093572321446739</c:v>
                </c:pt>
                <c:pt idx="624">
                  <c:v>8.2402977634620189</c:v>
                </c:pt>
                <c:pt idx="625">
                  <c:v>8.2712382947793639</c:v>
                </c:pt>
                <c:pt idx="626">
                  <c:v>8.3021788260967124</c:v>
                </c:pt>
                <c:pt idx="627">
                  <c:v>8.3331193574140574</c:v>
                </c:pt>
                <c:pt idx="628">
                  <c:v>8.3640598887314024</c:v>
                </c:pt>
                <c:pt idx="629">
                  <c:v>8.3950004200487509</c:v>
                </c:pt>
                <c:pt idx="630">
                  <c:v>8.4259409513660959</c:v>
                </c:pt>
                <c:pt idx="631">
                  <c:v>8.4568814826834409</c:v>
                </c:pt>
                <c:pt idx="632">
                  <c:v>8.4878220140007894</c:v>
                </c:pt>
                <c:pt idx="633">
                  <c:v>8.5187625453181344</c:v>
                </c:pt>
                <c:pt idx="634">
                  <c:v>8.5497030766354829</c:v>
                </c:pt>
                <c:pt idx="635">
                  <c:v>8.5806436079528279</c:v>
                </c:pt>
                <c:pt idx="636">
                  <c:v>8.6115841392701729</c:v>
                </c:pt>
                <c:pt idx="637">
                  <c:v>8.6425246705875214</c:v>
                </c:pt>
                <c:pt idx="638">
                  <c:v>8.6734652019048664</c:v>
                </c:pt>
                <c:pt idx="639">
                  <c:v>8.7044057332222113</c:v>
                </c:pt>
                <c:pt idx="640">
                  <c:v>8.7353462645395599</c:v>
                </c:pt>
                <c:pt idx="641">
                  <c:v>8.7662867958569048</c:v>
                </c:pt>
                <c:pt idx="642">
                  <c:v>8.7972273271742498</c:v>
                </c:pt>
                <c:pt idx="643">
                  <c:v>8.8281678584915984</c:v>
                </c:pt>
                <c:pt idx="644">
                  <c:v>8.8591083898089433</c:v>
                </c:pt>
                <c:pt idx="645">
                  <c:v>8.8900489211262919</c:v>
                </c:pt>
                <c:pt idx="646">
                  <c:v>8.9209894524436368</c:v>
                </c:pt>
                <c:pt idx="647">
                  <c:v>8.9519299837609818</c:v>
                </c:pt>
                <c:pt idx="648">
                  <c:v>8.9828705150783303</c:v>
                </c:pt>
                <c:pt idx="649">
                  <c:v>9.0138110463956753</c:v>
                </c:pt>
                <c:pt idx="650">
                  <c:v>9.0447515777130203</c:v>
                </c:pt>
                <c:pt idx="651">
                  <c:v>9.0756921090303688</c:v>
                </c:pt>
                <c:pt idx="652">
                  <c:v>9.1066326403477138</c:v>
                </c:pt>
                <c:pt idx="653">
                  <c:v>9.1375731716650588</c:v>
                </c:pt>
                <c:pt idx="654">
                  <c:v>9.1685137029824073</c:v>
                </c:pt>
                <c:pt idx="655">
                  <c:v>9.1994542342997523</c:v>
                </c:pt>
                <c:pt idx="656">
                  <c:v>9.2303947656171008</c:v>
                </c:pt>
                <c:pt idx="657">
                  <c:v>9.2613352969344458</c:v>
                </c:pt>
                <c:pt idx="658">
                  <c:v>9.2922758282517908</c:v>
                </c:pt>
                <c:pt idx="659">
                  <c:v>9.3232163595691393</c:v>
                </c:pt>
                <c:pt idx="660">
                  <c:v>9.3541568908864843</c:v>
                </c:pt>
                <c:pt idx="661">
                  <c:v>9.3850974222038293</c:v>
                </c:pt>
                <c:pt idx="662">
                  <c:v>9.4160379535211778</c:v>
                </c:pt>
                <c:pt idx="663">
                  <c:v>9.4469784848385228</c:v>
                </c:pt>
                <c:pt idx="664">
                  <c:v>9.4779190161558713</c:v>
                </c:pt>
                <c:pt idx="665">
                  <c:v>9.5088595474732163</c:v>
                </c:pt>
                <c:pt idx="666">
                  <c:v>9.5398000787905612</c:v>
                </c:pt>
                <c:pt idx="667">
                  <c:v>9.5707406101079098</c:v>
                </c:pt>
                <c:pt idx="668">
                  <c:v>9.6016811414252548</c:v>
                </c:pt>
                <c:pt idx="669">
                  <c:v>9.6326216727425997</c:v>
                </c:pt>
                <c:pt idx="670">
                  <c:v>9.6635622040599483</c:v>
                </c:pt>
                <c:pt idx="671">
                  <c:v>9.6945027353772932</c:v>
                </c:pt>
                <c:pt idx="672">
                  <c:v>9.7254432666946382</c:v>
                </c:pt>
                <c:pt idx="673">
                  <c:v>9.7563837980119867</c:v>
                </c:pt>
                <c:pt idx="674">
                  <c:v>9.7873243293293317</c:v>
                </c:pt>
                <c:pt idx="675">
                  <c:v>9.8182648606466802</c:v>
                </c:pt>
                <c:pt idx="676">
                  <c:v>9.8492053919640252</c:v>
                </c:pt>
                <c:pt idx="677">
                  <c:v>9.8801459232813702</c:v>
                </c:pt>
                <c:pt idx="678">
                  <c:v>9.9110864545987187</c:v>
                </c:pt>
                <c:pt idx="679">
                  <c:v>9.9420269859160637</c:v>
                </c:pt>
                <c:pt idx="680">
                  <c:v>9.9729675172334087</c:v>
                </c:pt>
                <c:pt idx="681">
                  <c:v>10.003908048550757</c:v>
                </c:pt>
                <c:pt idx="682">
                  <c:v>10.034848579868102</c:v>
                </c:pt>
                <c:pt idx="683">
                  <c:v>10.065789111185447</c:v>
                </c:pt>
                <c:pt idx="684">
                  <c:v>10.096729642502796</c:v>
                </c:pt>
                <c:pt idx="685">
                  <c:v>10.127670173820141</c:v>
                </c:pt>
                <c:pt idx="686">
                  <c:v>10.158610705137489</c:v>
                </c:pt>
                <c:pt idx="687">
                  <c:v>10.189551236454834</c:v>
                </c:pt>
                <c:pt idx="688">
                  <c:v>10.220491767772179</c:v>
                </c:pt>
                <c:pt idx="689">
                  <c:v>10.251432299089528</c:v>
                </c:pt>
                <c:pt idx="690">
                  <c:v>10.282372830406873</c:v>
                </c:pt>
                <c:pt idx="691">
                  <c:v>10.313313361724218</c:v>
                </c:pt>
                <c:pt idx="692">
                  <c:v>10.344253893041566</c:v>
                </c:pt>
                <c:pt idx="693">
                  <c:v>10.375194424358911</c:v>
                </c:pt>
                <c:pt idx="694">
                  <c:v>10.406134955676256</c:v>
                </c:pt>
                <c:pt idx="695">
                  <c:v>10.437075486993605</c:v>
                </c:pt>
                <c:pt idx="696">
                  <c:v>10.46801601831095</c:v>
                </c:pt>
                <c:pt idx="697">
                  <c:v>10.498956549628298</c:v>
                </c:pt>
                <c:pt idx="698">
                  <c:v>10.529897080945643</c:v>
                </c:pt>
                <c:pt idx="699">
                  <c:v>10.560837612262988</c:v>
                </c:pt>
                <c:pt idx="700">
                  <c:v>10.591778143580337</c:v>
                </c:pt>
                <c:pt idx="701">
                  <c:v>10.622718674897682</c:v>
                </c:pt>
                <c:pt idx="702">
                  <c:v>10.653659206215027</c:v>
                </c:pt>
                <c:pt idx="703">
                  <c:v>10.684599737532375</c:v>
                </c:pt>
                <c:pt idx="704">
                  <c:v>10.71554026884972</c:v>
                </c:pt>
                <c:pt idx="705">
                  <c:v>10.746480800167065</c:v>
                </c:pt>
                <c:pt idx="706">
                  <c:v>10.777421331484414</c:v>
                </c:pt>
                <c:pt idx="707">
                  <c:v>10.808361862801759</c:v>
                </c:pt>
                <c:pt idx="708">
                  <c:v>10.839302394119107</c:v>
                </c:pt>
                <c:pt idx="709">
                  <c:v>10.870242925436452</c:v>
                </c:pt>
                <c:pt idx="710">
                  <c:v>10.901183456753797</c:v>
                </c:pt>
                <c:pt idx="711">
                  <c:v>10.932123988071146</c:v>
                </c:pt>
                <c:pt idx="712">
                  <c:v>10.963064519388491</c:v>
                </c:pt>
                <c:pt idx="713">
                  <c:v>10.994005050705836</c:v>
                </c:pt>
                <c:pt idx="714">
                  <c:v>11.024945582023184</c:v>
                </c:pt>
                <c:pt idx="715">
                  <c:v>11.055886113340529</c:v>
                </c:pt>
                <c:pt idx="716">
                  <c:v>11.086826644657878</c:v>
                </c:pt>
                <c:pt idx="717">
                  <c:v>11.117767175975223</c:v>
                </c:pt>
                <c:pt idx="718">
                  <c:v>11.148707707292568</c:v>
                </c:pt>
                <c:pt idx="719">
                  <c:v>11.179648238609916</c:v>
                </c:pt>
                <c:pt idx="720">
                  <c:v>11.210588769927261</c:v>
                </c:pt>
                <c:pt idx="721">
                  <c:v>11.241529301244606</c:v>
                </c:pt>
                <c:pt idx="722">
                  <c:v>11.272469832561955</c:v>
                </c:pt>
                <c:pt idx="723">
                  <c:v>11.3034103638793</c:v>
                </c:pt>
                <c:pt idx="724">
                  <c:v>11.334350895196645</c:v>
                </c:pt>
                <c:pt idx="725">
                  <c:v>11.365291426513993</c:v>
                </c:pt>
                <c:pt idx="726">
                  <c:v>11.396231957831338</c:v>
                </c:pt>
                <c:pt idx="727">
                  <c:v>11.427172489148687</c:v>
                </c:pt>
                <c:pt idx="728">
                  <c:v>11.458113020466032</c:v>
                </c:pt>
                <c:pt idx="729">
                  <c:v>11.489053551783377</c:v>
                </c:pt>
                <c:pt idx="730">
                  <c:v>11.519994083100725</c:v>
                </c:pt>
                <c:pt idx="731">
                  <c:v>11.55093461441807</c:v>
                </c:pt>
                <c:pt idx="732">
                  <c:v>11.581875145735415</c:v>
                </c:pt>
                <c:pt idx="733">
                  <c:v>11.612815677052764</c:v>
                </c:pt>
                <c:pt idx="734">
                  <c:v>11.643756208370108</c:v>
                </c:pt>
                <c:pt idx="735">
                  <c:v>11.674696739687453</c:v>
                </c:pt>
                <c:pt idx="736">
                  <c:v>11.705637271004802</c:v>
                </c:pt>
                <c:pt idx="737">
                  <c:v>11.736577802322147</c:v>
                </c:pt>
                <c:pt idx="738">
                  <c:v>11.767518333639496</c:v>
                </c:pt>
                <c:pt idx="739">
                  <c:v>11.79845886495684</c:v>
                </c:pt>
                <c:pt idx="740">
                  <c:v>11.829399396274185</c:v>
                </c:pt>
                <c:pt idx="741">
                  <c:v>11.860339927591534</c:v>
                </c:pt>
                <c:pt idx="742">
                  <c:v>11.891280458908879</c:v>
                </c:pt>
                <c:pt idx="743">
                  <c:v>11.922220990226224</c:v>
                </c:pt>
                <c:pt idx="744">
                  <c:v>11.953161521543572</c:v>
                </c:pt>
                <c:pt idx="745">
                  <c:v>11.984102052860917</c:v>
                </c:pt>
                <c:pt idx="746">
                  <c:v>12.015042584178262</c:v>
                </c:pt>
                <c:pt idx="747">
                  <c:v>12.045983115495611</c:v>
                </c:pt>
                <c:pt idx="748">
                  <c:v>12.076923646812956</c:v>
                </c:pt>
                <c:pt idx="749">
                  <c:v>12.107864178130304</c:v>
                </c:pt>
                <c:pt idx="750">
                  <c:v>12.138804709447649</c:v>
                </c:pt>
                <c:pt idx="751">
                  <c:v>12.169745240764994</c:v>
                </c:pt>
                <c:pt idx="752">
                  <c:v>12.200685772082343</c:v>
                </c:pt>
                <c:pt idx="753">
                  <c:v>12.231626303399688</c:v>
                </c:pt>
                <c:pt idx="754">
                  <c:v>12.262566834717033</c:v>
                </c:pt>
                <c:pt idx="755">
                  <c:v>12.293507366034381</c:v>
                </c:pt>
                <c:pt idx="756">
                  <c:v>12.324447897351726</c:v>
                </c:pt>
                <c:pt idx="757">
                  <c:v>12.355388428669071</c:v>
                </c:pt>
                <c:pt idx="758">
                  <c:v>12.38632895998642</c:v>
                </c:pt>
                <c:pt idx="759">
                  <c:v>12.417269491303765</c:v>
                </c:pt>
                <c:pt idx="760">
                  <c:v>12.448210022621113</c:v>
                </c:pt>
                <c:pt idx="761">
                  <c:v>12.479150553938458</c:v>
                </c:pt>
                <c:pt idx="762">
                  <c:v>12.510091085255803</c:v>
                </c:pt>
                <c:pt idx="763">
                  <c:v>12.541031616573152</c:v>
                </c:pt>
                <c:pt idx="764">
                  <c:v>12.571972147890497</c:v>
                </c:pt>
                <c:pt idx="765">
                  <c:v>12.602912679207842</c:v>
                </c:pt>
                <c:pt idx="766">
                  <c:v>12.63385321052519</c:v>
                </c:pt>
                <c:pt idx="767">
                  <c:v>12.664793741842535</c:v>
                </c:pt>
                <c:pt idx="768">
                  <c:v>12.69573427315988</c:v>
                </c:pt>
                <c:pt idx="769">
                  <c:v>12.726674804477229</c:v>
                </c:pt>
                <c:pt idx="770">
                  <c:v>12.757615335794574</c:v>
                </c:pt>
                <c:pt idx="771">
                  <c:v>12.788555867111922</c:v>
                </c:pt>
                <c:pt idx="772">
                  <c:v>12.819496398429267</c:v>
                </c:pt>
                <c:pt idx="773">
                  <c:v>12.850436929746612</c:v>
                </c:pt>
                <c:pt idx="774">
                  <c:v>12.881377461063961</c:v>
                </c:pt>
                <c:pt idx="775">
                  <c:v>12.912317992381306</c:v>
                </c:pt>
                <c:pt idx="776">
                  <c:v>12.943258523698651</c:v>
                </c:pt>
                <c:pt idx="777">
                  <c:v>12.974199055015999</c:v>
                </c:pt>
                <c:pt idx="778">
                  <c:v>13.005139586333344</c:v>
                </c:pt>
                <c:pt idx="779">
                  <c:v>13.036080117650693</c:v>
                </c:pt>
                <c:pt idx="780">
                  <c:v>13.067020648968038</c:v>
                </c:pt>
                <c:pt idx="781">
                  <c:v>13.097961180285383</c:v>
                </c:pt>
                <c:pt idx="782">
                  <c:v>13.128901711602731</c:v>
                </c:pt>
                <c:pt idx="783">
                  <c:v>13.159842242920076</c:v>
                </c:pt>
                <c:pt idx="784">
                  <c:v>13.190782774237421</c:v>
                </c:pt>
                <c:pt idx="785">
                  <c:v>13.22172330555477</c:v>
                </c:pt>
                <c:pt idx="786">
                  <c:v>13.252663836872115</c:v>
                </c:pt>
                <c:pt idx="787">
                  <c:v>13.28360436818946</c:v>
                </c:pt>
                <c:pt idx="788">
                  <c:v>13.314544899506808</c:v>
                </c:pt>
                <c:pt idx="789">
                  <c:v>13.345485430824153</c:v>
                </c:pt>
                <c:pt idx="790">
                  <c:v>13.376425962141502</c:v>
                </c:pt>
                <c:pt idx="791">
                  <c:v>13.407366493458847</c:v>
                </c:pt>
                <c:pt idx="792">
                  <c:v>13.438307024776192</c:v>
                </c:pt>
                <c:pt idx="793">
                  <c:v>13.46924755609354</c:v>
                </c:pt>
                <c:pt idx="794">
                  <c:v>13.500188087410885</c:v>
                </c:pt>
                <c:pt idx="795">
                  <c:v>13.53112861872823</c:v>
                </c:pt>
                <c:pt idx="796">
                  <c:v>13.562069150045579</c:v>
                </c:pt>
                <c:pt idx="797">
                  <c:v>13.593009681362924</c:v>
                </c:pt>
                <c:pt idx="798">
                  <c:v>13.623950212680269</c:v>
                </c:pt>
                <c:pt idx="799">
                  <c:v>13.654890743997617</c:v>
                </c:pt>
                <c:pt idx="800">
                  <c:v>13.685831275314962</c:v>
                </c:pt>
                <c:pt idx="801">
                  <c:v>13.716771806632311</c:v>
                </c:pt>
                <c:pt idx="802">
                  <c:v>13.747712337949656</c:v>
                </c:pt>
                <c:pt idx="803">
                  <c:v>13.778652869267001</c:v>
                </c:pt>
                <c:pt idx="804">
                  <c:v>13.809593400584349</c:v>
                </c:pt>
                <c:pt idx="805">
                  <c:v>13.840533931901694</c:v>
                </c:pt>
                <c:pt idx="806">
                  <c:v>13.871474463219039</c:v>
                </c:pt>
                <c:pt idx="807">
                  <c:v>13.902414994536388</c:v>
                </c:pt>
                <c:pt idx="808">
                  <c:v>13.933355525853733</c:v>
                </c:pt>
                <c:pt idx="809">
                  <c:v>13.964296057171078</c:v>
                </c:pt>
                <c:pt idx="810">
                  <c:v>13.995236588488426</c:v>
                </c:pt>
                <c:pt idx="811">
                  <c:v>14.026177119805771</c:v>
                </c:pt>
                <c:pt idx="812">
                  <c:v>14.05711765112312</c:v>
                </c:pt>
                <c:pt idx="813">
                  <c:v>14.088058182440465</c:v>
                </c:pt>
                <c:pt idx="814">
                  <c:v>14.11899871375781</c:v>
                </c:pt>
                <c:pt idx="815">
                  <c:v>14.149939245075158</c:v>
                </c:pt>
                <c:pt idx="816">
                  <c:v>14.180879776392503</c:v>
                </c:pt>
                <c:pt idx="817">
                  <c:v>14.211820307709848</c:v>
                </c:pt>
                <c:pt idx="818">
                  <c:v>14.242760839027197</c:v>
                </c:pt>
                <c:pt idx="819">
                  <c:v>14.273701370344542</c:v>
                </c:pt>
                <c:pt idx="820">
                  <c:v>14.304641901661887</c:v>
                </c:pt>
                <c:pt idx="821">
                  <c:v>14.335582432979235</c:v>
                </c:pt>
                <c:pt idx="822">
                  <c:v>14.36652296429658</c:v>
                </c:pt>
                <c:pt idx="823">
                  <c:v>14.397463495613929</c:v>
                </c:pt>
                <c:pt idx="824">
                  <c:v>14.428404026931274</c:v>
                </c:pt>
                <c:pt idx="825">
                  <c:v>14.459344558248619</c:v>
                </c:pt>
                <c:pt idx="826">
                  <c:v>14.490285089565967</c:v>
                </c:pt>
                <c:pt idx="827">
                  <c:v>14.521225620883312</c:v>
                </c:pt>
                <c:pt idx="828">
                  <c:v>14.552166152200657</c:v>
                </c:pt>
                <c:pt idx="829">
                  <c:v>14.583106683518006</c:v>
                </c:pt>
                <c:pt idx="830">
                  <c:v>14.614047214835351</c:v>
                </c:pt>
                <c:pt idx="831">
                  <c:v>14.644987746152699</c:v>
                </c:pt>
                <c:pt idx="832">
                  <c:v>14.675928277470044</c:v>
                </c:pt>
                <c:pt idx="833">
                  <c:v>14.706868808787389</c:v>
                </c:pt>
                <c:pt idx="834">
                  <c:v>14.737809340104738</c:v>
                </c:pt>
                <c:pt idx="835">
                  <c:v>14.768749871422083</c:v>
                </c:pt>
                <c:pt idx="836">
                  <c:v>14.799690402739428</c:v>
                </c:pt>
                <c:pt idx="837">
                  <c:v>14.830630934056776</c:v>
                </c:pt>
                <c:pt idx="838">
                  <c:v>14.861571465374121</c:v>
                </c:pt>
                <c:pt idx="839">
                  <c:v>14.892511996691466</c:v>
                </c:pt>
                <c:pt idx="840">
                  <c:v>14.923452528008815</c:v>
                </c:pt>
                <c:pt idx="841">
                  <c:v>14.95439305932616</c:v>
                </c:pt>
                <c:pt idx="842">
                  <c:v>14.985333590643508</c:v>
                </c:pt>
                <c:pt idx="843">
                  <c:v>15.016274121960853</c:v>
                </c:pt>
                <c:pt idx="844">
                  <c:v>15.047214653278198</c:v>
                </c:pt>
                <c:pt idx="845">
                  <c:v>15.078155184595547</c:v>
                </c:pt>
                <c:pt idx="846">
                  <c:v>15.109095715912892</c:v>
                </c:pt>
                <c:pt idx="847">
                  <c:v>15.140036247230237</c:v>
                </c:pt>
                <c:pt idx="848">
                  <c:v>15.170976778547585</c:v>
                </c:pt>
                <c:pt idx="849">
                  <c:v>15.20191730986493</c:v>
                </c:pt>
                <c:pt idx="850">
                  <c:v>15.232857841182275</c:v>
                </c:pt>
                <c:pt idx="851">
                  <c:v>15.263798372499624</c:v>
                </c:pt>
                <c:pt idx="852">
                  <c:v>15.294738903816969</c:v>
                </c:pt>
                <c:pt idx="853">
                  <c:v>15.325679435134317</c:v>
                </c:pt>
                <c:pt idx="854">
                  <c:v>15.356619966451662</c:v>
                </c:pt>
                <c:pt idx="855">
                  <c:v>15.387560497769007</c:v>
                </c:pt>
                <c:pt idx="856">
                  <c:v>15.418501029086356</c:v>
                </c:pt>
                <c:pt idx="857">
                  <c:v>15.449441560403701</c:v>
                </c:pt>
                <c:pt idx="858">
                  <c:v>15.480382091721046</c:v>
                </c:pt>
                <c:pt idx="859">
                  <c:v>15.511322623038394</c:v>
                </c:pt>
                <c:pt idx="860">
                  <c:v>15.542263154355739</c:v>
                </c:pt>
                <c:pt idx="861">
                  <c:v>15.573203685673084</c:v>
                </c:pt>
                <c:pt idx="862">
                  <c:v>15.604144216990433</c:v>
                </c:pt>
                <c:pt idx="863">
                  <c:v>15.635084748307778</c:v>
                </c:pt>
                <c:pt idx="864">
                  <c:v>15.666025279625126</c:v>
                </c:pt>
                <c:pt idx="865">
                  <c:v>15.696965810942471</c:v>
                </c:pt>
                <c:pt idx="866">
                  <c:v>15.727906342259816</c:v>
                </c:pt>
                <c:pt idx="867">
                  <c:v>15.758846873577165</c:v>
                </c:pt>
                <c:pt idx="868">
                  <c:v>15.789787404894509</c:v>
                </c:pt>
                <c:pt idx="869">
                  <c:v>15.820727936211854</c:v>
                </c:pt>
                <c:pt idx="870">
                  <c:v>15.851668467529203</c:v>
                </c:pt>
                <c:pt idx="871">
                  <c:v>15.882608998846548</c:v>
                </c:pt>
                <c:pt idx="872">
                  <c:v>15.913549530163893</c:v>
                </c:pt>
                <c:pt idx="873">
                  <c:v>15.944490061481241</c:v>
                </c:pt>
                <c:pt idx="874">
                  <c:v>15.975430592798586</c:v>
                </c:pt>
                <c:pt idx="875">
                  <c:v>16.006371124115937</c:v>
                </c:pt>
                <c:pt idx="876">
                  <c:v>16.037311655433278</c:v>
                </c:pt>
                <c:pt idx="877">
                  <c:v>16.068252186750627</c:v>
                </c:pt>
                <c:pt idx="878">
                  <c:v>16.099192718067975</c:v>
                </c:pt>
                <c:pt idx="879">
                  <c:v>16.130133249385317</c:v>
                </c:pt>
                <c:pt idx="880">
                  <c:v>16.161073780702665</c:v>
                </c:pt>
                <c:pt idx="881">
                  <c:v>16.192014312020014</c:v>
                </c:pt>
                <c:pt idx="882">
                  <c:v>16.222954843337355</c:v>
                </c:pt>
                <c:pt idx="883">
                  <c:v>16.253895374654704</c:v>
                </c:pt>
                <c:pt idx="884">
                  <c:v>16.284835905972052</c:v>
                </c:pt>
                <c:pt idx="885">
                  <c:v>16.315776437289394</c:v>
                </c:pt>
                <c:pt idx="886">
                  <c:v>16.346716968606742</c:v>
                </c:pt>
                <c:pt idx="887">
                  <c:v>16.377657499924091</c:v>
                </c:pt>
                <c:pt idx="888">
                  <c:v>16.408598031241432</c:v>
                </c:pt>
                <c:pt idx="889">
                  <c:v>16.439538562558781</c:v>
                </c:pt>
                <c:pt idx="890">
                  <c:v>16.470479093876129</c:v>
                </c:pt>
                <c:pt idx="891">
                  <c:v>16.501419625193471</c:v>
                </c:pt>
                <c:pt idx="892">
                  <c:v>16.532360156510819</c:v>
                </c:pt>
                <c:pt idx="893">
                  <c:v>16.563300687828168</c:v>
                </c:pt>
                <c:pt idx="894">
                  <c:v>16.594241219145516</c:v>
                </c:pt>
                <c:pt idx="895">
                  <c:v>16.625181750462858</c:v>
                </c:pt>
                <c:pt idx="896">
                  <c:v>16.656122281780206</c:v>
                </c:pt>
                <c:pt idx="897">
                  <c:v>16.687062813097555</c:v>
                </c:pt>
                <c:pt idx="898">
                  <c:v>16.718003344414896</c:v>
                </c:pt>
                <c:pt idx="899">
                  <c:v>16.748943875732245</c:v>
                </c:pt>
                <c:pt idx="900">
                  <c:v>16.779884407049593</c:v>
                </c:pt>
                <c:pt idx="901">
                  <c:v>16.810824938366935</c:v>
                </c:pt>
                <c:pt idx="902">
                  <c:v>16.841765469684283</c:v>
                </c:pt>
                <c:pt idx="903">
                  <c:v>16.872706001001632</c:v>
                </c:pt>
                <c:pt idx="904">
                  <c:v>16.903646532318973</c:v>
                </c:pt>
                <c:pt idx="905">
                  <c:v>16.934587063636322</c:v>
                </c:pt>
                <c:pt idx="906">
                  <c:v>16.96552759495367</c:v>
                </c:pt>
                <c:pt idx="907">
                  <c:v>16.996468126271012</c:v>
                </c:pt>
                <c:pt idx="908">
                  <c:v>#N/A</c:v>
                </c:pt>
                <c:pt idx="909">
                  <c:v>-11.066593778562057</c:v>
                </c:pt>
                <c:pt idx="910">
                  <c:v>-11.03565324724471</c:v>
                </c:pt>
                <c:pt idx="911">
                  <c:v>-11.004712715927365</c:v>
                </c:pt>
                <c:pt idx="912">
                  <c:v>-10.973772184610018</c:v>
                </c:pt>
                <c:pt idx="913">
                  <c:v>-10.942831653292671</c:v>
                </c:pt>
                <c:pt idx="914">
                  <c:v>-10.911891121975325</c:v>
                </c:pt>
                <c:pt idx="915">
                  <c:v>-10.88095059065798</c:v>
                </c:pt>
                <c:pt idx="916">
                  <c:v>-10.850010059340633</c:v>
                </c:pt>
                <c:pt idx="917">
                  <c:v>-10.819069528023286</c:v>
                </c:pt>
                <c:pt idx="918">
                  <c:v>-10.788128996705939</c:v>
                </c:pt>
                <c:pt idx="919">
                  <c:v>-10.757188465388595</c:v>
                </c:pt>
                <c:pt idx="920">
                  <c:v>-10.726247934071248</c:v>
                </c:pt>
                <c:pt idx="921">
                  <c:v>-10.695307402753901</c:v>
                </c:pt>
                <c:pt idx="922">
                  <c:v>-10.664366871436556</c:v>
                </c:pt>
                <c:pt idx="923">
                  <c:v>-10.633426340119209</c:v>
                </c:pt>
                <c:pt idx="924">
                  <c:v>-10.602485808801863</c:v>
                </c:pt>
                <c:pt idx="925">
                  <c:v>-10.571545277484516</c:v>
                </c:pt>
                <c:pt idx="926">
                  <c:v>-10.540604746167171</c:v>
                </c:pt>
                <c:pt idx="927">
                  <c:v>-10.509664214849824</c:v>
                </c:pt>
                <c:pt idx="928">
                  <c:v>-10.478723683532477</c:v>
                </c:pt>
                <c:pt idx="929">
                  <c:v>-10.447783152215131</c:v>
                </c:pt>
                <c:pt idx="930">
                  <c:v>-10.416842620897786</c:v>
                </c:pt>
                <c:pt idx="931">
                  <c:v>-10.385902089580439</c:v>
                </c:pt>
                <c:pt idx="932">
                  <c:v>-10.354961558263092</c:v>
                </c:pt>
                <c:pt idx="933">
                  <c:v>-10.324021026945747</c:v>
                </c:pt>
                <c:pt idx="934">
                  <c:v>-10.2930804956284</c:v>
                </c:pt>
                <c:pt idx="935">
                  <c:v>-10.262139964311054</c:v>
                </c:pt>
                <c:pt idx="936">
                  <c:v>-10.231199432993707</c:v>
                </c:pt>
                <c:pt idx="937">
                  <c:v>-10.200258901676362</c:v>
                </c:pt>
                <c:pt idx="938">
                  <c:v>-10.169318370359015</c:v>
                </c:pt>
                <c:pt idx="939">
                  <c:v>-10.138377839041668</c:v>
                </c:pt>
                <c:pt idx="940">
                  <c:v>-10.107437307724322</c:v>
                </c:pt>
                <c:pt idx="941">
                  <c:v>-10.076496776406977</c:v>
                </c:pt>
                <c:pt idx="942">
                  <c:v>-10.04555624508963</c:v>
                </c:pt>
                <c:pt idx="943">
                  <c:v>-10.014615713772283</c:v>
                </c:pt>
                <c:pt idx="944">
                  <c:v>-9.9836751824549363</c:v>
                </c:pt>
                <c:pt idx="945">
                  <c:v>-9.9527346511375914</c:v>
                </c:pt>
                <c:pt idx="946">
                  <c:v>-9.9217941198202446</c:v>
                </c:pt>
                <c:pt idx="947">
                  <c:v>-9.8908535885028979</c:v>
                </c:pt>
                <c:pt idx="948">
                  <c:v>-9.8599130571855511</c:v>
                </c:pt>
                <c:pt idx="949">
                  <c:v>-9.8289725258682061</c:v>
                </c:pt>
                <c:pt idx="950">
                  <c:v>-9.7980319945508594</c:v>
                </c:pt>
                <c:pt idx="951">
                  <c:v>-9.7670914632335126</c:v>
                </c:pt>
                <c:pt idx="952">
                  <c:v>-9.7361509319161677</c:v>
                </c:pt>
                <c:pt idx="953">
                  <c:v>-9.7052104005988209</c:v>
                </c:pt>
                <c:pt idx="954">
                  <c:v>-9.6742698692814741</c:v>
                </c:pt>
                <c:pt idx="955">
                  <c:v>-9.6433293379641274</c:v>
                </c:pt>
                <c:pt idx="956">
                  <c:v>-9.6123888066467824</c:v>
                </c:pt>
                <c:pt idx="957">
                  <c:v>-9.5814482753294357</c:v>
                </c:pt>
                <c:pt idx="958">
                  <c:v>-9.5505077440120889</c:v>
                </c:pt>
                <c:pt idx="959">
                  <c:v>-9.5195672126947422</c:v>
                </c:pt>
                <c:pt idx="960">
                  <c:v>-9.4886266813773972</c:v>
                </c:pt>
                <c:pt idx="961">
                  <c:v>-9.4576861500600504</c:v>
                </c:pt>
                <c:pt idx="962">
                  <c:v>-9.4267456187427037</c:v>
                </c:pt>
                <c:pt idx="963">
                  <c:v>-9.3958050874253587</c:v>
                </c:pt>
                <c:pt idx="964">
                  <c:v>-9.3648645561080119</c:v>
                </c:pt>
                <c:pt idx="965">
                  <c:v>-9.3339240247906652</c:v>
                </c:pt>
                <c:pt idx="966">
                  <c:v>-9.3029834934733184</c:v>
                </c:pt>
                <c:pt idx="967">
                  <c:v>-9.2720429621559735</c:v>
                </c:pt>
                <c:pt idx="968">
                  <c:v>-9.2411024308386267</c:v>
                </c:pt>
                <c:pt idx="969">
                  <c:v>-9.2101618995212799</c:v>
                </c:pt>
                <c:pt idx="970">
                  <c:v>-9.1792213682039332</c:v>
                </c:pt>
                <c:pt idx="971">
                  <c:v>-9.1482808368865882</c:v>
                </c:pt>
                <c:pt idx="972">
                  <c:v>-9.1173403055692415</c:v>
                </c:pt>
                <c:pt idx="973">
                  <c:v>-9.0863997742518947</c:v>
                </c:pt>
                <c:pt idx="974">
                  <c:v>-9.0554592429345497</c:v>
                </c:pt>
                <c:pt idx="975">
                  <c:v>-9.024518711617203</c:v>
                </c:pt>
                <c:pt idx="976">
                  <c:v>-8.9935781802998562</c:v>
                </c:pt>
                <c:pt idx="977">
                  <c:v>-8.9626376489825095</c:v>
                </c:pt>
                <c:pt idx="978">
                  <c:v>-8.9316971176651627</c:v>
                </c:pt>
                <c:pt idx="979">
                  <c:v>-8.9007565863478177</c:v>
                </c:pt>
                <c:pt idx="980">
                  <c:v>-8.869816055030471</c:v>
                </c:pt>
                <c:pt idx="981">
                  <c:v>-8.8388755237131242</c:v>
                </c:pt>
                <c:pt idx="982">
                  <c:v>-8.8079349923957793</c:v>
                </c:pt>
                <c:pt idx="983">
                  <c:v>-8.7769944610784325</c:v>
                </c:pt>
                <c:pt idx="984">
                  <c:v>-8.7460539297610858</c:v>
                </c:pt>
                <c:pt idx="985">
                  <c:v>-8.7151133984437408</c:v>
                </c:pt>
                <c:pt idx="986">
                  <c:v>-8.684172867126394</c:v>
                </c:pt>
                <c:pt idx="987">
                  <c:v>-8.6532323358090473</c:v>
                </c:pt>
                <c:pt idx="988">
                  <c:v>-8.6222918044917005</c:v>
                </c:pt>
                <c:pt idx="989">
                  <c:v>-8.5913512731743538</c:v>
                </c:pt>
                <c:pt idx="990">
                  <c:v>-8.5604107418570088</c:v>
                </c:pt>
                <c:pt idx="991">
                  <c:v>-8.529470210539662</c:v>
                </c:pt>
                <c:pt idx="992">
                  <c:v>-8.4985296792223153</c:v>
                </c:pt>
                <c:pt idx="993">
                  <c:v>-8.4675891479049703</c:v>
                </c:pt>
                <c:pt idx="994">
                  <c:v>-8.4366486165876236</c:v>
                </c:pt>
                <c:pt idx="995">
                  <c:v>-8.4057080852702768</c:v>
                </c:pt>
                <c:pt idx="996">
                  <c:v>-8.3747675539529318</c:v>
                </c:pt>
                <c:pt idx="997">
                  <c:v>-8.3438270226355851</c:v>
                </c:pt>
                <c:pt idx="998">
                  <c:v>-8.3128864913182383</c:v>
                </c:pt>
                <c:pt idx="999">
                  <c:v>-8.2819459600008916</c:v>
                </c:pt>
                <c:pt idx="1000">
                  <c:v>-8.2510054286835448</c:v>
                </c:pt>
                <c:pt idx="1001">
                  <c:v>-8.2200648973661998</c:v>
                </c:pt>
                <c:pt idx="1002">
                  <c:v>-8.1891243660488531</c:v>
                </c:pt>
                <c:pt idx="1003">
                  <c:v>-8.1581838347315063</c:v>
                </c:pt>
                <c:pt idx="1004">
                  <c:v>-8.1272433034141613</c:v>
                </c:pt>
                <c:pt idx="1005">
                  <c:v>-8.0963027720968146</c:v>
                </c:pt>
                <c:pt idx="1006">
                  <c:v>-8.0653622407794678</c:v>
                </c:pt>
                <c:pt idx="1007">
                  <c:v>-8.0344217094621229</c:v>
                </c:pt>
                <c:pt idx="1008">
                  <c:v>-8.0034811781447761</c:v>
                </c:pt>
                <c:pt idx="1009">
                  <c:v>-7.9725406468274294</c:v>
                </c:pt>
                <c:pt idx="1010">
                  <c:v>-7.9416001155100826</c:v>
                </c:pt>
                <c:pt idx="1011">
                  <c:v>-7.9106595841927367</c:v>
                </c:pt>
                <c:pt idx="1012">
                  <c:v>-7.8797190528753909</c:v>
                </c:pt>
                <c:pt idx="1013">
                  <c:v>-7.8487785215580441</c:v>
                </c:pt>
                <c:pt idx="1014">
                  <c:v>-7.8178379902406974</c:v>
                </c:pt>
                <c:pt idx="1015">
                  <c:v>-7.7868974589233515</c:v>
                </c:pt>
                <c:pt idx="1016">
                  <c:v>-7.7559569276060056</c:v>
                </c:pt>
                <c:pt idx="1017">
                  <c:v>-7.7250163962886589</c:v>
                </c:pt>
                <c:pt idx="1018">
                  <c:v>-7.694075864971313</c:v>
                </c:pt>
                <c:pt idx="1019">
                  <c:v>-7.6631353336539672</c:v>
                </c:pt>
                <c:pt idx="1020">
                  <c:v>-7.6321948023366204</c:v>
                </c:pt>
                <c:pt idx="1021">
                  <c:v>-7.6012542710192736</c:v>
                </c:pt>
                <c:pt idx="1022">
                  <c:v>-7.5703137397019278</c:v>
                </c:pt>
                <c:pt idx="1023">
                  <c:v>-7.5393732083845819</c:v>
                </c:pt>
                <c:pt idx="1024">
                  <c:v>-7.5084326770672352</c:v>
                </c:pt>
                <c:pt idx="1025">
                  <c:v>-7.4774921457498884</c:v>
                </c:pt>
                <c:pt idx="1026">
                  <c:v>-7.4465516144325425</c:v>
                </c:pt>
                <c:pt idx="1027">
                  <c:v>-7.4156110831151967</c:v>
                </c:pt>
                <c:pt idx="1028">
                  <c:v>-7.3846705517978499</c:v>
                </c:pt>
                <c:pt idx="1029">
                  <c:v>-7.3537300204805032</c:v>
                </c:pt>
                <c:pt idx="1030">
                  <c:v>-7.3227894891631573</c:v>
                </c:pt>
                <c:pt idx="1031">
                  <c:v>-7.2918489578458114</c:v>
                </c:pt>
                <c:pt idx="1032">
                  <c:v>-7.2609084265284647</c:v>
                </c:pt>
                <c:pt idx="1033">
                  <c:v>-7.2299678952111188</c:v>
                </c:pt>
                <c:pt idx="1034">
                  <c:v>-7.199027363893773</c:v>
                </c:pt>
                <c:pt idx="1035">
                  <c:v>-7.1680868325764262</c:v>
                </c:pt>
                <c:pt idx="1036">
                  <c:v>-7.1371463012590795</c:v>
                </c:pt>
                <c:pt idx="1037">
                  <c:v>-7.1062057699417336</c:v>
                </c:pt>
                <c:pt idx="1038">
                  <c:v>-7.0752652386243877</c:v>
                </c:pt>
                <c:pt idx="1039">
                  <c:v>-7.044324707307041</c:v>
                </c:pt>
                <c:pt idx="1040">
                  <c:v>-7.0133841759896951</c:v>
                </c:pt>
                <c:pt idx="1041">
                  <c:v>-6.9824436446723483</c:v>
                </c:pt>
                <c:pt idx="1042">
                  <c:v>-6.9515031133550025</c:v>
                </c:pt>
                <c:pt idx="1043">
                  <c:v>-6.9205625820376557</c:v>
                </c:pt>
                <c:pt idx="1044">
                  <c:v>-6.8896220507203099</c:v>
                </c:pt>
                <c:pt idx="1045">
                  <c:v>-6.8586815194029631</c:v>
                </c:pt>
                <c:pt idx="1046">
                  <c:v>-6.8277409880856172</c:v>
                </c:pt>
                <c:pt idx="1047">
                  <c:v>-6.7968004567682705</c:v>
                </c:pt>
                <c:pt idx="1048">
                  <c:v>-6.7658599254509246</c:v>
                </c:pt>
                <c:pt idx="1049">
                  <c:v>-6.7349193941335779</c:v>
                </c:pt>
                <c:pt idx="1050">
                  <c:v>-6.703978862816232</c:v>
                </c:pt>
                <c:pt idx="1051">
                  <c:v>-6.6730383314988861</c:v>
                </c:pt>
                <c:pt idx="1052">
                  <c:v>-6.6420978001815394</c:v>
                </c:pt>
                <c:pt idx="1053">
                  <c:v>-6.6111572688641935</c:v>
                </c:pt>
                <c:pt idx="1054">
                  <c:v>-6.5802167375468468</c:v>
                </c:pt>
                <c:pt idx="1055">
                  <c:v>-6.5492762062295009</c:v>
                </c:pt>
                <c:pt idx="1056">
                  <c:v>-6.5183356749121542</c:v>
                </c:pt>
                <c:pt idx="1057">
                  <c:v>-6.4873951435948083</c:v>
                </c:pt>
                <c:pt idx="1058">
                  <c:v>-6.4564546122774615</c:v>
                </c:pt>
                <c:pt idx="1059">
                  <c:v>-6.4255140809601157</c:v>
                </c:pt>
                <c:pt idx="1060">
                  <c:v>-6.3945735496427689</c:v>
                </c:pt>
                <c:pt idx="1061">
                  <c:v>-6.3636330183254231</c:v>
                </c:pt>
                <c:pt idx="1062">
                  <c:v>-6.3326924870080763</c:v>
                </c:pt>
                <c:pt idx="1063">
                  <c:v>-6.3017519556907304</c:v>
                </c:pt>
                <c:pt idx="1064">
                  <c:v>-6.2708114243733846</c:v>
                </c:pt>
                <c:pt idx="1065">
                  <c:v>-6.2398708930560378</c:v>
                </c:pt>
                <c:pt idx="1066">
                  <c:v>-6.2089303617386919</c:v>
                </c:pt>
                <c:pt idx="1067">
                  <c:v>-6.1779898304213452</c:v>
                </c:pt>
                <c:pt idx="1068">
                  <c:v>-6.1470492991039993</c:v>
                </c:pt>
                <c:pt idx="1069">
                  <c:v>-6.1161087677866526</c:v>
                </c:pt>
                <c:pt idx="1070">
                  <c:v>-6.0851682364693067</c:v>
                </c:pt>
                <c:pt idx="1071">
                  <c:v>-6.05422770515196</c:v>
                </c:pt>
                <c:pt idx="1072">
                  <c:v>-6.0232871738346141</c:v>
                </c:pt>
                <c:pt idx="1073">
                  <c:v>-5.9923466425172673</c:v>
                </c:pt>
                <c:pt idx="1074">
                  <c:v>-5.9614061111999215</c:v>
                </c:pt>
                <c:pt idx="1075">
                  <c:v>-5.9304655798825747</c:v>
                </c:pt>
                <c:pt idx="1076">
                  <c:v>-5.8995250485652289</c:v>
                </c:pt>
                <c:pt idx="1077">
                  <c:v>-5.868584517247883</c:v>
                </c:pt>
                <c:pt idx="1078">
                  <c:v>-5.8376439859305362</c:v>
                </c:pt>
                <c:pt idx="1079">
                  <c:v>-5.8067034546131904</c:v>
                </c:pt>
                <c:pt idx="1080">
                  <c:v>-5.7757629232958436</c:v>
                </c:pt>
                <c:pt idx="1081">
                  <c:v>-5.7448223919784978</c:v>
                </c:pt>
                <c:pt idx="1082">
                  <c:v>-5.713881860661151</c:v>
                </c:pt>
                <c:pt idx="1083">
                  <c:v>-5.6829413293438051</c:v>
                </c:pt>
                <c:pt idx="1084">
                  <c:v>-5.6520007980264584</c:v>
                </c:pt>
                <c:pt idx="1085">
                  <c:v>-5.6210602667091125</c:v>
                </c:pt>
                <c:pt idx="1086">
                  <c:v>-5.5901197353917658</c:v>
                </c:pt>
                <c:pt idx="1087">
                  <c:v>-5.5591792040744199</c:v>
                </c:pt>
                <c:pt idx="1088">
                  <c:v>-5.5282386727570731</c:v>
                </c:pt>
                <c:pt idx="1089">
                  <c:v>-5.4972981414397273</c:v>
                </c:pt>
                <c:pt idx="1090">
                  <c:v>-5.4663576101223814</c:v>
                </c:pt>
                <c:pt idx="1091">
                  <c:v>-5.4354170788050347</c:v>
                </c:pt>
                <c:pt idx="1092">
                  <c:v>-5.4044765474876888</c:v>
                </c:pt>
                <c:pt idx="1093">
                  <c:v>-5.373536016170342</c:v>
                </c:pt>
                <c:pt idx="1094">
                  <c:v>-5.3425954848529962</c:v>
                </c:pt>
                <c:pt idx="1095">
                  <c:v>-5.3116549535356494</c:v>
                </c:pt>
                <c:pt idx="1096">
                  <c:v>-5.2807144222183036</c:v>
                </c:pt>
                <c:pt idx="1097">
                  <c:v>-5.2497738909009568</c:v>
                </c:pt>
                <c:pt idx="1098">
                  <c:v>-5.2188333595836109</c:v>
                </c:pt>
                <c:pt idx="1099">
                  <c:v>-5.1878928282662642</c:v>
                </c:pt>
                <c:pt idx="1100">
                  <c:v>-5.1569522969489183</c:v>
                </c:pt>
                <c:pt idx="1101">
                  <c:v>-5.1260117656315725</c:v>
                </c:pt>
                <c:pt idx="1102">
                  <c:v>-5.0950712343142257</c:v>
                </c:pt>
                <c:pt idx="1103">
                  <c:v>-5.0641307029968798</c:v>
                </c:pt>
                <c:pt idx="1104">
                  <c:v>-5.0331901716795331</c:v>
                </c:pt>
                <c:pt idx="1105">
                  <c:v>-5.0022496403621872</c:v>
                </c:pt>
                <c:pt idx="1106">
                  <c:v>-4.9713091090448405</c:v>
                </c:pt>
                <c:pt idx="1107">
                  <c:v>-4.9403685777274946</c:v>
                </c:pt>
                <c:pt idx="1108">
                  <c:v>-4.9094280464101479</c:v>
                </c:pt>
                <c:pt idx="1109">
                  <c:v>-4.878487515092802</c:v>
                </c:pt>
                <c:pt idx="1110">
                  <c:v>-4.8475469837754552</c:v>
                </c:pt>
                <c:pt idx="1111">
                  <c:v>-4.8166064524581094</c:v>
                </c:pt>
                <c:pt idx="1112">
                  <c:v>-4.7856659211407626</c:v>
                </c:pt>
                <c:pt idx="1113">
                  <c:v>-4.7547253898234167</c:v>
                </c:pt>
                <c:pt idx="1114">
                  <c:v>-4.7237848585060709</c:v>
                </c:pt>
                <c:pt idx="1115">
                  <c:v>-4.6928443271887241</c:v>
                </c:pt>
                <c:pt idx="1116">
                  <c:v>-4.6619037958713783</c:v>
                </c:pt>
                <c:pt idx="1117">
                  <c:v>-4.6309632645540315</c:v>
                </c:pt>
                <c:pt idx="1118">
                  <c:v>-4.6000227332366856</c:v>
                </c:pt>
                <c:pt idx="1119">
                  <c:v>-4.5690822019193389</c:v>
                </c:pt>
                <c:pt idx="1120">
                  <c:v>-4.538141670601993</c:v>
                </c:pt>
                <c:pt idx="1121">
                  <c:v>-4.5072011392846463</c:v>
                </c:pt>
                <c:pt idx="1122">
                  <c:v>-4.4762606079673004</c:v>
                </c:pt>
                <c:pt idx="1123">
                  <c:v>-4.4453200766499537</c:v>
                </c:pt>
                <c:pt idx="1124">
                  <c:v>-4.4143795453326078</c:v>
                </c:pt>
                <c:pt idx="1125">
                  <c:v>-4.383439014015261</c:v>
                </c:pt>
                <c:pt idx="1126">
                  <c:v>-4.3524984826979152</c:v>
                </c:pt>
                <c:pt idx="1127">
                  <c:v>-4.3215579513805693</c:v>
                </c:pt>
                <c:pt idx="1128">
                  <c:v>-4.2906174200632226</c:v>
                </c:pt>
                <c:pt idx="1129">
                  <c:v>-4.2596768887458767</c:v>
                </c:pt>
                <c:pt idx="1130">
                  <c:v>-4.2287363574285299</c:v>
                </c:pt>
                <c:pt idx="1131">
                  <c:v>-4.1977958261111841</c:v>
                </c:pt>
                <c:pt idx="1132">
                  <c:v>-4.1668552947938373</c:v>
                </c:pt>
                <c:pt idx="1133">
                  <c:v>-4.1359147634764915</c:v>
                </c:pt>
                <c:pt idx="1134">
                  <c:v>-4.1049742321591447</c:v>
                </c:pt>
                <c:pt idx="1135">
                  <c:v>-4.0740337008417988</c:v>
                </c:pt>
                <c:pt idx="1136">
                  <c:v>-4.0430931695244521</c:v>
                </c:pt>
                <c:pt idx="1137">
                  <c:v>-4.0121526382071062</c:v>
                </c:pt>
                <c:pt idx="1138">
                  <c:v>-3.9812121068897595</c:v>
                </c:pt>
                <c:pt idx="1139">
                  <c:v>-3.9502715755724136</c:v>
                </c:pt>
                <c:pt idx="1140">
                  <c:v>-3.9193310442550677</c:v>
                </c:pt>
                <c:pt idx="1141">
                  <c:v>-3.888390512937721</c:v>
                </c:pt>
                <c:pt idx="1142">
                  <c:v>-3.8574499816203751</c:v>
                </c:pt>
                <c:pt idx="1143">
                  <c:v>-3.8265094503030284</c:v>
                </c:pt>
                <c:pt idx="1144">
                  <c:v>-3.7955689189856825</c:v>
                </c:pt>
                <c:pt idx="1145">
                  <c:v>-3.7646283876683357</c:v>
                </c:pt>
                <c:pt idx="1146">
                  <c:v>-3.7336878563509899</c:v>
                </c:pt>
                <c:pt idx="1147">
                  <c:v>-3.7027473250336431</c:v>
                </c:pt>
                <c:pt idx="1148">
                  <c:v>-3.6718067937162973</c:v>
                </c:pt>
                <c:pt idx="1149">
                  <c:v>-3.6408662623989505</c:v>
                </c:pt>
                <c:pt idx="1150">
                  <c:v>-3.6099257310816046</c:v>
                </c:pt>
                <c:pt idx="1151">
                  <c:v>-3.5789851997642579</c:v>
                </c:pt>
                <c:pt idx="1152">
                  <c:v>-3.548044668446912</c:v>
                </c:pt>
                <c:pt idx="1153">
                  <c:v>-3.5171041371295662</c:v>
                </c:pt>
                <c:pt idx="1154">
                  <c:v>-3.4861636058122194</c:v>
                </c:pt>
                <c:pt idx="1155">
                  <c:v>-3.4552230744948735</c:v>
                </c:pt>
                <c:pt idx="1156">
                  <c:v>-3.4242825431775268</c:v>
                </c:pt>
                <c:pt idx="1157">
                  <c:v>-3.3933420118601809</c:v>
                </c:pt>
                <c:pt idx="1158">
                  <c:v>-3.3624014805428342</c:v>
                </c:pt>
                <c:pt idx="1159">
                  <c:v>-3.3314609492254883</c:v>
                </c:pt>
                <c:pt idx="1160">
                  <c:v>-3.3005204179081415</c:v>
                </c:pt>
                <c:pt idx="1161">
                  <c:v>-3.2695798865907957</c:v>
                </c:pt>
                <c:pt idx="1162">
                  <c:v>-3.2386393552734489</c:v>
                </c:pt>
                <c:pt idx="1163">
                  <c:v>-3.2076988239561031</c:v>
                </c:pt>
                <c:pt idx="1164">
                  <c:v>-3.1767582926387563</c:v>
                </c:pt>
                <c:pt idx="1165">
                  <c:v>-3.1458177613214104</c:v>
                </c:pt>
                <c:pt idx="1166">
                  <c:v>-3.1148772300040646</c:v>
                </c:pt>
                <c:pt idx="1167">
                  <c:v>-3.0839366986867178</c:v>
                </c:pt>
                <c:pt idx="1168">
                  <c:v>-3.052996167369372</c:v>
                </c:pt>
                <c:pt idx="1169">
                  <c:v>-3.0220556360520252</c:v>
                </c:pt>
                <c:pt idx="1170">
                  <c:v>-2.9911151047346785</c:v>
                </c:pt>
                <c:pt idx="1171">
                  <c:v>-2.9601745734173335</c:v>
                </c:pt>
                <c:pt idx="1172">
                  <c:v>-2.9292340420999867</c:v>
                </c:pt>
                <c:pt idx="1173">
                  <c:v>-2.89829351078264</c:v>
                </c:pt>
                <c:pt idx="1174">
                  <c:v>-2.8673529794652932</c:v>
                </c:pt>
                <c:pt idx="1175">
                  <c:v>-2.8364124481479482</c:v>
                </c:pt>
                <c:pt idx="1176">
                  <c:v>-2.8054719168306015</c:v>
                </c:pt>
                <c:pt idx="1177">
                  <c:v>-2.7745313855132547</c:v>
                </c:pt>
                <c:pt idx="1178">
                  <c:v>-2.7435908541959098</c:v>
                </c:pt>
                <c:pt idx="1179">
                  <c:v>-2.712650322878563</c:v>
                </c:pt>
                <c:pt idx="1180">
                  <c:v>-2.6817097915612162</c:v>
                </c:pt>
                <c:pt idx="1181">
                  <c:v>-2.6507692602438695</c:v>
                </c:pt>
                <c:pt idx="1182">
                  <c:v>-2.6198287289265245</c:v>
                </c:pt>
                <c:pt idx="1183">
                  <c:v>-2.5888881976091778</c:v>
                </c:pt>
                <c:pt idx="1184">
                  <c:v>-2.557947666291831</c:v>
                </c:pt>
                <c:pt idx="1185">
                  <c:v>-2.5270071349744843</c:v>
                </c:pt>
                <c:pt idx="1186">
                  <c:v>-2.4960666036571393</c:v>
                </c:pt>
                <c:pt idx="1187">
                  <c:v>-2.4651260723397925</c:v>
                </c:pt>
                <c:pt idx="1188">
                  <c:v>-2.4341855410224458</c:v>
                </c:pt>
                <c:pt idx="1189">
                  <c:v>-2.403245009705099</c:v>
                </c:pt>
                <c:pt idx="1190">
                  <c:v>-2.372304478387754</c:v>
                </c:pt>
                <c:pt idx="1191">
                  <c:v>-2.3413639470704073</c:v>
                </c:pt>
                <c:pt idx="1192">
                  <c:v>-2.3104234157530605</c:v>
                </c:pt>
                <c:pt idx="1193">
                  <c:v>-2.2794828844357156</c:v>
                </c:pt>
                <c:pt idx="1194">
                  <c:v>-2.2485423531183688</c:v>
                </c:pt>
                <c:pt idx="1195">
                  <c:v>-2.2176018218010221</c:v>
                </c:pt>
                <c:pt idx="1196">
                  <c:v>-2.1866612904836753</c:v>
                </c:pt>
                <c:pt idx="1197">
                  <c:v>-2.1557207591663303</c:v>
                </c:pt>
                <c:pt idx="1198">
                  <c:v>-2.1247802278489836</c:v>
                </c:pt>
                <c:pt idx="1199">
                  <c:v>-2.0938396965316368</c:v>
                </c:pt>
                <c:pt idx="1200">
                  <c:v>-2.0628991652142901</c:v>
                </c:pt>
                <c:pt idx="1201">
                  <c:v>-2.0319586338969451</c:v>
                </c:pt>
                <c:pt idx="1202">
                  <c:v>-2.0010181025795983</c:v>
                </c:pt>
                <c:pt idx="1203">
                  <c:v>-1.9700775712622516</c:v>
                </c:pt>
                <c:pt idx="1204">
                  <c:v>-1.9391370399449066</c:v>
                </c:pt>
                <c:pt idx="1205">
                  <c:v>-1.9081965086275599</c:v>
                </c:pt>
                <c:pt idx="1206">
                  <c:v>-1.8772559773102131</c:v>
                </c:pt>
                <c:pt idx="1207">
                  <c:v>-1.8463154459928663</c:v>
                </c:pt>
                <c:pt idx="1208">
                  <c:v>-1.8153749146755214</c:v>
                </c:pt>
                <c:pt idx="1209">
                  <c:v>-1.7844343833581746</c:v>
                </c:pt>
                <c:pt idx="1210">
                  <c:v>-1.7534938520408279</c:v>
                </c:pt>
                <c:pt idx="1211">
                  <c:v>-1.7225533207234811</c:v>
                </c:pt>
                <c:pt idx="1212">
                  <c:v>-1.6916127894061361</c:v>
                </c:pt>
                <c:pt idx="1213">
                  <c:v>-1.6606722580887894</c:v>
                </c:pt>
                <c:pt idx="1214">
                  <c:v>-1.6297317267714426</c:v>
                </c:pt>
                <c:pt idx="1215">
                  <c:v>-1.5987911954540959</c:v>
                </c:pt>
                <c:pt idx="1216">
                  <c:v>-1.5678506641367509</c:v>
                </c:pt>
                <c:pt idx="1217">
                  <c:v>-1.5369101328194041</c:v>
                </c:pt>
                <c:pt idx="1218">
                  <c:v>-1.5059696015020574</c:v>
                </c:pt>
                <c:pt idx="1219">
                  <c:v>-1.4750290701847124</c:v>
                </c:pt>
                <c:pt idx="1220">
                  <c:v>-1.4440885388673657</c:v>
                </c:pt>
                <c:pt idx="1221">
                  <c:v>-1.4131480075500189</c:v>
                </c:pt>
                <c:pt idx="1222">
                  <c:v>-1.3822074762326721</c:v>
                </c:pt>
                <c:pt idx="1223">
                  <c:v>-1.3512669449153272</c:v>
                </c:pt>
                <c:pt idx="1224">
                  <c:v>-1.3203264135979804</c:v>
                </c:pt>
                <c:pt idx="1225">
                  <c:v>-1.2893858822806337</c:v>
                </c:pt>
                <c:pt idx="1226">
                  <c:v>-1.2584453509632869</c:v>
                </c:pt>
                <c:pt idx="1227">
                  <c:v>-1.2275048196459419</c:v>
                </c:pt>
                <c:pt idx="1228">
                  <c:v>-1.1965642883285952</c:v>
                </c:pt>
                <c:pt idx="1229">
                  <c:v>-1.1656237570112484</c:v>
                </c:pt>
                <c:pt idx="1230">
                  <c:v>-1.1346832256939035</c:v>
                </c:pt>
                <c:pt idx="1231">
                  <c:v>-1.1037426943765567</c:v>
                </c:pt>
                <c:pt idx="1232">
                  <c:v>-1.0728021630592099</c:v>
                </c:pt>
                <c:pt idx="1233">
                  <c:v>-1.0418616317418632</c:v>
                </c:pt>
                <c:pt idx="1234">
                  <c:v>-1.0109211004245182</c:v>
                </c:pt>
                <c:pt idx="1235">
                  <c:v>-0.97998056910717146</c:v>
                </c:pt>
                <c:pt idx="1236">
                  <c:v>-0.94904003778982471</c:v>
                </c:pt>
                <c:pt idx="1237">
                  <c:v>-0.91809950647247796</c:v>
                </c:pt>
                <c:pt idx="1238">
                  <c:v>-0.88715897515513298</c:v>
                </c:pt>
                <c:pt idx="1239">
                  <c:v>-0.85621844383778623</c:v>
                </c:pt>
                <c:pt idx="1240">
                  <c:v>-0.82527791252043947</c:v>
                </c:pt>
                <c:pt idx="1241">
                  <c:v>-0.79433738120309272</c:v>
                </c:pt>
                <c:pt idx="1242">
                  <c:v>-0.76339684988574774</c:v>
                </c:pt>
                <c:pt idx="1243">
                  <c:v>-0.73245631856840099</c:v>
                </c:pt>
                <c:pt idx="1244">
                  <c:v>-0.70151578725105423</c:v>
                </c:pt>
                <c:pt idx="1245">
                  <c:v>-0.67057525593370926</c:v>
                </c:pt>
                <c:pt idx="1246">
                  <c:v>-0.6396347246163625</c:v>
                </c:pt>
                <c:pt idx="1247">
                  <c:v>-0.60869419329901575</c:v>
                </c:pt>
                <c:pt idx="1248">
                  <c:v>-0.577753661981669</c:v>
                </c:pt>
                <c:pt idx="1249">
                  <c:v>-0.54681313066432402</c:v>
                </c:pt>
                <c:pt idx="1250">
                  <c:v>-0.51587259934697727</c:v>
                </c:pt>
                <c:pt idx="1251">
                  <c:v>-0.48493206802963051</c:v>
                </c:pt>
                <c:pt idx="1252">
                  <c:v>-0.45399153671228376</c:v>
                </c:pt>
                <c:pt idx="1253">
                  <c:v>-0.42305100539493878</c:v>
                </c:pt>
                <c:pt idx="1254">
                  <c:v>-0.39211047407759203</c:v>
                </c:pt>
                <c:pt idx="1255">
                  <c:v>-0.36116994276024528</c:v>
                </c:pt>
                <c:pt idx="1256">
                  <c:v>-0.3302294114429003</c:v>
                </c:pt>
                <c:pt idx="1257">
                  <c:v>-0.29928888012555355</c:v>
                </c:pt>
                <c:pt idx="1258">
                  <c:v>-0.26834834880820679</c:v>
                </c:pt>
                <c:pt idx="1259">
                  <c:v>-0.23740781749086004</c:v>
                </c:pt>
                <c:pt idx="1260">
                  <c:v>-0.20646728617351506</c:v>
                </c:pt>
                <c:pt idx="1261">
                  <c:v>-0.17552675485616831</c:v>
                </c:pt>
                <c:pt idx="1262">
                  <c:v>-0.14458622353882156</c:v>
                </c:pt>
                <c:pt idx="1263">
                  <c:v>-0.1136456922214748</c:v>
                </c:pt>
                <c:pt idx="1264">
                  <c:v>-8.2705160904129826E-2</c:v>
                </c:pt>
                <c:pt idx="1265">
                  <c:v>-5.1764629586783073E-2</c:v>
                </c:pt>
                <c:pt idx="1266">
                  <c:v>-2.082409826943632E-2</c:v>
                </c:pt>
                <c:pt idx="1267">
                  <c:v>1.0116433047910434E-2</c:v>
                </c:pt>
                <c:pt idx="1268">
                  <c:v>4.1056964365255411E-2</c:v>
                </c:pt>
                <c:pt idx="1269">
                  <c:v>7.1997495682602164E-2</c:v>
                </c:pt>
                <c:pt idx="1270">
                  <c:v>0.10293802699994892</c:v>
                </c:pt>
                <c:pt idx="1271">
                  <c:v>0.13387855831729389</c:v>
                </c:pt>
                <c:pt idx="1272">
                  <c:v>0.16481908963464065</c:v>
                </c:pt>
                <c:pt idx="1273">
                  <c:v>0.1957596209519874</c:v>
                </c:pt>
                <c:pt idx="1274">
                  <c:v>0.22670015226933415</c:v>
                </c:pt>
                <c:pt idx="1275">
                  <c:v>0.25764068358667913</c:v>
                </c:pt>
                <c:pt idx="1276">
                  <c:v>0.28858121490402588</c:v>
                </c:pt>
                <c:pt idx="1277">
                  <c:v>0.31952174622137264</c:v>
                </c:pt>
                <c:pt idx="1278">
                  <c:v>0.35046227753871939</c:v>
                </c:pt>
                <c:pt idx="1279">
                  <c:v>0.38140280885606437</c:v>
                </c:pt>
                <c:pt idx="1280">
                  <c:v>0.41234334017341112</c:v>
                </c:pt>
                <c:pt idx="1281">
                  <c:v>0.44328387149075787</c:v>
                </c:pt>
                <c:pt idx="1282">
                  <c:v>0.47422440280810285</c:v>
                </c:pt>
                <c:pt idx="1283">
                  <c:v>0.50516493412544961</c:v>
                </c:pt>
                <c:pt idx="1284">
                  <c:v>0.53610546544279636</c:v>
                </c:pt>
                <c:pt idx="1285">
                  <c:v>0.56704599676014311</c:v>
                </c:pt>
                <c:pt idx="1286">
                  <c:v>0.59798652807748809</c:v>
                </c:pt>
                <c:pt idx="1287">
                  <c:v>0.62892705939483484</c:v>
                </c:pt>
                <c:pt idx="1288">
                  <c:v>0.6598675907121816</c:v>
                </c:pt>
                <c:pt idx="1289">
                  <c:v>0.69080812202952835</c:v>
                </c:pt>
                <c:pt idx="1290">
                  <c:v>0.72174865334687333</c:v>
                </c:pt>
                <c:pt idx="1291">
                  <c:v>0.75268918466422008</c:v>
                </c:pt>
                <c:pt idx="1292">
                  <c:v>0.78362971598156683</c:v>
                </c:pt>
                <c:pt idx="1293">
                  <c:v>0.81457024729891181</c:v>
                </c:pt>
                <c:pt idx="1294">
                  <c:v>0.84551077861625856</c:v>
                </c:pt>
                <c:pt idx="1295">
                  <c:v>0.87645130993360532</c:v>
                </c:pt>
                <c:pt idx="1296">
                  <c:v>0.90739184125095207</c:v>
                </c:pt>
                <c:pt idx="1297">
                  <c:v>0.93833237256829705</c:v>
                </c:pt>
                <c:pt idx="1298">
                  <c:v>0.9692729038856438</c:v>
                </c:pt>
                <c:pt idx="1299">
                  <c:v>1.0002134352029906</c:v>
                </c:pt>
                <c:pt idx="1300">
                  <c:v>1.0311539665203373</c:v>
                </c:pt>
                <c:pt idx="1301">
                  <c:v>1.0620944978376823</c:v>
                </c:pt>
                <c:pt idx="1302">
                  <c:v>1.093035029155029</c:v>
                </c:pt>
                <c:pt idx="1303">
                  <c:v>1.1239755604723758</c:v>
                </c:pt>
                <c:pt idx="1304">
                  <c:v>1.1549160917897225</c:v>
                </c:pt>
                <c:pt idx="1305">
                  <c:v>1.1858566231070675</c:v>
                </c:pt>
                <c:pt idx="1306">
                  <c:v>1.2167971544244143</c:v>
                </c:pt>
                <c:pt idx="1307">
                  <c:v>1.247737685741761</c:v>
                </c:pt>
                <c:pt idx="1308">
                  <c:v>1.278678217059106</c:v>
                </c:pt>
                <c:pt idx="1309">
                  <c:v>1.3096187483764528</c:v>
                </c:pt>
                <c:pt idx="1310">
                  <c:v>1.3405592796937995</c:v>
                </c:pt>
                <c:pt idx="1311">
                  <c:v>1.3714998110111463</c:v>
                </c:pt>
                <c:pt idx="1312">
                  <c:v>1.4024403423284912</c:v>
                </c:pt>
                <c:pt idx="1313">
                  <c:v>1.433380873645838</c:v>
                </c:pt>
                <c:pt idx="1314">
                  <c:v>1.4643214049631847</c:v>
                </c:pt>
                <c:pt idx="1315">
                  <c:v>1.4952619362805315</c:v>
                </c:pt>
                <c:pt idx="1316">
                  <c:v>1.5262024675978765</c:v>
                </c:pt>
                <c:pt idx="1317">
                  <c:v>1.5571429989152232</c:v>
                </c:pt>
                <c:pt idx="1318">
                  <c:v>1.58808353023257</c:v>
                </c:pt>
                <c:pt idx="1319">
                  <c:v>1.619024061549915</c:v>
                </c:pt>
                <c:pt idx="1320">
                  <c:v>1.6499645928672617</c:v>
                </c:pt>
                <c:pt idx="1321">
                  <c:v>1.6809051241846085</c:v>
                </c:pt>
                <c:pt idx="1322">
                  <c:v>1.7118456555019552</c:v>
                </c:pt>
                <c:pt idx="1323">
                  <c:v>1.7427861868193002</c:v>
                </c:pt>
                <c:pt idx="1324">
                  <c:v>1.773726718136647</c:v>
                </c:pt>
                <c:pt idx="1325">
                  <c:v>1.8046672494539937</c:v>
                </c:pt>
                <c:pt idx="1326">
                  <c:v>1.8356077807713405</c:v>
                </c:pt>
                <c:pt idx="1327">
                  <c:v>1.8665483120886854</c:v>
                </c:pt>
                <c:pt idx="1328">
                  <c:v>1.8974888434060322</c:v>
                </c:pt>
                <c:pt idx="1329">
                  <c:v>1.9284293747233789</c:v>
                </c:pt>
                <c:pt idx="1330">
                  <c:v>1.9593699060407257</c:v>
                </c:pt>
                <c:pt idx="1331">
                  <c:v>1.9903104373580707</c:v>
                </c:pt>
                <c:pt idx="1332">
                  <c:v>2.0212509686754174</c:v>
                </c:pt>
                <c:pt idx="1333">
                  <c:v>2.0521914999927642</c:v>
                </c:pt>
                <c:pt idx="1334">
                  <c:v>2.0831320313101092</c:v>
                </c:pt>
                <c:pt idx="1335">
                  <c:v>2.1140725626274559</c:v>
                </c:pt>
                <c:pt idx="1336">
                  <c:v>2.1450130939448027</c:v>
                </c:pt>
                <c:pt idx="1337">
                  <c:v>2.1759536252621494</c:v>
                </c:pt>
                <c:pt idx="1338">
                  <c:v>2.2068941565794944</c:v>
                </c:pt>
                <c:pt idx="1339">
                  <c:v>2.2378346878968411</c:v>
                </c:pt>
                <c:pt idx="1340">
                  <c:v>2.2687752192141879</c:v>
                </c:pt>
                <c:pt idx="1341">
                  <c:v>2.2997157505315347</c:v>
                </c:pt>
                <c:pt idx="1342">
                  <c:v>2.3306562818488796</c:v>
                </c:pt>
                <c:pt idx="1343">
                  <c:v>2.3615968131662264</c:v>
                </c:pt>
                <c:pt idx="1344">
                  <c:v>2.3925373444835731</c:v>
                </c:pt>
                <c:pt idx="1345">
                  <c:v>2.4234778758009181</c:v>
                </c:pt>
                <c:pt idx="1346">
                  <c:v>2.4544184071182649</c:v>
                </c:pt>
                <c:pt idx="1347">
                  <c:v>2.4853589384356116</c:v>
                </c:pt>
                <c:pt idx="1348">
                  <c:v>2.5162994697529584</c:v>
                </c:pt>
                <c:pt idx="1349">
                  <c:v>2.5472400010703034</c:v>
                </c:pt>
                <c:pt idx="1350">
                  <c:v>2.5781805323876501</c:v>
                </c:pt>
                <c:pt idx="1351">
                  <c:v>2.6091210637049969</c:v>
                </c:pt>
                <c:pt idx="1352">
                  <c:v>2.6400615950223436</c:v>
                </c:pt>
                <c:pt idx="1353">
                  <c:v>2.6710021263396886</c:v>
                </c:pt>
                <c:pt idx="1354">
                  <c:v>2.7019426576570353</c:v>
                </c:pt>
                <c:pt idx="1355">
                  <c:v>2.7328831889743821</c:v>
                </c:pt>
                <c:pt idx="1356">
                  <c:v>2.7638237202917288</c:v>
                </c:pt>
                <c:pt idx="1357">
                  <c:v>2.7947642516090738</c:v>
                </c:pt>
                <c:pt idx="1358">
                  <c:v>2.8257047829264206</c:v>
                </c:pt>
                <c:pt idx="1359">
                  <c:v>2.8566453142437673</c:v>
                </c:pt>
                <c:pt idx="1360">
                  <c:v>2.8875858455611123</c:v>
                </c:pt>
                <c:pt idx="1361">
                  <c:v>2.9185263768784591</c:v>
                </c:pt>
                <c:pt idx="1362">
                  <c:v>2.9494669081958058</c:v>
                </c:pt>
                <c:pt idx="1363">
                  <c:v>2.9804074395131526</c:v>
                </c:pt>
                <c:pt idx="1364">
                  <c:v>3.0113479708304975</c:v>
                </c:pt>
                <c:pt idx="1365">
                  <c:v>3.0422885021478443</c:v>
                </c:pt>
                <c:pt idx="1366">
                  <c:v>3.0732290334651911</c:v>
                </c:pt>
                <c:pt idx="1367">
                  <c:v>3.1041695647825378</c:v>
                </c:pt>
                <c:pt idx="1368">
                  <c:v>3.1351100960998828</c:v>
                </c:pt>
                <c:pt idx="1369">
                  <c:v>3.1660506274172295</c:v>
                </c:pt>
                <c:pt idx="1370">
                  <c:v>3.1969911587345763</c:v>
                </c:pt>
                <c:pt idx="1371">
                  <c:v>3.2279316900519213</c:v>
                </c:pt>
                <c:pt idx="1372">
                  <c:v>3.258872221369268</c:v>
                </c:pt>
                <c:pt idx="1373">
                  <c:v>3.2898127526866148</c:v>
                </c:pt>
                <c:pt idx="1374">
                  <c:v>3.3207532840039615</c:v>
                </c:pt>
                <c:pt idx="1375">
                  <c:v>3.3516938153213065</c:v>
                </c:pt>
                <c:pt idx="1376">
                  <c:v>3.3826343466386533</c:v>
                </c:pt>
                <c:pt idx="1377">
                  <c:v>3.413574877956</c:v>
                </c:pt>
                <c:pt idx="1378">
                  <c:v>3.4445154092733468</c:v>
                </c:pt>
                <c:pt idx="1379">
                  <c:v>3.4754559405906917</c:v>
                </c:pt>
                <c:pt idx="1380">
                  <c:v>3.5063964719080385</c:v>
                </c:pt>
                <c:pt idx="1381">
                  <c:v>3.5373370032253852</c:v>
                </c:pt>
                <c:pt idx="1382">
                  <c:v>3.568277534542732</c:v>
                </c:pt>
                <c:pt idx="1383">
                  <c:v>3.599218065860077</c:v>
                </c:pt>
                <c:pt idx="1384">
                  <c:v>3.6301585971774237</c:v>
                </c:pt>
                <c:pt idx="1385">
                  <c:v>3.6610991284947705</c:v>
                </c:pt>
                <c:pt idx="1386">
                  <c:v>3.6920396598121155</c:v>
                </c:pt>
                <c:pt idx="1387">
                  <c:v>3.7229801911294622</c:v>
                </c:pt>
                <c:pt idx="1388">
                  <c:v>3.753920722446809</c:v>
                </c:pt>
                <c:pt idx="1389">
                  <c:v>3.7848612537641557</c:v>
                </c:pt>
                <c:pt idx="1390">
                  <c:v>3.8158017850815007</c:v>
                </c:pt>
                <c:pt idx="1391">
                  <c:v>3.8467423163988474</c:v>
                </c:pt>
                <c:pt idx="1392">
                  <c:v>3.8776828477161942</c:v>
                </c:pt>
                <c:pt idx="1393">
                  <c:v>3.908623379033541</c:v>
                </c:pt>
                <c:pt idx="1394">
                  <c:v>3.9395639103508859</c:v>
                </c:pt>
                <c:pt idx="1395">
                  <c:v>3.9705044416682327</c:v>
                </c:pt>
                <c:pt idx="1396">
                  <c:v>4.0014449729855794</c:v>
                </c:pt>
                <c:pt idx="1397">
                  <c:v>4.0323855043029244</c:v>
                </c:pt>
                <c:pt idx="1398">
                  <c:v>4.0633260356202712</c:v>
                </c:pt>
                <c:pt idx="1399">
                  <c:v>4.0942665669376179</c:v>
                </c:pt>
                <c:pt idx="1400">
                  <c:v>4.1252070982549647</c:v>
                </c:pt>
                <c:pt idx="1401">
                  <c:v>4.1561476295723097</c:v>
                </c:pt>
                <c:pt idx="1402">
                  <c:v>4.1870881608896564</c:v>
                </c:pt>
                <c:pt idx="1403">
                  <c:v>4.2180286922070032</c:v>
                </c:pt>
                <c:pt idx="1404">
                  <c:v>4.2489692235243499</c:v>
                </c:pt>
                <c:pt idx="1405">
                  <c:v>4.2799097548416949</c:v>
                </c:pt>
                <c:pt idx="1406">
                  <c:v>4.3108502861590416</c:v>
                </c:pt>
                <c:pt idx="1407">
                  <c:v>4.3417908174763884</c:v>
                </c:pt>
                <c:pt idx="1408">
                  <c:v>4.3727313487937352</c:v>
                </c:pt>
                <c:pt idx="1409">
                  <c:v>4.4036718801110801</c:v>
                </c:pt>
                <c:pt idx="1410">
                  <c:v>4.4346124114284269</c:v>
                </c:pt>
                <c:pt idx="1411">
                  <c:v>4.4655529427457736</c:v>
                </c:pt>
                <c:pt idx="1412">
                  <c:v>4.4964934740631186</c:v>
                </c:pt>
                <c:pt idx="1413">
                  <c:v>4.5274340053804654</c:v>
                </c:pt>
                <c:pt idx="1414">
                  <c:v>4.5583745366978121</c:v>
                </c:pt>
                <c:pt idx="1415">
                  <c:v>4.5893150680151589</c:v>
                </c:pt>
                <c:pt idx="1416">
                  <c:v>4.6202555993325038</c:v>
                </c:pt>
                <c:pt idx="1417">
                  <c:v>4.6511961306498506</c:v>
                </c:pt>
                <c:pt idx="1418">
                  <c:v>4.6821366619671974</c:v>
                </c:pt>
                <c:pt idx="1419">
                  <c:v>4.7130771932845441</c:v>
                </c:pt>
                <c:pt idx="1420">
                  <c:v>4.7440177246018891</c:v>
                </c:pt>
                <c:pt idx="1421">
                  <c:v>4.7749582559192358</c:v>
                </c:pt>
                <c:pt idx="1422">
                  <c:v>4.8058987872365826</c:v>
                </c:pt>
                <c:pt idx="1423">
                  <c:v>4.8368393185539276</c:v>
                </c:pt>
                <c:pt idx="1424">
                  <c:v>4.8677798498712743</c:v>
                </c:pt>
                <c:pt idx="1425">
                  <c:v>4.8987203811886211</c:v>
                </c:pt>
                <c:pt idx="1426">
                  <c:v>4.9296609125059678</c:v>
                </c:pt>
                <c:pt idx="1427">
                  <c:v>4.9606014438233128</c:v>
                </c:pt>
                <c:pt idx="1428">
                  <c:v>4.9915419751406613</c:v>
                </c:pt>
                <c:pt idx="1429">
                  <c:v>5.0224825064580063</c:v>
                </c:pt>
                <c:pt idx="1430">
                  <c:v>5.0534230377753513</c:v>
                </c:pt>
                <c:pt idx="1431">
                  <c:v>5.0843635690926998</c:v>
                </c:pt>
                <c:pt idx="1432">
                  <c:v>5.1153041004100448</c:v>
                </c:pt>
                <c:pt idx="1433">
                  <c:v>5.1462446317273898</c:v>
                </c:pt>
                <c:pt idx="1434">
                  <c:v>5.1771851630447383</c:v>
                </c:pt>
                <c:pt idx="1435">
                  <c:v>5.2081256943620833</c:v>
                </c:pt>
                <c:pt idx="1436">
                  <c:v>5.2390662256794283</c:v>
                </c:pt>
                <c:pt idx="1437">
                  <c:v>5.2700067569967768</c:v>
                </c:pt>
                <c:pt idx="1438">
                  <c:v>5.3009472883141218</c:v>
                </c:pt>
                <c:pt idx="1439">
                  <c:v>5.3318878196314703</c:v>
                </c:pt>
                <c:pt idx="1440">
                  <c:v>5.3628283509488153</c:v>
                </c:pt>
                <c:pt idx="1441">
                  <c:v>5.3937688822661602</c:v>
                </c:pt>
                <c:pt idx="1442">
                  <c:v>5.4247094135835088</c:v>
                </c:pt>
                <c:pt idx="1443">
                  <c:v>5.4556499449008538</c:v>
                </c:pt>
                <c:pt idx="1444">
                  <c:v>5.4865904762181987</c:v>
                </c:pt>
                <c:pt idx="1445">
                  <c:v>5.5175310075355473</c:v>
                </c:pt>
                <c:pt idx="1446">
                  <c:v>5.5484715388528922</c:v>
                </c:pt>
                <c:pt idx="1447">
                  <c:v>5.5794120701702372</c:v>
                </c:pt>
                <c:pt idx="1448">
                  <c:v>5.6103526014875857</c:v>
                </c:pt>
                <c:pt idx="1449">
                  <c:v>5.6412931328049307</c:v>
                </c:pt>
                <c:pt idx="1450">
                  <c:v>5.6722336641222793</c:v>
                </c:pt>
                <c:pt idx="1451">
                  <c:v>5.7031741954396242</c:v>
                </c:pt>
                <c:pt idx="1452">
                  <c:v>5.7341147267569692</c:v>
                </c:pt>
                <c:pt idx="1453">
                  <c:v>5.7650552580743177</c:v>
                </c:pt>
                <c:pt idx="1454">
                  <c:v>5.7959957893916627</c:v>
                </c:pt>
                <c:pt idx="1455">
                  <c:v>5.8269363207090077</c:v>
                </c:pt>
                <c:pt idx="1456">
                  <c:v>5.8578768520263562</c:v>
                </c:pt>
                <c:pt idx="1457">
                  <c:v>5.8888173833437012</c:v>
                </c:pt>
                <c:pt idx="1458">
                  <c:v>5.9197579146610497</c:v>
                </c:pt>
                <c:pt idx="1459">
                  <c:v>5.9506984459783947</c:v>
                </c:pt>
                <c:pt idx="1460">
                  <c:v>5.9816389772957397</c:v>
                </c:pt>
                <c:pt idx="1461">
                  <c:v>6.0125795086130882</c:v>
                </c:pt>
                <c:pt idx="1462">
                  <c:v>6.0435200399304332</c:v>
                </c:pt>
                <c:pt idx="1463">
                  <c:v>6.0744605712477782</c:v>
                </c:pt>
                <c:pt idx="1464">
                  <c:v>6.1054011025651267</c:v>
                </c:pt>
                <c:pt idx="1465">
                  <c:v>6.1363416338824717</c:v>
                </c:pt>
                <c:pt idx="1466">
                  <c:v>6.1672821651998166</c:v>
                </c:pt>
                <c:pt idx="1467">
                  <c:v>6.1982226965171652</c:v>
                </c:pt>
                <c:pt idx="1468">
                  <c:v>6.2291632278345102</c:v>
                </c:pt>
                <c:pt idx="1469">
                  <c:v>6.2601037591518587</c:v>
                </c:pt>
                <c:pt idx="1470">
                  <c:v>6.2910442904692037</c:v>
                </c:pt>
                <c:pt idx="1471">
                  <c:v>6.3219848217865486</c:v>
                </c:pt>
                <c:pt idx="1472">
                  <c:v>6.3529253531038972</c:v>
                </c:pt>
                <c:pt idx="1473">
                  <c:v>6.3838658844212421</c:v>
                </c:pt>
                <c:pt idx="1474">
                  <c:v>6.4148064157385871</c:v>
                </c:pt>
                <c:pt idx="1475">
                  <c:v>6.4457469470559356</c:v>
                </c:pt>
                <c:pt idx="1476">
                  <c:v>6.4766874783732806</c:v>
                </c:pt>
                <c:pt idx="1477">
                  <c:v>6.5076280096906256</c:v>
                </c:pt>
                <c:pt idx="1478">
                  <c:v>6.5385685410079741</c:v>
                </c:pt>
                <c:pt idx="1479">
                  <c:v>6.5695090723253191</c:v>
                </c:pt>
                <c:pt idx="1480">
                  <c:v>6.6004496036426676</c:v>
                </c:pt>
                <c:pt idx="1481">
                  <c:v>6.6313901349600126</c:v>
                </c:pt>
                <c:pt idx="1482">
                  <c:v>6.6623306662773576</c:v>
                </c:pt>
                <c:pt idx="1483">
                  <c:v>6.6932711975947061</c:v>
                </c:pt>
                <c:pt idx="1484">
                  <c:v>6.7242117289120511</c:v>
                </c:pt>
                <c:pt idx="1485">
                  <c:v>6.7551522602293961</c:v>
                </c:pt>
                <c:pt idx="1486">
                  <c:v>6.7860927915467446</c:v>
                </c:pt>
                <c:pt idx="1487">
                  <c:v>6.8170333228640896</c:v>
                </c:pt>
                <c:pt idx="1488">
                  <c:v>6.8479738541814346</c:v>
                </c:pt>
                <c:pt idx="1489">
                  <c:v>6.8789143854987831</c:v>
                </c:pt>
                <c:pt idx="1490">
                  <c:v>6.9098549168161281</c:v>
                </c:pt>
                <c:pt idx="1491">
                  <c:v>6.9407954481334766</c:v>
                </c:pt>
                <c:pt idx="1492">
                  <c:v>6.9717359794508216</c:v>
                </c:pt>
                <c:pt idx="1493">
                  <c:v>7.0026765107681666</c:v>
                </c:pt>
                <c:pt idx="1494">
                  <c:v>7.0336170420855151</c:v>
                </c:pt>
                <c:pt idx="1495">
                  <c:v>7.0645575734028601</c:v>
                </c:pt>
                <c:pt idx="1496">
                  <c:v>7.095498104720205</c:v>
                </c:pt>
                <c:pt idx="1497">
                  <c:v>7.1264386360375536</c:v>
                </c:pt>
                <c:pt idx="1498">
                  <c:v>7.1573791673548985</c:v>
                </c:pt>
                <c:pt idx="1499">
                  <c:v>7.1883196986722435</c:v>
                </c:pt>
                <c:pt idx="1500">
                  <c:v>7.219260229989592</c:v>
                </c:pt>
                <c:pt idx="1501">
                  <c:v>7.250200761306937</c:v>
                </c:pt>
                <c:pt idx="1502">
                  <c:v>7.2811412926242856</c:v>
                </c:pt>
                <c:pt idx="1503">
                  <c:v>7.3120818239416305</c:v>
                </c:pt>
                <c:pt idx="1504">
                  <c:v>7.3430223552589755</c:v>
                </c:pt>
                <c:pt idx="1505">
                  <c:v>7.373962886576324</c:v>
                </c:pt>
                <c:pt idx="1506">
                  <c:v>7.404903417893669</c:v>
                </c:pt>
                <c:pt idx="1507">
                  <c:v>7.435843949211014</c:v>
                </c:pt>
                <c:pt idx="1508">
                  <c:v>7.4667844805283625</c:v>
                </c:pt>
                <c:pt idx="1509">
                  <c:v>7.4977250118457075</c:v>
                </c:pt>
                <c:pt idx="1510">
                  <c:v>7.528665543163056</c:v>
                </c:pt>
                <c:pt idx="1511">
                  <c:v>7.559606074480401</c:v>
                </c:pt>
                <c:pt idx="1512">
                  <c:v>7.590546605797746</c:v>
                </c:pt>
                <c:pt idx="1513">
                  <c:v>7.6214871371150945</c:v>
                </c:pt>
                <c:pt idx="1514">
                  <c:v>7.6524276684324395</c:v>
                </c:pt>
                <c:pt idx="1515">
                  <c:v>7.6833681997497845</c:v>
                </c:pt>
                <c:pt idx="1516">
                  <c:v>7.714308731067133</c:v>
                </c:pt>
                <c:pt idx="1517">
                  <c:v>7.745249262384478</c:v>
                </c:pt>
                <c:pt idx="1518">
                  <c:v>7.7761897937018229</c:v>
                </c:pt>
                <c:pt idx="1519">
                  <c:v>7.8071303250191715</c:v>
                </c:pt>
                <c:pt idx="1520">
                  <c:v>7.8380708563365165</c:v>
                </c:pt>
                <c:pt idx="1521">
                  <c:v>7.869011387653865</c:v>
                </c:pt>
                <c:pt idx="1522">
                  <c:v>7.89995191897121</c:v>
                </c:pt>
                <c:pt idx="1523">
                  <c:v>7.9308924502885549</c:v>
                </c:pt>
                <c:pt idx="1524">
                  <c:v>7.9618329816059035</c:v>
                </c:pt>
                <c:pt idx="1525">
                  <c:v>7.9927735129232484</c:v>
                </c:pt>
                <c:pt idx="1526">
                  <c:v>8.0237140442405934</c:v>
                </c:pt>
                <c:pt idx="1527">
                  <c:v>8.054654575557942</c:v>
                </c:pt>
                <c:pt idx="1528">
                  <c:v>8.0855951068752869</c:v>
                </c:pt>
                <c:pt idx="1529">
                  <c:v>8.1165356381926319</c:v>
                </c:pt>
                <c:pt idx="1530">
                  <c:v>8.1474761695099804</c:v>
                </c:pt>
                <c:pt idx="1531">
                  <c:v>8.1784167008273254</c:v>
                </c:pt>
                <c:pt idx="1532">
                  <c:v>8.2093572321446739</c:v>
                </c:pt>
                <c:pt idx="1533">
                  <c:v>8.2402977634620189</c:v>
                </c:pt>
                <c:pt idx="1534">
                  <c:v>8.2712382947793639</c:v>
                </c:pt>
                <c:pt idx="1535">
                  <c:v>8.3021788260967124</c:v>
                </c:pt>
                <c:pt idx="1536">
                  <c:v>8.3331193574140574</c:v>
                </c:pt>
                <c:pt idx="1537">
                  <c:v>8.3640598887314024</c:v>
                </c:pt>
                <c:pt idx="1538">
                  <c:v>8.3950004200487509</c:v>
                </c:pt>
                <c:pt idx="1539">
                  <c:v>8.4259409513660959</c:v>
                </c:pt>
                <c:pt idx="1540">
                  <c:v>8.4568814826834409</c:v>
                </c:pt>
                <c:pt idx="1541">
                  <c:v>8.4878220140007894</c:v>
                </c:pt>
                <c:pt idx="1542">
                  <c:v>8.5187625453181344</c:v>
                </c:pt>
                <c:pt idx="1543">
                  <c:v>8.5497030766354829</c:v>
                </c:pt>
                <c:pt idx="1544">
                  <c:v>8.5806436079528279</c:v>
                </c:pt>
                <c:pt idx="1545">
                  <c:v>8.6115841392701729</c:v>
                </c:pt>
                <c:pt idx="1546">
                  <c:v>8.6425246705875214</c:v>
                </c:pt>
                <c:pt idx="1547">
                  <c:v>8.6734652019048664</c:v>
                </c:pt>
                <c:pt idx="1548">
                  <c:v>8.7044057332222113</c:v>
                </c:pt>
                <c:pt idx="1549">
                  <c:v>8.7353462645395599</c:v>
                </c:pt>
                <c:pt idx="1550">
                  <c:v>8.7662867958569048</c:v>
                </c:pt>
                <c:pt idx="1551">
                  <c:v>8.7972273271742498</c:v>
                </c:pt>
                <c:pt idx="1552">
                  <c:v>8.8281678584915984</c:v>
                </c:pt>
                <c:pt idx="1553">
                  <c:v>8.8591083898089433</c:v>
                </c:pt>
                <c:pt idx="1554">
                  <c:v>8.8900489211262919</c:v>
                </c:pt>
                <c:pt idx="1555">
                  <c:v>8.9209894524436368</c:v>
                </c:pt>
                <c:pt idx="1556">
                  <c:v>8.9519299837609818</c:v>
                </c:pt>
                <c:pt idx="1557">
                  <c:v>8.9828705150783303</c:v>
                </c:pt>
                <c:pt idx="1558">
                  <c:v>9.0138110463956753</c:v>
                </c:pt>
                <c:pt idx="1559">
                  <c:v>9.0447515777130203</c:v>
                </c:pt>
                <c:pt idx="1560">
                  <c:v>9.0756921090303688</c:v>
                </c:pt>
                <c:pt idx="1561">
                  <c:v>9.1066326403477138</c:v>
                </c:pt>
                <c:pt idx="1562">
                  <c:v>9.1375731716650588</c:v>
                </c:pt>
                <c:pt idx="1563">
                  <c:v>9.1685137029824073</c:v>
                </c:pt>
                <c:pt idx="1564">
                  <c:v>9.1994542342997523</c:v>
                </c:pt>
                <c:pt idx="1565">
                  <c:v>9.2303947656171008</c:v>
                </c:pt>
                <c:pt idx="1566">
                  <c:v>9.2613352969344458</c:v>
                </c:pt>
                <c:pt idx="1567">
                  <c:v>9.2922758282517908</c:v>
                </c:pt>
                <c:pt idx="1568">
                  <c:v>9.3232163595691393</c:v>
                </c:pt>
                <c:pt idx="1569">
                  <c:v>9.3541568908864843</c:v>
                </c:pt>
                <c:pt idx="1570">
                  <c:v>9.3850974222038293</c:v>
                </c:pt>
                <c:pt idx="1571">
                  <c:v>9.4160379535211778</c:v>
                </c:pt>
                <c:pt idx="1572">
                  <c:v>9.4469784848385228</c:v>
                </c:pt>
                <c:pt idx="1573">
                  <c:v>9.4779190161558713</c:v>
                </c:pt>
                <c:pt idx="1574">
                  <c:v>9.5088595474732163</c:v>
                </c:pt>
                <c:pt idx="1575">
                  <c:v>9.5398000787905612</c:v>
                </c:pt>
                <c:pt idx="1576">
                  <c:v>9.5707406101079098</c:v>
                </c:pt>
                <c:pt idx="1577">
                  <c:v>9.6016811414252548</c:v>
                </c:pt>
                <c:pt idx="1578">
                  <c:v>9.6326216727425997</c:v>
                </c:pt>
                <c:pt idx="1579">
                  <c:v>9.6635622040599483</c:v>
                </c:pt>
                <c:pt idx="1580">
                  <c:v>9.6945027353772932</c:v>
                </c:pt>
                <c:pt idx="1581">
                  <c:v>9.7254432666946382</c:v>
                </c:pt>
                <c:pt idx="1582">
                  <c:v>9.7563837980119867</c:v>
                </c:pt>
                <c:pt idx="1583">
                  <c:v>9.7873243293293317</c:v>
                </c:pt>
                <c:pt idx="1584">
                  <c:v>9.8182648606466802</c:v>
                </c:pt>
                <c:pt idx="1585">
                  <c:v>9.8492053919640252</c:v>
                </c:pt>
                <c:pt idx="1586">
                  <c:v>9.8801459232813702</c:v>
                </c:pt>
                <c:pt idx="1587">
                  <c:v>9.9110864545987187</c:v>
                </c:pt>
                <c:pt idx="1588">
                  <c:v>9.9420269859160637</c:v>
                </c:pt>
                <c:pt idx="1589">
                  <c:v>9.9729675172334087</c:v>
                </c:pt>
                <c:pt idx="1590">
                  <c:v>10.003908048550757</c:v>
                </c:pt>
                <c:pt idx="1591">
                  <c:v>10.034848579868102</c:v>
                </c:pt>
                <c:pt idx="1592">
                  <c:v>10.065789111185447</c:v>
                </c:pt>
                <c:pt idx="1593">
                  <c:v>10.096729642502796</c:v>
                </c:pt>
                <c:pt idx="1594">
                  <c:v>10.127670173820141</c:v>
                </c:pt>
                <c:pt idx="1595">
                  <c:v>10.158610705137489</c:v>
                </c:pt>
                <c:pt idx="1596">
                  <c:v>10.189551236454834</c:v>
                </c:pt>
                <c:pt idx="1597">
                  <c:v>10.220491767772179</c:v>
                </c:pt>
                <c:pt idx="1598">
                  <c:v>10.251432299089528</c:v>
                </c:pt>
                <c:pt idx="1599">
                  <c:v>10.282372830406873</c:v>
                </c:pt>
                <c:pt idx="1600">
                  <c:v>10.313313361724218</c:v>
                </c:pt>
                <c:pt idx="1601">
                  <c:v>10.344253893041566</c:v>
                </c:pt>
                <c:pt idx="1602">
                  <c:v>10.375194424358911</c:v>
                </c:pt>
                <c:pt idx="1603">
                  <c:v>10.406134955676256</c:v>
                </c:pt>
                <c:pt idx="1604">
                  <c:v>10.437075486993605</c:v>
                </c:pt>
                <c:pt idx="1605">
                  <c:v>10.46801601831095</c:v>
                </c:pt>
                <c:pt idx="1606">
                  <c:v>10.498956549628298</c:v>
                </c:pt>
                <c:pt idx="1607">
                  <c:v>10.529897080945643</c:v>
                </c:pt>
                <c:pt idx="1608">
                  <c:v>10.560837612262988</c:v>
                </c:pt>
                <c:pt idx="1609">
                  <c:v>10.591778143580337</c:v>
                </c:pt>
                <c:pt idx="1610">
                  <c:v>10.622718674897682</c:v>
                </c:pt>
                <c:pt idx="1611">
                  <c:v>10.653659206215027</c:v>
                </c:pt>
                <c:pt idx="1612">
                  <c:v>10.684599737532375</c:v>
                </c:pt>
                <c:pt idx="1613">
                  <c:v>10.71554026884972</c:v>
                </c:pt>
                <c:pt idx="1614">
                  <c:v>10.746480800167065</c:v>
                </c:pt>
                <c:pt idx="1615">
                  <c:v>10.777421331484414</c:v>
                </c:pt>
                <c:pt idx="1616">
                  <c:v>10.808361862801759</c:v>
                </c:pt>
                <c:pt idx="1617">
                  <c:v>10.839302394119107</c:v>
                </c:pt>
                <c:pt idx="1618">
                  <c:v>10.870242925436452</c:v>
                </c:pt>
                <c:pt idx="1619">
                  <c:v>10.901183456753797</c:v>
                </c:pt>
                <c:pt idx="1620">
                  <c:v>10.932123988071146</c:v>
                </c:pt>
                <c:pt idx="1621">
                  <c:v>10.963064519388491</c:v>
                </c:pt>
                <c:pt idx="1622">
                  <c:v>10.994005050705836</c:v>
                </c:pt>
                <c:pt idx="1623">
                  <c:v>11.024945582023184</c:v>
                </c:pt>
                <c:pt idx="1624">
                  <c:v>11.055886113340529</c:v>
                </c:pt>
                <c:pt idx="1625">
                  <c:v>11.086826644657878</c:v>
                </c:pt>
                <c:pt idx="1626">
                  <c:v>11.117767175975223</c:v>
                </c:pt>
                <c:pt idx="1627">
                  <c:v>11.148707707292568</c:v>
                </c:pt>
                <c:pt idx="1628">
                  <c:v>11.179648238609916</c:v>
                </c:pt>
                <c:pt idx="1629">
                  <c:v>11.210588769927261</c:v>
                </c:pt>
                <c:pt idx="1630">
                  <c:v>11.241529301244606</c:v>
                </c:pt>
                <c:pt idx="1631">
                  <c:v>11.272469832561955</c:v>
                </c:pt>
                <c:pt idx="1632">
                  <c:v>11.3034103638793</c:v>
                </c:pt>
                <c:pt idx="1633">
                  <c:v>11.334350895196645</c:v>
                </c:pt>
                <c:pt idx="1634">
                  <c:v>11.365291426513993</c:v>
                </c:pt>
                <c:pt idx="1635">
                  <c:v>11.396231957831338</c:v>
                </c:pt>
                <c:pt idx="1636">
                  <c:v>11.427172489148687</c:v>
                </c:pt>
                <c:pt idx="1637">
                  <c:v>11.458113020466032</c:v>
                </c:pt>
                <c:pt idx="1638">
                  <c:v>11.489053551783377</c:v>
                </c:pt>
                <c:pt idx="1639">
                  <c:v>11.519994083100725</c:v>
                </c:pt>
                <c:pt idx="1640">
                  <c:v>11.55093461441807</c:v>
                </c:pt>
                <c:pt idx="1641">
                  <c:v>11.581875145735415</c:v>
                </c:pt>
                <c:pt idx="1642">
                  <c:v>11.612815677052764</c:v>
                </c:pt>
                <c:pt idx="1643">
                  <c:v>11.643756208370108</c:v>
                </c:pt>
                <c:pt idx="1644">
                  <c:v>11.674696739687453</c:v>
                </c:pt>
                <c:pt idx="1645">
                  <c:v>11.705637271004802</c:v>
                </c:pt>
                <c:pt idx="1646">
                  <c:v>11.736577802322147</c:v>
                </c:pt>
                <c:pt idx="1647">
                  <c:v>11.767518333639496</c:v>
                </c:pt>
                <c:pt idx="1648">
                  <c:v>11.79845886495684</c:v>
                </c:pt>
                <c:pt idx="1649">
                  <c:v>11.829399396274185</c:v>
                </c:pt>
                <c:pt idx="1650">
                  <c:v>11.860339927591534</c:v>
                </c:pt>
                <c:pt idx="1651">
                  <c:v>11.891280458908879</c:v>
                </c:pt>
                <c:pt idx="1652">
                  <c:v>11.922220990226224</c:v>
                </c:pt>
                <c:pt idx="1653">
                  <c:v>11.953161521543572</c:v>
                </c:pt>
                <c:pt idx="1654">
                  <c:v>11.984102052860917</c:v>
                </c:pt>
                <c:pt idx="1655">
                  <c:v>12.015042584178262</c:v>
                </c:pt>
                <c:pt idx="1656">
                  <c:v>12.045983115495611</c:v>
                </c:pt>
                <c:pt idx="1657">
                  <c:v>12.076923646812956</c:v>
                </c:pt>
                <c:pt idx="1658">
                  <c:v>12.107864178130304</c:v>
                </c:pt>
                <c:pt idx="1659">
                  <c:v>12.138804709447649</c:v>
                </c:pt>
                <c:pt idx="1660">
                  <c:v>12.169745240764994</c:v>
                </c:pt>
                <c:pt idx="1661">
                  <c:v>12.200685772082343</c:v>
                </c:pt>
                <c:pt idx="1662">
                  <c:v>12.231626303399688</c:v>
                </c:pt>
                <c:pt idx="1663">
                  <c:v>12.262566834717033</c:v>
                </c:pt>
                <c:pt idx="1664">
                  <c:v>12.293507366034381</c:v>
                </c:pt>
                <c:pt idx="1665">
                  <c:v>12.324447897351726</c:v>
                </c:pt>
                <c:pt idx="1666">
                  <c:v>12.355388428669071</c:v>
                </c:pt>
                <c:pt idx="1667">
                  <c:v>12.38632895998642</c:v>
                </c:pt>
                <c:pt idx="1668">
                  <c:v>12.417269491303765</c:v>
                </c:pt>
                <c:pt idx="1669">
                  <c:v>12.448210022621113</c:v>
                </c:pt>
                <c:pt idx="1670">
                  <c:v>12.479150553938458</c:v>
                </c:pt>
                <c:pt idx="1671">
                  <c:v>12.510091085255803</c:v>
                </c:pt>
                <c:pt idx="1672">
                  <c:v>12.541031616573152</c:v>
                </c:pt>
                <c:pt idx="1673">
                  <c:v>12.571972147890497</c:v>
                </c:pt>
                <c:pt idx="1674">
                  <c:v>12.602912679207842</c:v>
                </c:pt>
                <c:pt idx="1675">
                  <c:v>12.63385321052519</c:v>
                </c:pt>
                <c:pt idx="1676">
                  <c:v>12.664793741842535</c:v>
                </c:pt>
                <c:pt idx="1677">
                  <c:v>12.69573427315988</c:v>
                </c:pt>
                <c:pt idx="1678">
                  <c:v>12.726674804477229</c:v>
                </c:pt>
                <c:pt idx="1679">
                  <c:v>12.757615335794574</c:v>
                </c:pt>
                <c:pt idx="1680">
                  <c:v>12.788555867111922</c:v>
                </c:pt>
                <c:pt idx="1681">
                  <c:v>12.819496398429267</c:v>
                </c:pt>
                <c:pt idx="1682">
                  <c:v>12.850436929746612</c:v>
                </c:pt>
                <c:pt idx="1683">
                  <c:v>12.881377461063961</c:v>
                </c:pt>
                <c:pt idx="1684">
                  <c:v>12.912317992381306</c:v>
                </c:pt>
                <c:pt idx="1685">
                  <c:v>12.943258523698651</c:v>
                </c:pt>
                <c:pt idx="1686">
                  <c:v>12.974199055015999</c:v>
                </c:pt>
                <c:pt idx="1687">
                  <c:v>13.005139586333344</c:v>
                </c:pt>
                <c:pt idx="1688">
                  <c:v>13.036080117650693</c:v>
                </c:pt>
                <c:pt idx="1689">
                  <c:v>13.067020648968038</c:v>
                </c:pt>
                <c:pt idx="1690">
                  <c:v>13.097961180285383</c:v>
                </c:pt>
                <c:pt idx="1691">
                  <c:v>13.128901711602731</c:v>
                </c:pt>
                <c:pt idx="1692">
                  <c:v>13.159842242920076</c:v>
                </c:pt>
                <c:pt idx="1693">
                  <c:v>13.190782774237421</c:v>
                </c:pt>
                <c:pt idx="1694">
                  <c:v>13.22172330555477</c:v>
                </c:pt>
                <c:pt idx="1695">
                  <c:v>13.252663836872115</c:v>
                </c:pt>
                <c:pt idx="1696">
                  <c:v>13.28360436818946</c:v>
                </c:pt>
                <c:pt idx="1697">
                  <c:v>13.314544899506808</c:v>
                </c:pt>
                <c:pt idx="1698">
                  <c:v>13.345485430824153</c:v>
                </c:pt>
                <c:pt idx="1699">
                  <c:v>13.376425962141502</c:v>
                </c:pt>
                <c:pt idx="1700">
                  <c:v>13.407366493458847</c:v>
                </c:pt>
                <c:pt idx="1701">
                  <c:v>13.438307024776192</c:v>
                </c:pt>
                <c:pt idx="1702">
                  <c:v>13.46924755609354</c:v>
                </c:pt>
                <c:pt idx="1703">
                  <c:v>13.500188087410885</c:v>
                </c:pt>
                <c:pt idx="1704">
                  <c:v>13.53112861872823</c:v>
                </c:pt>
                <c:pt idx="1705">
                  <c:v>13.562069150045579</c:v>
                </c:pt>
                <c:pt idx="1706">
                  <c:v>13.593009681362924</c:v>
                </c:pt>
                <c:pt idx="1707">
                  <c:v>13.623950212680269</c:v>
                </c:pt>
                <c:pt idx="1708">
                  <c:v>13.654890743997617</c:v>
                </c:pt>
                <c:pt idx="1709">
                  <c:v>13.685831275314962</c:v>
                </c:pt>
                <c:pt idx="1710">
                  <c:v>13.716771806632311</c:v>
                </c:pt>
                <c:pt idx="1711">
                  <c:v>13.747712337949656</c:v>
                </c:pt>
                <c:pt idx="1712">
                  <c:v>13.778652869267001</c:v>
                </c:pt>
                <c:pt idx="1713">
                  <c:v>13.809593400584349</c:v>
                </c:pt>
                <c:pt idx="1714">
                  <c:v>13.840533931901694</c:v>
                </c:pt>
                <c:pt idx="1715">
                  <c:v>13.871474463219039</c:v>
                </c:pt>
                <c:pt idx="1716">
                  <c:v>13.902414994536388</c:v>
                </c:pt>
                <c:pt idx="1717">
                  <c:v>13.933355525853733</c:v>
                </c:pt>
                <c:pt idx="1718">
                  <c:v>13.964296057171078</c:v>
                </c:pt>
                <c:pt idx="1719">
                  <c:v>13.995236588488426</c:v>
                </c:pt>
                <c:pt idx="1720">
                  <c:v>14.026177119805771</c:v>
                </c:pt>
                <c:pt idx="1721">
                  <c:v>14.05711765112312</c:v>
                </c:pt>
                <c:pt idx="1722">
                  <c:v>14.088058182440465</c:v>
                </c:pt>
                <c:pt idx="1723">
                  <c:v>14.11899871375781</c:v>
                </c:pt>
                <c:pt idx="1724">
                  <c:v>14.149939245075158</c:v>
                </c:pt>
                <c:pt idx="1725">
                  <c:v>14.180879776392503</c:v>
                </c:pt>
                <c:pt idx="1726">
                  <c:v>14.211820307709848</c:v>
                </c:pt>
                <c:pt idx="1727">
                  <c:v>14.242760839027197</c:v>
                </c:pt>
                <c:pt idx="1728">
                  <c:v>14.273701370344542</c:v>
                </c:pt>
                <c:pt idx="1729">
                  <c:v>14.304641901661887</c:v>
                </c:pt>
                <c:pt idx="1730">
                  <c:v>14.335582432979235</c:v>
                </c:pt>
                <c:pt idx="1731">
                  <c:v>14.36652296429658</c:v>
                </c:pt>
                <c:pt idx="1732">
                  <c:v>14.397463495613929</c:v>
                </c:pt>
                <c:pt idx="1733">
                  <c:v>14.428404026931274</c:v>
                </c:pt>
                <c:pt idx="1734">
                  <c:v>14.459344558248619</c:v>
                </c:pt>
                <c:pt idx="1735">
                  <c:v>14.490285089565967</c:v>
                </c:pt>
                <c:pt idx="1736">
                  <c:v>14.521225620883312</c:v>
                </c:pt>
                <c:pt idx="1737">
                  <c:v>14.552166152200657</c:v>
                </c:pt>
                <c:pt idx="1738">
                  <c:v>14.583106683518006</c:v>
                </c:pt>
                <c:pt idx="1739">
                  <c:v>14.614047214835351</c:v>
                </c:pt>
                <c:pt idx="1740">
                  <c:v>14.644987746152699</c:v>
                </c:pt>
                <c:pt idx="1741">
                  <c:v>14.675928277470044</c:v>
                </c:pt>
                <c:pt idx="1742">
                  <c:v>14.706868808787389</c:v>
                </c:pt>
                <c:pt idx="1743">
                  <c:v>14.737809340104738</c:v>
                </c:pt>
                <c:pt idx="1744">
                  <c:v>14.768749871422083</c:v>
                </c:pt>
                <c:pt idx="1745">
                  <c:v>14.799690402739428</c:v>
                </c:pt>
                <c:pt idx="1746">
                  <c:v>14.830630934056776</c:v>
                </c:pt>
                <c:pt idx="1747">
                  <c:v>14.861571465374121</c:v>
                </c:pt>
                <c:pt idx="1748">
                  <c:v>14.892511996691466</c:v>
                </c:pt>
                <c:pt idx="1749">
                  <c:v>14.923452528008815</c:v>
                </c:pt>
                <c:pt idx="1750">
                  <c:v>14.95439305932616</c:v>
                </c:pt>
                <c:pt idx="1751">
                  <c:v>14.985333590643508</c:v>
                </c:pt>
                <c:pt idx="1752">
                  <c:v>15.016274121960853</c:v>
                </c:pt>
                <c:pt idx="1753">
                  <c:v>15.047214653278198</c:v>
                </c:pt>
                <c:pt idx="1754">
                  <c:v>15.078155184595547</c:v>
                </c:pt>
                <c:pt idx="1755">
                  <c:v>15.109095715912892</c:v>
                </c:pt>
                <c:pt idx="1756">
                  <c:v>15.140036247230237</c:v>
                </c:pt>
                <c:pt idx="1757">
                  <c:v>15.170976778547585</c:v>
                </c:pt>
                <c:pt idx="1758">
                  <c:v>15.20191730986493</c:v>
                </c:pt>
                <c:pt idx="1759">
                  <c:v>15.232857841182275</c:v>
                </c:pt>
                <c:pt idx="1760">
                  <c:v>15.263798372499624</c:v>
                </c:pt>
                <c:pt idx="1761">
                  <c:v>15.294738903816969</c:v>
                </c:pt>
                <c:pt idx="1762">
                  <c:v>15.325679435134317</c:v>
                </c:pt>
                <c:pt idx="1763">
                  <c:v>15.356619966451662</c:v>
                </c:pt>
                <c:pt idx="1764">
                  <c:v>15.387560497769007</c:v>
                </c:pt>
                <c:pt idx="1765">
                  <c:v>15.418501029086356</c:v>
                </c:pt>
                <c:pt idx="1766">
                  <c:v>15.449441560403701</c:v>
                </c:pt>
                <c:pt idx="1767">
                  <c:v>15.480382091721046</c:v>
                </c:pt>
                <c:pt idx="1768">
                  <c:v>15.511322623038394</c:v>
                </c:pt>
                <c:pt idx="1769">
                  <c:v>15.542263154355739</c:v>
                </c:pt>
                <c:pt idx="1770">
                  <c:v>15.573203685673084</c:v>
                </c:pt>
                <c:pt idx="1771">
                  <c:v>15.604144216990433</c:v>
                </c:pt>
                <c:pt idx="1772">
                  <c:v>15.635084748307778</c:v>
                </c:pt>
                <c:pt idx="1773">
                  <c:v>15.666025279625126</c:v>
                </c:pt>
                <c:pt idx="1774">
                  <c:v>15.696965810942471</c:v>
                </c:pt>
                <c:pt idx="1775">
                  <c:v>15.727906342259816</c:v>
                </c:pt>
                <c:pt idx="1776">
                  <c:v>15.758846873577165</c:v>
                </c:pt>
                <c:pt idx="1777">
                  <c:v>15.789787404894509</c:v>
                </c:pt>
                <c:pt idx="1778">
                  <c:v>15.820727936211854</c:v>
                </c:pt>
                <c:pt idx="1779">
                  <c:v>15.851668467529203</c:v>
                </c:pt>
                <c:pt idx="1780">
                  <c:v>15.882608998846548</c:v>
                </c:pt>
                <c:pt idx="1781">
                  <c:v>15.913549530163893</c:v>
                </c:pt>
                <c:pt idx="1782">
                  <c:v>15.944490061481241</c:v>
                </c:pt>
                <c:pt idx="1783">
                  <c:v>15.975430592798586</c:v>
                </c:pt>
                <c:pt idx="1784">
                  <c:v>16.006371124115937</c:v>
                </c:pt>
                <c:pt idx="1785">
                  <c:v>16.037311655433278</c:v>
                </c:pt>
                <c:pt idx="1786">
                  <c:v>16.068252186750627</c:v>
                </c:pt>
                <c:pt idx="1787">
                  <c:v>16.099192718067975</c:v>
                </c:pt>
                <c:pt idx="1788">
                  <c:v>16.130133249385317</c:v>
                </c:pt>
                <c:pt idx="1789">
                  <c:v>16.161073780702665</c:v>
                </c:pt>
                <c:pt idx="1790">
                  <c:v>16.192014312020014</c:v>
                </c:pt>
                <c:pt idx="1791">
                  <c:v>16.222954843337355</c:v>
                </c:pt>
                <c:pt idx="1792">
                  <c:v>16.253895374654704</c:v>
                </c:pt>
                <c:pt idx="1793">
                  <c:v>16.284835905972052</c:v>
                </c:pt>
                <c:pt idx="1794">
                  <c:v>16.315776437289394</c:v>
                </c:pt>
                <c:pt idx="1795">
                  <c:v>16.346716968606742</c:v>
                </c:pt>
                <c:pt idx="1796">
                  <c:v>16.377657499924091</c:v>
                </c:pt>
                <c:pt idx="1797">
                  <c:v>16.408598031241432</c:v>
                </c:pt>
                <c:pt idx="1798">
                  <c:v>16.439538562558781</c:v>
                </c:pt>
                <c:pt idx="1799">
                  <c:v>16.470479093876129</c:v>
                </c:pt>
                <c:pt idx="1800">
                  <c:v>16.501419625193471</c:v>
                </c:pt>
                <c:pt idx="1801">
                  <c:v>16.532360156510819</c:v>
                </c:pt>
                <c:pt idx="1802">
                  <c:v>16.563300687828168</c:v>
                </c:pt>
                <c:pt idx="1803">
                  <c:v>16.594241219145516</c:v>
                </c:pt>
                <c:pt idx="1804">
                  <c:v>16.625181750462858</c:v>
                </c:pt>
                <c:pt idx="1805">
                  <c:v>16.656122281780206</c:v>
                </c:pt>
                <c:pt idx="1806">
                  <c:v>16.687062813097555</c:v>
                </c:pt>
                <c:pt idx="1807">
                  <c:v>16.718003344414896</c:v>
                </c:pt>
                <c:pt idx="1808">
                  <c:v>16.748943875732245</c:v>
                </c:pt>
                <c:pt idx="1809">
                  <c:v>16.779884407049593</c:v>
                </c:pt>
                <c:pt idx="1810">
                  <c:v>16.810824938366935</c:v>
                </c:pt>
                <c:pt idx="1811">
                  <c:v>16.841765469684283</c:v>
                </c:pt>
                <c:pt idx="1812">
                  <c:v>16.872706001001632</c:v>
                </c:pt>
                <c:pt idx="1813">
                  <c:v>16.903646532318973</c:v>
                </c:pt>
                <c:pt idx="1814">
                  <c:v>16.934587063636322</c:v>
                </c:pt>
                <c:pt idx="1815">
                  <c:v>16.96552759495367</c:v>
                </c:pt>
                <c:pt idx="1816">
                  <c:v>16.996468126271012</c:v>
                </c:pt>
                <c:pt idx="1817">
                  <c:v>#N/A</c:v>
                </c:pt>
                <c:pt idx="1818">
                  <c:v>-11.066593778562057</c:v>
                </c:pt>
                <c:pt idx="1819">
                  <c:v>-11.03565324724471</c:v>
                </c:pt>
                <c:pt idx="1820">
                  <c:v>-11.004712715927365</c:v>
                </c:pt>
                <c:pt idx="1821">
                  <c:v>-10.973772184610018</c:v>
                </c:pt>
                <c:pt idx="1822">
                  <c:v>-10.942831653292671</c:v>
                </c:pt>
                <c:pt idx="1823">
                  <c:v>-10.911891121975325</c:v>
                </c:pt>
                <c:pt idx="1824">
                  <c:v>-10.88095059065798</c:v>
                </c:pt>
                <c:pt idx="1825">
                  <c:v>-10.850010059340633</c:v>
                </c:pt>
                <c:pt idx="1826">
                  <c:v>-10.819069528023286</c:v>
                </c:pt>
                <c:pt idx="1827">
                  <c:v>-10.788128996705939</c:v>
                </c:pt>
                <c:pt idx="1828">
                  <c:v>-10.757188465388595</c:v>
                </c:pt>
                <c:pt idx="1829">
                  <c:v>-10.726247934071248</c:v>
                </c:pt>
                <c:pt idx="1830">
                  <c:v>-10.695307402753901</c:v>
                </c:pt>
                <c:pt idx="1831">
                  <c:v>-10.664366871436556</c:v>
                </c:pt>
                <c:pt idx="1832">
                  <c:v>-10.633426340119209</c:v>
                </c:pt>
                <c:pt idx="1833">
                  <c:v>-10.602485808801863</c:v>
                </c:pt>
                <c:pt idx="1834">
                  <c:v>-10.571545277484516</c:v>
                </c:pt>
                <c:pt idx="1835">
                  <c:v>-10.540604746167171</c:v>
                </c:pt>
                <c:pt idx="1836">
                  <c:v>-10.509664214849824</c:v>
                </c:pt>
                <c:pt idx="1837">
                  <c:v>-10.478723683532477</c:v>
                </c:pt>
                <c:pt idx="1838">
                  <c:v>-10.447783152215131</c:v>
                </c:pt>
                <c:pt idx="1839">
                  <c:v>-10.416842620897786</c:v>
                </c:pt>
                <c:pt idx="1840">
                  <c:v>-10.385902089580439</c:v>
                </c:pt>
                <c:pt idx="1841">
                  <c:v>-10.354961558263092</c:v>
                </c:pt>
                <c:pt idx="1842">
                  <c:v>-10.324021026945747</c:v>
                </c:pt>
                <c:pt idx="1843">
                  <c:v>-10.2930804956284</c:v>
                </c:pt>
                <c:pt idx="1844">
                  <c:v>-10.262139964311054</c:v>
                </c:pt>
                <c:pt idx="1845">
                  <c:v>-10.231199432993707</c:v>
                </c:pt>
                <c:pt idx="1846">
                  <c:v>-10.200258901676362</c:v>
                </c:pt>
                <c:pt idx="1847">
                  <c:v>-10.169318370359015</c:v>
                </c:pt>
                <c:pt idx="1848">
                  <c:v>-10.138377839041668</c:v>
                </c:pt>
                <c:pt idx="1849">
                  <c:v>-10.107437307724322</c:v>
                </c:pt>
                <c:pt idx="1850">
                  <c:v>-10.076496776406977</c:v>
                </c:pt>
                <c:pt idx="1851">
                  <c:v>-10.04555624508963</c:v>
                </c:pt>
                <c:pt idx="1852">
                  <c:v>-10.014615713772283</c:v>
                </c:pt>
                <c:pt idx="1853">
                  <c:v>-9.9836751824549363</c:v>
                </c:pt>
                <c:pt idx="1854">
                  <c:v>-9.9527346511375914</c:v>
                </c:pt>
                <c:pt idx="1855">
                  <c:v>-9.9217941198202446</c:v>
                </c:pt>
                <c:pt idx="1856">
                  <c:v>-9.8908535885028979</c:v>
                </c:pt>
                <c:pt idx="1857">
                  <c:v>-9.8599130571855511</c:v>
                </c:pt>
                <c:pt idx="1858">
                  <c:v>-9.8289725258682061</c:v>
                </c:pt>
                <c:pt idx="1859">
                  <c:v>-9.7980319945508594</c:v>
                </c:pt>
                <c:pt idx="1860">
                  <c:v>-9.7670914632335126</c:v>
                </c:pt>
                <c:pt idx="1861">
                  <c:v>-9.7361509319161677</c:v>
                </c:pt>
                <c:pt idx="1862">
                  <c:v>-9.7052104005988209</c:v>
                </c:pt>
                <c:pt idx="1863">
                  <c:v>-9.6742698692814741</c:v>
                </c:pt>
                <c:pt idx="1864">
                  <c:v>-9.6433293379641274</c:v>
                </c:pt>
                <c:pt idx="1865">
                  <c:v>-9.6123888066467824</c:v>
                </c:pt>
                <c:pt idx="1866">
                  <c:v>-9.5814482753294357</c:v>
                </c:pt>
                <c:pt idx="1867">
                  <c:v>-9.5505077440120889</c:v>
                </c:pt>
                <c:pt idx="1868">
                  <c:v>-9.5195672126947422</c:v>
                </c:pt>
                <c:pt idx="1869">
                  <c:v>-9.4886266813773972</c:v>
                </c:pt>
                <c:pt idx="1870">
                  <c:v>-9.4576861500600504</c:v>
                </c:pt>
                <c:pt idx="1871">
                  <c:v>-9.4267456187427037</c:v>
                </c:pt>
                <c:pt idx="1872">
                  <c:v>-9.3958050874253587</c:v>
                </c:pt>
                <c:pt idx="1873">
                  <c:v>-9.3648645561080119</c:v>
                </c:pt>
                <c:pt idx="1874">
                  <c:v>-9.3339240247906652</c:v>
                </c:pt>
                <c:pt idx="1875">
                  <c:v>-9.3029834934733184</c:v>
                </c:pt>
                <c:pt idx="1876">
                  <c:v>-9.2720429621559735</c:v>
                </c:pt>
                <c:pt idx="1877">
                  <c:v>-9.2411024308386267</c:v>
                </c:pt>
                <c:pt idx="1878">
                  <c:v>-9.2101618995212799</c:v>
                </c:pt>
                <c:pt idx="1879">
                  <c:v>-9.1792213682039332</c:v>
                </c:pt>
                <c:pt idx="1880">
                  <c:v>-9.1482808368865882</c:v>
                </c:pt>
                <c:pt idx="1881">
                  <c:v>-9.1173403055692415</c:v>
                </c:pt>
                <c:pt idx="1882">
                  <c:v>-9.0863997742518947</c:v>
                </c:pt>
                <c:pt idx="1883">
                  <c:v>-9.0554592429345497</c:v>
                </c:pt>
                <c:pt idx="1884">
                  <c:v>-9.024518711617203</c:v>
                </c:pt>
                <c:pt idx="1885">
                  <c:v>-8.9935781802998562</c:v>
                </c:pt>
                <c:pt idx="1886">
                  <c:v>-8.9626376489825095</c:v>
                </c:pt>
                <c:pt idx="1887">
                  <c:v>-8.9316971176651627</c:v>
                </c:pt>
                <c:pt idx="1888">
                  <c:v>-8.9007565863478177</c:v>
                </c:pt>
                <c:pt idx="1889">
                  <c:v>-8.869816055030471</c:v>
                </c:pt>
                <c:pt idx="1890">
                  <c:v>-8.8388755237131242</c:v>
                </c:pt>
                <c:pt idx="1891">
                  <c:v>-8.8079349923957793</c:v>
                </c:pt>
                <c:pt idx="1892">
                  <c:v>-8.7769944610784325</c:v>
                </c:pt>
                <c:pt idx="1893">
                  <c:v>-8.7460539297610858</c:v>
                </c:pt>
                <c:pt idx="1894">
                  <c:v>-8.7151133984437408</c:v>
                </c:pt>
                <c:pt idx="1895">
                  <c:v>-8.684172867126394</c:v>
                </c:pt>
                <c:pt idx="1896">
                  <c:v>-8.6532323358090473</c:v>
                </c:pt>
                <c:pt idx="1897">
                  <c:v>-8.6222918044917005</c:v>
                </c:pt>
                <c:pt idx="1898">
                  <c:v>-8.5913512731743538</c:v>
                </c:pt>
                <c:pt idx="1899">
                  <c:v>-8.5604107418570088</c:v>
                </c:pt>
                <c:pt idx="1900">
                  <c:v>-8.529470210539662</c:v>
                </c:pt>
                <c:pt idx="1901">
                  <c:v>-8.4985296792223153</c:v>
                </c:pt>
                <c:pt idx="1902">
                  <c:v>-8.4675891479049703</c:v>
                </c:pt>
                <c:pt idx="1903">
                  <c:v>-8.4366486165876236</c:v>
                </c:pt>
                <c:pt idx="1904">
                  <c:v>-8.4057080852702768</c:v>
                </c:pt>
                <c:pt idx="1905">
                  <c:v>-8.3747675539529318</c:v>
                </c:pt>
                <c:pt idx="1906">
                  <c:v>-8.3438270226355851</c:v>
                </c:pt>
                <c:pt idx="1907">
                  <c:v>-8.3128864913182383</c:v>
                </c:pt>
                <c:pt idx="1908">
                  <c:v>-8.2819459600008916</c:v>
                </c:pt>
                <c:pt idx="1909">
                  <c:v>-8.2510054286835448</c:v>
                </c:pt>
                <c:pt idx="1910">
                  <c:v>-8.2200648973661998</c:v>
                </c:pt>
                <c:pt idx="1911">
                  <c:v>-8.1891243660488531</c:v>
                </c:pt>
                <c:pt idx="1912">
                  <c:v>-8.1581838347315063</c:v>
                </c:pt>
                <c:pt idx="1913">
                  <c:v>-8.1272433034141613</c:v>
                </c:pt>
                <c:pt idx="1914">
                  <c:v>-8.0963027720968146</c:v>
                </c:pt>
                <c:pt idx="1915">
                  <c:v>-8.0653622407794678</c:v>
                </c:pt>
                <c:pt idx="1916">
                  <c:v>-8.0344217094621229</c:v>
                </c:pt>
                <c:pt idx="1917">
                  <c:v>-8.0034811781447761</c:v>
                </c:pt>
                <c:pt idx="1918">
                  <c:v>-7.9725406468274294</c:v>
                </c:pt>
                <c:pt idx="1919">
                  <c:v>-7.9416001155100826</c:v>
                </c:pt>
                <c:pt idx="1920">
                  <c:v>-7.9106595841927367</c:v>
                </c:pt>
                <c:pt idx="1921">
                  <c:v>-7.8797190528753909</c:v>
                </c:pt>
                <c:pt idx="1922">
                  <c:v>-7.8487785215580441</c:v>
                </c:pt>
                <c:pt idx="1923">
                  <c:v>-7.8178379902406974</c:v>
                </c:pt>
                <c:pt idx="1924">
                  <c:v>-7.7868974589233515</c:v>
                </c:pt>
                <c:pt idx="1925">
                  <c:v>-7.7559569276060056</c:v>
                </c:pt>
                <c:pt idx="1926">
                  <c:v>-7.7250163962886589</c:v>
                </c:pt>
                <c:pt idx="1927">
                  <c:v>-7.694075864971313</c:v>
                </c:pt>
                <c:pt idx="1928">
                  <c:v>-7.6631353336539672</c:v>
                </c:pt>
                <c:pt idx="1929">
                  <c:v>-7.6321948023366204</c:v>
                </c:pt>
                <c:pt idx="1930">
                  <c:v>-7.6012542710192736</c:v>
                </c:pt>
                <c:pt idx="1931">
                  <c:v>-7.5703137397019278</c:v>
                </c:pt>
                <c:pt idx="1932">
                  <c:v>-7.5393732083845819</c:v>
                </c:pt>
                <c:pt idx="1933">
                  <c:v>-7.5084326770672352</c:v>
                </c:pt>
                <c:pt idx="1934">
                  <c:v>-7.4774921457498884</c:v>
                </c:pt>
                <c:pt idx="1935">
                  <c:v>-7.4465516144325425</c:v>
                </c:pt>
                <c:pt idx="1936">
                  <c:v>-7.4156110831151967</c:v>
                </c:pt>
                <c:pt idx="1937">
                  <c:v>-7.3846705517978499</c:v>
                </c:pt>
                <c:pt idx="1938">
                  <c:v>-7.3537300204805032</c:v>
                </c:pt>
                <c:pt idx="1939">
                  <c:v>-7.3227894891631573</c:v>
                </c:pt>
                <c:pt idx="1940">
                  <c:v>-7.2918489578458114</c:v>
                </c:pt>
                <c:pt idx="1941">
                  <c:v>-7.2609084265284647</c:v>
                </c:pt>
                <c:pt idx="1942">
                  <c:v>-7.2299678952111188</c:v>
                </c:pt>
                <c:pt idx="1943">
                  <c:v>-7.199027363893773</c:v>
                </c:pt>
                <c:pt idx="1944">
                  <c:v>-7.1680868325764262</c:v>
                </c:pt>
                <c:pt idx="1945">
                  <c:v>-7.1371463012590795</c:v>
                </c:pt>
                <c:pt idx="1946">
                  <c:v>-7.1062057699417336</c:v>
                </c:pt>
                <c:pt idx="1947">
                  <c:v>-7.0752652386243877</c:v>
                </c:pt>
                <c:pt idx="1948">
                  <c:v>-7.044324707307041</c:v>
                </c:pt>
                <c:pt idx="1949">
                  <c:v>-7.0133841759896951</c:v>
                </c:pt>
                <c:pt idx="1950">
                  <c:v>-6.9824436446723483</c:v>
                </c:pt>
                <c:pt idx="1951">
                  <c:v>-6.9515031133550025</c:v>
                </c:pt>
                <c:pt idx="1952">
                  <c:v>-6.9205625820376557</c:v>
                </c:pt>
                <c:pt idx="1953">
                  <c:v>-6.8896220507203099</c:v>
                </c:pt>
                <c:pt idx="1954">
                  <c:v>-6.8586815194029631</c:v>
                </c:pt>
                <c:pt idx="1955">
                  <c:v>-6.8277409880856172</c:v>
                </c:pt>
                <c:pt idx="1956">
                  <c:v>-6.7968004567682705</c:v>
                </c:pt>
                <c:pt idx="1957">
                  <c:v>-6.7658599254509246</c:v>
                </c:pt>
                <c:pt idx="1958">
                  <c:v>-6.7349193941335779</c:v>
                </c:pt>
                <c:pt idx="1959">
                  <c:v>-6.703978862816232</c:v>
                </c:pt>
                <c:pt idx="1960">
                  <c:v>-6.6730383314988861</c:v>
                </c:pt>
                <c:pt idx="1961">
                  <c:v>-6.6420978001815394</c:v>
                </c:pt>
                <c:pt idx="1962">
                  <c:v>-6.6111572688641935</c:v>
                </c:pt>
                <c:pt idx="1963">
                  <c:v>-6.5802167375468468</c:v>
                </c:pt>
                <c:pt idx="1964">
                  <c:v>-6.5492762062295009</c:v>
                </c:pt>
                <c:pt idx="1965">
                  <c:v>-6.5183356749121542</c:v>
                </c:pt>
                <c:pt idx="1966">
                  <c:v>-6.4873951435948083</c:v>
                </c:pt>
                <c:pt idx="1967">
                  <c:v>-6.4564546122774615</c:v>
                </c:pt>
                <c:pt idx="1968">
                  <c:v>-6.4255140809601157</c:v>
                </c:pt>
                <c:pt idx="1969">
                  <c:v>-6.3945735496427689</c:v>
                </c:pt>
                <c:pt idx="1970">
                  <c:v>-6.3636330183254231</c:v>
                </c:pt>
                <c:pt idx="1971">
                  <c:v>-6.3326924870080763</c:v>
                </c:pt>
                <c:pt idx="1972">
                  <c:v>-6.3017519556907304</c:v>
                </c:pt>
                <c:pt idx="1973">
                  <c:v>-6.2708114243733846</c:v>
                </c:pt>
                <c:pt idx="1974">
                  <c:v>-6.2398708930560378</c:v>
                </c:pt>
                <c:pt idx="1975">
                  <c:v>-6.2089303617386919</c:v>
                </c:pt>
                <c:pt idx="1976">
                  <c:v>-6.1779898304213452</c:v>
                </c:pt>
                <c:pt idx="1977">
                  <c:v>-6.1470492991039993</c:v>
                </c:pt>
                <c:pt idx="1978">
                  <c:v>-6.1161087677866526</c:v>
                </c:pt>
                <c:pt idx="1979">
                  <c:v>-6.0851682364693067</c:v>
                </c:pt>
                <c:pt idx="1980">
                  <c:v>-6.05422770515196</c:v>
                </c:pt>
                <c:pt idx="1981">
                  <c:v>-6.0232871738346141</c:v>
                </c:pt>
                <c:pt idx="1982">
                  <c:v>-5.9923466425172673</c:v>
                </c:pt>
                <c:pt idx="1983">
                  <c:v>-5.9614061111999215</c:v>
                </c:pt>
                <c:pt idx="1984">
                  <c:v>-5.9304655798825747</c:v>
                </c:pt>
                <c:pt idx="1985">
                  <c:v>-5.8995250485652289</c:v>
                </c:pt>
                <c:pt idx="1986">
                  <c:v>-5.868584517247883</c:v>
                </c:pt>
                <c:pt idx="1987">
                  <c:v>-5.8376439859305362</c:v>
                </c:pt>
                <c:pt idx="1988">
                  <c:v>-5.8067034546131904</c:v>
                </c:pt>
                <c:pt idx="1989">
                  <c:v>-5.7757629232958436</c:v>
                </c:pt>
                <c:pt idx="1990">
                  <c:v>-5.7448223919784978</c:v>
                </c:pt>
                <c:pt idx="1991">
                  <c:v>-5.713881860661151</c:v>
                </c:pt>
                <c:pt idx="1992">
                  <c:v>-5.6829413293438051</c:v>
                </c:pt>
                <c:pt idx="1993">
                  <c:v>-5.6520007980264584</c:v>
                </c:pt>
                <c:pt idx="1994">
                  <c:v>-5.6210602667091125</c:v>
                </c:pt>
                <c:pt idx="1995">
                  <c:v>-5.5901197353917658</c:v>
                </c:pt>
                <c:pt idx="1996">
                  <c:v>-5.5591792040744199</c:v>
                </c:pt>
                <c:pt idx="1997">
                  <c:v>-5.5282386727570731</c:v>
                </c:pt>
                <c:pt idx="1998">
                  <c:v>-5.4972981414397273</c:v>
                </c:pt>
                <c:pt idx="1999">
                  <c:v>-5.4663576101223814</c:v>
                </c:pt>
                <c:pt idx="2000">
                  <c:v>-5.4354170788050347</c:v>
                </c:pt>
                <c:pt idx="2001">
                  <c:v>-5.4044765474876888</c:v>
                </c:pt>
                <c:pt idx="2002">
                  <c:v>-5.373536016170342</c:v>
                </c:pt>
                <c:pt idx="2003">
                  <c:v>-5.3425954848529962</c:v>
                </c:pt>
                <c:pt idx="2004">
                  <c:v>-5.3116549535356494</c:v>
                </c:pt>
                <c:pt idx="2005">
                  <c:v>-5.2807144222183036</c:v>
                </c:pt>
                <c:pt idx="2006">
                  <c:v>-5.2497738909009568</c:v>
                </c:pt>
                <c:pt idx="2007">
                  <c:v>-5.2188333595836109</c:v>
                </c:pt>
                <c:pt idx="2008">
                  <c:v>-5.1878928282662642</c:v>
                </c:pt>
                <c:pt idx="2009">
                  <c:v>-5.1569522969489183</c:v>
                </c:pt>
                <c:pt idx="2010">
                  <c:v>-5.1260117656315725</c:v>
                </c:pt>
                <c:pt idx="2011">
                  <c:v>-5.0950712343142257</c:v>
                </c:pt>
                <c:pt idx="2012">
                  <c:v>-5.0641307029968798</c:v>
                </c:pt>
                <c:pt idx="2013">
                  <c:v>-5.0331901716795331</c:v>
                </c:pt>
                <c:pt idx="2014">
                  <c:v>-5.0022496403621872</c:v>
                </c:pt>
                <c:pt idx="2015">
                  <c:v>-4.9713091090448405</c:v>
                </c:pt>
                <c:pt idx="2016">
                  <c:v>-4.9403685777274946</c:v>
                </c:pt>
                <c:pt idx="2017">
                  <c:v>-4.9094280464101479</c:v>
                </c:pt>
                <c:pt idx="2018">
                  <c:v>-4.878487515092802</c:v>
                </c:pt>
                <c:pt idx="2019">
                  <c:v>-4.8475469837754552</c:v>
                </c:pt>
                <c:pt idx="2020">
                  <c:v>-4.8166064524581094</c:v>
                </c:pt>
                <c:pt idx="2021">
                  <c:v>-4.7856659211407626</c:v>
                </c:pt>
                <c:pt idx="2022">
                  <c:v>-4.7547253898234167</c:v>
                </c:pt>
                <c:pt idx="2023">
                  <c:v>-4.7237848585060709</c:v>
                </c:pt>
                <c:pt idx="2024">
                  <c:v>-4.6928443271887241</c:v>
                </c:pt>
                <c:pt idx="2025">
                  <c:v>-4.6619037958713783</c:v>
                </c:pt>
                <c:pt idx="2026">
                  <c:v>-4.6309632645540315</c:v>
                </c:pt>
                <c:pt idx="2027">
                  <c:v>-4.6000227332366856</c:v>
                </c:pt>
                <c:pt idx="2028">
                  <c:v>-4.5690822019193389</c:v>
                </c:pt>
                <c:pt idx="2029">
                  <c:v>-4.538141670601993</c:v>
                </c:pt>
                <c:pt idx="2030">
                  <c:v>-4.5072011392846463</c:v>
                </c:pt>
                <c:pt idx="2031">
                  <c:v>-4.4762606079673004</c:v>
                </c:pt>
                <c:pt idx="2032">
                  <c:v>-4.4453200766499537</c:v>
                </c:pt>
                <c:pt idx="2033">
                  <c:v>-4.4143795453326078</c:v>
                </c:pt>
                <c:pt idx="2034">
                  <c:v>-4.383439014015261</c:v>
                </c:pt>
                <c:pt idx="2035">
                  <c:v>-4.3524984826979152</c:v>
                </c:pt>
                <c:pt idx="2036">
                  <c:v>-4.3215579513805693</c:v>
                </c:pt>
                <c:pt idx="2037">
                  <c:v>-4.2906174200632226</c:v>
                </c:pt>
                <c:pt idx="2038">
                  <c:v>-4.2596768887458767</c:v>
                </c:pt>
                <c:pt idx="2039">
                  <c:v>-4.2287363574285299</c:v>
                </c:pt>
                <c:pt idx="2040">
                  <c:v>-4.1977958261111841</c:v>
                </c:pt>
                <c:pt idx="2041">
                  <c:v>-4.1668552947938373</c:v>
                </c:pt>
                <c:pt idx="2042">
                  <c:v>-4.1359147634764915</c:v>
                </c:pt>
                <c:pt idx="2043">
                  <c:v>-4.1049742321591447</c:v>
                </c:pt>
                <c:pt idx="2044">
                  <c:v>-4.0740337008417988</c:v>
                </c:pt>
                <c:pt idx="2045">
                  <c:v>-4.0430931695244521</c:v>
                </c:pt>
                <c:pt idx="2046">
                  <c:v>-4.0121526382071062</c:v>
                </c:pt>
                <c:pt idx="2047">
                  <c:v>-3.9812121068897595</c:v>
                </c:pt>
                <c:pt idx="2048">
                  <c:v>-3.9502715755724136</c:v>
                </c:pt>
                <c:pt idx="2049">
                  <c:v>-3.9193310442550677</c:v>
                </c:pt>
                <c:pt idx="2050">
                  <c:v>-3.888390512937721</c:v>
                </c:pt>
                <c:pt idx="2051">
                  <c:v>-3.8574499816203751</c:v>
                </c:pt>
                <c:pt idx="2052">
                  <c:v>-3.8265094503030284</c:v>
                </c:pt>
                <c:pt idx="2053">
                  <c:v>-3.7955689189856825</c:v>
                </c:pt>
                <c:pt idx="2054">
                  <c:v>-3.7646283876683357</c:v>
                </c:pt>
                <c:pt idx="2055">
                  <c:v>-3.7336878563509899</c:v>
                </c:pt>
                <c:pt idx="2056">
                  <c:v>-3.7027473250336431</c:v>
                </c:pt>
                <c:pt idx="2057">
                  <c:v>-3.6718067937162973</c:v>
                </c:pt>
                <c:pt idx="2058">
                  <c:v>-3.6408662623989505</c:v>
                </c:pt>
                <c:pt idx="2059">
                  <c:v>-3.6099257310816046</c:v>
                </c:pt>
                <c:pt idx="2060">
                  <c:v>-3.5789851997642579</c:v>
                </c:pt>
                <c:pt idx="2061">
                  <c:v>-3.548044668446912</c:v>
                </c:pt>
                <c:pt idx="2062">
                  <c:v>-3.5171041371295662</c:v>
                </c:pt>
                <c:pt idx="2063">
                  <c:v>-3.4861636058122194</c:v>
                </c:pt>
                <c:pt idx="2064">
                  <c:v>-3.4552230744948735</c:v>
                </c:pt>
                <c:pt idx="2065">
                  <c:v>-3.4242825431775268</c:v>
                </c:pt>
                <c:pt idx="2066">
                  <c:v>-3.3933420118601809</c:v>
                </c:pt>
                <c:pt idx="2067">
                  <c:v>-3.3624014805428342</c:v>
                </c:pt>
                <c:pt idx="2068">
                  <c:v>-3.3314609492254883</c:v>
                </c:pt>
                <c:pt idx="2069">
                  <c:v>-3.3005204179081415</c:v>
                </c:pt>
                <c:pt idx="2070">
                  <c:v>-3.2695798865907957</c:v>
                </c:pt>
                <c:pt idx="2071">
                  <c:v>-3.2386393552734489</c:v>
                </c:pt>
                <c:pt idx="2072">
                  <c:v>-3.2076988239561031</c:v>
                </c:pt>
                <c:pt idx="2073">
                  <c:v>-3.1767582926387563</c:v>
                </c:pt>
                <c:pt idx="2074">
                  <c:v>-3.1458177613214104</c:v>
                </c:pt>
                <c:pt idx="2075">
                  <c:v>-3.1148772300040646</c:v>
                </c:pt>
                <c:pt idx="2076">
                  <c:v>-3.0839366986867178</c:v>
                </c:pt>
                <c:pt idx="2077">
                  <c:v>-3.052996167369372</c:v>
                </c:pt>
                <c:pt idx="2078">
                  <c:v>-3.0220556360520252</c:v>
                </c:pt>
                <c:pt idx="2079">
                  <c:v>-2.9911151047346785</c:v>
                </c:pt>
                <c:pt idx="2080">
                  <c:v>-2.9601745734173335</c:v>
                </c:pt>
                <c:pt idx="2081">
                  <c:v>-2.9292340420999867</c:v>
                </c:pt>
                <c:pt idx="2082">
                  <c:v>-2.89829351078264</c:v>
                </c:pt>
                <c:pt idx="2083">
                  <c:v>-2.8673529794652932</c:v>
                </c:pt>
                <c:pt idx="2084">
                  <c:v>-2.8364124481479482</c:v>
                </c:pt>
                <c:pt idx="2085">
                  <c:v>-2.8054719168306015</c:v>
                </c:pt>
                <c:pt idx="2086">
                  <c:v>-2.7745313855132547</c:v>
                </c:pt>
                <c:pt idx="2087">
                  <c:v>-2.7435908541959098</c:v>
                </c:pt>
                <c:pt idx="2088">
                  <c:v>-2.712650322878563</c:v>
                </c:pt>
                <c:pt idx="2089">
                  <c:v>-2.6817097915612162</c:v>
                </c:pt>
                <c:pt idx="2090">
                  <c:v>-2.6507692602438695</c:v>
                </c:pt>
                <c:pt idx="2091">
                  <c:v>-2.6198287289265245</c:v>
                </c:pt>
                <c:pt idx="2092">
                  <c:v>-2.5888881976091778</c:v>
                </c:pt>
                <c:pt idx="2093">
                  <c:v>-2.557947666291831</c:v>
                </c:pt>
                <c:pt idx="2094">
                  <c:v>-2.5270071349744843</c:v>
                </c:pt>
                <c:pt idx="2095">
                  <c:v>-2.4960666036571393</c:v>
                </c:pt>
                <c:pt idx="2096">
                  <c:v>-2.4651260723397925</c:v>
                </c:pt>
                <c:pt idx="2097">
                  <c:v>-2.4341855410224458</c:v>
                </c:pt>
                <c:pt idx="2098">
                  <c:v>-2.403245009705099</c:v>
                </c:pt>
                <c:pt idx="2099">
                  <c:v>-2.372304478387754</c:v>
                </c:pt>
                <c:pt idx="2100">
                  <c:v>-2.3413639470704073</c:v>
                </c:pt>
                <c:pt idx="2101">
                  <c:v>-2.3104234157530605</c:v>
                </c:pt>
                <c:pt idx="2102">
                  <c:v>-2.2794828844357156</c:v>
                </c:pt>
                <c:pt idx="2103">
                  <c:v>-2.2485423531183688</c:v>
                </c:pt>
                <c:pt idx="2104">
                  <c:v>-2.2176018218010221</c:v>
                </c:pt>
                <c:pt idx="2105">
                  <c:v>-2.1866612904836753</c:v>
                </c:pt>
                <c:pt idx="2106">
                  <c:v>-2.1557207591663303</c:v>
                </c:pt>
                <c:pt idx="2107">
                  <c:v>-2.1247802278489836</c:v>
                </c:pt>
                <c:pt idx="2108">
                  <c:v>-2.0938396965316368</c:v>
                </c:pt>
                <c:pt idx="2109">
                  <c:v>-2.0628991652142901</c:v>
                </c:pt>
                <c:pt idx="2110">
                  <c:v>-2.0319586338969451</c:v>
                </c:pt>
                <c:pt idx="2111">
                  <c:v>-2.0010181025795983</c:v>
                </c:pt>
                <c:pt idx="2112">
                  <c:v>-1.9700775712622516</c:v>
                </c:pt>
                <c:pt idx="2113">
                  <c:v>-1.9391370399449066</c:v>
                </c:pt>
                <c:pt idx="2114">
                  <c:v>-1.9081965086275599</c:v>
                </c:pt>
                <c:pt idx="2115">
                  <c:v>-1.8772559773102131</c:v>
                </c:pt>
                <c:pt idx="2116">
                  <c:v>-1.8463154459928663</c:v>
                </c:pt>
                <c:pt idx="2117">
                  <c:v>-1.8153749146755214</c:v>
                </c:pt>
                <c:pt idx="2118">
                  <c:v>-1.7844343833581746</c:v>
                </c:pt>
                <c:pt idx="2119">
                  <c:v>-1.7534938520408279</c:v>
                </c:pt>
                <c:pt idx="2120">
                  <c:v>-1.7225533207234811</c:v>
                </c:pt>
                <c:pt idx="2121">
                  <c:v>-1.6916127894061361</c:v>
                </c:pt>
                <c:pt idx="2122">
                  <c:v>-1.6606722580887894</c:v>
                </c:pt>
                <c:pt idx="2123">
                  <c:v>-1.6297317267714426</c:v>
                </c:pt>
                <c:pt idx="2124">
                  <c:v>-1.5987911954540959</c:v>
                </c:pt>
                <c:pt idx="2125">
                  <c:v>-1.5678506641367509</c:v>
                </c:pt>
                <c:pt idx="2126">
                  <c:v>-1.5369101328194041</c:v>
                </c:pt>
                <c:pt idx="2127">
                  <c:v>-1.5059696015020574</c:v>
                </c:pt>
                <c:pt idx="2128">
                  <c:v>-1.4750290701847124</c:v>
                </c:pt>
                <c:pt idx="2129">
                  <c:v>-1.4440885388673657</c:v>
                </c:pt>
                <c:pt idx="2130">
                  <c:v>-1.4131480075500189</c:v>
                </c:pt>
                <c:pt idx="2131">
                  <c:v>-1.3822074762326721</c:v>
                </c:pt>
                <c:pt idx="2132">
                  <c:v>-1.3512669449153272</c:v>
                </c:pt>
                <c:pt idx="2133">
                  <c:v>-1.3203264135979804</c:v>
                </c:pt>
                <c:pt idx="2134">
                  <c:v>-1.2893858822806337</c:v>
                </c:pt>
                <c:pt idx="2135">
                  <c:v>-1.2584453509632869</c:v>
                </c:pt>
                <c:pt idx="2136">
                  <c:v>-1.2275048196459419</c:v>
                </c:pt>
                <c:pt idx="2137">
                  <c:v>-1.1965642883285952</c:v>
                </c:pt>
                <c:pt idx="2138">
                  <c:v>-1.1656237570112484</c:v>
                </c:pt>
                <c:pt idx="2139">
                  <c:v>-1.1346832256939035</c:v>
                </c:pt>
                <c:pt idx="2140">
                  <c:v>-1.1037426943765567</c:v>
                </c:pt>
                <c:pt idx="2141">
                  <c:v>-1.0728021630592099</c:v>
                </c:pt>
                <c:pt idx="2142">
                  <c:v>-1.0418616317418632</c:v>
                </c:pt>
                <c:pt idx="2143">
                  <c:v>-1.0109211004245182</c:v>
                </c:pt>
                <c:pt idx="2144">
                  <c:v>-0.97998056910717146</c:v>
                </c:pt>
                <c:pt idx="2145">
                  <c:v>-0.94904003778982471</c:v>
                </c:pt>
                <c:pt idx="2146">
                  <c:v>-0.91809950647247796</c:v>
                </c:pt>
                <c:pt idx="2147">
                  <c:v>-0.88715897515513298</c:v>
                </c:pt>
                <c:pt idx="2148">
                  <c:v>-0.85621844383778623</c:v>
                </c:pt>
                <c:pt idx="2149">
                  <c:v>-0.82527791252043947</c:v>
                </c:pt>
                <c:pt idx="2150">
                  <c:v>-0.79433738120309272</c:v>
                </c:pt>
                <c:pt idx="2151">
                  <c:v>-0.76339684988574774</c:v>
                </c:pt>
                <c:pt idx="2152">
                  <c:v>-0.73245631856840099</c:v>
                </c:pt>
                <c:pt idx="2153">
                  <c:v>-0.70151578725105423</c:v>
                </c:pt>
                <c:pt idx="2154">
                  <c:v>-0.67057525593370926</c:v>
                </c:pt>
                <c:pt idx="2155">
                  <c:v>-0.6396347246163625</c:v>
                </c:pt>
                <c:pt idx="2156">
                  <c:v>-0.60869419329901575</c:v>
                </c:pt>
                <c:pt idx="2157">
                  <c:v>-0.577753661981669</c:v>
                </c:pt>
                <c:pt idx="2158">
                  <c:v>-0.54681313066432402</c:v>
                </c:pt>
                <c:pt idx="2159">
                  <c:v>-0.51587259934697727</c:v>
                </c:pt>
                <c:pt idx="2160">
                  <c:v>-0.48493206802963051</c:v>
                </c:pt>
                <c:pt idx="2161">
                  <c:v>-0.45399153671228376</c:v>
                </c:pt>
                <c:pt idx="2162">
                  <c:v>-0.42305100539493878</c:v>
                </c:pt>
                <c:pt idx="2163">
                  <c:v>-0.39211047407759203</c:v>
                </c:pt>
                <c:pt idx="2164">
                  <c:v>-0.36116994276024528</c:v>
                </c:pt>
                <c:pt idx="2165">
                  <c:v>-0.3302294114429003</c:v>
                </c:pt>
                <c:pt idx="2166">
                  <c:v>-0.29928888012555355</c:v>
                </c:pt>
                <c:pt idx="2167">
                  <c:v>-0.26834834880820679</c:v>
                </c:pt>
                <c:pt idx="2168">
                  <c:v>-0.23740781749086004</c:v>
                </c:pt>
                <c:pt idx="2169">
                  <c:v>-0.20646728617351506</c:v>
                </c:pt>
                <c:pt idx="2170">
                  <c:v>-0.17552675485616831</c:v>
                </c:pt>
                <c:pt idx="2171">
                  <c:v>-0.14458622353882156</c:v>
                </c:pt>
                <c:pt idx="2172">
                  <c:v>-0.1136456922214748</c:v>
                </c:pt>
                <c:pt idx="2173">
                  <c:v>-8.2705160904129826E-2</c:v>
                </c:pt>
                <c:pt idx="2174">
                  <c:v>-5.1764629586783073E-2</c:v>
                </c:pt>
                <c:pt idx="2175">
                  <c:v>-2.082409826943632E-2</c:v>
                </c:pt>
                <c:pt idx="2176">
                  <c:v>1.0116433047910434E-2</c:v>
                </c:pt>
                <c:pt idx="2177">
                  <c:v>4.1056964365255411E-2</c:v>
                </c:pt>
                <c:pt idx="2178">
                  <c:v>7.1997495682602164E-2</c:v>
                </c:pt>
                <c:pt idx="2179">
                  <c:v>0.10293802699994892</c:v>
                </c:pt>
                <c:pt idx="2180">
                  <c:v>0.13387855831729389</c:v>
                </c:pt>
                <c:pt idx="2181">
                  <c:v>0.16481908963464065</c:v>
                </c:pt>
                <c:pt idx="2182">
                  <c:v>0.1957596209519874</c:v>
                </c:pt>
                <c:pt idx="2183">
                  <c:v>0.22670015226933415</c:v>
                </c:pt>
                <c:pt idx="2184">
                  <c:v>0.25764068358667913</c:v>
                </c:pt>
                <c:pt idx="2185">
                  <c:v>0.28858121490402588</c:v>
                </c:pt>
                <c:pt idx="2186">
                  <c:v>0.31952174622137264</c:v>
                </c:pt>
                <c:pt idx="2187">
                  <c:v>0.35046227753871939</c:v>
                </c:pt>
                <c:pt idx="2188">
                  <c:v>0.38140280885606437</c:v>
                </c:pt>
                <c:pt idx="2189">
                  <c:v>0.41234334017341112</c:v>
                </c:pt>
                <c:pt idx="2190">
                  <c:v>0.44328387149075787</c:v>
                </c:pt>
                <c:pt idx="2191">
                  <c:v>0.47422440280810285</c:v>
                </c:pt>
                <c:pt idx="2192">
                  <c:v>0.50516493412544961</c:v>
                </c:pt>
                <c:pt idx="2193">
                  <c:v>0.53610546544279636</c:v>
                </c:pt>
                <c:pt idx="2194">
                  <c:v>0.56704599676014311</c:v>
                </c:pt>
                <c:pt idx="2195">
                  <c:v>0.59798652807748809</c:v>
                </c:pt>
                <c:pt idx="2196">
                  <c:v>0.62892705939483484</c:v>
                </c:pt>
                <c:pt idx="2197">
                  <c:v>0.6598675907121816</c:v>
                </c:pt>
                <c:pt idx="2198">
                  <c:v>0.69080812202952835</c:v>
                </c:pt>
                <c:pt idx="2199">
                  <c:v>0.72174865334687333</c:v>
                </c:pt>
                <c:pt idx="2200">
                  <c:v>0.75268918466422008</c:v>
                </c:pt>
                <c:pt idx="2201">
                  <c:v>0.78362971598156683</c:v>
                </c:pt>
                <c:pt idx="2202">
                  <c:v>0.81457024729891181</c:v>
                </c:pt>
                <c:pt idx="2203">
                  <c:v>0.84551077861625856</c:v>
                </c:pt>
                <c:pt idx="2204">
                  <c:v>0.87645130993360532</c:v>
                </c:pt>
                <c:pt idx="2205">
                  <c:v>0.90739184125095207</c:v>
                </c:pt>
                <c:pt idx="2206">
                  <c:v>0.93833237256829705</c:v>
                </c:pt>
                <c:pt idx="2207">
                  <c:v>0.9692729038856438</c:v>
                </c:pt>
                <c:pt idx="2208">
                  <c:v>1.0002134352029906</c:v>
                </c:pt>
                <c:pt idx="2209">
                  <c:v>1.0311539665203373</c:v>
                </c:pt>
                <c:pt idx="2210">
                  <c:v>1.0620944978376823</c:v>
                </c:pt>
                <c:pt idx="2211">
                  <c:v>1.093035029155029</c:v>
                </c:pt>
                <c:pt idx="2212">
                  <c:v>1.1239755604723758</c:v>
                </c:pt>
                <c:pt idx="2213">
                  <c:v>1.1549160917897225</c:v>
                </c:pt>
                <c:pt idx="2214">
                  <c:v>1.1858566231070675</c:v>
                </c:pt>
                <c:pt idx="2215">
                  <c:v>1.2167971544244143</c:v>
                </c:pt>
                <c:pt idx="2216">
                  <c:v>1.247737685741761</c:v>
                </c:pt>
                <c:pt idx="2217">
                  <c:v>1.278678217059106</c:v>
                </c:pt>
                <c:pt idx="2218">
                  <c:v>1.3096187483764528</c:v>
                </c:pt>
                <c:pt idx="2219">
                  <c:v>1.3405592796937995</c:v>
                </c:pt>
                <c:pt idx="2220">
                  <c:v>1.3714998110111463</c:v>
                </c:pt>
                <c:pt idx="2221">
                  <c:v>1.4024403423284912</c:v>
                </c:pt>
                <c:pt idx="2222">
                  <c:v>1.433380873645838</c:v>
                </c:pt>
                <c:pt idx="2223">
                  <c:v>1.4643214049631847</c:v>
                </c:pt>
                <c:pt idx="2224">
                  <c:v>1.4952619362805315</c:v>
                </c:pt>
                <c:pt idx="2225">
                  <c:v>1.5262024675978765</c:v>
                </c:pt>
                <c:pt idx="2226">
                  <c:v>1.5571429989152232</c:v>
                </c:pt>
                <c:pt idx="2227">
                  <c:v>1.58808353023257</c:v>
                </c:pt>
                <c:pt idx="2228">
                  <c:v>1.619024061549915</c:v>
                </c:pt>
                <c:pt idx="2229">
                  <c:v>1.6499645928672617</c:v>
                </c:pt>
                <c:pt idx="2230">
                  <c:v>1.6809051241846085</c:v>
                </c:pt>
                <c:pt idx="2231">
                  <c:v>1.7118456555019552</c:v>
                </c:pt>
                <c:pt idx="2232">
                  <c:v>1.7427861868193002</c:v>
                </c:pt>
                <c:pt idx="2233">
                  <c:v>1.773726718136647</c:v>
                </c:pt>
                <c:pt idx="2234">
                  <c:v>1.8046672494539937</c:v>
                </c:pt>
                <c:pt idx="2235">
                  <c:v>1.8356077807713405</c:v>
                </c:pt>
                <c:pt idx="2236">
                  <c:v>1.8665483120886854</c:v>
                </c:pt>
                <c:pt idx="2237">
                  <c:v>1.8974888434060322</c:v>
                </c:pt>
                <c:pt idx="2238">
                  <c:v>1.9284293747233789</c:v>
                </c:pt>
                <c:pt idx="2239">
                  <c:v>1.9593699060407257</c:v>
                </c:pt>
                <c:pt idx="2240">
                  <c:v>1.9903104373580707</c:v>
                </c:pt>
                <c:pt idx="2241">
                  <c:v>2.0212509686754174</c:v>
                </c:pt>
                <c:pt idx="2242">
                  <c:v>2.0521914999927642</c:v>
                </c:pt>
                <c:pt idx="2243">
                  <c:v>2.0831320313101092</c:v>
                </c:pt>
                <c:pt idx="2244">
                  <c:v>2.1140725626274559</c:v>
                </c:pt>
                <c:pt idx="2245">
                  <c:v>2.1450130939448027</c:v>
                </c:pt>
                <c:pt idx="2246">
                  <c:v>2.1759536252621494</c:v>
                </c:pt>
                <c:pt idx="2247">
                  <c:v>2.2068941565794944</c:v>
                </c:pt>
                <c:pt idx="2248">
                  <c:v>2.2378346878968411</c:v>
                </c:pt>
                <c:pt idx="2249">
                  <c:v>2.2687752192141879</c:v>
                </c:pt>
                <c:pt idx="2250">
                  <c:v>2.2997157505315347</c:v>
                </c:pt>
                <c:pt idx="2251">
                  <c:v>2.3306562818488796</c:v>
                </c:pt>
                <c:pt idx="2252">
                  <c:v>2.3615968131662264</c:v>
                </c:pt>
                <c:pt idx="2253">
                  <c:v>2.3925373444835731</c:v>
                </c:pt>
                <c:pt idx="2254">
                  <c:v>2.4234778758009181</c:v>
                </c:pt>
                <c:pt idx="2255">
                  <c:v>2.4544184071182649</c:v>
                </c:pt>
                <c:pt idx="2256">
                  <c:v>2.4853589384356116</c:v>
                </c:pt>
                <c:pt idx="2257">
                  <c:v>2.5162994697529584</c:v>
                </c:pt>
                <c:pt idx="2258">
                  <c:v>2.5472400010703034</c:v>
                </c:pt>
                <c:pt idx="2259">
                  <c:v>2.5781805323876501</c:v>
                </c:pt>
                <c:pt idx="2260">
                  <c:v>2.6091210637049969</c:v>
                </c:pt>
                <c:pt idx="2261">
                  <c:v>2.6400615950223436</c:v>
                </c:pt>
                <c:pt idx="2262">
                  <c:v>2.6710021263396886</c:v>
                </c:pt>
                <c:pt idx="2263">
                  <c:v>2.7019426576570353</c:v>
                </c:pt>
                <c:pt idx="2264">
                  <c:v>2.7328831889743821</c:v>
                </c:pt>
                <c:pt idx="2265">
                  <c:v>2.7638237202917288</c:v>
                </c:pt>
                <c:pt idx="2266">
                  <c:v>2.7947642516090738</c:v>
                </c:pt>
                <c:pt idx="2267">
                  <c:v>2.8257047829264206</c:v>
                </c:pt>
                <c:pt idx="2268">
                  <c:v>2.8566453142437673</c:v>
                </c:pt>
                <c:pt idx="2269">
                  <c:v>2.8875858455611123</c:v>
                </c:pt>
                <c:pt idx="2270">
                  <c:v>2.9185263768784591</c:v>
                </c:pt>
                <c:pt idx="2271">
                  <c:v>2.9494669081958058</c:v>
                </c:pt>
                <c:pt idx="2272">
                  <c:v>2.9804074395131526</c:v>
                </c:pt>
                <c:pt idx="2273">
                  <c:v>3.0113479708304975</c:v>
                </c:pt>
                <c:pt idx="2274">
                  <c:v>3.0422885021478443</c:v>
                </c:pt>
                <c:pt idx="2275">
                  <c:v>3.0732290334651911</c:v>
                </c:pt>
                <c:pt idx="2276">
                  <c:v>3.1041695647825378</c:v>
                </c:pt>
                <c:pt idx="2277">
                  <c:v>3.1351100960998828</c:v>
                </c:pt>
                <c:pt idx="2278">
                  <c:v>3.1660506274172295</c:v>
                </c:pt>
                <c:pt idx="2279">
                  <c:v>3.1969911587345763</c:v>
                </c:pt>
                <c:pt idx="2280">
                  <c:v>3.2279316900519213</c:v>
                </c:pt>
                <c:pt idx="2281">
                  <c:v>3.258872221369268</c:v>
                </c:pt>
                <c:pt idx="2282">
                  <c:v>3.2898127526866148</c:v>
                </c:pt>
                <c:pt idx="2283">
                  <c:v>3.3207532840039615</c:v>
                </c:pt>
                <c:pt idx="2284">
                  <c:v>3.3516938153213065</c:v>
                </c:pt>
                <c:pt idx="2285">
                  <c:v>3.3826343466386533</c:v>
                </c:pt>
                <c:pt idx="2286">
                  <c:v>3.413574877956</c:v>
                </c:pt>
                <c:pt idx="2287">
                  <c:v>3.4445154092733468</c:v>
                </c:pt>
                <c:pt idx="2288">
                  <c:v>3.4754559405906917</c:v>
                </c:pt>
                <c:pt idx="2289">
                  <c:v>3.5063964719080385</c:v>
                </c:pt>
                <c:pt idx="2290">
                  <c:v>3.5373370032253852</c:v>
                </c:pt>
                <c:pt idx="2291">
                  <c:v>3.568277534542732</c:v>
                </c:pt>
                <c:pt idx="2292">
                  <c:v>3.599218065860077</c:v>
                </c:pt>
                <c:pt idx="2293">
                  <c:v>3.6301585971774237</c:v>
                </c:pt>
                <c:pt idx="2294">
                  <c:v>3.6610991284947705</c:v>
                </c:pt>
                <c:pt idx="2295">
                  <c:v>3.6920396598121155</c:v>
                </c:pt>
                <c:pt idx="2296">
                  <c:v>3.7229801911294622</c:v>
                </c:pt>
                <c:pt idx="2297">
                  <c:v>3.753920722446809</c:v>
                </c:pt>
                <c:pt idx="2298">
                  <c:v>3.7848612537641557</c:v>
                </c:pt>
                <c:pt idx="2299">
                  <c:v>3.8158017850815007</c:v>
                </c:pt>
                <c:pt idx="2300">
                  <c:v>3.8467423163988474</c:v>
                </c:pt>
                <c:pt idx="2301">
                  <c:v>3.8776828477161942</c:v>
                </c:pt>
                <c:pt idx="2302">
                  <c:v>3.908623379033541</c:v>
                </c:pt>
                <c:pt idx="2303">
                  <c:v>3.9395639103508859</c:v>
                </c:pt>
                <c:pt idx="2304">
                  <c:v>3.9705044416682327</c:v>
                </c:pt>
                <c:pt idx="2305">
                  <c:v>4.0014449729855794</c:v>
                </c:pt>
                <c:pt idx="2306">
                  <c:v>4.0323855043029244</c:v>
                </c:pt>
                <c:pt idx="2307">
                  <c:v>4.0633260356202712</c:v>
                </c:pt>
                <c:pt idx="2308">
                  <c:v>4.0942665669376179</c:v>
                </c:pt>
                <c:pt idx="2309">
                  <c:v>4.1252070982549647</c:v>
                </c:pt>
                <c:pt idx="2310">
                  <c:v>4.1561476295723097</c:v>
                </c:pt>
                <c:pt idx="2311">
                  <c:v>4.1870881608896564</c:v>
                </c:pt>
                <c:pt idx="2312">
                  <c:v>4.2180286922070032</c:v>
                </c:pt>
                <c:pt idx="2313">
                  <c:v>4.2489692235243499</c:v>
                </c:pt>
                <c:pt idx="2314">
                  <c:v>4.2799097548416949</c:v>
                </c:pt>
                <c:pt idx="2315">
                  <c:v>4.3108502861590416</c:v>
                </c:pt>
                <c:pt idx="2316">
                  <c:v>4.3417908174763884</c:v>
                </c:pt>
                <c:pt idx="2317">
                  <c:v>4.3727313487937352</c:v>
                </c:pt>
                <c:pt idx="2318">
                  <c:v>4.4036718801110801</c:v>
                </c:pt>
                <c:pt idx="2319">
                  <c:v>4.4346124114284269</c:v>
                </c:pt>
                <c:pt idx="2320">
                  <c:v>4.4655529427457736</c:v>
                </c:pt>
                <c:pt idx="2321">
                  <c:v>4.4964934740631186</c:v>
                </c:pt>
                <c:pt idx="2322">
                  <c:v>4.5274340053804654</c:v>
                </c:pt>
                <c:pt idx="2323">
                  <c:v>4.5583745366978121</c:v>
                </c:pt>
                <c:pt idx="2324">
                  <c:v>4.5893150680151589</c:v>
                </c:pt>
                <c:pt idx="2325">
                  <c:v>4.6202555993325038</c:v>
                </c:pt>
                <c:pt idx="2326">
                  <c:v>4.6511961306498506</c:v>
                </c:pt>
                <c:pt idx="2327">
                  <c:v>4.6821366619671974</c:v>
                </c:pt>
                <c:pt idx="2328">
                  <c:v>4.7130771932845441</c:v>
                </c:pt>
                <c:pt idx="2329">
                  <c:v>4.7440177246018891</c:v>
                </c:pt>
                <c:pt idx="2330">
                  <c:v>4.7749582559192358</c:v>
                </c:pt>
                <c:pt idx="2331">
                  <c:v>4.8058987872365826</c:v>
                </c:pt>
                <c:pt idx="2332">
                  <c:v>4.8368393185539276</c:v>
                </c:pt>
                <c:pt idx="2333">
                  <c:v>4.8677798498712743</c:v>
                </c:pt>
                <c:pt idx="2334">
                  <c:v>4.8987203811886211</c:v>
                </c:pt>
                <c:pt idx="2335">
                  <c:v>4.9296609125059678</c:v>
                </c:pt>
                <c:pt idx="2336">
                  <c:v>4.9606014438233128</c:v>
                </c:pt>
                <c:pt idx="2337">
                  <c:v>4.9915419751406613</c:v>
                </c:pt>
                <c:pt idx="2338">
                  <c:v>5.0224825064580063</c:v>
                </c:pt>
                <c:pt idx="2339">
                  <c:v>5.0534230377753513</c:v>
                </c:pt>
                <c:pt idx="2340">
                  <c:v>5.0843635690926998</c:v>
                </c:pt>
                <c:pt idx="2341">
                  <c:v>5.1153041004100448</c:v>
                </c:pt>
                <c:pt idx="2342">
                  <c:v>5.1462446317273898</c:v>
                </c:pt>
                <c:pt idx="2343">
                  <c:v>5.1771851630447383</c:v>
                </c:pt>
                <c:pt idx="2344">
                  <c:v>5.2081256943620833</c:v>
                </c:pt>
                <c:pt idx="2345">
                  <c:v>5.2390662256794283</c:v>
                </c:pt>
                <c:pt idx="2346">
                  <c:v>5.2700067569967768</c:v>
                </c:pt>
                <c:pt idx="2347">
                  <c:v>5.3009472883141218</c:v>
                </c:pt>
                <c:pt idx="2348">
                  <c:v>5.3318878196314703</c:v>
                </c:pt>
                <c:pt idx="2349">
                  <c:v>5.3628283509488153</c:v>
                </c:pt>
                <c:pt idx="2350">
                  <c:v>5.3937688822661602</c:v>
                </c:pt>
                <c:pt idx="2351">
                  <c:v>5.4247094135835088</c:v>
                </c:pt>
                <c:pt idx="2352">
                  <c:v>5.4556499449008538</c:v>
                </c:pt>
                <c:pt idx="2353">
                  <c:v>5.4865904762181987</c:v>
                </c:pt>
                <c:pt idx="2354">
                  <c:v>5.5175310075355473</c:v>
                </c:pt>
                <c:pt idx="2355">
                  <c:v>5.5484715388528922</c:v>
                </c:pt>
                <c:pt idx="2356">
                  <c:v>5.5794120701702372</c:v>
                </c:pt>
                <c:pt idx="2357">
                  <c:v>5.6103526014875857</c:v>
                </c:pt>
                <c:pt idx="2358">
                  <c:v>5.6412931328049307</c:v>
                </c:pt>
                <c:pt idx="2359">
                  <c:v>5.6722336641222793</c:v>
                </c:pt>
                <c:pt idx="2360">
                  <c:v>5.7031741954396242</c:v>
                </c:pt>
                <c:pt idx="2361">
                  <c:v>5.7341147267569692</c:v>
                </c:pt>
                <c:pt idx="2362">
                  <c:v>5.7650552580743177</c:v>
                </c:pt>
                <c:pt idx="2363">
                  <c:v>5.7959957893916627</c:v>
                </c:pt>
                <c:pt idx="2364">
                  <c:v>5.8269363207090077</c:v>
                </c:pt>
                <c:pt idx="2365">
                  <c:v>5.8578768520263562</c:v>
                </c:pt>
                <c:pt idx="2366">
                  <c:v>5.8888173833437012</c:v>
                </c:pt>
                <c:pt idx="2367">
                  <c:v>5.9197579146610497</c:v>
                </c:pt>
                <c:pt idx="2368">
                  <c:v>5.9506984459783947</c:v>
                </c:pt>
                <c:pt idx="2369">
                  <c:v>5.9816389772957397</c:v>
                </c:pt>
                <c:pt idx="2370">
                  <c:v>6.0125795086130882</c:v>
                </c:pt>
                <c:pt idx="2371">
                  <c:v>6.0435200399304332</c:v>
                </c:pt>
                <c:pt idx="2372">
                  <c:v>6.0744605712477782</c:v>
                </c:pt>
                <c:pt idx="2373">
                  <c:v>6.1054011025651267</c:v>
                </c:pt>
                <c:pt idx="2374">
                  <c:v>6.1363416338824717</c:v>
                </c:pt>
                <c:pt idx="2375">
                  <c:v>6.1672821651998166</c:v>
                </c:pt>
                <c:pt idx="2376">
                  <c:v>6.1982226965171652</c:v>
                </c:pt>
                <c:pt idx="2377">
                  <c:v>6.2291632278345102</c:v>
                </c:pt>
                <c:pt idx="2378">
                  <c:v>6.2601037591518587</c:v>
                </c:pt>
                <c:pt idx="2379">
                  <c:v>6.2910442904692037</c:v>
                </c:pt>
                <c:pt idx="2380">
                  <c:v>6.3219848217865486</c:v>
                </c:pt>
                <c:pt idx="2381">
                  <c:v>6.3529253531038972</c:v>
                </c:pt>
                <c:pt idx="2382">
                  <c:v>6.3838658844212421</c:v>
                </c:pt>
                <c:pt idx="2383">
                  <c:v>6.4148064157385871</c:v>
                </c:pt>
                <c:pt idx="2384">
                  <c:v>6.4457469470559356</c:v>
                </c:pt>
                <c:pt idx="2385">
                  <c:v>6.4766874783732806</c:v>
                </c:pt>
                <c:pt idx="2386">
                  <c:v>6.5076280096906256</c:v>
                </c:pt>
                <c:pt idx="2387">
                  <c:v>6.5385685410079741</c:v>
                </c:pt>
                <c:pt idx="2388">
                  <c:v>6.5695090723253191</c:v>
                </c:pt>
                <c:pt idx="2389">
                  <c:v>6.6004496036426676</c:v>
                </c:pt>
                <c:pt idx="2390">
                  <c:v>6.6313901349600126</c:v>
                </c:pt>
                <c:pt idx="2391">
                  <c:v>6.6623306662773576</c:v>
                </c:pt>
                <c:pt idx="2392">
                  <c:v>6.6932711975947061</c:v>
                </c:pt>
                <c:pt idx="2393">
                  <c:v>6.7242117289120511</c:v>
                </c:pt>
                <c:pt idx="2394">
                  <c:v>6.7551522602293961</c:v>
                </c:pt>
                <c:pt idx="2395">
                  <c:v>6.7860927915467446</c:v>
                </c:pt>
                <c:pt idx="2396">
                  <c:v>6.8170333228640896</c:v>
                </c:pt>
                <c:pt idx="2397">
                  <c:v>6.8479738541814346</c:v>
                </c:pt>
                <c:pt idx="2398">
                  <c:v>6.8789143854987831</c:v>
                </c:pt>
                <c:pt idx="2399">
                  <c:v>6.9098549168161281</c:v>
                </c:pt>
                <c:pt idx="2400">
                  <c:v>6.9407954481334766</c:v>
                </c:pt>
                <c:pt idx="2401">
                  <c:v>6.9717359794508216</c:v>
                </c:pt>
                <c:pt idx="2402">
                  <c:v>7.0026765107681666</c:v>
                </c:pt>
                <c:pt idx="2403">
                  <c:v>7.0336170420855151</c:v>
                </c:pt>
                <c:pt idx="2404">
                  <c:v>7.0645575734028601</c:v>
                </c:pt>
                <c:pt idx="2405">
                  <c:v>7.095498104720205</c:v>
                </c:pt>
                <c:pt idx="2406">
                  <c:v>7.1264386360375536</c:v>
                </c:pt>
                <c:pt idx="2407">
                  <c:v>7.1573791673548985</c:v>
                </c:pt>
                <c:pt idx="2408">
                  <c:v>7.1883196986722435</c:v>
                </c:pt>
                <c:pt idx="2409">
                  <c:v>7.219260229989592</c:v>
                </c:pt>
                <c:pt idx="2410">
                  <c:v>7.250200761306937</c:v>
                </c:pt>
                <c:pt idx="2411">
                  <c:v>7.2811412926242856</c:v>
                </c:pt>
                <c:pt idx="2412">
                  <c:v>7.3120818239416305</c:v>
                </c:pt>
                <c:pt idx="2413">
                  <c:v>7.3430223552589755</c:v>
                </c:pt>
                <c:pt idx="2414">
                  <c:v>7.373962886576324</c:v>
                </c:pt>
                <c:pt idx="2415">
                  <c:v>7.404903417893669</c:v>
                </c:pt>
                <c:pt idx="2416">
                  <c:v>7.435843949211014</c:v>
                </c:pt>
                <c:pt idx="2417">
                  <c:v>7.4667844805283625</c:v>
                </c:pt>
                <c:pt idx="2418">
                  <c:v>7.4977250118457075</c:v>
                </c:pt>
                <c:pt idx="2419">
                  <c:v>7.528665543163056</c:v>
                </c:pt>
                <c:pt idx="2420">
                  <c:v>7.559606074480401</c:v>
                </c:pt>
                <c:pt idx="2421">
                  <c:v>7.590546605797746</c:v>
                </c:pt>
                <c:pt idx="2422">
                  <c:v>7.6214871371150945</c:v>
                </c:pt>
                <c:pt idx="2423">
                  <c:v>7.6524276684324395</c:v>
                </c:pt>
                <c:pt idx="2424">
                  <c:v>7.6833681997497845</c:v>
                </c:pt>
                <c:pt idx="2425">
                  <c:v>7.714308731067133</c:v>
                </c:pt>
                <c:pt idx="2426">
                  <c:v>7.745249262384478</c:v>
                </c:pt>
                <c:pt idx="2427">
                  <c:v>7.7761897937018229</c:v>
                </c:pt>
                <c:pt idx="2428">
                  <c:v>7.8071303250191715</c:v>
                </c:pt>
                <c:pt idx="2429">
                  <c:v>7.8380708563365165</c:v>
                </c:pt>
                <c:pt idx="2430">
                  <c:v>7.869011387653865</c:v>
                </c:pt>
                <c:pt idx="2431">
                  <c:v>7.89995191897121</c:v>
                </c:pt>
                <c:pt idx="2432">
                  <c:v>7.9308924502885549</c:v>
                </c:pt>
                <c:pt idx="2433">
                  <c:v>7.9618329816059035</c:v>
                </c:pt>
                <c:pt idx="2434">
                  <c:v>7.9927735129232484</c:v>
                </c:pt>
                <c:pt idx="2435">
                  <c:v>8.0237140442405934</c:v>
                </c:pt>
                <c:pt idx="2436">
                  <c:v>8.054654575557942</c:v>
                </c:pt>
                <c:pt idx="2437">
                  <c:v>8.0855951068752869</c:v>
                </c:pt>
                <c:pt idx="2438">
                  <c:v>8.1165356381926319</c:v>
                </c:pt>
                <c:pt idx="2439">
                  <c:v>8.1474761695099804</c:v>
                </c:pt>
                <c:pt idx="2440">
                  <c:v>8.1784167008273254</c:v>
                </c:pt>
                <c:pt idx="2441">
                  <c:v>8.2093572321446739</c:v>
                </c:pt>
                <c:pt idx="2442">
                  <c:v>8.2402977634620189</c:v>
                </c:pt>
                <c:pt idx="2443">
                  <c:v>8.2712382947793639</c:v>
                </c:pt>
                <c:pt idx="2444">
                  <c:v>8.3021788260967124</c:v>
                </c:pt>
                <c:pt idx="2445">
                  <c:v>8.3331193574140574</c:v>
                </c:pt>
                <c:pt idx="2446">
                  <c:v>8.3640598887314024</c:v>
                </c:pt>
                <c:pt idx="2447">
                  <c:v>8.3950004200487509</c:v>
                </c:pt>
                <c:pt idx="2448">
                  <c:v>8.4259409513660959</c:v>
                </c:pt>
                <c:pt idx="2449">
                  <c:v>8.4568814826834409</c:v>
                </c:pt>
                <c:pt idx="2450">
                  <c:v>8.4878220140007894</c:v>
                </c:pt>
                <c:pt idx="2451">
                  <c:v>8.5187625453181344</c:v>
                </c:pt>
                <c:pt idx="2452">
                  <c:v>8.5497030766354829</c:v>
                </c:pt>
                <c:pt idx="2453">
                  <c:v>8.5806436079528279</c:v>
                </c:pt>
                <c:pt idx="2454">
                  <c:v>8.6115841392701729</c:v>
                </c:pt>
                <c:pt idx="2455">
                  <c:v>8.6425246705875214</c:v>
                </c:pt>
                <c:pt idx="2456">
                  <c:v>8.6734652019048664</c:v>
                </c:pt>
                <c:pt idx="2457">
                  <c:v>8.7044057332222113</c:v>
                </c:pt>
                <c:pt idx="2458">
                  <c:v>8.7353462645395599</c:v>
                </c:pt>
                <c:pt idx="2459">
                  <c:v>8.7662867958569048</c:v>
                </c:pt>
                <c:pt idx="2460">
                  <c:v>8.7972273271742498</c:v>
                </c:pt>
                <c:pt idx="2461">
                  <c:v>8.8281678584915984</c:v>
                </c:pt>
                <c:pt idx="2462">
                  <c:v>8.8591083898089433</c:v>
                </c:pt>
                <c:pt idx="2463">
                  <c:v>8.8900489211262919</c:v>
                </c:pt>
                <c:pt idx="2464">
                  <c:v>8.9209894524436368</c:v>
                </c:pt>
                <c:pt idx="2465">
                  <c:v>8.9519299837609818</c:v>
                </c:pt>
                <c:pt idx="2466">
                  <c:v>8.9828705150783303</c:v>
                </c:pt>
                <c:pt idx="2467">
                  <c:v>9.0138110463956753</c:v>
                </c:pt>
                <c:pt idx="2468">
                  <c:v>9.0447515777130203</c:v>
                </c:pt>
                <c:pt idx="2469">
                  <c:v>9.0756921090303688</c:v>
                </c:pt>
                <c:pt idx="2470">
                  <c:v>9.1066326403477138</c:v>
                </c:pt>
                <c:pt idx="2471">
                  <c:v>9.1375731716650588</c:v>
                </c:pt>
                <c:pt idx="2472">
                  <c:v>9.1685137029824073</c:v>
                </c:pt>
                <c:pt idx="2473">
                  <c:v>9.1994542342997523</c:v>
                </c:pt>
                <c:pt idx="2474">
                  <c:v>9.2303947656171008</c:v>
                </c:pt>
                <c:pt idx="2475">
                  <c:v>9.2613352969344458</c:v>
                </c:pt>
                <c:pt idx="2476">
                  <c:v>9.2922758282517908</c:v>
                </c:pt>
                <c:pt idx="2477">
                  <c:v>9.3232163595691393</c:v>
                </c:pt>
                <c:pt idx="2478">
                  <c:v>9.3541568908864843</c:v>
                </c:pt>
                <c:pt idx="2479">
                  <c:v>9.3850974222038293</c:v>
                </c:pt>
                <c:pt idx="2480">
                  <c:v>9.4160379535211778</c:v>
                </c:pt>
                <c:pt idx="2481">
                  <c:v>9.4469784848385228</c:v>
                </c:pt>
                <c:pt idx="2482">
                  <c:v>9.4779190161558713</c:v>
                </c:pt>
                <c:pt idx="2483">
                  <c:v>9.5088595474732163</c:v>
                </c:pt>
                <c:pt idx="2484">
                  <c:v>9.5398000787905612</c:v>
                </c:pt>
                <c:pt idx="2485">
                  <c:v>9.5707406101079098</c:v>
                </c:pt>
                <c:pt idx="2486">
                  <c:v>9.6016811414252548</c:v>
                </c:pt>
                <c:pt idx="2487">
                  <c:v>9.6326216727425997</c:v>
                </c:pt>
                <c:pt idx="2488">
                  <c:v>9.6635622040599483</c:v>
                </c:pt>
                <c:pt idx="2489">
                  <c:v>9.6945027353772932</c:v>
                </c:pt>
                <c:pt idx="2490">
                  <c:v>9.7254432666946382</c:v>
                </c:pt>
                <c:pt idx="2491">
                  <c:v>9.7563837980119867</c:v>
                </c:pt>
                <c:pt idx="2492">
                  <c:v>9.7873243293293317</c:v>
                </c:pt>
                <c:pt idx="2493">
                  <c:v>9.8182648606466802</c:v>
                </c:pt>
                <c:pt idx="2494">
                  <c:v>9.8492053919640252</c:v>
                </c:pt>
                <c:pt idx="2495">
                  <c:v>9.8801459232813702</c:v>
                </c:pt>
                <c:pt idx="2496">
                  <c:v>9.9110864545987187</c:v>
                </c:pt>
                <c:pt idx="2497">
                  <c:v>9.9420269859160637</c:v>
                </c:pt>
                <c:pt idx="2498">
                  <c:v>9.9729675172334087</c:v>
                </c:pt>
                <c:pt idx="2499">
                  <c:v>10.003908048550757</c:v>
                </c:pt>
                <c:pt idx="2500">
                  <c:v>10.034848579868102</c:v>
                </c:pt>
                <c:pt idx="2501">
                  <c:v>10.065789111185447</c:v>
                </c:pt>
                <c:pt idx="2502">
                  <c:v>10.096729642502796</c:v>
                </c:pt>
                <c:pt idx="2503">
                  <c:v>10.127670173820141</c:v>
                </c:pt>
                <c:pt idx="2504">
                  <c:v>10.158610705137489</c:v>
                </c:pt>
                <c:pt idx="2505">
                  <c:v>10.189551236454834</c:v>
                </c:pt>
                <c:pt idx="2506">
                  <c:v>10.220491767772179</c:v>
                </c:pt>
                <c:pt idx="2507">
                  <c:v>10.251432299089528</c:v>
                </c:pt>
                <c:pt idx="2508">
                  <c:v>10.282372830406873</c:v>
                </c:pt>
                <c:pt idx="2509">
                  <c:v>10.313313361724218</c:v>
                </c:pt>
                <c:pt idx="2510">
                  <c:v>10.344253893041566</c:v>
                </c:pt>
                <c:pt idx="2511">
                  <c:v>10.375194424358911</c:v>
                </c:pt>
                <c:pt idx="2512">
                  <c:v>10.406134955676256</c:v>
                </c:pt>
                <c:pt idx="2513">
                  <c:v>10.437075486993605</c:v>
                </c:pt>
                <c:pt idx="2514">
                  <c:v>10.46801601831095</c:v>
                </c:pt>
                <c:pt idx="2515">
                  <c:v>10.498956549628298</c:v>
                </c:pt>
                <c:pt idx="2516">
                  <c:v>10.529897080945643</c:v>
                </c:pt>
                <c:pt idx="2517">
                  <c:v>10.560837612262988</c:v>
                </c:pt>
                <c:pt idx="2518">
                  <c:v>10.591778143580337</c:v>
                </c:pt>
                <c:pt idx="2519">
                  <c:v>10.622718674897682</c:v>
                </c:pt>
                <c:pt idx="2520">
                  <c:v>10.653659206215027</c:v>
                </c:pt>
                <c:pt idx="2521">
                  <c:v>10.684599737532375</c:v>
                </c:pt>
                <c:pt idx="2522">
                  <c:v>10.71554026884972</c:v>
                </c:pt>
                <c:pt idx="2523">
                  <c:v>10.746480800167065</c:v>
                </c:pt>
                <c:pt idx="2524">
                  <c:v>10.777421331484414</c:v>
                </c:pt>
                <c:pt idx="2525">
                  <c:v>10.808361862801759</c:v>
                </c:pt>
                <c:pt idx="2526">
                  <c:v>10.839302394119107</c:v>
                </c:pt>
                <c:pt idx="2527">
                  <c:v>10.870242925436452</c:v>
                </c:pt>
                <c:pt idx="2528">
                  <c:v>10.901183456753797</c:v>
                </c:pt>
                <c:pt idx="2529">
                  <c:v>10.932123988071146</c:v>
                </c:pt>
                <c:pt idx="2530">
                  <c:v>10.963064519388491</c:v>
                </c:pt>
                <c:pt idx="2531">
                  <c:v>10.994005050705836</c:v>
                </c:pt>
                <c:pt idx="2532">
                  <c:v>11.024945582023184</c:v>
                </c:pt>
                <c:pt idx="2533">
                  <c:v>11.055886113340529</c:v>
                </c:pt>
                <c:pt idx="2534">
                  <c:v>11.086826644657878</c:v>
                </c:pt>
                <c:pt idx="2535">
                  <c:v>11.117767175975223</c:v>
                </c:pt>
                <c:pt idx="2536">
                  <c:v>11.148707707292568</c:v>
                </c:pt>
                <c:pt idx="2537">
                  <c:v>11.179648238609916</c:v>
                </c:pt>
                <c:pt idx="2538">
                  <c:v>11.210588769927261</c:v>
                </c:pt>
                <c:pt idx="2539">
                  <c:v>11.241529301244606</c:v>
                </c:pt>
                <c:pt idx="2540">
                  <c:v>11.272469832561955</c:v>
                </c:pt>
                <c:pt idx="2541">
                  <c:v>11.3034103638793</c:v>
                </c:pt>
                <c:pt idx="2542">
                  <c:v>11.334350895196645</c:v>
                </c:pt>
                <c:pt idx="2543">
                  <c:v>11.365291426513993</c:v>
                </c:pt>
                <c:pt idx="2544">
                  <c:v>11.396231957831338</c:v>
                </c:pt>
                <c:pt idx="2545">
                  <c:v>11.427172489148687</c:v>
                </c:pt>
                <c:pt idx="2546">
                  <c:v>11.458113020466032</c:v>
                </c:pt>
                <c:pt idx="2547">
                  <c:v>11.489053551783377</c:v>
                </c:pt>
                <c:pt idx="2548">
                  <c:v>11.519994083100725</c:v>
                </c:pt>
                <c:pt idx="2549">
                  <c:v>11.55093461441807</c:v>
                </c:pt>
                <c:pt idx="2550">
                  <c:v>11.581875145735415</c:v>
                </c:pt>
                <c:pt idx="2551">
                  <c:v>11.612815677052764</c:v>
                </c:pt>
                <c:pt idx="2552">
                  <c:v>11.643756208370108</c:v>
                </c:pt>
                <c:pt idx="2553">
                  <c:v>11.674696739687453</c:v>
                </c:pt>
                <c:pt idx="2554">
                  <c:v>11.705637271004802</c:v>
                </c:pt>
                <c:pt idx="2555">
                  <c:v>11.736577802322147</c:v>
                </c:pt>
                <c:pt idx="2556">
                  <c:v>11.767518333639496</c:v>
                </c:pt>
                <c:pt idx="2557">
                  <c:v>11.79845886495684</c:v>
                </c:pt>
                <c:pt idx="2558">
                  <c:v>11.829399396274185</c:v>
                </c:pt>
                <c:pt idx="2559">
                  <c:v>11.860339927591534</c:v>
                </c:pt>
                <c:pt idx="2560">
                  <c:v>11.891280458908879</c:v>
                </c:pt>
                <c:pt idx="2561">
                  <c:v>11.922220990226224</c:v>
                </c:pt>
                <c:pt idx="2562">
                  <c:v>11.953161521543572</c:v>
                </c:pt>
                <c:pt idx="2563">
                  <c:v>11.984102052860917</c:v>
                </c:pt>
                <c:pt idx="2564">
                  <c:v>12.015042584178262</c:v>
                </c:pt>
                <c:pt idx="2565">
                  <c:v>12.045983115495611</c:v>
                </c:pt>
                <c:pt idx="2566">
                  <c:v>12.076923646812956</c:v>
                </c:pt>
                <c:pt idx="2567">
                  <c:v>12.107864178130304</c:v>
                </c:pt>
                <c:pt idx="2568">
                  <c:v>12.138804709447649</c:v>
                </c:pt>
                <c:pt idx="2569">
                  <c:v>12.169745240764994</c:v>
                </c:pt>
                <c:pt idx="2570">
                  <c:v>12.200685772082343</c:v>
                </c:pt>
                <c:pt idx="2571">
                  <c:v>12.231626303399688</c:v>
                </c:pt>
                <c:pt idx="2572">
                  <c:v>12.262566834717033</c:v>
                </c:pt>
                <c:pt idx="2573">
                  <c:v>12.293507366034381</c:v>
                </c:pt>
                <c:pt idx="2574">
                  <c:v>12.324447897351726</c:v>
                </c:pt>
                <c:pt idx="2575">
                  <c:v>12.355388428669071</c:v>
                </c:pt>
                <c:pt idx="2576">
                  <c:v>12.38632895998642</c:v>
                </c:pt>
                <c:pt idx="2577">
                  <c:v>12.417269491303765</c:v>
                </c:pt>
                <c:pt idx="2578">
                  <c:v>12.448210022621113</c:v>
                </c:pt>
                <c:pt idx="2579">
                  <c:v>12.479150553938458</c:v>
                </c:pt>
                <c:pt idx="2580">
                  <c:v>12.510091085255803</c:v>
                </c:pt>
                <c:pt idx="2581">
                  <c:v>12.541031616573152</c:v>
                </c:pt>
                <c:pt idx="2582">
                  <c:v>12.571972147890497</c:v>
                </c:pt>
                <c:pt idx="2583">
                  <c:v>12.602912679207842</c:v>
                </c:pt>
                <c:pt idx="2584">
                  <c:v>12.63385321052519</c:v>
                </c:pt>
                <c:pt idx="2585">
                  <c:v>12.664793741842535</c:v>
                </c:pt>
                <c:pt idx="2586">
                  <c:v>12.69573427315988</c:v>
                </c:pt>
                <c:pt idx="2587">
                  <c:v>12.726674804477229</c:v>
                </c:pt>
                <c:pt idx="2588">
                  <c:v>12.757615335794574</c:v>
                </c:pt>
                <c:pt idx="2589">
                  <c:v>12.788555867111922</c:v>
                </c:pt>
                <c:pt idx="2590">
                  <c:v>12.819496398429267</c:v>
                </c:pt>
                <c:pt idx="2591">
                  <c:v>12.850436929746612</c:v>
                </c:pt>
                <c:pt idx="2592">
                  <c:v>12.881377461063961</c:v>
                </c:pt>
                <c:pt idx="2593">
                  <c:v>12.912317992381306</c:v>
                </c:pt>
                <c:pt idx="2594">
                  <c:v>12.943258523698651</c:v>
                </c:pt>
                <c:pt idx="2595">
                  <c:v>12.974199055015999</c:v>
                </c:pt>
                <c:pt idx="2596">
                  <c:v>13.005139586333344</c:v>
                </c:pt>
                <c:pt idx="2597">
                  <c:v>13.036080117650693</c:v>
                </c:pt>
                <c:pt idx="2598">
                  <c:v>13.067020648968038</c:v>
                </c:pt>
                <c:pt idx="2599">
                  <c:v>13.097961180285383</c:v>
                </c:pt>
                <c:pt idx="2600">
                  <c:v>13.128901711602731</c:v>
                </c:pt>
                <c:pt idx="2601">
                  <c:v>13.159842242920076</c:v>
                </c:pt>
                <c:pt idx="2602">
                  <c:v>13.190782774237421</c:v>
                </c:pt>
                <c:pt idx="2603">
                  <c:v>13.22172330555477</c:v>
                </c:pt>
                <c:pt idx="2604">
                  <c:v>13.252663836872115</c:v>
                </c:pt>
                <c:pt idx="2605">
                  <c:v>13.28360436818946</c:v>
                </c:pt>
                <c:pt idx="2606">
                  <c:v>13.314544899506808</c:v>
                </c:pt>
                <c:pt idx="2607">
                  <c:v>13.345485430824153</c:v>
                </c:pt>
                <c:pt idx="2608">
                  <c:v>13.376425962141502</c:v>
                </c:pt>
                <c:pt idx="2609">
                  <c:v>13.407366493458847</c:v>
                </c:pt>
                <c:pt idx="2610">
                  <c:v>13.438307024776192</c:v>
                </c:pt>
                <c:pt idx="2611">
                  <c:v>13.46924755609354</c:v>
                </c:pt>
                <c:pt idx="2612">
                  <c:v>13.500188087410885</c:v>
                </c:pt>
                <c:pt idx="2613">
                  <c:v>13.53112861872823</c:v>
                </c:pt>
                <c:pt idx="2614">
                  <c:v>13.562069150045579</c:v>
                </c:pt>
                <c:pt idx="2615">
                  <c:v>13.593009681362924</c:v>
                </c:pt>
                <c:pt idx="2616">
                  <c:v>13.623950212680269</c:v>
                </c:pt>
                <c:pt idx="2617">
                  <c:v>13.654890743997617</c:v>
                </c:pt>
                <c:pt idx="2618">
                  <c:v>13.685831275314962</c:v>
                </c:pt>
                <c:pt idx="2619">
                  <c:v>13.716771806632311</c:v>
                </c:pt>
                <c:pt idx="2620">
                  <c:v>13.747712337949656</c:v>
                </c:pt>
                <c:pt idx="2621">
                  <c:v>13.778652869267001</c:v>
                </c:pt>
                <c:pt idx="2622">
                  <c:v>13.809593400584349</c:v>
                </c:pt>
                <c:pt idx="2623">
                  <c:v>13.840533931901694</c:v>
                </c:pt>
                <c:pt idx="2624">
                  <c:v>13.871474463219039</c:v>
                </c:pt>
                <c:pt idx="2625">
                  <c:v>13.902414994536388</c:v>
                </c:pt>
                <c:pt idx="2626">
                  <c:v>13.933355525853733</c:v>
                </c:pt>
                <c:pt idx="2627">
                  <c:v>13.964296057171078</c:v>
                </c:pt>
                <c:pt idx="2628">
                  <c:v>13.995236588488426</c:v>
                </c:pt>
                <c:pt idx="2629">
                  <c:v>14.026177119805771</c:v>
                </c:pt>
                <c:pt idx="2630">
                  <c:v>14.05711765112312</c:v>
                </c:pt>
                <c:pt idx="2631">
                  <c:v>14.088058182440465</c:v>
                </c:pt>
                <c:pt idx="2632">
                  <c:v>14.11899871375781</c:v>
                </c:pt>
                <c:pt idx="2633">
                  <c:v>14.149939245075158</c:v>
                </c:pt>
                <c:pt idx="2634">
                  <c:v>14.180879776392503</c:v>
                </c:pt>
                <c:pt idx="2635">
                  <c:v>14.211820307709848</c:v>
                </c:pt>
                <c:pt idx="2636">
                  <c:v>14.242760839027197</c:v>
                </c:pt>
                <c:pt idx="2637">
                  <c:v>14.273701370344542</c:v>
                </c:pt>
                <c:pt idx="2638">
                  <c:v>14.304641901661887</c:v>
                </c:pt>
                <c:pt idx="2639">
                  <c:v>14.335582432979235</c:v>
                </c:pt>
                <c:pt idx="2640">
                  <c:v>14.36652296429658</c:v>
                </c:pt>
                <c:pt idx="2641">
                  <c:v>14.397463495613929</c:v>
                </c:pt>
                <c:pt idx="2642">
                  <c:v>14.428404026931274</c:v>
                </c:pt>
                <c:pt idx="2643">
                  <c:v>14.459344558248619</c:v>
                </c:pt>
                <c:pt idx="2644">
                  <c:v>14.490285089565967</c:v>
                </c:pt>
                <c:pt idx="2645">
                  <c:v>14.521225620883312</c:v>
                </c:pt>
                <c:pt idx="2646">
                  <c:v>14.552166152200657</c:v>
                </c:pt>
                <c:pt idx="2647">
                  <c:v>14.583106683518006</c:v>
                </c:pt>
                <c:pt idx="2648">
                  <c:v>14.614047214835351</c:v>
                </c:pt>
                <c:pt idx="2649">
                  <c:v>14.644987746152699</c:v>
                </c:pt>
                <c:pt idx="2650">
                  <c:v>14.675928277470044</c:v>
                </c:pt>
                <c:pt idx="2651">
                  <c:v>14.706868808787389</c:v>
                </c:pt>
                <c:pt idx="2652">
                  <c:v>14.737809340104738</c:v>
                </c:pt>
                <c:pt idx="2653">
                  <c:v>14.768749871422083</c:v>
                </c:pt>
                <c:pt idx="2654">
                  <c:v>14.799690402739428</c:v>
                </c:pt>
                <c:pt idx="2655">
                  <c:v>14.830630934056776</c:v>
                </c:pt>
                <c:pt idx="2656">
                  <c:v>14.861571465374121</c:v>
                </c:pt>
                <c:pt idx="2657">
                  <c:v>14.892511996691466</c:v>
                </c:pt>
                <c:pt idx="2658">
                  <c:v>14.923452528008815</c:v>
                </c:pt>
                <c:pt idx="2659">
                  <c:v>14.95439305932616</c:v>
                </c:pt>
                <c:pt idx="2660">
                  <c:v>14.985333590643508</c:v>
                </c:pt>
                <c:pt idx="2661">
                  <c:v>15.016274121960853</c:v>
                </c:pt>
                <c:pt idx="2662">
                  <c:v>15.047214653278198</c:v>
                </c:pt>
                <c:pt idx="2663">
                  <c:v>15.078155184595547</c:v>
                </c:pt>
                <c:pt idx="2664">
                  <c:v>15.109095715912892</c:v>
                </c:pt>
                <c:pt idx="2665">
                  <c:v>15.140036247230237</c:v>
                </c:pt>
                <c:pt idx="2666">
                  <c:v>15.170976778547585</c:v>
                </c:pt>
                <c:pt idx="2667">
                  <c:v>15.20191730986493</c:v>
                </c:pt>
                <c:pt idx="2668">
                  <c:v>15.232857841182275</c:v>
                </c:pt>
                <c:pt idx="2669">
                  <c:v>15.263798372499624</c:v>
                </c:pt>
                <c:pt idx="2670">
                  <c:v>15.294738903816969</c:v>
                </c:pt>
                <c:pt idx="2671">
                  <c:v>15.325679435134317</c:v>
                </c:pt>
                <c:pt idx="2672">
                  <c:v>15.356619966451662</c:v>
                </c:pt>
                <c:pt idx="2673">
                  <c:v>15.387560497769007</c:v>
                </c:pt>
                <c:pt idx="2674">
                  <c:v>15.418501029086356</c:v>
                </c:pt>
                <c:pt idx="2675">
                  <c:v>15.449441560403701</c:v>
                </c:pt>
                <c:pt idx="2676">
                  <c:v>15.480382091721046</c:v>
                </c:pt>
                <c:pt idx="2677">
                  <c:v>15.511322623038394</c:v>
                </c:pt>
                <c:pt idx="2678">
                  <c:v>15.542263154355739</c:v>
                </c:pt>
                <c:pt idx="2679">
                  <c:v>15.573203685673084</c:v>
                </c:pt>
                <c:pt idx="2680">
                  <c:v>15.604144216990433</c:v>
                </c:pt>
                <c:pt idx="2681">
                  <c:v>15.635084748307778</c:v>
                </c:pt>
                <c:pt idx="2682">
                  <c:v>15.666025279625126</c:v>
                </c:pt>
                <c:pt idx="2683">
                  <c:v>15.696965810942471</c:v>
                </c:pt>
                <c:pt idx="2684">
                  <c:v>15.727906342259816</c:v>
                </c:pt>
                <c:pt idx="2685">
                  <c:v>15.758846873577165</c:v>
                </c:pt>
                <c:pt idx="2686">
                  <c:v>15.789787404894509</c:v>
                </c:pt>
                <c:pt idx="2687">
                  <c:v>15.820727936211854</c:v>
                </c:pt>
                <c:pt idx="2688">
                  <c:v>15.851668467529203</c:v>
                </c:pt>
                <c:pt idx="2689">
                  <c:v>15.882608998846548</c:v>
                </c:pt>
                <c:pt idx="2690">
                  <c:v>15.913549530163893</c:v>
                </c:pt>
                <c:pt idx="2691">
                  <c:v>15.944490061481241</c:v>
                </c:pt>
                <c:pt idx="2692">
                  <c:v>15.975430592798586</c:v>
                </c:pt>
                <c:pt idx="2693">
                  <c:v>16.006371124115937</c:v>
                </c:pt>
                <c:pt idx="2694">
                  <c:v>16.037311655433278</c:v>
                </c:pt>
                <c:pt idx="2695">
                  <c:v>16.068252186750627</c:v>
                </c:pt>
                <c:pt idx="2696">
                  <c:v>16.099192718067975</c:v>
                </c:pt>
                <c:pt idx="2697">
                  <c:v>16.130133249385317</c:v>
                </c:pt>
                <c:pt idx="2698">
                  <c:v>16.161073780702665</c:v>
                </c:pt>
                <c:pt idx="2699">
                  <c:v>16.192014312020014</c:v>
                </c:pt>
                <c:pt idx="2700">
                  <c:v>16.222954843337355</c:v>
                </c:pt>
                <c:pt idx="2701">
                  <c:v>16.253895374654704</c:v>
                </c:pt>
                <c:pt idx="2702">
                  <c:v>16.284835905972052</c:v>
                </c:pt>
                <c:pt idx="2703">
                  <c:v>16.315776437289394</c:v>
                </c:pt>
                <c:pt idx="2704">
                  <c:v>16.346716968606742</c:v>
                </c:pt>
                <c:pt idx="2705">
                  <c:v>16.377657499924091</c:v>
                </c:pt>
                <c:pt idx="2706">
                  <c:v>16.408598031241432</c:v>
                </c:pt>
                <c:pt idx="2707">
                  <c:v>16.439538562558781</c:v>
                </c:pt>
                <c:pt idx="2708">
                  <c:v>16.470479093876129</c:v>
                </c:pt>
                <c:pt idx="2709">
                  <c:v>16.501419625193471</c:v>
                </c:pt>
                <c:pt idx="2710">
                  <c:v>16.532360156510819</c:v>
                </c:pt>
                <c:pt idx="2711">
                  <c:v>16.563300687828168</c:v>
                </c:pt>
                <c:pt idx="2712">
                  <c:v>16.594241219145516</c:v>
                </c:pt>
                <c:pt idx="2713">
                  <c:v>16.625181750462858</c:v>
                </c:pt>
                <c:pt idx="2714">
                  <c:v>16.656122281780206</c:v>
                </c:pt>
                <c:pt idx="2715">
                  <c:v>16.687062813097555</c:v>
                </c:pt>
                <c:pt idx="2716">
                  <c:v>16.718003344414896</c:v>
                </c:pt>
                <c:pt idx="2717">
                  <c:v>16.748943875732245</c:v>
                </c:pt>
                <c:pt idx="2718">
                  <c:v>16.779884407049593</c:v>
                </c:pt>
                <c:pt idx="2719">
                  <c:v>16.810824938366935</c:v>
                </c:pt>
                <c:pt idx="2720">
                  <c:v>16.841765469684283</c:v>
                </c:pt>
                <c:pt idx="2721">
                  <c:v>16.872706001001632</c:v>
                </c:pt>
                <c:pt idx="2722">
                  <c:v>16.903646532318973</c:v>
                </c:pt>
                <c:pt idx="2723">
                  <c:v>16.934587063636322</c:v>
                </c:pt>
                <c:pt idx="2724">
                  <c:v>16.96552759495367</c:v>
                </c:pt>
                <c:pt idx="2725">
                  <c:v>16.996468126271012</c:v>
                </c:pt>
                <c:pt idx="2726">
                  <c:v>#N/A</c:v>
                </c:pt>
              </c:numCache>
            </c:numRef>
          </c:xVal>
          <c:yVal>
            <c:numRef>
              <c:f>[0]!AyNorm</c:f>
              <c:numCache>
                <c:formatCode>General</c:formatCode>
                <c:ptCount val="2727"/>
                <c:pt idx="0">
                  <c:v>1.0290193250511765E-3</c:v>
                </c:pt>
                <c:pt idx="1">
                  <c:v>1.0514103317239135E-3</c:v>
                </c:pt>
                <c:pt idx="2">
                  <c:v>1.0742331143597441E-3</c:v>
                </c:pt>
                <c:pt idx="3">
                  <c:v>1.0974946641764966E-3</c:v>
                </c:pt>
                <c:pt idx="4">
                  <c:v>1.1212020552969838E-3</c:v>
                </c:pt>
                <c:pt idx="5">
                  <c:v>1.1453624450681371E-3</c:v>
                </c:pt>
                <c:pt idx="6">
                  <c:v>1.1699830743653228E-3</c:v>
                </c:pt>
                <c:pt idx="7">
                  <c:v>1.1950712678814519E-3</c:v>
                </c:pt>
                <c:pt idx="8">
                  <c:v>1.2206344344004312E-3</c:v>
                </c:pt>
                <c:pt idx="9">
                  <c:v>1.246680067054577E-3</c:v>
                </c:pt>
                <c:pt idx="10">
                  <c:v>1.2732157435655297E-3</c:v>
                </c:pt>
                <c:pt idx="11">
                  <c:v>1.3002491264682643E-3</c:v>
                </c:pt>
                <c:pt idx="12">
                  <c:v>1.3277879633177489E-3</c:v>
                </c:pt>
                <c:pt idx="13">
                  <c:v>1.3558400868778312E-3</c:v>
                </c:pt>
                <c:pt idx="14">
                  <c:v>1.3844134152919173E-3</c:v>
                </c:pt>
                <c:pt idx="15">
                  <c:v>1.4135159522349768E-3</c:v>
                </c:pt>
                <c:pt idx="16">
                  <c:v>1.4431557870464799E-3</c:v>
                </c:pt>
                <c:pt idx="17">
                  <c:v>1.4733410948437723E-3</c:v>
                </c:pt>
                <c:pt idx="18">
                  <c:v>1.5040801366154927E-3</c:v>
                </c:pt>
                <c:pt idx="19">
                  <c:v>1.5353812592945131E-3</c:v>
                </c:pt>
                <c:pt idx="20">
                  <c:v>1.5672528958100443E-3</c:v>
                </c:pt>
                <c:pt idx="21">
                  <c:v>1.5997035651183721E-3</c:v>
                </c:pt>
                <c:pt idx="22">
                  <c:v>1.632741872211831E-3</c:v>
                </c:pt>
                <c:pt idx="23">
                  <c:v>1.6663765081055008E-3</c:v>
                </c:pt>
                <c:pt idx="24">
                  <c:v>1.7006162498012303E-3</c:v>
                </c:pt>
                <c:pt idx="25">
                  <c:v>1.735469960228501E-3</c:v>
                </c:pt>
                <c:pt idx="26">
                  <c:v>1.7709465881616513E-3</c:v>
                </c:pt>
                <c:pt idx="27">
                  <c:v>1.807055168113057E-3</c:v>
                </c:pt>
                <c:pt idx="28">
                  <c:v>1.8438048202017449E-3</c:v>
                </c:pt>
                <c:pt idx="29">
                  <c:v>1.881204749997037E-3</c:v>
                </c:pt>
                <c:pt idx="30">
                  <c:v>1.9192642483367151E-3</c:v>
                </c:pt>
                <c:pt idx="31">
                  <c:v>1.9579926911192824E-3</c:v>
                </c:pt>
                <c:pt idx="32">
                  <c:v>1.9973995390698378E-3</c:v>
                </c:pt>
                <c:pt idx="33">
                  <c:v>2.0374943374791244E-3</c:v>
                </c:pt>
                <c:pt idx="34">
                  <c:v>2.0782867159152528E-3</c:v>
                </c:pt>
                <c:pt idx="35">
                  <c:v>2.1197863879076984E-3</c:v>
                </c:pt>
                <c:pt idx="36">
                  <c:v>2.1620031506030522E-3</c:v>
                </c:pt>
                <c:pt idx="37">
                  <c:v>2.2049468843921231E-3</c:v>
                </c:pt>
                <c:pt idx="38">
                  <c:v>2.2486275525078893E-3</c:v>
                </c:pt>
                <c:pt idx="39">
                  <c:v>2.293055200593877E-3</c:v>
                </c:pt>
                <c:pt idx="40">
                  <c:v>2.3382399562425007E-3</c:v>
                </c:pt>
                <c:pt idx="41">
                  <c:v>2.3841920285029186E-3</c:v>
                </c:pt>
                <c:pt idx="42">
                  <c:v>2.4309217073579361E-3</c:v>
                </c:pt>
                <c:pt idx="43">
                  <c:v>2.4784393631695537E-3</c:v>
                </c:pt>
                <c:pt idx="44">
                  <c:v>2.5267554460926696E-3</c:v>
                </c:pt>
                <c:pt idx="45">
                  <c:v>2.5758804854565109E-3</c:v>
                </c:pt>
                <c:pt idx="46">
                  <c:v>2.6258250891133881E-3</c:v>
                </c:pt>
                <c:pt idx="47">
                  <c:v>2.6765999427542852E-3</c:v>
                </c:pt>
                <c:pt idx="48">
                  <c:v>2.7282158091909061E-3</c:v>
                </c:pt>
                <c:pt idx="49">
                  <c:v>2.7806835276037024E-3</c:v>
                </c:pt>
                <c:pt idx="50">
                  <c:v>2.8340140127555021E-3</c:v>
                </c:pt>
                <c:pt idx="51">
                  <c:v>2.888218254170296E-3</c:v>
                </c:pt>
                <c:pt idx="52">
                  <c:v>2.9433073152768095E-3</c:v>
                </c:pt>
                <c:pt idx="53">
                  <c:v>2.9992923325163458E-3</c:v>
                </c:pt>
                <c:pt idx="54">
                  <c:v>3.0561845144146406E-3</c:v>
                </c:pt>
                <c:pt idx="55">
                  <c:v>3.1139951406172479E-3</c:v>
                </c:pt>
                <c:pt idx="56">
                  <c:v>3.1727355608880442E-3</c:v>
                </c:pt>
                <c:pt idx="57">
                  <c:v>3.2324171940705283E-3</c:v>
                </c:pt>
                <c:pt idx="58">
                  <c:v>3.2930515270115047E-3</c:v>
                </c:pt>
                <c:pt idx="59">
                  <c:v>3.3546501134467774E-3</c:v>
                </c:pt>
                <c:pt idx="60">
                  <c:v>3.417224572848493E-3</c:v>
                </c:pt>
                <c:pt idx="61">
                  <c:v>3.4807865892337538E-3</c:v>
                </c:pt>
                <c:pt idx="62">
                  <c:v>3.5453479099341913E-3</c:v>
                </c:pt>
                <c:pt idx="63">
                  <c:v>3.6109203443261411E-3</c:v>
                </c:pt>
                <c:pt idx="64">
                  <c:v>3.677515762521023E-3</c:v>
                </c:pt>
                <c:pt idx="65">
                  <c:v>3.7451460940157049E-3</c:v>
                </c:pt>
                <c:pt idx="66">
                  <c:v>3.8138233263024577E-3</c:v>
                </c:pt>
                <c:pt idx="67">
                  <c:v>3.8835595034381852E-3</c:v>
                </c:pt>
                <c:pt idx="68">
                  <c:v>3.9543667245726727E-3</c:v>
                </c:pt>
                <c:pt idx="69">
                  <c:v>4.026257142435566E-3</c:v>
                </c:pt>
                <c:pt idx="70">
                  <c:v>4.0992429617817032E-3</c:v>
                </c:pt>
                <c:pt idx="71">
                  <c:v>4.1733364377946735E-3</c:v>
                </c:pt>
                <c:pt idx="72">
                  <c:v>4.2485498744482039E-3</c:v>
                </c:pt>
                <c:pt idx="73">
                  <c:v>4.3248956228252172E-3</c:v>
                </c:pt>
                <c:pt idx="74">
                  <c:v>4.4023860793942953E-3</c:v>
                </c:pt>
                <c:pt idx="75">
                  <c:v>4.4810336842432633E-3</c:v>
                </c:pt>
                <c:pt idx="76">
                  <c:v>4.560850919269761E-3</c:v>
                </c:pt>
                <c:pt idx="77">
                  <c:v>4.6418503063285635E-3</c:v>
                </c:pt>
                <c:pt idx="78">
                  <c:v>4.7240444053354242E-3</c:v>
                </c:pt>
                <c:pt idx="79">
                  <c:v>4.8074458123272884E-3</c:v>
                </c:pt>
                <c:pt idx="80">
                  <c:v>4.8920671574787271E-3</c:v>
                </c:pt>
                <c:pt idx="81">
                  <c:v>4.9779211030743942E-3</c:v>
                </c:pt>
                <c:pt idx="82">
                  <c:v>5.0650203414374043E-3</c:v>
                </c:pt>
                <c:pt idx="83">
                  <c:v>5.1533775928134535E-3</c:v>
                </c:pt>
                <c:pt idx="84">
                  <c:v>5.2430056032106006E-3</c:v>
                </c:pt>
                <c:pt idx="85">
                  <c:v>5.3339171421946472E-3</c:v>
                </c:pt>
                <c:pt idx="86">
                  <c:v>5.4261250006399243E-3</c:v>
                </c:pt>
                <c:pt idx="87">
                  <c:v>5.5196419884354963E-3</c:v>
                </c:pt>
                <c:pt idx="88">
                  <c:v>5.6144809321467372E-3</c:v>
                </c:pt>
                <c:pt idx="89">
                  <c:v>5.7106546726321469E-3</c:v>
                </c:pt>
                <c:pt idx="90">
                  <c:v>5.8081760626154848E-3</c:v>
                </c:pt>
                <c:pt idx="91">
                  <c:v>5.9070579642131367E-3</c:v>
                </c:pt>
                <c:pt idx="92">
                  <c:v>6.0073132464167605E-3</c:v>
                </c:pt>
                <c:pt idx="93">
                  <c:v>6.108954782531228E-3</c:v>
                </c:pt>
                <c:pt idx="94">
                  <c:v>6.2119954475678835E-3</c:v>
                </c:pt>
                <c:pt idx="95">
                  <c:v>6.3164481155931519E-3</c:v>
                </c:pt>
                <c:pt idx="96">
                  <c:v>6.4223256570327012E-3</c:v>
                </c:pt>
                <c:pt idx="97">
                  <c:v>6.5296409359310329E-3</c:v>
                </c:pt>
                <c:pt idx="98">
                  <c:v>6.6384068071667912E-3</c:v>
                </c:pt>
                <c:pt idx="99">
                  <c:v>6.7486361136238999E-3</c:v>
                </c:pt>
                <c:pt idx="100">
                  <c:v>6.8603416833184902E-3</c:v>
                </c:pt>
                <c:pt idx="101">
                  <c:v>6.973536326482053E-3</c:v>
                </c:pt>
                <c:pt idx="102">
                  <c:v>7.0882328326007799E-3</c:v>
                </c:pt>
                <c:pt idx="103">
                  <c:v>7.2044439674114414E-3</c:v>
                </c:pt>
                <c:pt idx="104">
                  <c:v>7.3221824698538503E-3</c:v>
                </c:pt>
                <c:pt idx="105">
                  <c:v>7.4414610489803648E-3</c:v>
                </c:pt>
                <c:pt idx="106">
                  <c:v>7.5622923808225124E-3</c:v>
                </c:pt>
                <c:pt idx="107">
                  <c:v>7.6846891052151159E-3</c:v>
                </c:pt>
                <c:pt idx="108">
                  <c:v>7.8086638225781753E-3</c:v>
                </c:pt>
                <c:pt idx="109">
                  <c:v>7.9342290906567938E-3</c:v>
                </c:pt>
                <c:pt idx="110">
                  <c:v>8.0613974212195797E-3</c:v>
                </c:pt>
                <c:pt idx="111">
                  <c:v>8.1901812767158563E-3</c:v>
                </c:pt>
                <c:pt idx="112">
                  <c:v>8.3205930668919011E-3</c:v>
                </c:pt>
                <c:pt idx="113">
                  <c:v>8.4526451453668956E-3</c:v>
                </c:pt>
                <c:pt idx="114">
                  <c:v>8.5863498061688279E-3</c:v>
                </c:pt>
                <c:pt idx="115">
                  <c:v>8.7217192802307407E-3</c:v>
                </c:pt>
                <c:pt idx="116">
                  <c:v>8.858765731847993E-3</c:v>
                </c:pt>
                <c:pt idx="117">
                  <c:v>8.9975012550968306E-3</c:v>
                </c:pt>
                <c:pt idx="118">
                  <c:v>9.1379378702148798E-3</c:v>
                </c:pt>
                <c:pt idx="119">
                  <c:v>9.2800875199440733E-3</c:v>
                </c:pt>
                <c:pt idx="120">
                  <c:v>9.4239620658365247E-3</c:v>
                </c:pt>
                <c:pt idx="121">
                  <c:v>9.5695732845239474E-3</c:v>
                </c:pt>
                <c:pt idx="122">
                  <c:v>9.7169328639512952E-3</c:v>
                </c:pt>
                <c:pt idx="123">
                  <c:v>9.8660523995750676E-3</c:v>
                </c:pt>
                <c:pt idx="124">
                  <c:v>1.0016943390527106E-2</c:v>
                </c:pt>
                <c:pt idx="125">
                  <c:v>1.0169617235744438E-2</c:v>
                </c:pt>
                <c:pt idx="126">
                  <c:v>1.0324085230065866E-2</c:v>
                </c:pt>
                <c:pt idx="127">
                  <c:v>1.0480358560296027E-2</c:v>
                </c:pt>
                <c:pt idx="128">
                  <c:v>1.0638448301237729E-2</c:v>
                </c:pt>
                <c:pt idx="129">
                  <c:v>1.0798365411693111E-2</c:v>
                </c:pt>
                <c:pt idx="130">
                  <c:v>1.0960120730434678E-2</c:v>
                </c:pt>
                <c:pt idx="131">
                  <c:v>1.1123724972146759E-2</c:v>
                </c:pt>
                <c:pt idx="132">
                  <c:v>1.128918872333839E-2</c:v>
                </c:pt>
                <c:pt idx="133">
                  <c:v>1.1456522438228417E-2</c:v>
                </c:pt>
                <c:pt idx="134">
                  <c:v>1.1625736434603601E-2</c:v>
                </c:pt>
                <c:pt idx="135">
                  <c:v>1.1796840889650719E-2</c:v>
                </c:pt>
                <c:pt idx="136">
                  <c:v>1.1969845835763633E-2</c:v>
                </c:pt>
                <c:pt idx="137">
                  <c:v>1.2144761156325982E-2</c:v>
                </c:pt>
                <c:pt idx="138">
                  <c:v>1.2321596581470891E-2</c:v>
                </c:pt>
                <c:pt idx="139">
                  <c:v>1.2500361683818208E-2</c:v>
                </c:pt>
                <c:pt idx="140">
                  <c:v>1.2681065874190657E-2</c:v>
                </c:pt>
                <c:pt idx="141">
                  <c:v>1.2863718397309756E-2</c:v>
                </c:pt>
                <c:pt idx="142">
                  <c:v>1.304832832747249E-2</c:v>
                </c:pt>
                <c:pt idx="143">
                  <c:v>1.3234904564210002E-2</c:v>
                </c:pt>
                <c:pt idx="144">
                  <c:v>1.3423455827929243E-2</c:v>
                </c:pt>
                <c:pt idx="145">
                  <c:v>1.3613990655538692E-2</c:v>
                </c:pt>
                <c:pt idx="146">
                  <c:v>1.3806517396059407E-2</c:v>
                </c:pt>
                <c:pt idx="147">
                  <c:v>1.4001044206222495E-2</c:v>
                </c:pt>
                <c:pt idx="148">
                  <c:v>1.419757904605406E-2</c:v>
                </c:pt>
                <c:pt idx="149">
                  <c:v>1.4396129674449122E-2</c:v>
                </c:pt>
                <c:pt idx="150">
                  <c:v>1.4596703644735379E-2</c:v>
                </c:pt>
                <c:pt idx="151">
                  <c:v>1.4799308300228372E-2</c:v>
                </c:pt>
                <c:pt idx="152">
                  <c:v>1.5003950769779107E-2</c:v>
                </c:pt>
                <c:pt idx="153">
                  <c:v>1.5210637963315453E-2</c:v>
                </c:pt>
                <c:pt idx="154">
                  <c:v>1.541937656737871E-2</c:v>
                </c:pt>
                <c:pt idx="155">
                  <c:v>1.5630173040656659E-2</c:v>
                </c:pt>
                <c:pt idx="156">
                  <c:v>1.5843033609514254E-2</c:v>
                </c:pt>
                <c:pt idx="157">
                  <c:v>1.6057964263523558E-2</c:v>
                </c:pt>
                <c:pt idx="158">
                  <c:v>1.6274970750994225E-2</c:v>
                </c:pt>
                <c:pt idx="159">
                  <c:v>1.6494058574505775E-2</c:v>
                </c:pt>
                <c:pt idx="160">
                  <c:v>1.671523298644342E-2</c:v>
                </c:pt>
                <c:pt idx="161">
                  <c:v>1.6938498984538457E-2</c:v>
                </c:pt>
                <c:pt idx="162">
                  <c:v>1.7163861307415051E-2</c:v>
                </c:pt>
                <c:pt idx="163">
                  <c:v>1.7391324430144638E-2</c:v>
                </c:pt>
                <c:pt idx="164">
                  <c:v>1.7620892559809621E-2</c:v>
                </c:pt>
                <c:pt idx="165">
                  <c:v>1.7852569631077599E-2</c:v>
                </c:pt>
                <c:pt idx="166">
                  <c:v>1.8086359301788039E-2</c:v>
                </c:pt>
                <c:pt idx="167">
                  <c:v>1.8322264948552495E-2</c:v>
                </c:pt>
                <c:pt idx="168">
                  <c:v>1.8560289662370315E-2</c:v>
                </c:pt>
                <c:pt idx="169">
                  <c:v>1.8800436244261115E-2</c:v>
                </c:pt>
                <c:pt idx="170">
                  <c:v>1.9042707200915724E-2</c:v>
                </c:pt>
                <c:pt idx="171">
                  <c:v>1.928710474036727E-2</c:v>
                </c:pt>
                <c:pt idx="172">
                  <c:v>1.9533630767683819E-2</c:v>
                </c:pt>
                <c:pt idx="173">
                  <c:v>1.9782286880684379E-2</c:v>
                </c:pt>
                <c:pt idx="174">
                  <c:v>2.0033074365679762E-2</c:v>
                </c:pt>
                <c:pt idx="175">
                  <c:v>2.0285994193240085E-2</c:v>
                </c:pt>
                <c:pt idx="176">
                  <c:v>2.0541047013990395E-2</c:v>
                </c:pt>
                <c:pt idx="177">
                  <c:v>2.0798233154436345E-2</c:v>
                </c:pt>
                <c:pt idx="178">
                  <c:v>2.1057552612821207E-2</c:v>
                </c:pt>
                <c:pt idx="179">
                  <c:v>2.1319005055016351E-2</c:v>
                </c:pt>
                <c:pt idx="180">
                  <c:v>2.1582589810446553E-2</c:v>
                </c:pt>
                <c:pt idx="181">
                  <c:v>2.1848305868052052E-2</c:v>
                </c:pt>
                <c:pt idx="182">
                  <c:v>2.2116151872288888E-2</c:v>
                </c:pt>
                <c:pt idx="183">
                  <c:v>2.2386126119169347E-2</c:v>
                </c:pt>
                <c:pt idx="184">
                  <c:v>2.2658226552344337E-2</c:v>
                </c:pt>
                <c:pt idx="185">
                  <c:v>2.2932450759229131E-2</c:v>
                </c:pt>
                <c:pt idx="186">
                  <c:v>2.3208795967174584E-2</c:v>
                </c:pt>
                <c:pt idx="187">
                  <c:v>2.3487259039685206E-2</c:v>
                </c:pt>
                <c:pt idx="188">
                  <c:v>2.3767836472686238E-2</c:v>
                </c:pt>
                <c:pt idx="189">
                  <c:v>2.4050524390840999E-2</c:v>
                </c:pt>
                <c:pt idx="190">
                  <c:v>2.4335318543920736E-2</c:v>
                </c:pt>
                <c:pt idx="191">
                  <c:v>2.4622214303228362E-2</c:v>
                </c:pt>
                <c:pt idx="192">
                  <c:v>2.4911206658078153E-2</c:v>
                </c:pt>
                <c:pt idx="193">
                  <c:v>2.5202290212332813E-2</c:v>
                </c:pt>
                <c:pt idx="194">
                  <c:v>2.5495459180999991E-2</c:v>
                </c:pt>
                <c:pt idx="195">
                  <c:v>2.5790707386889808E-2</c:v>
                </c:pt>
                <c:pt idx="196">
                  <c:v>2.6088028257335184E-2</c:v>
                </c:pt>
                <c:pt idx="197">
                  <c:v>2.6387414820976837E-2</c:v>
                </c:pt>
                <c:pt idx="198">
                  <c:v>2.6688859704614477E-2</c:v>
                </c:pt>
                <c:pt idx="199">
                  <c:v>2.6992355130126169E-2</c:v>
                </c:pt>
                <c:pt idx="200">
                  <c:v>2.7297892911457431E-2</c:v>
                </c:pt>
                <c:pt idx="201">
                  <c:v>2.7605464451681966E-2</c:v>
                </c:pt>
                <c:pt idx="202">
                  <c:v>2.7915060740135552E-2</c:v>
                </c:pt>
                <c:pt idx="203">
                  <c:v>2.8226672349625049E-2</c:v>
                </c:pt>
                <c:pt idx="204">
                  <c:v>2.8540289433713971E-2</c:v>
                </c:pt>
                <c:pt idx="205">
                  <c:v>2.8855901724086669E-2</c:v>
                </c:pt>
                <c:pt idx="206">
                  <c:v>2.917349852799243E-2</c:v>
                </c:pt>
                <c:pt idx="207">
                  <c:v>2.9493068725771447E-2</c:v>
                </c:pt>
                <c:pt idx="208">
                  <c:v>2.9814600768464334E-2</c:v>
                </c:pt>
                <c:pt idx="209">
                  <c:v>3.013808267550663E-2</c:v>
                </c:pt>
                <c:pt idx="210">
                  <c:v>3.0463502032510231E-2</c:v>
                </c:pt>
                <c:pt idx="211">
                  <c:v>3.079084598913313E-2</c:v>
                </c:pt>
                <c:pt idx="212">
                  <c:v>3.112010125703929E-2</c:v>
                </c:pt>
                <c:pt idx="213">
                  <c:v>3.145125410795007E-2</c:v>
                </c:pt>
                <c:pt idx="214">
                  <c:v>3.1784290371789023E-2</c:v>
                </c:pt>
                <c:pt idx="215">
                  <c:v>3.2119195434921352E-2</c:v>
                </c:pt>
                <c:pt idx="216">
                  <c:v>3.2455954238489931E-2</c:v>
                </c:pt>
                <c:pt idx="217">
                  <c:v>3.2794551276849007E-2</c:v>
                </c:pt>
                <c:pt idx="218">
                  <c:v>3.313497059609756E-2</c:v>
                </c:pt>
                <c:pt idx="219">
                  <c:v>3.3477195792713486E-2</c:v>
                </c:pt>
                <c:pt idx="220">
                  <c:v>3.3821210012290111E-2</c:v>
                </c:pt>
                <c:pt idx="221">
                  <c:v>3.4166995948376765E-2</c:v>
                </c:pt>
                <c:pt idx="222">
                  <c:v>3.4514535841424436E-2</c:v>
                </c:pt>
                <c:pt idx="223">
                  <c:v>3.4863811477838375E-2</c:v>
                </c:pt>
                <c:pt idx="224">
                  <c:v>3.521480418913852E-2</c:v>
                </c:pt>
                <c:pt idx="225">
                  <c:v>3.5567494851229613E-2</c:v>
                </c:pt>
                <c:pt idx="226">
                  <c:v>3.5921863883781949E-2</c:v>
                </c:pt>
                <c:pt idx="227">
                  <c:v>3.6277891249724352E-2</c:v>
                </c:pt>
                <c:pt idx="228">
                  <c:v>3.6635556454850407E-2</c:v>
                </c:pt>
                <c:pt idx="229">
                  <c:v>3.6994838547539405E-2</c:v>
                </c:pt>
                <c:pt idx="230">
                  <c:v>3.7355716118593077E-2</c:v>
                </c:pt>
                <c:pt idx="231">
                  <c:v>3.7718167301189473E-2</c:v>
                </c:pt>
                <c:pt idx="232">
                  <c:v>3.8082169770954973E-2</c:v>
                </c:pt>
                <c:pt idx="233">
                  <c:v>3.844770074615559E-2</c:v>
                </c:pt>
                <c:pt idx="234">
                  <c:v>3.8814736988008858E-2</c:v>
                </c:pt>
                <c:pt idx="235">
                  <c:v>3.9183254801117062E-2</c:v>
                </c:pt>
                <c:pt idx="236">
                  <c:v>3.9553230034023182E-2</c:v>
                </c:pt>
                <c:pt idx="237">
                  <c:v>3.9924638079890169E-2</c:v>
                </c:pt>
                <c:pt idx="238">
                  <c:v>4.0297453877304844E-2</c:v>
                </c:pt>
                <c:pt idx="239">
                  <c:v>4.0671651911207175E-2</c:v>
                </c:pt>
                <c:pt idx="240">
                  <c:v>4.1047206213945933E-2</c:v>
                </c:pt>
                <c:pt idx="241">
                  <c:v>4.1424090366461309E-2</c:v>
                </c:pt>
                <c:pt idx="242">
                  <c:v>4.1802277499595773E-2</c:v>
                </c:pt>
                <c:pt idx="243">
                  <c:v>4.2181740295533392E-2</c:v>
                </c:pt>
                <c:pt idx="244">
                  <c:v>4.2562450989368929E-2</c:v>
                </c:pt>
                <c:pt idx="245">
                  <c:v>4.2944381370806854E-2</c:v>
                </c:pt>
                <c:pt idx="246">
                  <c:v>4.3327502785991283E-2</c:v>
                </c:pt>
                <c:pt idx="247">
                  <c:v>4.3711786139467405E-2</c:v>
                </c:pt>
                <c:pt idx="248">
                  <c:v>4.4097201896274814E-2</c:v>
                </c:pt>
                <c:pt idx="249">
                  <c:v>4.4483720084173513E-2</c:v>
                </c:pt>
                <c:pt idx="250">
                  <c:v>4.4871310296002706E-2</c:v>
                </c:pt>
                <c:pt idx="251">
                  <c:v>4.5259941692173344E-2</c:v>
                </c:pt>
                <c:pt idx="252">
                  <c:v>4.564958300329422E-2</c:v>
                </c:pt>
                <c:pt idx="253">
                  <c:v>4.6040202532932568E-2</c:v>
                </c:pt>
                <c:pt idx="254">
                  <c:v>4.6431768160508827E-2</c:v>
                </c:pt>
                <c:pt idx="255">
                  <c:v>4.6824247344326497E-2</c:v>
                </c:pt>
                <c:pt idx="256">
                  <c:v>4.7217607124736695E-2</c:v>
                </c:pt>
                <c:pt idx="257">
                  <c:v>4.761181412743809E-2</c:v>
                </c:pt>
                <c:pt idx="258">
                  <c:v>4.8006834566911891E-2</c:v>
                </c:pt>
                <c:pt idx="259">
                  <c:v>4.840263424999218E-2</c:v>
                </c:pt>
                <c:pt idx="260">
                  <c:v>4.8799178579571757E-2</c:v>
                </c:pt>
                <c:pt idx="261">
                  <c:v>4.9196432558443137E-2</c:v>
                </c:pt>
                <c:pt idx="262">
                  <c:v>4.9594360793274707E-2</c:v>
                </c:pt>
                <c:pt idx="263">
                  <c:v>4.999292749872232E-2</c:v>
                </c:pt>
                <c:pt idx="264">
                  <c:v>5.0392096501675324E-2</c:v>
                </c:pt>
                <c:pt idx="265">
                  <c:v>5.0791831245637777E-2</c:v>
                </c:pt>
                <c:pt idx="266">
                  <c:v>5.1192094795243691E-2</c:v>
                </c:pt>
                <c:pt idx="267">
                  <c:v>5.1592849840906695E-2</c:v>
                </c:pt>
                <c:pt idx="268">
                  <c:v>5.1994058703603067E-2</c:v>
                </c:pt>
                <c:pt idx="269">
                  <c:v>5.2395683339788258E-2</c:v>
                </c:pt>
                <c:pt idx="270">
                  <c:v>5.2797685346446251E-2</c:v>
                </c:pt>
                <c:pt idx="271">
                  <c:v>5.3200025966270902E-2</c:v>
                </c:pt>
                <c:pt idx="272">
                  <c:v>5.3602666092979187E-2</c:v>
                </c:pt>
                <c:pt idx="273">
                  <c:v>5.4005566276755401E-2</c:v>
                </c:pt>
                <c:pt idx="274">
                  <c:v>5.4408686729825663E-2</c:v>
                </c:pt>
                <c:pt idx="275">
                  <c:v>5.4811987332161978E-2</c:v>
                </c:pt>
                <c:pt idx="276">
                  <c:v>5.5215427637315052E-2</c:v>
                </c:pt>
                <c:pt idx="277">
                  <c:v>5.5618966878375177E-2</c:v>
                </c:pt>
                <c:pt idx="278">
                  <c:v>5.602256397406008E-2</c:v>
                </c:pt>
                <c:pt idx="279">
                  <c:v>5.64261775349287E-2</c:v>
                </c:pt>
                <c:pt idx="280">
                  <c:v>5.6829765869720113E-2</c:v>
                </c:pt>
                <c:pt idx="281">
                  <c:v>5.7233286991816623E-2</c:v>
                </c:pt>
                <c:pt idx="282">
                  <c:v>5.7636698625829472E-2</c:v>
                </c:pt>
                <c:pt idx="283">
                  <c:v>5.8039958214306318E-2</c:v>
                </c:pt>
                <c:pt idx="284">
                  <c:v>5.8443022924559392E-2</c:v>
                </c:pt>
                <c:pt idx="285">
                  <c:v>5.8845849655612646E-2</c:v>
                </c:pt>
                <c:pt idx="286">
                  <c:v>5.924839504526689E-2</c:v>
                </c:pt>
                <c:pt idx="287">
                  <c:v>5.9650615477281441E-2</c:v>
                </c:pt>
                <c:pt idx="288">
                  <c:v>6.0052467088670874E-2</c:v>
                </c:pt>
                <c:pt idx="289">
                  <c:v>6.0453905777115492E-2</c:v>
                </c:pt>
                <c:pt idx="290">
                  <c:v>6.0854887208483491E-2</c:v>
                </c:pt>
                <c:pt idx="291">
                  <c:v>6.1255366824464134E-2</c:v>
                </c:pt>
                <c:pt idx="292">
                  <c:v>6.1655299850309382E-2</c:v>
                </c:pt>
                <c:pt idx="293">
                  <c:v>6.2054641302683032E-2</c:v>
                </c:pt>
                <c:pt idx="294">
                  <c:v>6.245334599761497E-2</c:v>
                </c:pt>
                <c:pt idx="295">
                  <c:v>6.2851368558559259E-2</c:v>
                </c:pt>
                <c:pt idx="296">
                  <c:v>6.3248663424554263E-2</c:v>
                </c:pt>
                <c:pt idx="297">
                  <c:v>6.3645184858482307E-2</c:v>
                </c:pt>
                <c:pt idx="298">
                  <c:v>6.4040886955427617E-2</c:v>
                </c:pt>
                <c:pt idx="299">
                  <c:v>6.4435723651130344E-2</c:v>
                </c:pt>
                <c:pt idx="300">
                  <c:v>6.482964873053447E-2</c:v>
                </c:pt>
                <c:pt idx="301">
                  <c:v>6.5222615836427758E-2</c:v>
                </c:pt>
                <c:pt idx="302">
                  <c:v>6.5614578478171454E-2</c:v>
                </c:pt>
                <c:pt idx="303">
                  <c:v>6.600549004051777E-2</c:v>
                </c:pt>
                <c:pt idx="304">
                  <c:v>6.6395303792512822E-2</c:v>
                </c:pt>
                <c:pt idx="305">
                  <c:v>6.6783972896482705E-2</c:v>
                </c:pt>
                <c:pt idx="306">
                  <c:v>6.7171450417100473E-2</c:v>
                </c:pt>
                <c:pt idx="307">
                  <c:v>6.7557689330531856E-2</c:v>
                </c:pt>
                <c:pt idx="308">
                  <c:v>6.7942642533657088E-2</c:v>
                </c:pt>
                <c:pt idx="309">
                  <c:v>6.8326262853366473E-2</c:v>
                </c:pt>
                <c:pt idx="310">
                  <c:v>6.8708503055927253E-2</c:v>
                </c:pt>
                <c:pt idx="311">
                  <c:v>6.9089315856419545E-2</c:v>
                </c:pt>
                <c:pt idx="312">
                  <c:v>6.946865392823813E-2</c:v>
                </c:pt>
                <c:pt idx="313">
                  <c:v>6.9846469912658332E-2</c:v>
                </c:pt>
                <c:pt idx="314">
                  <c:v>7.0222716428462728E-2</c:v>
                </c:pt>
                <c:pt idx="315">
                  <c:v>7.0597346081626502E-2</c:v>
                </c:pt>
                <c:pt idx="316">
                  <c:v>7.0970311475058181E-2</c:v>
                </c:pt>
                <c:pt idx="317">
                  <c:v>7.1341565218393771E-2</c:v>
                </c:pt>
                <c:pt idx="318">
                  <c:v>7.1711059937840951E-2</c:v>
                </c:pt>
                <c:pt idx="319">
                  <c:v>7.2078748286070776E-2</c:v>
                </c:pt>
                <c:pt idx="320">
                  <c:v>7.2444582952153891E-2</c:v>
                </c:pt>
                <c:pt idx="321">
                  <c:v>7.2808516671538759E-2</c:v>
                </c:pt>
                <c:pt idx="322">
                  <c:v>7.3170502236068719E-2</c:v>
                </c:pt>
                <c:pt idx="323">
                  <c:v>7.3530492504034803E-2</c:v>
                </c:pt>
                <c:pt idx="324">
                  <c:v>7.3888440410261963E-2</c:v>
                </c:pt>
                <c:pt idx="325">
                  <c:v>7.424429897622517E-2</c:v>
                </c:pt>
                <c:pt idx="326">
                  <c:v>7.4598021320192706E-2</c:v>
                </c:pt>
                <c:pt idx="327">
                  <c:v>7.4949560667393333E-2</c:v>
                </c:pt>
                <c:pt idx="328">
                  <c:v>7.5298870360204814E-2</c:v>
                </c:pt>
                <c:pt idx="329">
                  <c:v>7.5645903868360106E-2</c:v>
                </c:pt>
                <c:pt idx="330">
                  <c:v>7.5990614799168715E-2</c:v>
                </c:pt>
                <c:pt idx="331">
                  <c:v>7.6332956907749591E-2</c:v>
                </c:pt>
                <c:pt idx="332">
                  <c:v>7.6672884107272812E-2</c:v>
                </c:pt>
                <c:pt idx="333">
                  <c:v>7.701035047920686E-2</c:v>
                </c:pt>
                <c:pt idx="334">
                  <c:v>7.7345310283568197E-2</c:v>
                </c:pt>
                <c:pt idx="335">
                  <c:v>7.7677717969169946E-2</c:v>
                </c:pt>
                <c:pt idx="336">
                  <c:v>7.8007528183866748E-2</c:v>
                </c:pt>
                <c:pt idx="337">
                  <c:v>7.8334695784792491E-2</c:v>
                </c:pt>
                <c:pt idx="338">
                  <c:v>7.8659175848587309E-2</c:v>
                </c:pt>
                <c:pt idx="339">
                  <c:v>7.8980923681611456E-2</c:v>
                </c:pt>
                <c:pt idx="340">
                  <c:v>7.9299894830141965E-2</c:v>
                </c:pt>
                <c:pt idx="341">
                  <c:v>7.9616045090549495E-2</c:v>
                </c:pt>
                <c:pt idx="342">
                  <c:v>7.9929330519451641E-2</c:v>
                </c:pt>
                <c:pt idx="343">
                  <c:v>8.0239707443839958E-2</c:v>
                </c:pt>
                <c:pt idx="344">
                  <c:v>8.054713247117698E-2</c:v>
                </c:pt>
                <c:pt idx="345">
                  <c:v>8.0851562499460336E-2</c:v>
                </c:pt>
                <c:pt idx="346">
                  <c:v>8.1152954727250481E-2</c:v>
                </c:pt>
                <c:pt idx="347">
                  <c:v>8.1451266663658872E-2</c:v>
                </c:pt>
                <c:pt idx="348">
                  <c:v>8.1746456138293497E-2</c:v>
                </c:pt>
                <c:pt idx="349">
                  <c:v>8.2038481311158165E-2</c:v>
                </c:pt>
                <c:pt idx="350">
                  <c:v>8.2327300682502672E-2</c:v>
                </c:pt>
                <c:pt idx="351">
                  <c:v>8.2612873102620332E-2</c:v>
                </c:pt>
                <c:pt idx="352">
                  <c:v>8.2895157781589957E-2</c:v>
                </c:pt>
                <c:pt idx="353">
                  <c:v>8.3174114298958657E-2</c:v>
                </c:pt>
                <c:pt idx="354">
                  <c:v>8.344970261336257E-2</c:v>
                </c:pt>
                <c:pt idx="355">
                  <c:v>8.3721883072082323E-2</c:v>
                </c:pt>
                <c:pt idx="356">
                  <c:v>8.3990616420529809E-2</c:v>
                </c:pt>
                <c:pt idx="357">
                  <c:v>8.4255863811663306E-2</c:v>
                </c:pt>
                <c:pt idx="358">
                  <c:v>8.45175868153277E-2</c:v>
                </c:pt>
                <c:pt idx="359">
                  <c:v>8.4775747427516854E-2</c:v>
                </c:pt>
                <c:pt idx="360">
                  <c:v>8.503030807955457E-2</c:v>
                </c:pt>
                <c:pt idx="361">
                  <c:v>8.5281231647191563E-2</c:v>
                </c:pt>
                <c:pt idx="362">
                  <c:v>8.5528481459615086E-2</c:v>
                </c:pt>
                <c:pt idx="363">
                  <c:v>8.5772021308368085E-2</c:v>
                </c:pt>
                <c:pt idx="364">
                  <c:v>8.6011815456175159E-2</c:v>
                </c:pt>
                <c:pt idx="365">
                  <c:v>8.624782864567189E-2</c:v>
                </c:pt>
                <c:pt idx="366">
                  <c:v>8.6480026108034999E-2</c:v>
                </c:pt>
                <c:pt idx="367">
                  <c:v>8.6708373571510053E-2</c:v>
                </c:pt>
                <c:pt idx="368">
                  <c:v>8.6932837269833932E-2</c:v>
                </c:pt>
                <c:pt idx="369">
                  <c:v>8.7153383950549224E-2</c:v>
                </c:pt>
                <c:pt idx="370">
                  <c:v>8.7369980883207451E-2</c:v>
                </c:pt>
                <c:pt idx="371">
                  <c:v>8.7582595867458549E-2</c:v>
                </c:pt>
                <c:pt idx="372">
                  <c:v>8.7791197241023772E-2</c:v>
                </c:pt>
                <c:pt idx="373">
                  <c:v>8.7995753887548989E-2</c:v>
                </c:pt>
                <c:pt idx="374">
                  <c:v>8.8196235244336077E-2</c:v>
                </c:pt>
                <c:pt idx="375">
                  <c:v>8.8392611309949312E-2</c:v>
                </c:pt>
                <c:pt idx="376">
                  <c:v>8.8584852651694371E-2</c:v>
                </c:pt>
                <c:pt idx="377">
                  <c:v>8.8772930412967355E-2</c:v>
                </c:pt>
                <c:pt idx="378">
                  <c:v>8.8956816320470908E-2</c:v>
                </c:pt>
                <c:pt idx="379">
                  <c:v>8.9136482691295496E-2</c:v>
                </c:pt>
                <c:pt idx="380">
                  <c:v>8.9311902439862728E-2</c:v>
                </c:pt>
                <c:pt idx="381">
                  <c:v>8.9483049084728816E-2</c:v>
                </c:pt>
                <c:pt idx="382">
                  <c:v>8.9649896755245428E-2</c:v>
                </c:pt>
                <c:pt idx="383">
                  <c:v>8.9812420198075796E-2</c:v>
                </c:pt>
                <c:pt idx="384">
                  <c:v>8.9970594783563548E-2</c:v>
                </c:pt>
                <c:pt idx="385">
                  <c:v>9.0124396511952476E-2</c:v>
                </c:pt>
                <c:pt idx="386">
                  <c:v>9.0273802019454383E-2</c:v>
                </c:pt>
                <c:pt idx="387">
                  <c:v>9.0418788584163398E-2</c:v>
                </c:pt>
                <c:pt idx="388">
                  <c:v>9.0559334131814509E-2</c:v>
                </c:pt>
                <c:pt idx="389">
                  <c:v>9.0695417241384191E-2</c:v>
                </c:pt>
                <c:pt idx="390">
                  <c:v>9.0827017150531084E-2</c:v>
                </c:pt>
                <c:pt idx="391">
                  <c:v>9.0954113760875102E-2</c:v>
                </c:pt>
                <c:pt idx="392">
                  <c:v>9.1076687643112761E-2</c:v>
                </c:pt>
                <c:pt idx="393">
                  <c:v>9.1194720041967006E-2</c:v>
                </c:pt>
                <c:pt idx="394">
                  <c:v>9.1308192880969863E-2</c:v>
                </c:pt>
                <c:pt idx="395">
                  <c:v>9.1417088767076091E-2</c:v>
                </c:pt>
                <c:pt idx="396">
                  <c:v>9.1521390995106269E-2</c:v>
                </c:pt>
                <c:pt idx="397">
                  <c:v>9.1621083552017632E-2</c:v>
                </c:pt>
                <c:pt idx="398">
                  <c:v>9.171615112100133E-2</c:v>
                </c:pt>
                <c:pt idx="399">
                  <c:v>9.1806579085404266E-2</c:v>
                </c:pt>
                <c:pt idx="400">
                  <c:v>9.1892353532474602E-2</c:v>
                </c:pt>
                <c:pt idx="401">
                  <c:v>9.1973461256929123E-2</c:v>
                </c:pt>
                <c:pt idx="402">
                  <c:v>9.2049889764341516E-2</c:v>
                </c:pt>
                <c:pt idx="403">
                  <c:v>9.2121627274350165E-2</c:v>
                </c:pt>
                <c:pt idx="404">
                  <c:v>9.2188662723684367E-2</c:v>
                </c:pt>
                <c:pt idx="405">
                  <c:v>9.2250985769007823E-2</c:v>
                </c:pt>
                <c:pt idx="406">
                  <c:v>9.2308586789578553E-2</c:v>
                </c:pt>
                <c:pt idx="407">
                  <c:v>9.2361456889724067E-2</c:v>
                </c:pt>
                <c:pt idx="408">
                  <c:v>9.2409587901130963E-2</c:v>
                </c:pt>
                <c:pt idx="409">
                  <c:v>9.2452972384948248E-2</c:v>
                </c:pt>
                <c:pt idx="410">
                  <c:v>9.2491603633703429E-2</c:v>
                </c:pt>
                <c:pt idx="411">
                  <c:v>9.2525475673030905E-2</c:v>
                </c:pt>
                <c:pt idx="412">
                  <c:v>9.2554583263211795E-2</c:v>
                </c:pt>
                <c:pt idx="413">
                  <c:v>9.257892190052476E-2</c:v>
                </c:pt>
                <c:pt idx="414">
                  <c:v>9.2598487818407557E-2</c:v>
                </c:pt>
                <c:pt idx="415">
                  <c:v>9.2613277988428347E-2</c:v>
                </c:pt>
                <c:pt idx="416">
                  <c:v>9.2623290121066987E-2</c:v>
                </c:pt>
                <c:pt idx="417">
                  <c:v>9.2628522666305793E-2</c:v>
                </c:pt>
                <c:pt idx="418">
                  <c:v>9.2628974814029333E-2</c:v>
                </c:pt>
                <c:pt idx="419">
                  <c:v>9.2624646494233576E-2</c:v>
                </c:pt>
                <c:pt idx="420">
                  <c:v>9.2615538377043893E-2</c:v>
                </c:pt>
                <c:pt idx="421">
                  <c:v>9.2601651872542184E-2</c:v>
                </c:pt>
                <c:pt idx="422">
                  <c:v>9.2582989130402985E-2</c:v>
                </c:pt>
                <c:pt idx="423">
                  <c:v>9.2559553039338952E-2</c:v>
                </c:pt>
                <c:pt idx="424">
                  <c:v>9.2531347226355531E-2</c:v>
                </c:pt>
                <c:pt idx="425">
                  <c:v>9.249837605581554E-2</c:v>
                </c:pt>
                <c:pt idx="426">
                  <c:v>9.2460644628313618E-2</c:v>
                </c:pt>
                <c:pt idx="427">
                  <c:v>9.2418158779361201E-2</c:v>
                </c:pt>
                <c:pt idx="428">
                  <c:v>9.2370925077882318E-2</c:v>
                </c:pt>
                <c:pt idx="429">
                  <c:v>9.2318950824520879E-2</c:v>
                </c:pt>
                <c:pt idx="430">
                  <c:v>9.2262244049759967E-2</c:v>
                </c:pt>
                <c:pt idx="431">
                  <c:v>9.2200813511854066E-2</c:v>
                </c:pt>
                <c:pt idx="432">
                  <c:v>9.2134668694574401E-2</c:v>
                </c:pt>
                <c:pt idx="433">
                  <c:v>9.2063819804768951E-2</c:v>
                </c:pt>
                <c:pt idx="434">
                  <c:v>9.198827776973735E-2</c:v>
                </c:pt>
                <c:pt idx="435">
                  <c:v>9.1908054234422082E-2</c:v>
                </c:pt>
                <c:pt idx="436">
                  <c:v>9.1823161558416716E-2</c:v>
                </c:pt>
                <c:pt idx="437">
                  <c:v>9.1733612812792409E-2</c:v>
                </c:pt>
                <c:pt idx="438">
                  <c:v>9.1639421776743626E-2</c:v>
                </c:pt>
                <c:pt idx="439">
                  <c:v>9.1540602934054596E-2</c:v>
                </c:pt>
                <c:pt idx="440">
                  <c:v>9.1437171469387374E-2</c:v>
                </c:pt>
                <c:pt idx="441">
                  <c:v>9.1329143264393328E-2</c:v>
                </c:pt>
                <c:pt idx="442">
                  <c:v>9.1216534893648796E-2</c:v>
                </c:pt>
                <c:pt idx="443">
                  <c:v>9.1099363620417151E-2</c:v>
                </c:pt>
                <c:pt idx="444">
                  <c:v>9.0977647392238029E-2</c:v>
                </c:pt>
                <c:pt idx="445">
                  <c:v>9.0851404836345892E-2</c:v>
                </c:pt>
                <c:pt idx="446">
                  <c:v>9.072065525491925E-2</c:v>
                </c:pt>
                <c:pt idx="447">
                  <c:v>9.0585418620162228E-2</c:v>
                </c:pt>
                <c:pt idx="448">
                  <c:v>9.0445715569220417E-2</c:v>
                </c:pt>
                <c:pt idx="449">
                  <c:v>9.0301567398932733E-2</c:v>
                </c:pt>
                <c:pt idx="450">
                  <c:v>9.0152996060420987E-2</c:v>
                </c:pt>
                <c:pt idx="451">
                  <c:v>9.0000024153519459E-2</c:v>
                </c:pt>
                <c:pt idx="452">
                  <c:v>8.9842674921046056E-2</c:v>
                </c:pt>
                <c:pt idx="453">
                  <c:v>8.9680972242917351E-2</c:v>
                </c:pt>
                <c:pt idx="454">
                  <c:v>8.951494063010948E-2</c:v>
                </c:pt>
                <c:pt idx="455">
                  <c:v>8.9344605218467127E-2</c:v>
                </c:pt>
                <c:pt idx="456">
                  <c:v>8.9169991762362566E-2</c:v>
                </c:pt>
                <c:pt idx="457">
                  <c:v>8.8991126628207309E-2</c:v>
                </c:pt>
                <c:pt idx="458">
                  <c:v>8.8808036787818456E-2</c:v>
                </c:pt>
                <c:pt idx="459">
                  <c:v>8.8620749811642044E-2</c:v>
                </c:pt>
                <c:pt idx="460">
                  <c:v>8.8429293861835886E-2</c:v>
                </c:pt>
                <c:pt idx="461">
                  <c:v>8.8233697685214385E-2</c:v>
                </c:pt>
                <c:pt idx="462">
                  <c:v>8.8033990606057558E-2</c:v>
                </c:pt>
                <c:pt idx="463">
                  <c:v>8.7830202518787023E-2</c:v>
                </c:pt>
                <c:pt idx="464">
                  <c:v>8.7622363880511422E-2</c:v>
                </c:pt>
                <c:pt idx="465">
                  <c:v>8.7410505703443886E-2</c:v>
                </c:pt>
                <c:pt idx="466">
                  <c:v>8.7194659547194103E-2</c:v>
                </c:pt>
                <c:pt idx="467">
                  <c:v>8.6974857510937795E-2</c:v>
                </c:pt>
                <c:pt idx="468">
                  <c:v>8.6751132225466321E-2</c:v>
                </c:pt>
                <c:pt idx="469">
                  <c:v>8.6523516845119053E-2</c:v>
                </c:pt>
                <c:pt idx="470">
                  <c:v>8.6292045039601362E-2</c:v>
                </c:pt>
                <c:pt idx="471">
                  <c:v>8.6056750985691058E-2</c:v>
                </c:pt>
                <c:pt idx="472">
                  <c:v>8.5817669358836182E-2</c:v>
                </c:pt>
                <c:pt idx="473">
                  <c:v>8.5574835324646964E-2</c:v>
                </c:pt>
                <c:pt idx="474">
                  <c:v>8.5328284530284806E-2</c:v>
                </c:pt>
                <c:pt idx="475">
                  <c:v>8.5078053095751491E-2</c:v>
                </c:pt>
                <c:pt idx="476">
                  <c:v>8.4824177605081305E-2</c:v>
                </c:pt>
                <c:pt idx="477">
                  <c:v>8.4566695097439221E-2</c:v>
                </c:pt>
                <c:pt idx="478">
                  <c:v>8.4305643058128182E-2</c:v>
                </c:pt>
                <c:pt idx="479">
                  <c:v>8.4041059409508484E-2</c:v>
                </c:pt>
                <c:pt idx="480">
                  <c:v>8.3772982501832294E-2</c:v>
                </c:pt>
                <c:pt idx="481">
                  <c:v>8.3501451103996593E-2</c:v>
                </c:pt>
                <c:pt idx="482">
                  <c:v>8.3226504394217402E-2</c:v>
                </c:pt>
                <c:pt idx="483">
                  <c:v>8.2948181950628558E-2</c:v>
                </c:pt>
                <c:pt idx="484">
                  <c:v>8.2666523741808301E-2</c:v>
                </c:pt>
                <c:pt idx="485">
                  <c:v>8.2381570117236472E-2</c:v>
                </c:pt>
                <c:pt idx="486">
                  <c:v>8.209336179768599E-2</c:v>
                </c:pt>
                <c:pt idx="487">
                  <c:v>8.1801939865551482E-2</c:v>
                </c:pt>
                <c:pt idx="488">
                  <c:v>8.1507345755118296E-2</c:v>
                </c:pt>
                <c:pt idx="489">
                  <c:v>8.1209621242775129E-2</c:v>
                </c:pt>
                <c:pt idx="490">
                  <c:v>8.090880843717374E-2</c:v>
                </c:pt>
                <c:pt idx="491">
                  <c:v>8.0604949769338533E-2</c:v>
                </c:pt>
                <c:pt idx="492">
                  <c:v>8.0298087982729652E-2</c:v>
                </c:pt>
                <c:pt idx="493">
                  <c:v>7.9988266123262541E-2</c:v>
                </c:pt>
                <c:pt idx="494">
                  <c:v>7.9675527529287485E-2</c:v>
                </c:pt>
                <c:pt idx="495">
                  <c:v>7.9359915821532151E-2</c:v>
                </c:pt>
                <c:pt idx="496">
                  <c:v>7.9041474893010458E-2</c:v>
                </c:pt>
                <c:pt idx="497">
                  <c:v>7.8720248898901043E-2</c:v>
                </c:pt>
                <c:pt idx="498">
                  <c:v>7.8396282246398719E-2</c:v>
                </c:pt>
                <c:pt idx="499">
                  <c:v>7.8069619584541755E-2</c:v>
                </c:pt>
                <c:pt idx="500">
                  <c:v>7.774030579401868E-2</c:v>
                </c:pt>
                <c:pt idx="501">
                  <c:v>7.7408385976957553E-2</c:v>
                </c:pt>
                <c:pt idx="502">
                  <c:v>7.7073905446701091E-2</c:v>
                </c:pt>
                <c:pt idx="503">
                  <c:v>7.6736909717570773E-2</c:v>
                </c:pt>
                <c:pt idx="504">
                  <c:v>7.6397444494623004E-2</c:v>
                </c:pt>
                <c:pt idx="505">
                  <c:v>7.6055555663401123E-2</c:v>
                </c:pt>
                <c:pt idx="506">
                  <c:v>7.5711289279685429E-2</c:v>
                </c:pt>
                <c:pt idx="507">
                  <c:v>7.5364691559245564E-2</c:v>
                </c:pt>
                <c:pt idx="508">
                  <c:v>7.5015808867597233E-2</c:v>
                </c:pt>
                <c:pt idx="509">
                  <c:v>7.4664687709767683E-2</c:v>
                </c:pt>
                <c:pt idx="510">
                  <c:v>7.4311374720071668E-2</c:v>
                </c:pt>
                <c:pt idx="511">
                  <c:v>7.3955916651902376E-2</c:v>
                </c:pt>
                <c:pt idx="512">
                  <c:v>7.3598360367539098E-2</c:v>
                </c:pt>
                <c:pt idx="513">
                  <c:v>7.3238752827976081E-2</c:v>
                </c:pt>
                <c:pt idx="514">
                  <c:v>7.2877141082774224E-2</c:v>
                </c:pt>
                <c:pt idx="515">
                  <c:v>7.251357225993961E-2</c:v>
                </c:pt>
                <c:pt idx="516">
                  <c:v>7.2148093555831669E-2</c:v>
                </c:pt>
                <c:pt idx="517">
                  <c:v>7.1780752225103564E-2</c:v>
                </c:pt>
                <c:pt idx="518">
                  <c:v>7.1411595570678194E-2</c:v>
                </c:pt>
                <c:pt idx="519">
                  <c:v>7.1040670933762401E-2</c:v>
                </c:pt>
                <c:pt idx="520">
                  <c:v>7.0668025683902735E-2</c:v>
                </c:pt>
                <c:pt idx="521">
                  <c:v>7.0293707209084885E-2</c:v>
                </c:pt>
                <c:pt idx="522">
                  <c:v>6.991776290588031E-2</c:v>
                </c:pt>
                <c:pt idx="523">
                  <c:v>6.954024016964272E-2</c:v>
                </c:pt>
                <c:pt idx="524">
                  <c:v>6.9161186384756643E-2</c:v>
                </c:pt>
                <c:pt idx="525">
                  <c:v>6.8780648914941567E-2</c:v>
                </c:pt>
                <c:pt idx="526">
                  <c:v>6.8398675093613984E-2</c:v>
                </c:pt>
                <c:pt idx="527">
                  <c:v>6.8015312214309689E-2</c:v>
                </c:pt>
                <c:pt idx="528">
                  <c:v>6.7630607521169672E-2</c:v>
                </c:pt>
                <c:pt idx="529">
                  <c:v>6.7244608199491698E-2</c:v>
                </c:pt>
                <c:pt idx="530">
                  <c:v>6.6857361366349927E-2</c:v>
                </c:pt>
                <c:pt idx="531">
                  <c:v>6.6468914061285925E-2</c:v>
                </c:pt>
                <c:pt idx="532">
                  <c:v>6.6079313237072446E-2</c:v>
                </c:pt>
                <c:pt idx="533">
                  <c:v>6.5688605750553256E-2</c:v>
                </c:pt>
                <c:pt idx="534">
                  <c:v>6.5296838353561273E-2</c:v>
                </c:pt>
                <c:pt idx="535">
                  <c:v>6.4904057683916647E-2</c:v>
                </c:pt>
                <c:pt idx="536">
                  <c:v>6.4510310256508066E-2</c:v>
                </c:pt>
                <c:pt idx="537">
                  <c:v>6.4115642454459137E-2</c:v>
                </c:pt>
                <c:pt idx="538">
                  <c:v>6.3720100520381656E-2</c:v>
                </c:pt>
                <c:pt idx="539">
                  <c:v>6.3323730547718504E-2</c:v>
                </c:pt>
                <c:pt idx="540">
                  <c:v>6.2926578472178488E-2</c:v>
                </c:pt>
                <c:pt idx="541">
                  <c:v>6.252869006326392E-2</c:v>
                </c:pt>
                <c:pt idx="542">
                  <c:v>6.2130110915894918E-2</c:v>
                </c:pt>
                <c:pt idx="543">
                  <c:v>6.1730886442130449E-2</c:v>
                </c:pt>
                <c:pt idx="544">
                  <c:v>6.1331061862989492E-2</c:v>
                </c:pt>
                <c:pt idx="545">
                  <c:v>6.0930682200373704E-2</c:v>
                </c:pt>
                <c:pt idx="546">
                  <c:v>6.0529792269092983E-2</c:v>
                </c:pt>
                <c:pt idx="547">
                  <c:v>6.0128436668996553E-2</c:v>
                </c:pt>
                <c:pt idx="548">
                  <c:v>5.9726659777210873E-2</c:v>
                </c:pt>
                <c:pt idx="549">
                  <c:v>5.9324505740485714E-2</c:v>
                </c:pt>
                <c:pt idx="550">
                  <c:v>5.8922018467651022E-2</c:v>
                </c:pt>
                <c:pt idx="551">
                  <c:v>5.8519241622184984E-2</c:v>
                </c:pt>
                <c:pt idx="552">
                  <c:v>5.811621861489575E-2</c:v>
                </c:pt>
                <c:pt idx="553">
                  <c:v>5.7712992596718138E-2</c:v>
                </c:pt>
                <c:pt idx="554">
                  <c:v>5.7309606451625923E-2</c:v>
                </c:pt>
                <c:pt idx="555">
                  <c:v>5.6906102789662509E-2</c:v>
                </c:pt>
                <c:pt idx="556">
                  <c:v>5.6502523940090275E-2</c:v>
                </c:pt>
                <c:pt idx="557">
                  <c:v>5.6098911944659907E-2</c:v>
                </c:pt>
                <c:pt idx="558">
                  <c:v>5.5695308551001646E-2</c:v>
                </c:pt>
                <c:pt idx="559">
                  <c:v>5.5291755206139125E-2</c:v>
                </c:pt>
                <c:pt idx="560">
                  <c:v>5.4888293050126567E-2</c:v>
                </c:pt>
                <c:pt idx="561">
                  <c:v>5.4484962909811502E-2</c:v>
                </c:pt>
                <c:pt idx="562">
                  <c:v>5.4081805292722829E-2</c:v>
                </c:pt>
                <c:pt idx="563">
                  <c:v>5.3678860381085887E-2</c:v>
                </c:pt>
                <c:pt idx="564">
                  <c:v>5.3276168025965596E-2</c:v>
                </c:pt>
                <c:pt idx="565">
                  <c:v>5.2873767741537618E-2</c:v>
                </c:pt>
                <c:pt idx="566">
                  <c:v>5.2471698699489373E-2</c:v>
                </c:pt>
                <c:pt idx="567">
                  <c:v>5.2069999723551391E-2</c:v>
                </c:pt>
                <c:pt idx="568">
                  <c:v>5.166870928415896E-2</c:v>
                </c:pt>
                <c:pt idx="569">
                  <c:v>5.1267865493245822E-2</c:v>
                </c:pt>
                <c:pt idx="570">
                  <c:v>5.0867506099169991E-2</c:v>
                </c:pt>
                <c:pt idx="571">
                  <c:v>5.0467668481771838E-2</c:v>
                </c:pt>
                <c:pt idx="572">
                  <c:v>5.0068389647565985E-2</c:v>
                </c:pt>
                <c:pt idx="573">
                  <c:v>4.9669706225066161E-2</c:v>
                </c:pt>
                <c:pt idx="574">
                  <c:v>4.9271654460244591E-2</c:v>
                </c:pt>
                <c:pt idx="575">
                  <c:v>4.8874270212125592E-2</c:v>
                </c:pt>
                <c:pt idx="576">
                  <c:v>4.8477588948513624E-2</c:v>
                </c:pt>
                <c:pt idx="577">
                  <c:v>4.8081645741856464E-2</c:v>
                </c:pt>
                <c:pt idx="578">
                  <c:v>4.7686475265243486E-2</c:v>
                </c:pt>
                <c:pt idx="579">
                  <c:v>4.7292111788538788E-2</c:v>
                </c:pt>
                <c:pt idx="580">
                  <c:v>4.6898589174650007E-2</c:v>
                </c:pt>
                <c:pt idx="581">
                  <c:v>4.6505940875932496E-2</c:v>
                </c:pt>
                <c:pt idx="582">
                  <c:v>4.6114199930728274E-2</c:v>
                </c:pt>
                <c:pt idx="583">
                  <c:v>4.5723398960041066E-2</c:v>
                </c:pt>
                <c:pt idx="584">
                  <c:v>4.5333570164345735E-2</c:v>
                </c:pt>
                <c:pt idx="585">
                  <c:v>4.4944745320533198E-2</c:v>
                </c:pt>
                <c:pt idx="586">
                  <c:v>4.4556955778990166E-2</c:v>
                </c:pt>
                <c:pt idx="587">
                  <c:v>4.4170232460812954E-2</c:v>
                </c:pt>
                <c:pt idx="588">
                  <c:v>4.3784605855156068E-2</c:v>
                </c:pt>
                <c:pt idx="589">
                  <c:v>4.3400106016714686E-2</c:v>
                </c:pt>
                <c:pt idx="590">
                  <c:v>4.3016762563340152E-2</c:v>
                </c:pt>
                <c:pt idx="591">
                  <c:v>4.263460467378917E-2</c:v>
                </c:pt>
                <c:pt idx="592">
                  <c:v>4.225366108560541E-2</c:v>
                </c:pt>
                <c:pt idx="593">
                  <c:v>4.1873960093133017E-2</c:v>
                </c:pt>
                <c:pt idx="594">
                  <c:v>4.1495529545662109E-2</c:v>
                </c:pt>
                <c:pt idx="595">
                  <c:v>4.1118396845704695E-2</c:v>
                </c:pt>
                <c:pt idx="596">
                  <c:v>4.0742588947401286E-2</c:v>
                </c:pt>
                <c:pt idx="597">
                  <c:v>4.0368132355057158E-2</c:v>
                </c:pt>
                <c:pt idx="598">
                  <c:v>3.9995053121807025E-2</c:v>
                </c:pt>
                <c:pt idx="599">
                  <c:v>3.9623376848408338E-2</c:v>
                </c:pt>
                <c:pt idx="600">
                  <c:v>3.9253128682161721E-2</c:v>
                </c:pt>
                <c:pt idx="601">
                  <c:v>3.8884333315957705E-2</c:v>
                </c:pt>
                <c:pt idx="602">
                  <c:v>3.8517014987449472E-2</c:v>
                </c:pt>
                <c:pt idx="603">
                  <c:v>3.8151197478349698E-2</c:v>
                </c:pt>
                <c:pt idx="604">
                  <c:v>3.778690411385157E-2</c:v>
                </c:pt>
                <c:pt idx="605">
                  <c:v>3.7424157762172533E-2</c:v>
                </c:pt>
                <c:pt idx="606">
                  <c:v>3.7062980834219258E-2</c:v>
                </c:pt>
                <c:pt idx="607">
                  <c:v>3.6703395283373762E-2</c:v>
                </c:pt>
                <c:pt idx="608">
                  <c:v>3.6345422605398997E-2</c:v>
                </c:pt>
                <c:pt idx="609">
                  <c:v>3.5989083838462527E-2</c:v>
                </c:pt>
                <c:pt idx="610">
                  <c:v>3.5634399563277776E-2</c:v>
                </c:pt>
                <c:pt idx="611">
                  <c:v>3.5281389903361507E-2</c:v>
                </c:pt>
                <c:pt idx="612">
                  <c:v>3.4930074525405572E-2</c:v>
                </c:pt>
                <c:pt idx="613">
                  <c:v>3.458047263976298E-2</c:v>
                </c:pt>
                <c:pt idx="614">
                  <c:v>3.4232603001045782E-2</c:v>
                </c:pt>
                <c:pt idx="615">
                  <c:v>3.3886483908834246E-2</c:v>
                </c:pt>
                <c:pt idx="616">
                  <c:v>3.3542133208495799E-2</c:v>
                </c:pt>
                <c:pt idx="617">
                  <c:v>3.3199568292112021E-2</c:v>
                </c:pt>
                <c:pt idx="618">
                  <c:v>3.2858806099512923E-2</c:v>
                </c:pt>
                <c:pt idx="619">
                  <c:v>3.251986311941675E-2</c:v>
                </c:pt>
                <c:pt idx="620">
                  <c:v>3.2182755390673654E-2</c:v>
                </c:pt>
                <c:pt idx="621">
                  <c:v>3.1847498503612293E-2</c:v>
                </c:pt>
                <c:pt idx="622">
                  <c:v>3.1514107601487838E-2</c:v>
                </c:pt>
                <c:pt idx="623">
                  <c:v>3.118259738202905E-2</c:v>
                </c:pt>
                <c:pt idx="624">
                  <c:v>3.0852982099084332E-2</c:v>
                </c:pt>
                <c:pt idx="625">
                  <c:v>3.0525275564363779E-2</c:v>
                </c:pt>
                <c:pt idx="626">
                  <c:v>3.0199491149276812E-2</c:v>
                </c:pt>
                <c:pt idx="627">
                  <c:v>2.9875641786863225E-2</c:v>
                </c:pt>
                <c:pt idx="628">
                  <c:v>2.955373997381594E-2</c:v>
                </c:pt>
                <c:pt idx="629">
                  <c:v>2.9233797772594439E-2</c:v>
                </c:pt>
                <c:pt idx="630">
                  <c:v>2.8915826813626876E-2</c:v>
                </c:pt>
                <c:pt idx="631">
                  <c:v>2.8599838297599007E-2</c:v>
                </c:pt>
                <c:pt idx="632">
                  <c:v>2.8285842997828877E-2</c:v>
                </c:pt>
                <c:pt idx="633">
                  <c:v>2.7973851262725263E-2</c:v>
                </c:pt>
                <c:pt idx="634">
                  <c:v>2.7663873018327935E-2</c:v>
                </c:pt>
                <c:pt idx="635">
                  <c:v>2.7355917770928832E-2</c:v>
                </c:pt>
                <c:pt idx="636">
                  <c:v>2.704999460977146E-2</c:v>
                </c:pt>
                <c:pt idx="637">
                  <c:v>2.674611220982764E-2</c:v>
                </c:pt>
                <c:pt idx="638">
                  <c:v>2.6444278834649664E-2</c:v>
                </c:pt>
                <c:pt idx="639">
                  <c:v>2.6144502339295623E-2</c:v>
                </c:pt>
                <c:pt idx="640">
                  <c:v>2.5846790173327038E-2</c:v>
                </c:pt>
                <c:pt idx="641">
                  <c:v>2.5551149383876513E-2</c:v>
                </c:pt>
                <c:pt idx="642">
                  <c:v>2.5257586618783533E-2</c:v>
                </c:pt>
                <c:pt idx="643">
                  <c:v>2.4966108129797267E-2</c:v>
                </c:pt>
                <c:pt idx="644">
                  <c:v>2.4676719775844194E-2</c:v>
                </c:pt>
                <c:pt idx="645">
                  <c:v>2.4389427026358594E-2</c:v>
                </c:pt>
                <c:pt idx="646">
                  <c:v>2.4104234964674912E-2</c:v>
                </c:pt>
                <c:pt idx="647">
                  <c:v>2.382114829147931E-2</c:v>
                </c:pt>
                <c:pt idx="648">
                  <c:v>2.3540171328319391E-2</c:v>
                </c:pt>
                <c:pt idx="649">
                  <c:v>2.3261308021170109E-2</c:v>
                </c:pt>
                <c:pt idx="650">
                  <c:v>2.2984561944053659E-2</c:v>
                </c:pt>
                <c:pt idx="651">
                  <c:v>2.2709936302712379E-2</c:v>
                </c:pt>
                <c:pt idx="652">
                  <c:v>2.2437433938332509E-2</c:v>
                </c:pt>
                <c:pt idx="653">
                  <c:v>2.2167057331316641E-2</c:v>
                </c:pt>
                <c:pt idx="654">
                  <c:v>2.1898808605104035E-2</c:v>
                </c:pt>
                <c:pt idx="655">
                  <c:v>2.1632689530036338E-2</c:v>
                </c:pt>
                <c:pt idx="656">
                  <c:v>2.1368701527267036E-2</c:v>
                </c:pt>
                <c:pt idx="657">
                  <c:v>2.110684567271344E-2</c:v>
                </c:pt>
                <c:pt idx="658">
                  <c:v>2.0847122701048618E-2</c:v>
                </c:pt>
                <c:pt idx="659">
                  <c:v>2.0589533009732361E-2</c:v>
                </c:pt>
                <c:pt idx="660">
                  <c:v>2.0334076663079154E-2</c:v>
                </c:pt>
                <c:pt idx="661">
                  <c:v>2.0080753396361065E-2</c:v>
                </c:pt>
                <c:pt idx="662">
                  <c:v>1.9829562619944591E-2</c:v>
                </c:pt>
                <c:pt idx="663">
                  <c:v>1.9580503423459263E-2</c:v>
                </c:pt>
                <c:pt idx="664">
                  <c:v>1.9333574579996304E-2</c:v>
                </c:pt>
                <c:pt idx="665">
                  <c:v>1.9088774550336141E-2</c:v>
                </c:pt>
                <c:pt idx="666">
                  <c:v>1.8846101487202435E-2</c:v>
                </c:pt>
                <c:pt idx="667">
                  <c:v>1.8605553239541592E-2</c:v>
                </c:pt>
                <c:pt idx="668">
                  <c:v>1.8367127356825885E-2</c:v>
                </c:pt>
                <c:pt idx="669">
                  <c:v>1.8130821093378272E-2</c:v>
                </c:pt>
                <c:pt idx="670">
                  <c:v>1.789663141271787E-2</c:v>
                </c:pt>
                <c:pt idx="671">
                  <c:v>1.7664554991924125E-2</c:v>
                </c:pt>
                <c:pt idx="672">
                  <c:v>1.7434588226017962E-2</c:v>
                </c:pt>
                <c:pt idx="673">
                  <c:v>1.7206727232358769E-2</c:v>
                </c:pt>
                <c:pt idx="674">
                  <c:v>1.6980967855055446E-2</c:v>
                </c:pt>
                <c:pt idx="675">
                  <c:v>1.6757305669389669E-2</c:v>
                </c:pt>
                <c:pt idx="676">
                  <c:v>1.653573598625056E-2</c:v>
                </c:pt>
                <c:pt idx="677">
                  <c:v>1.6316253856578467E-2</c:v>
                </c:pt>
                <c:pt idx="678">
                  <c:v>1.6098854075816949E-2</c:v>
                </c:pt>
                <c:pt idx="679">
                  <c:v>1.5883531188371307E-2</c:v>
                </c:pt>
                <c:pt idx="680">
                  <c:v>1.5670279492071896E-2</c:v>
                </c:pt>
                <c:pt idx="681">
                  <c:v>1.5459093042641342E-2</c:v>
                </c:pt>
                <c:pt idx="682">
                  <c:v>1.5249965658163932E-2</c:v>
                </c:pt>
                <c:pt idx="683">
                  <c:v>1.5042890923555523E-2</c:v>
                </c:pt>
                <c:pt idx="684">
                  <c:v>1.4837862195033132E-2</c:v>
                </c:pt>
                <c:pt idx="685">
                  <c:v>1.4634872604582534E-2</c:v>
                </c:pt>
                <c:pt idx="686">
                  <c:v>1.4433915064422336E-2</c:v>
                </c:pt>
                <c:pt idx="687">
                  <c:v>1.4234982271463734E-2</c:v>
                </c:pt>
                <c:pt idx="688">
                  <c:v>1.4038066711763992E-2</c:v>
                </c:pt>
                <c:pt idx="689">
                  <c:v>1.3843160664972921E-2</c:v>
                </c:pt>
                <c:pt idx="690">
                  <c:v>1.3650256208770851E-2</c:v>
                </c:pt>
                <c:pt idx="691">
                  <c:v>1.3459345223296663E-2</c:v>
                </c:pt>
                <c:pt idx="692">
                  <c:v>1.3270419395565027E-2</c:v>
                </c:pt>
                <c:pt idx="693">
                  <c:v>1.3083470223871447E-2</c:v>
                </c:pt>
                <c:pt idx="694">
                  <c:v>1.2898489022183808E-2</c:v>
                </c:pt>
                <c:pt idx="695">
                  <c:v>1.2715466924519537E-2</c:v>
                </c:pt>
                <c:pt idx="696">
                  <c:v>1.2534394889307115E-2</c:v>
                </c:pt>
                <c:pt idx="697">
                  <c:v>1.2355263703730541E-2</c:v>
                </c:pt>
                <c:pt idx="698">
                  <c:v>1.2178063988056348E-2</c:v>
                </c:pt>
                <c:pt idx="699">
                  <c:v>1.2002786199941211E-2</c:v>
                </c:pt>
                <c:pt idx="700">
                  <c:v>1.1829420638719817E-2</c:v>
                </c:pt>
                <c:pt idx="701">
                  <c:v>1.1657957449671703E-2</c:v>
                </c:pt>
                <c:pt idx="702">
                  <c:v>1.1488386628265797E-2</c:v>
                </c:pt>
                <c:pt idx="703">
                  <c:v>1.1320698024382169E-2</c:v>
                </c:pt>
                <c:pt idx="704">
                  <c:v>1.1154881346509719E-2</c:v>
                </c:pt>
                <c:pt idx="705">
                  <c:v>1.0990926165918787E-2</c:v>
                </c:pt>
                <c:pt idx="706">
                  <c:v>1.0828821920808073E-2</c:v>
                </c:pt>
                <c:pt idx="707">
                  <c:v>1.0668557920424752E-2</c:v>
                </c:pt>
                <c:pt idx="708">
                  <c:v>1.0510123349156819E-2</c:v>
                </c:pt>
                <c:pt idx="709">
                  <c:v>1.0353507270597202E-2</c:v>
                </c:pt>
                <c:pt idx="710">
                  <c:v>1.0198698631578306E-2</c:v>
                </c:pt>
                <c:pt idx="711">
                  <c:v>1.0045686266176622E-2</c:v>
                </c:pt>
                <c:pt idx="712">
                  <c:v>9.8944588996863984E-3</c:v>
                </c:pt>
                <c:pt idx="713">
                  <c:v>9.7450051525615825E-3</c:v>
                </c:pt>
                <c:pt idx="714">
                  <c:v>9.5973135443254594E-3</c:v>
                </c:pt>
                <c:pt idx="715">
                  <c:v>9.4513724974471958E-3</c:v>
                </c:pt>
                <c:pt idx="716">
                  <c:v>9.3071703411844106E-3</c:v>
                </c:pt>
                <c:pt idx="717">
                  <c:v>9.1646953153915762E-3</c:v>
                </c:pt>
                <c:pt idx="718">
                  <c:v>9.0239355742930058E-3</c:v>
                </c:pt>
                <c:pt idx="719">
                  <c:v>8.8848791902203014E-3</c:v>
                </c:pt>
                <c:pt idx="720">
                  <c:v>8.7475141573134293E-3</c:v>
                </c:pt>
                <c:pt idx="721">
                  <c:v>8.6118283951847879E-3</c:v>
                </c:pt>
                <c:pt idx="722">
                  <c:v>8.4778097525459051E-3</c:v>
                </c:pt>
                <c:pt idx="723">
                  <c:v>8.3454460107961446E-3</c:v>
                </c:pt>
                <c:pt idx="724">
                  <c:v>8.2147248875727285E-3</c:v>
                </c:pt>
                <c:pt idx="725">
                  <c:v>8.0856340402619218E-3</c:v>
                </c:pt>
                <c:pt idx="726">
                  <c:v>7.9581610694707018E-3</c:v>
                </c:pt>
                <c:pt idx="727">
                  <c:v>7.8322935224583879E-3</c:v>
                </c:pt>
                <c:pt idx="728">
                  <c:v>7.708018896528058E-3</c:v>
                </c:pt>
                <c:pt idx="729">
                  <c:v>7.5853246423771047E-3</c:v>
                </c:pt>
                <c:pt idx="730">
                  <c:v>7.4641981674066589E-3</c:v>
                </c:pt>
                <c:pt idx="731">
                  <c:v>7.3446268389896138E-3</c:v>
                </c:pt>
                <c:pt idx="732">
                  <c:v>7.2265979876965777E-3</c:v>
                </c:pt>
                <c:pt idx="733">
                  <c:v>7.1100989104798404E-3</c:v>
                </c:pt>
                <c:pt idx="734">
                  <c:v>6.9951168738148391E-3</c:v>
                </c:pt>
                <c:pt idx="735">
                  <c:v>6.8816391167987167E-3</c:v>
                </c:pt>
                <c:pt idx="736">
                  <c:v>6.7696528542060368E-3</c:v>
                </c:pt>
                <c:pt idx="737">
                  <c:v>6.6591452795011488E-3</c:v>
                </c:pt>
                <c:pt idx="738">
                  <c:v>6.550103567807013E-3</c:v>
                </c:pt>
                <c:pt idx="739">
                  <c:v>6.4425148788305056E-3</c:v>
                </c:pt>
                <c:pt idx="740">
                  <c:v>6.3363663597435929E-3</c:v>
                </c:pt>
                <c:pt idx="741">
                  <c:v>6.2316451480206765E-3</c:v>
                </c:pt>
                <c:pt idx="742">
                  <c:v>6.1283383742316913E-3</c:v>
                </c:pt>
                <c:pt idx="743">
                  <c:v>6.0264331647907794E-3</c:v>
                </c:pt>
                <c:pt idx="744">
                  <c:v>5.925916644660645E-3</c:v>
                </c:pt>
                <c:pt idx="745">
                  <c:v>5.8267759400123745E-3</c:v>
                </c:pt>
                <c:pt idx="746">
                  <c:v>5.7289981808405603E-3</c:v>
                </c:pt>
                <c:pt idx="747">
                  <c:v>5.6325705035338578E-3</c:v>
                </c:pt>
                <c:pt idx="748">
                  <c:v>5.5374800534008254E-3</c:v>
                </c:pt>
                <c:pt idx="749">
                  <c:v>5.4437139871509428E-3</c:v>
                </c:pt>
                <c:pt idx="750">
                  <c:v>5.3512594753310347E-3</c:v>
                </c:pt>
                <c:pt idx="751">
                  <c:v>5.2601037047168208E-3</c:v>
                </c:pt>
                <c:pt idx="752">
                  <c:v>5.170233880659846E-3</c:v>
                </c:pt>
                <c:pt idx="753">
                  <c:v>5.0816372293897563E-3</c:v>
                </c:pt>
                <c:pt idx="754">
                  <c:v>4.9943010002718238E-3</c:v>
                </c:pt>
                <c:pt idx="755">
                  <c:v>4.9082124680201022E-3</c:v>
                </c:pt>
                <c:pt idx="756">
                  <c:v>4.8233589348660238E-3</c:v>
                </c:pt>
                <c:pt idx="757">
                  <c:v>4.7397277326825978E-3</c:v>
                </c:pt>
                <c:pt idx="758">
                  <c:v>4.6573062250644393E-3</c:v>
                </c:pt>
                <c:pt idx="759">
                  <c:v>4.5760818093636508E-3</c:v>
                </c:pt>
                <c:pt idx="760">
                  <c:v>4.4960419186816543E-3</c:v>
                </c:pt>
                <c:pt idx="761">
                  <c:v>4.417174023817306E-3</c:v>
                </c:pt>
                <c:pt idx="762">
                  <c:v>4.3394656351712106E-3</c:v>
                </c:pt>
                <c:pt idx="763">
                  <c:v>4.2629043046066668E-3</c:v>
                </c:pt>
                <c:pt idx="764">
                  <c:v>4.1874776272672887E-3</c:v>
                </c:pt>
                <c:pt idx="765">
                  <c:v>4.1131732433514635E-3</c:v>
                </c:pt>
                <c:pt idx="766">
                  <c:v>4.0399788398440203E-3</c:v>
                </c:pt>
                <c:pt idx="767">
                  <c:v>3.9678821522052552E-3</c:v>
                </c:pt>
                <c:pt idx="768">
                  <c:v>3.8968709660174485E-3</c:v>
                </c:pt>
                <c:pt idx="769">
                  <c:v>3.82693311858932E-3</c:v>
                </c:pt>
                <c:pt idx="770">
                  <c:v>3.7580565005185832E-3</c:v>
                </c:pt>
                <c:pt idx="771">
                  <c:v>3.6902290572127594E-3</c:v>
                </c:pt>
                <c:pt idx="772">
                  <c:v>3.62343879036881E-3</c:v>
                </c:pt>
                <c:pt idx="773">
                  <c:v>3.5576737594115527E-3</c:v>
                </c:pt>
                <c:pt idx="774">
                  <c:v>3.4929220828914102E-3</c:v>
                </c:pt>
                <c:pt idx="775">
                  <c:v>3.4291719398417118E-3</c:v>
                </c:pt>
                <c:pt idx="776">
                  <c:v>3.3664115710957854E-3</c:v>
                </c:pt>
                <c:pt idx="777">
                  <c:v>3.3046292805643195E-3</c:v>
                </c:pt>
                <c:pt idx="778">
                  <c:v>3.243813436473245E-3</c:v>
                </c:pt>
                <c:pt idx="779">
                  <c:v>3.1839524725624244E-3</c:v>
                </c:pt>
                <c:pt idx="780">
                  <c:v>3.125034889245649E-3</c:v>
                </c:pt>
                <c:pt idx="781">
                  <c:v>3.0670492547321421E-3</c:v>
                </c:pt>
                <c:pt idx="782">
                  <c:v>3.0099842061100486E-3</c:v>
                </c:pt>
                <c:pt idx="783">
                  <c:v>2.9538284503922495E-3</c:v>
                </c:pt>
                <c:pt idx="784">
                  <c:v>2.8985707655248068E-3</c:v>
                </c:pt>
                <c:pt idx="785">
                  <c:v>2.8442000013585529E-3</c:v>
                </c:pt>
                <c:pt idx="786">
                  <c:v>2.7907050805841419E-3</c:v>
                </c:pt>
                <c:pt idx="787">
                  <c:v>2.7380749996309219E-3</c:v>
                </c:pt>
                <c:pt idx="788">
                  <c:v>2.6862988295301019E-3</c:v>
                </c:pt>
                <c:pt idx="789">
                  <c:v>2.6353657167426442E-3</c:v>
                </c:pt>
                <c:pt idx="790">
                  <c:v>2.5852648839521332E-3</c:v>
                </c:pt>
                <c:pt idx="791">
                  <c:v>2.5359856308232705E-3</c:v>
                </c:pt>
                <c:pt idx="792">
                  <c:v>2.4875173347261941E-3</c:v>
                </c:pt>
                <c:pt idx="793">
                  <c:v>2.4398494514272116E-3</c:v>
                </c:pt>
                <c:pt idx="794">
                  <c:v>2.3929715157463122E-3</c:v>
                </c:pt>
                <c:pt idx="795">
                  <c:v>2.3468731421818468E-3</c:v>
                </c:pt>
                <c:pt idx="796">
                  <c:v>2.3015440255029058E-3</c:v>
                </c:pt>
                <c:pt idx="797">
                  <c:v>2.2569739413097816E-3</c:v>
                </c:pt>
                <c:pt idx="798">
                  <c:v>2.2131527465629355E-3</c:v>
                </c:pt>
                <c:pt idx="799">
                  <c:v>2.1700703800809707E-3</c:v>
                </c:pt>
                <c:pt idx="800">
                  <c:v>2.1277168630080426E-3</c:v>
                </c:pt>
                <c:pt idx="801">
                  <c:v>2.0860822992510987E-3</c:v>
                </c:pt>
                <c:pt idx="802">
                  <c:v>2.0451568758875125E-3</c:v>
                </c:pt>
                <c:pt idx="803">
                  <c:v>2.0049308635434388E-3</c:v>
                </c:pt>
                <c:pt idx="804">
                  <c:v>1.9653946167434541E-3</c:v>
                </c:pt>
                <c:pt idx="805">
                  <c:v>1.9265385742318825E-3</c:v>
                </c:pt>
                <c:pt idx="806">
                  <c:v>1.8883532592662586E-3</c:v>
                </c:pt>
                <c:pt idx="807">
                  <c:v>1.8508292798834198E-3</c:v>
                </c:pt>
                <c:pt idx="808">
                  <c:v>1.81395732913869E-3</c:v>
                </c:pt>
                <c:pt idx="809">
                  <c:v>1.7777281853185451E-3</c:v>
                </c:pt>
                <c:pt idx="810">
                  <c:v>1.7421327121273245E-3</c:v>
                </c:pt>
                <c:pt idx="811">
                  <c:v>1.7071618588483902E-3</c:v>
                </c:pt>
                <c:pt idx="812">
                  <c:v>1.6728066604801632E-3</c:v>
                </c:pt>
                <c:pt idx="813">
                  <c:v>1.6390582378475941E-3</c:v>
                </c:pt>
                <c:pt idx="814">
                  <c:v>1.6059077976894199E-3</c:v>
                </c:pt>
                <c:pt idx="815">
                  <c:v>1.5733466327217463E-3</c:v>
                </c:pt>
                <c:pt idx="816">
                  <c:v>1.5413661216783984E-3</c:v>
                </c:pt>
                <c:pt idx="817">
                  <c:v>1.5099577293284283E-3</c:v>
                </c:pt>
                <c:pt idx="818">
                  <c:v>1.4791130064713536E-3</c:v>
                </c:pt>
                <c:pt idx="819">
                  <c:v>1.448823589910496E-3</c:v>
                </c:pt>
                <c:pt idx="820">
                  <c:v>1.4190812024048845E-3</c:v>
                </c:pt>
                <c:pt idx="821">
                  <c:v>1.389877652600214E-3</c:v>
                </c:pt>
                <c:pt idx="822">
                  <c:v>1.361204834939277E-3</c:v>
                </c:pt>
                <c:pt idx="823">
                  <c:v>1.3330547295523152E-3</c:v>
                </c:pt>
                <c:pt idx="824">
                  <c:v>1.3054194021277724E-3</c:v>
                </c:pt>
                <c:pt idx="825">
                  <c:v>1.2782910037638377E-3</c:v>
                </c:pt>
                <c:pt idx="826">
                  <c:v>1.2516617708012746E-3</c:v>
                </c:pt>
                <c:pt idx="827">
                  <c:v>1.2255240246379583E-3</c:v>
                </c:pt>
                <c:pt idx="828">
                  <c:v>1.1998701715255223E-3</c:v>
                </c:pt>
                <c:pt idx="829">
                  <c:v>1.1746927023486094E-3</c:v>
                </c:pt>
                <c:pt idx="830">
                  <c:v>1.1499841923871253E-3</c:v>
                </c:pt>
                <c:pt idx="831">
                  <c:v>1.1257373010619038E-3</c:v>
                </c:pt>
                <c:pt idx="832">
                  <c:v>1.1019447716642697E-3</c:v>
                </c:pt>
                <c:pt idx="833">
                  <c:v>1.0785994310698417E-3</c:v>
                </c:pt>
                <c:pt idx="834">
                  <c:v>1.0556941894370683E-3</c:v>
                </c:pt>
                <c:pt idx="835">
                  <c:v>1.0332220398908824E-3</c:v>
                </c:pt>
                <c:pt idx="836">
                  <c:v>1.0111760581918493E-3</c:v>
                </c:pt>
                <c:pt idx="837">
                  <c:v>9.8954940239129774E-4</c:v>
                </c:pt>
                <c:pt idx="838">
                  <c:v>9.6833531247276573E-4</c:v>
                </c:pt>
                <c:pt idx="839">
                  <c:v>9.4752710998019887E-4</c:v>
                </c:pt>
                <c:pt idx="840">
                  <c:v>9.271181976332907E-4</c:v>
                </c:pt>
                <c:pt idx="841">
                  <c:v>9.0710205893036223E-4</c:v>
                </c:pt>
                <c:pt idx="842">
                  <c:v>8.8747225773915092E-4</c:v>
                </c:pt>
                <c:pt idx="843">
                  <c:v>8.6822243787593677E-4</c:v>
                </c:pt>
                <c:pt idx="844">
                  <c:v>8.4934632267332378E-4</c:v>
                </c:pt>
                <c:pt idx="845">
                  <c:v>8.3083771453712246E-4</c:v>
                </c:pt>
                <c:pt idx="846">
                  <c:v>8.1269049449266516E-4</c:v>
                </c:pt>
                <c:pt idx="847">
                  <c:v>7.9489862172090863E-4</c:v>
                </c:pt>
                <c:pt idx="848">
                  <c:v>7.7745613308474347E-4</c:v>
                </c:pt>
                <c:pt idx="849">
                  <c:v>7.6035714264582237E-4</c:v>
                </c:pt>
                <c:pt idx="850">
                  <c:v>7.4359584117226877E-4</c:v>
                </c:pt>
                <c:pt idx="851">
                  <c:v>7.2716649563763511E-4</c:v>
                </c:pt>
                <c:pt idx="852">
                  <c:v>7.1106344871145358E-4</c:v>
                </c:pt>
                <c:pt idx="853">
                  <c:v>6.9528111824169103E-4</c:v>
                </c:pt>
                <c:pt idx="854">
                  <c:v>6.7981399672949736E-4</c:v>
                </c:pt>
                <c:pt idx="855">
                  <c:v>6.6465665079651901E-4</c:v>
                </c:pt>
                <c:pt idx="856">
                  <c:v>6.4980372064516053E-4</c:v>
                </c:pt>
                <c:pt idx="857">
                  <c:v>6.3524991951208795E-4</c:v>
                </c:pt>
                <c:pt idx="858">
                  <c:v>6.2099003311527699E-4</c:v>
                </c:pt>
                <c:pt idx="859">
                  <c:v>6.0701891909496373E-4</c:v>
                </c:pt>
                <c:pt idx="860">
                  <c:v>5.9333150644876953E-4</c:v>
                </c:pt>
                <c:pt idx="861">
                  <c:v>5.7992279496130964E-4</c:v>
                </c:pt>
                <c:pt idx="862">
                  <c:v>5.6678785462859795E-4</c:v>
                </c:pt>
                <c:pt idx="863">
                  <c:v>5.5392182507753437E-4</c:v>
                </c:pt>
                <c:pt idx="864">
                  <c:v>5.4131991498074586E-4</c:v>
                </c:pt>
                <c:pt idx="865">
                  <c:v>5.2897740146711034E-4</c:v>
                </c:pt>
                <c:pt idx="866">
                  <c:v>5.1688962952818281E-4</c:v>
                </c:pt>
                <c:pt idx="867">
                  <c:v>5.0505201142084916E-4</c:v>
                </c:pt>
                <c:pt idx="868">
                  <c:v>4.9346002606645469E-4</c:v>
                </c:pt>
                <c:pt idx="869">
                  <c:v>4.8210921844666168E-4</c:v>
                </c:pt>
                <c:pt idx="870">
                  <c:v>4.7099519899632071E-4</c:v>
                </c:pt>
                <c:pt idx="871">
                  <c:v>4.6011364299359598E-4</c:v>
                </c:pt>
                <c:pt idx="872">
                  <c:v>4.4946028994758552E-4</c:v>
                </c:pt>
                <c:pt idx="873">
                  <c:v>4.390309429837007E-4</c:v>
                </c:pt>
                <c:pt idx="874">
                  <c:v>4.2882146822703995E-4</c:v>
                </c:pt>
                <c:pt idx="875">
                  <c:v>4.1882779418397068E-4</c:v>
                </c:pt>
                <c:pt idx="876">
                  <c:v>4.0904591112219313E-4</c:v>
                </c:pt>
                <c:pt idx="877">
                  <c:v>3.9947187044945127E-4</c:v>
                </c:pt>
                <c:pt idx="878">
                  <c:v>3.9010178409118397E-4</c:v>
                </c:pt>
                <c:pt idx="879">
                  <c:v>3.8093182386726943E-4</c:v>
                </c:pt>
                <c:pt idx="880">
                  <c:v>3.7195822086809902E-4</c:v>
                </c:pt>
                <c:pt idx="881">
                  <c:v>3.6317726483020622E-4</c:v>
                </c:pt>
                <c:pt idx="882">
                  <c:v>3.5458530351162006E-4</c:v>
                </c:pt>
                <c:pt idx="883">
                  <c:v>3.4617874206714665E-4</c:v>
                </c:pt>
                <c:pt idx="884">
                  <c:v>3.3795404242380385E-4</c:v>
                </c:pt>
                <c:pt idx="885">
                  <c:v>3.2990772265655E-4</c:v>
                </c:pt>
                <c:pt idx="886">
                  <c:v>3.2203635636451563E-4</c:v>
                </c:pt>
                <c:pt idx="887">
                  <c:v>3.1433657204792923E-4</c:v>
                </c:pt>
                <c:pt idx="888">
                  <c:v>3.0680505248588012E-4</c:v>
                </c:pt>
                <c:pt idx="889">
                  <c:v>2.9943853411510519E-4</c:v>
                </c:pt>
                <c:pt idx="890">
                  <c:v>2.9223380640997968E-4</c:v>
                </c:pt>
                <c:pt idx="891">
                  <c:v>2.8518771126384373E-4</c:v>
                </c:pt>
                <c:pt idx="892">
                  <c:v>2.7829714237183426E-4</c:v>
                </c:pt>
                <c:pt idx="893">
                  <c:v>2.7155904461539227E-4</c:v>
                </c:pt>
                <c:pt idx="894">
                  <c:v>2.6497041344856191E-4</c:v>
                </c:pt>
                <c:pt idx="895">
                  <c:v>2.5852829428624891E-4</c:v>
                </c:pt>
                <c:pt idx="896">
                  <c:v>2.5222978189456464E-4</c:v>
                </c:pt>
                <c:pt idx="897">
                  <c:v>2.4607201978341016E-4</c:v>
                </c:pt>
                <c:pt idx="898">
                  <c:v>2.4005219960140548E-4</c:v>
                </c:pt>
                <c:pt idx="899">
                  <c:v>2.3416756053330881E-4</c:v>
                </c:pt>
                <c:pt idx="900">
                  <c:v>2.2841538870005472E-4</c:v>
                </c:pt>
                <c:pt idx="901">
                  <c:v>2.2279301656151273E-4</c:v>
                </c:pt>
                <c:pt idx="902">
                  <c:v>2.1729782232208944E-4</c:v>
                </c:pt>
                <c:pt idx="903">
                  <c:v>2.1192722933930129E-4</c:v>
                </c:pt>
                <c:pt idx="904">
                  <c:v>2.0667870553540049E-4</c:v>
                </c:pt>
                <c:pt idx="905">
                  <c:v>2.0154976281217142E-4</c:v>
                </c:pt>
                <c:pt idx="906">
                  <c:v>1.9653795646900764E-4</c:v>
                </c:pt>
                <c:pt idx="907">
                  <c:v>1.9164088462434687E-4</c:v>
                </c:pt>
                <c:pt idx="908">
                  <c:v>#N/A</c:v>
                </c:pt>
                <c:pt idx="909">
                  <c:v>1.7101452972453682E-4</c:v>
                </c:pt>
                <c:pt idx="910">
                  <c:v>1.7545007399451246E-4</c:v>
                </c:pt>
                <c:pt idx="911">
                  <c:v>1.7999127553895863E-4</c:v>
                </c:pt>
                <c:pt idx="912">
                  <c:v>1.8464038938287948E-4</c:v>
                </c:pt>
                <c:pt idx="913">
                  <c:v>1.8939971175929956E-4</c:v>
                </c:pt>
                <c:pt idx="914">
                  <c:v>1.9427158068854657E-4</c:v>
                </c:pt>
                <c:pt idx="915">
                  <c:v>1.9925837656144458E-4</c:v>
                </c:pt>
                <c:pt idx="916">
                  <c:v>2.0436252272633848E-4</c:v>
                </c:pt>
                <c:pt idx="917">
                  <c:v>2.0958648607985586E-4</c:v>
                </c:pt>
                <c:pt idx="918">
                  <c:v>2.1493277766132171E-4</c:v>
                </c:pt>
                <c:pt idx="919">
                  <c:v>2.2040395325072685E-4</c:v>
                </c:pt>
                <c:pt idx="920">
                  <c:v>2.2600261397015252E-4</c:v>
                </c:pt>
                <c:pt idx="921">
                  <c:v>2.3173140688854865E-4</c:v>
                </c:pt>
                <c:pt idx="922">
                  <c:v>2.3759302562976063E-4</c:v>
                </c:pt>
                <c:pt idx="923">
                  <c:v>2.4359021098369364E-4</c:v>
                </c:pt>
                <c:pt idx="924">
                  <c:v>2.4972575152049954E-4</c:v>
                </c:pt>
                <c:pt idx="925">
                  <c:v>2.5600248420767072E-4</c:v>
                </c:pt>
                <c:pt idx="926">
                  <c:v>2.6242329502991474E-4</c:v>
                </c:pt>
                <c:pt idx="927">
                  <c:v>2.6899111961168931E-4</c:v>
                </c:pt>
                <c:pt idx="928">
                  <c:v>2.7570894384226091E-4</c:v>
                </c:pt>
                <c:pt idx="929">
                  <c:v>2.825798045031557E-4</c:v>
                </c:pt>
                <c:pt idx="930">
                  <c:v>2.8960678989786709E-4</c:v>
                </c:pt>
                <c:pt idx="931">
                  <c:v>2.9679304048366818E-4</c:v>
                </c:pt>
                <c:pt idx="932">
                  <c:v>3.0414174950538811E-4</c:v>
                </c:pt>
                <c:pt idx="933">
                  <c:v>3.1165616363100105E-4</c:v>
                </c:pt>
                <c:pt idx="934">
                  <c:v>3.1933958358886855E-4</c:v>
                </c:pt>
                <c:pt idx="935">
                  <c:v>3.2719536480647031E-4</c:v>
                </c:pt>
                <c:pt idx="936">
                  <c:v>3.3522691805047108E-4</c:v>
                </c:pt>
                <c:pt idx="937">
                  <c:v>3.4343771006793678E-4</c:v>
                </c:pt>
                <c:pt idx="938">
                  <c:v>3.5183126422854186E-4</c:v>
                </c:pt>
                <c:pt idx="939">
                  <c:v>3.6041116116757228E-4</c:v>
                </c:pt>
                <c:pt idx="940">
                  <c:v>3.6918103942955592E-4</c:v>
                </c:pt>
                <c:pt idx="941">
                  <c:v>3.7814459611232044E-4</c:v>
                </c:pt>
                <c:pt idx="942">
                  <c:v>3.8730558751129071E-4</c:v>
                </c:pt>
                <c:pt idx="943">
                  <c:v>3.9666782976382358E-4</c:v>
                </c:pt>
                <c:pt idx="944">
                  <c:v>4.0623519949338152E-4</c:v>
                </c:pt>
                <c:pt idx="945">
                  <c:v>4.1601163445333501E-4</c:v>
                </c:pt>
                <c:pt idx="946">
                  <c:v>4.2600113417018122E-4</c:v>
                </c:pt>
                <c:pt idx="947">
                  <c:v>4.3620776058595899E-4</c:v>
                </c:pt>
                <c:pt idx="948">
                  <c:v>4.4663563869963964E-4</c:v>
                </c:pt>
                <c:pt idx="949">
                  <c:v>4.5728895720726671E-4</c:v>
                </c:pt>
                <c:pt idx="950">
                  <c:v>4.6817196914061327E-4</c:v>
                </c:pt>
                <c:pt idx="951">
                  <c:v>4.7928899250411017E-4</c:v>
                </c:pt>
                <c:pt idx="952">
                  <c:v>4.9064441090981555E-4</c:v>
                </c:pt>
                <c:pt idx="953">
                  <c:v>5.02242674210169E-4</c:v>
                </c:pt>
                <c:pt idx="954">
                  <c:v>5.1408829912827857E-4</c:v>
                </c:pt>
                <c:pt idx="955">
                  <c:v>5.2618586988548459E-4</c:v>
                </c:pt>
                <c:pt idx="956">
                  <c:v>5.3854003882593835E-4</c:v>
                </c:pt>
                <c:pt idx="957">
                  <c:v>5.5115552703793012E-4</c:v>
                </c:pt>
                <c:pt idx="958">
                  <c:v>5.6403712497167307E-4</c:v>
                </c:pt>
                <c:pt idx="959">
                  <c:v>5.7718969305330038E-4</c:v>
                </c:pt>
                <c:pt idx="960">
                  <c:v>5.9061816229475815E-4</c:v>
                </c:pt>
                <c:pt idx="961">
                  <c:v>6.0432753489933055E-4</c:v>
                </c:pt>
                <c:pt idx="962">
                  <c:v>6.1832288486248009E-4</c:v>
                </c:pt>
                <c:pt idx="963">
                  <c:v>6.3260935856772837E-4</c:v>
                </c:pt>
                <c:pt idx="964">
                  <c:v>6.4719217537725698E-4</c:v>
                </c:pt>
                <c:pt idx="965">
                  <c:v>6.6207662821691864E-4</c:v>
                </c:pt>
                <c:pt idx="966">
                  <c:v>6.7726808415536114E-4</c:v>
                </c:pt>
                <c:pt idx="967">
                  <c:v>6.9277198497692187E-4</c:v>
                </c:pt>
                <c:pt idx="968">
                  <c:v>7.0859384774799754E-4</c:v>
                </c:pt>
                <c:pt idx="969">
                  <c:v>7.2473926537651521E-4</c:v>
                </c:pt>
                <c:pt idx="970">
                  <c:v>7.412139071642258E-4</c:v>
                </c:pt>
                <c:pt idx="971">
                  <c:v>7.5802351935143493E-4</c:v>
                </c:pt>
                <c:pt idx="972">
                  <c:v>7.7517392565385607E-4</c:v>
                </c:pt>
                <c:pt idx="973">
                  <c:v>7.9267102779121497E-4</c:v>
                </c:pt>
                <c:pt idx="974">
                  <c:v>8.1052080600726583E-4</c:v>
                </c:pt>
                <c:pt idx="975">
                  <c:v>8.2872931958086432E-4</c:v>
                </c:pt>
                <c:pt idx="976">
                  <c:v>8.4730270732770701E-4</c:v>
                </c:pt>
                <c:pt idx="977">
                  <c:v>8.6624718809240786E-4</c:v>
                </c:pt>
                <c:pt idx="978">
                  <c:v>8.8556906123050309E-4</c:v>
                </c:pt>
                <c:pt idx="979">
                  <c:v>9.0527470708002969E-4</c:v>
                </c:pt>
                <c:pt idx="980">
                  <c:v>9.2537058742228422E-4</c:v>
                </c:pt>
                <c:pt idx="981">
                  <c:v>9.4586324593137381E-4</c:v>
                </c:pt>
                <c:pt idx="982">
                  <c:v>9.6675930861217626E-4</c:v>
                </c:pt>
                <c:pt idx="983">
                  <c:v>9.8806548422631204E-4</c:v>
                </c:pt>
                <c:pt idx="984">
                  <c:v>1.0097885647057151E-3</c:v>
                </c:pt>
                <c:pt idx="985">
                  <c:v>1.0319354255534101E-3</c:v>
                </c:pt>
                <c:pt idx="986">
                  <c:v>1.0545130262310945E-3</c:v>
                </c:pt>
                <c:pt idx="987">
                  <c:v>1.0775284105330844E-3</c:v>
                </c:pt>
                <c:pt idx="988">
                  <c:v>1.1009887069462431E-3</c:v>
                </c:pt>
                <c:pt idx="989">
                  <c:v>1.124901128995441E-3</c:v>
                </c:pt>
                <c:pt idx="990">
                  <c:v>1.1492729755741464E-3</c:v>
                </c:pt>
                <c:pt idx="991">
                  <c:v>1.1741116312596965E-3</c:v>
                </c:pt>
                <c:pt idx="992">
                  <c:v>1.1994245666128269E-3</c:v>
                </c:pt>
                <c:pt idx="993">
                  <c:v>1.2252193384610349E-3</c:v>
                </c:pt>
                <c:pt idx="994">
                  <c:v>1.2515035901653213E-3</c:v>
                </c:pt>
                <c:pt idx="995">
                  <c:v>1.2782850518698679E-3</c:v>
                </c:pt>
                <c:pt idx="996">
                  <c:v>1.3055715407342102E-3</c:v>
                </c:pt>
                <c:pt idx="997">
                  <c:v>1.3333709611474738E-3</c:v>
                </c:pt>
                <c:pt idx="998">
                  <c:v>1.3616913049241757E-3</c:v>
                </c:pt>
                <c:pt idx="999">
                  <c:v>1.3905406514811928E-3</c:v>
                </c:pt>
                <c:pt idx="1000">
                  <c:v>1.4199271679953985E-3</c:v>
                </c:pt>
                <c:pt idx="1001">
                  <c:v>1.4498591095415221E-3</c:v>
                </c:pt>
                <c:pt idx="1002">
                  <c:v>1.4803448192097755E-3</c:v>
                </c:pt>
                <c:pt idx="1003">
                  <c:v>1.5113927282027551E-3</c:v>
                </c:pt>
                <c:pt idx="1004">
                  <c:v>1.5430113559111969E-3</c:v>
                </c:pt>
                <c:pt idx="1005">
                  <c:v>1.5752093099680763E-3</c:v>
                </c:pt>
                <c:pt idx="1006">
                  <c:v>1.6079952862805909E-3</c:v>
                </c:pt>
                <c:pt idx="1007">
                  <c:v>1.6413780690395605E-3</c:v>
                </c:pt>
                <c:pt idx="1008">
                  <c:v>1.675366530705784E-3</c:v>
                </c:pt>
                <c:pt idx="1009">
                  <c:v>1.7099696319728287E-3</c:v>
                </c:pt>
                <c:pt idx="1010">
                  <c:v>1.7451964217058333E-3</c:v>
                </c:pt>
                <c:pt idx="1011">
                  <c:v>1.7810560368558227E-3</c:v>
                </c:pt>
                <c:pt idx="1012">
                  <c:v>1.8175577023490273E-3</c:v>
                </c:pt>
                <c:pt idx="1013">
                  <c:v>1.854710730950785E-3</c:v>
                </c:pt>
                <c:pt idx="1014">
                  <c:v>1.8925245231034933E-3</c:v>
                </c:pt>
                <c:pt idx="1015">
                  <c:v>1.9310085667381617E-3</c:v>
                </c:pt>
                <c:pt idx="1016">
                  <c:v>1.9701724370590826E-3</c:v>
                </c:pt>
                <c:pt idx="1017">
                  <c:v>2.0100257963011231E-3</c:v>
                </c:pt>
                <c:pt idx="1018">
                  <c:v>2.0505783934591619E-3</c:v>
                </c:pt>
                <c:pt idx="1019">
                  <c:v>2.0918400639892277E-3</c:v>
                </c:pt>
                <c:pt idx="1020">
                  <c:v>2.1338207294807933E-3</c:v>
                </c:pt>
                <c:pt idx="1021">
                  <c:v>2.1765303972998114E-3</c:v>
                </c:pt>
                <c:pt idx="1022">
                  <c:v>2.2199791602019953E-3</c:v>
                </c:pt>
                <c:pt idx="1023">
                  <c:v>2.264177195915827E-3</c:v>
                </c:pt>
                <c:pt idx="1024">
                  <c:v>2.3091347666949098E-3</c:v>
                </c:pt>
                <c:pt idx="1025">
                  <c:v>2.3548622188390936E-3</c:v>
                </c:pt>
                <c:pt idx="1026">
                  <c:v>2.4013699821839722E-3</c:v>
                </c:pt>
                <c:pt idx="1027">
                  <c:v>2.448668569558271E-3</c:v>
                </c:pt>
                <c:pt idx="1028">
                  <c:v>2.4967685762086393E-3</c:v>
                </c:pt>
                <c:pt idx="1029">
                  <c:v>2.5456806791913944E-3</c:v>
                </c:pt>
                <c:pt idx="1030">
                  <c:v>2.5954156367307842E-3</c:v>
                </c:pt>
                <c:pt idx="1031">
                  <c:v>2.6459842875432749E-3</c:v>
                </c:pt>
                <c:pt idx="1032">
                  <c:v>2.697397550127446E-3</c:v>
                </c:pt>
                <c:pt idx="1033">
                  <c:v>2.7496664220190118E-3</c:v>
                </c:pt>
                <c:pt idx="1034">
                  <c:v>2.8028019790105442E-3</c:v>
                </c:pt>
                <c:pt idx="1035">
                  <c:v>2.8568153743354771E-3</c:v>
                </c:pt>
                <c:pt idx="1036">
                  <c:v>2.9117178378159038E-3</c:v>
                </c:pt>
                <c:pt idx="1037">
                  <c:v>2.9675206749737904E-3</c:v>
                </c:pt>
                <c:pt idx="1038">
                  <c:v>3.0242352661051649E-3</c:v>
                </c:pt>
                <c:pt idx="1039">
                  <c:v>3.0818730653168398E-3</c:v>
                </c:pt>
                <c:pt idx="1040">
                  <c:v>3.1404455995252757E-3</c:v>
                </c:pt>
                <c:pt idx="1041">
                  <c:v>3.1999644674171996E-3</c:v>
                </c:pt>
                <c:pt idx="1042">
                  <c:v>3.2604413383715025E-3</c:v>
                </c:pt>
                <c:pt idx="1043">
                  <c:v>3.3218879513421447E-3</c:v>
                </c:pt>
                <c:pt idx="1044">
                  <c:v>3.3843161137015409E-3</c:v>
                </c:pt>
                <c:pt idx="1045">
                  <c:v>3.4477377000441357E-3</c:v>
                </c:pt>
                <c:pt idx="1046">
                  <c:v>3.5121646509498053E-3</c:v>
                </c:pt>
                <c:pt idx="1047">
                  <c:v>3.57760897170663E-3</c:v>
                </c:pt>
                <c:pt idx="1048">
                  <c:v>3.6440827309927775E-3</c:v>
                </c:pt>
                <c:pt idx="1049">
                  <c:v>3.7115980595171351E-3</c:v>
                </c:pt>
                <c:pt idx="1050">
                  <c:v>3.7801671486182259E-3</c:v>
                </c:pt>
                <c:pt idx="1051">
                  <c:v>3.8498022488213106E-3</c:v>
                </c:pt>
                <c:pt idx="1052">
                  <c:v>3.9205156683531327E-3</c:v>
                </c:pt>
                <c:pt idx="1053">
                  <c:v>3.9923197716140706E-3</c:v>
                </c:pt>
                <c:pt idx="1054">
                  <c:v>4.0652269776075079E-3</c:v>
                </c:pt>
                <c:pt idx="1055">
                  <c:v>4.1392497583259162E-3</c:v>
                </c:pt>
                <c:pt idx="1056">
                  <c:v>4.2144006370935403E-3</c:v>
                </c:pt>
                <c:pt idx="1057">
                  <c:v>4.2906921868653648E-3</c:v>
                </c:pt>
                <c:pt idx="1058">
                  <c:v>4.3681370284820572E-3</c:v>
                </c:pt>
                <c:pt idx="1059">
                  <c:v>4.4467478288807046E-3</c:v>
                </c:pt>
                <c:pt idx="1060">
                  <c:v>4.5265372992611139E-3</c:v>
                </c:pt>
                <c:pt idx="1061">
                  <c:v>4.6075181932073092E-3</c:v>
                </c:pt>
                <c:pt idx="1062">
                  <c:v>4.6897033047642823E-3</c:v>
                </c:pt>
                <c:pt idx="1063">
                  <c:v>4.7731054664695016E-3</c:v>
                </c:pt>
                <c:pt idx="1064">
                  <c:v>4.8577375473392113E-3</c:v>
                </c:pt>
                <c:pt idx="1065">
                  <c:v>4.9436124508092615E-3</c:v>
                </c:pt>
                <c:pt idx="1066">
                  <c:v>5.0307431126302956E-3</c:v>
                </c:pt>
                <c:pt idx="1067">
                  <c:v>5.1191424987171788E-3</c:v>
                </c:pt>
                <c:pt idx="1068">
                  <c:v>5.2088236029525729E-3</c:v>
                </c:pt>
                <c:pt idx="1069">
                  <c:v>5.2997994449444389E-3</c:v>
                </c:pt>
                <c:pt idx="1070">
                  <c:v>5.3920830677374717E-3</c:v>
                </c:pt>
                <c:pt idx="1071">
                  <c:v>5.4856875354783842E-3</c:v>
                </c:pt>
                <c:pt idx="1072">
                  <c:v>5.5806259310347698E-3</c:v>
                </c:pt>
                <c:pt idx="1073">
                  <c:v>5.676911353567857E-3</c:v>
                </c:pt>
                <c:pt idx="1074">
                  <c:v>5.7745569160587273E-3</c:v>
                </c:pt>
                <c:pt idx="1075">
                  <c:v>5.8735757427882491E-3</c:v>
                </c:pt>
                <c:pt idx="1076">
                  <c:v>5.973980966770649E-3</c:v>
                </c:pt>
                <c:pt idx="1077">
                  <c:v>6.0757857271405763E-3</c:v>
                </c:pt>
                <c:pt idx="1078">
                  <c:v>6.1790031664939911E-3</c:v>
                </c:pt>
                <c:pt idx="1079">
                  <c:v>6.2836464281826676E-3</c:v>
                </c:pt>
                <c:pt idx="1080">
                  <c:v>6.3897286535624541E-3</c:v>
                </c:pt>
                <c:pt idx="1081">
                  <c:v>6.4972629791954194E-3</c:v>
                </c:pt>
                <c:pt idx="1082">
                  <c:v>6.6062625340060034E-3</c:v>
                </c:pt>
                <c:pt idx="1083">
                  <c:v>6.7167404363910601E-3</c:v>
                </c:pt>
                <c:pt idx="1084">
                  <c:v>6.8287097912843511E-3</c:v>
                </c:pt>
                <c:pt idx="1085">
                  <c:v>6.9421836871752319E-3</c:v>
                </c:pt>
                <c:pt idx="1086">
                  <c:v>7.0571751930819243E-3</c:v>
                </c:pt>
                <c:pt idx="1087">
                  <c:v>7.1736973554796428E-3</c:v>
                </c:pt>
                <c:pt idx="1088">
                  <c:v>7.2917631951834828E-3</c:v>
                </c:pt>
                <c:pt idx="1089">
                  <c:v>7.4113857041866625E-3</c:v>
                </c:pt>
                <c:pt idx="1090">
                  <c:v>7.5325778424542144E-3</c:v>
                </c:pt>
                <c:pt idx="1091">
                  <c:v>7.6553525346722846E-3</c:v>
                </c:pt>
                <c:pt idx="1092">
                  <c:v>7.7797226669536262E-3</c:v>
                </c:pt>
                <c:pt idx="1093">
                  <c:v>7.9057010834993544E-3</c:v>
                </c:pt>
                <c:pt idx="1094">
                  <c:v>8.0333005832173478E-3</c:v>
                </c:pt>
                <c:pt idx="1095">
                  <c:v>8.1625339162978879E-3</c:v>
                </c:pt>
                <c:pt idx="1096">
                  <c:v>8.2934137807465259E-3</c:v>
                </c:pt>
                <c:pt idx="1097">
                  <c:v>8.4259528188749318E-3</c:v>
                </c:pt>
                <c:pt idx="1098">
                  <c:v>8.5601636137500516E-3</c:v>
                </c:pt>
                <c:pt idx="1099">
                  <c:v>8.6960586856017989E-3</c:v>
                </c:pt>
                <c:pt idx="1100">
                  <c:v>8.8336504881901829E-3</c:v>
                </c:pt>
                <c:pt idx="1101">
                  <c:v>8.9729514051320129E-3</c:v>
                </c:pt>
                <c:pt idx="1102">
                  <c:v>9.1139737461877826E-3</c:v>
                </c:pt>
                <c:pt idx="1103">
                  <c:v>9.2567297435094346E-3</c:v>
                </c:pt>
                <c:pt idx="1104">
                  <c:v>9.4012315478493487E-3</c:v>
                </c:pt>
                <c:pt idx="1105">
                  <c:v>9.5474912247312145E-3</c:v>
                </c:pt>
                <c:pt idx="1106">
                  <c:v>9.695520750583584E-3</c:v>
                </c:pt>
                <c:pt idx="1107">
                  <c:v>9.8453320088363709E-3</c:v>
                </c:pt>
                <c:pt idx="1108">
                  <c:v>9.9969367859813023E-3</c:v>
                </c:pt>
                <c:pt idx="1109">
                  <c:v>1.0150346767596855E-2</c:v>
                </c:pt>
                <c:pt idx="1110">
                  <c:v>1.0305573534338286E-2</c:v>
                </c:pt>
                <c:pt idx="1111">
                  <c:v>1.0462628557893679E-2</c:v>
                </c:pt>
                <c:pt idx="1112">
                  <c:v>1.0621523196906697E-2</c:v>
                </c:pt>
                <c:pt idx="1113">
                  <c:v>1.0782268692866628E-2</c:v>
                </c:pt>
                <c:pt idx="1114">
                  <c:v>1.0944876165966934E-2</c:v>
                </c:pt>
                <c:pt idx="1115">
                  <c:v>1.1109356610932618E-2</c:v>
                </c:pt>
                <c:pt idx="1116">
                  <c:v>1.1275720892817623E-2</c:v>
                </c:pt>
                <c:pt idx="1117">
                  <c:v>1.1443979742773147E-2</c:v>
                </c:pt>
                <c:pt idx="1118">
                  <c:v>1.1614143753787387E-2</c:v>
                </c:pt>
                <c:pt idx="1119">
                  <c:v>1.1786223376398151E-2</c:v>
                </c:pt>
                <c:pt idx="1120">
                  <c:v>1.1960228914378831E-2</c:v>
                </c:pt>
                <c:pt idx="1121">
                  <c:v>1.2136170520398979E-2</c:v>
                </c:pt>
                <c:pt idx="1122">
                  <c:v>1.2314058191660386E-2</c:v>
                </c:pt>
                <c:pt idx="1123">
                  <c:v>1.2493901765509689E-2</c:v>
                </c:pt>
                <c:pt idx="1124">
                  <c:v>1.2675710915028436E-2</c:v>
                </c:pt>
                <c:pt idx="1125">
                  <c:v>1.2859495144601978E-2</c:v>
                </c:pt>
                <c:pt idx="1126">
                  <c:v>1.3045263785467835E-2</c:v>
                </c:pt>
                <c:pt idx="1127">
                  <c:v>1.3233025991244991E-2</c:v>
                </c:pt>
                <c:pt idx="1128">
                  <c:v>1.3422790733445164E-2</c:v>
                </c:pt>
                <c:pt idx="1129">
                  <c:v>1.3614566796967055E-2</c:v>
                </c:pt>
                <c:pt idx="1130">
                  <c:v>1.3808362775574951E-2</c:v>
                </c:pt>
                <c:pt idx="1131">
                  <c:v>1.4004187067362818E-2</c:v>
                </c:pt>
                <c:pt idx="1132">
                  <c:v>1.4202047870204989E-2</c:v>
                </c:pt>
                <c:pt idx="1133">
                  <c:v>1.4401953177194844E-2</c:v>
                </c:pt>
                <c:pt idx="1134">
                  <c:v>1.4603910772072773E-2</c:v>
                </c:pt>
                <c:pt idx="1135">
                  <c:v>1.4807928224644409E-2</c:v>
                </c:pt>
                <c:pt idx="1136">
                  <c:v>1.5014012886190937E-2</c:v>
                </c:pt>
                <c:pt idx="1137">
                  <c:v>1.5222171884872291E-2</c:v>
                </c:pt>
                <c:pt idx="1138">
                  <c:v>1.5432412121124972E-2</c:v>
                </c:pt>
                <c:pt idx="1139">
                  <c:v>1.5644740263055699E-2</c:v>
                </c:pt>
                <c:pt idx="1140">
                  <c:v>1.5859162741832269E-2</c:v>
                </c:pt>
                <c:pt idx="1141">
                  <c:v>1.6075685747073083E-2</c:v>
                </c:pt>
                <c:pt idx="1142">
                  <c:v>1.6294315222236858E-2</c:v>
                </c:pt>
                <c:pt idx="1143">
                  <c:v>1.6515056860013744E-2</c:v>
                </c:pt>
                <c:pt idx="1144">
                  <c:v>1.673791609771956E-2</c:v>
                </c:pt>
                <c:pt idx="1145">
                  <c:v>1.6962898112694573E-2</c:v>
                </c:pt>
                <c:pt idx="1146">
                  <c:v>1.7190007817708165E-2</c:v>
                </c:pt>
                <c:pt idx="1147">
                  <c:v>1.7419249856371215E-2</c:v>
                </c:pt>
                <c:pt idx="1148">
                  <c:v>1.7650628598557462E-2</c:v>
                </c:pt>
                <c:pt idx="1149">
                  <c:v>1.7884148135835609E-2</c:v>
                </c:pt>
                <c:pt idx="1150">
                  <c:v>1.8119812276913602E-2</c:v>
                </c:pt>
                <c:pt idx="1151">
                  <c:v>1.8357624543096824E-2</c:v>
                </c:pt>
                <c:pt idx="1152">
                  <c:v>1.8597588163761676E-2</c:v>
                </c:pt>
                <c:pt idx="1153">
                  <c:v>1.8839706071846308E-2</c:v>
                </c:pt>
                <c:pt idx="1154">
                  <c:v>1.9083980899360017E-2</c:v>
                </c:pt>
                <c:pt idx="1155">
                  <c:v>1.9330414972913049E-2</c:v>
                </c:pt>
                <c:pt idx="1156">
                  <c:v>1.9579010309268542E-2</c:v>
                </c:pt>
                <c:pt idx="1157">
                  <c:v>1.9829768610918043E-2</c:v>
                </c:pt>
                <c:pt idx="1158">
                  <c:v>2.0082691261682672E-2</c:v>
                </c:pt>
                <c:pt idx="1159">
                  <c:v>2.0337779322341289E-2</c:v>
                </c:pt>
                <c:pt idx="1160">
                  <c:v>2.0595033526287627E-2</c:v>
                </c:pt>
                <c:pt idx="1161">
                  <c:v>2.085445427521802E-2</c:v>
                </c:pt>
                <c:pt idx="1162">
                  <c:v>2.1116041634851503E-2</c:v>
                </c:pt>
                <c:pt idx="1163">
                  <c:v>2.1379795330683977E-2</c:v>
                </c:pt>
                <c:pt idx="1164">
                  <c:v>2.1645714743778438E-2</c:v>
                </c:pt>
                <c:pt idx="1165">
                  <c:v>2.1913798906592601E-2</c:v>
                </c:pt>
                <c:pt idx="1166">
                  <c:v>2.2184046498846217E-2</c:v>
                </c:pt>
                <c:pt idx="1167">
                  <c:v>2.2456455843429514E-2</c:v>
                </c:pt>
                <c:pt idx="1168">
                  <c:v>2.2731024902354662E-2</c:v>
                </c:pt>
                <c:pt idx="1169">
                  <c:v>2.3007751272752137E-2</c:v>
                </c:pt>
                <c:pt idx="1170">
                  <c:v>2.3286632182913752E-2</c:v>
                </c:pt>
                <c:pt idx="1171">
                  <c:v>2.3567664488384005E-2</c:v>
                </c:pt>
                <c:pt idx="1172">
                  <c:v>2.3850844668102049E-2</c:v>
                </c:pt>
                <c:pt idx="1173">
                  <c:v>2.4136168820595317E-2</c:v>
                </c:pt>
                <c:pt idx="1174">
                  <c:v>2.4423632660227502E-2</c:v>
                </c:pt>
                <c:pt idx="1175">
                  <c:v>2.471323151350209E-2</c:v>
                </c:pt>
                <c:pt idx="1176">
                  <c:v>2.5004960315423565E-2</c:v>
                </c:pt>
                <c:pt idx="1177">
                  <c:v>2.5298813605917979E-2</c:v>
                </c:pt>
                <c:pt idx="1178">
                  <c:v>2.5594785526314869E-2</c:v>
                </c:pt>
                <c:pt idx="1179">
                  <c:v>2.5892869815892262E-2</c:v>
                </c:pt>
                <c:pt idx="1180">
                  <c:v>2.6193059808486525E-2</c:v>
                </c:pt>
                <c:pt idx="1181">
                  <c:v>2.6495348429169015E-2</c:v>
                </c:pt>
                <c:pt idx="1182">
                  <c:v>2.6799728190991273E-2</c:v>
                </c:pt>
                <c:pt idx="1183">
                  <c:v>2.7106191191800768E-2</c:v>
                </c:pt>
                <c:pt idx="1184">
                  <c:v>2.7414729111128518E-2</c:v>
                </c:pt>
                <c:pt idx="1185">
                  <c:v>2.7725333207151058E-2</c:v>
                </c:pt>
                <c:pt idx="1186">
                  <c:v>2.8037994313728012E-2</c:v>
                </c:pt>
                <c:pt idx="1187">
                  <c:v>2.8352702837517441E-2</c:v>
                </c:pt>
                <c:pt idx="1188">
                  <c:v>2.8669448755170364E-2</c:v>
                </c:pt>
                <c:pt idx="1189">
                  <c:v>2.8988221610606709E-2</c:v>
                </c:pt>
                <c:pt idx="1190">
                  <c:v>2.930901051237398E-2</c:v>
                </c:pt>
                <c:pt idx="1191">
                  <c:v>2.9631804131090907E-2</c:v>
                </c:pt>
                <c:pt idx="1192">
                  <c:v>2.9956590696977141E-2</c:v>
                </c:pt>
                <c:pt idx="1193">
                  <c:v>3.0283357997471512E-2</c:v>
                </c:pt>
                <c:pt idx="1194">
                  <c:v>3.0612093374940079E-2</c:v>
                </c:pt>
                <c:pt idx="1195">
                  <c:v>3.0942783724475582E-2</c:v>
                </c:pt>
                <c:pt idx="1196">
                  <c:v>3.1275415491790477E-2</c:v>
                </c:pt>
                <c:pt idx="1197">
                  <c:v>3.1609974671204792E-2</c:v>
                </c:pt>
                <c:pt idx="1198">
                  <c:v>3.1946446803730717E-2</c:v>
                </c:pt>
                <c:pt idx="1199">
                  <c:v>3.2284816975255315E-2</c:v>
                </c:pt>
                <c:pt idx="1200">
                  <c:v>3.2625069814823236E-2</c:v>
                </c:pt>
                <c:pt idx="1201">
                  <c:v>3.2967189493020937E-2</c:v>
                </c:pt>
                <c:pt idx="1202">
                  <c:v>3.331115972046407E-2</c:v>
                </c:pt>
                <c:pt idx="1203">
                  <c:v>3.3656963746389192E-2</c:v>
                </c:pt>
                <c:pt idx="1204">
                  <c:v>3.4004584357352069E-2</c:v>
                </c:pt>
                <c:pt idx="1205">
                  <c:v>3.4354003876033483E-2</c:v>
                </c:pt>
                <c:pt idx="1206">
                  <c:v>3.470520416015415E-2</c:v>
                </c:pt>
                <c:pt idx="1207">
                  <c:v>3.5058166601500525E-2</c:v>
                </c:pt>
                <c:pt idx="1208">
                  <c:v>3.5412872125062493E-2</c:v>
                </c:pt>
                <c:pt idx="1209">
                  <c:v>3.5769301188284849E-2</c:v>
                </c:pt>
                <c:pt idx="1210">
                  <c:v>3.6127433780433399E-2</c:v>
                </c:pt>
                <c:pt idx="1211">
                  <c:v>3.6487249422077546E-2</c:v>
                </c:pt>
                <c:pt idx="1212">
                  <c:v>3.6848727164690398E-2</c:v>
                </c:pt>
                <c:pt idx="1213">
                  <c:v>3.7211845590367949E-2</c:v>
                </c:pt>
                <c:pt idx="1214">
                  <c:v>3.7576582811668133E-2</c:v>
                </c:pt>
                <c:pt idx="1215">
                  <c:v>3.7942916471571601E-2</c:v>
                </c:pt>
                <c:pt idx="1216">
                  <c:v>3.8310823743565037E-2</c:v>
                </c:pt>
                <c:pt idx="1217">
                  <c:v>3.8680281331848275E-2</c:v>
                </c:pt>
                <c:pt idx="1218">
                  <c:v>3.9051265471666395E-2</c:v>
                </c:pt>
                <c:pt idx="1219">
                  <c:v>3.9423751929767777E-2</c:v>
                </c:pt>
                <c:pt idx="1220">
                  <c:v>3.9797716004989554E-2</c:v>
                </c:pt>
                <c:pt idx="1221">
                  <c:v>4.0173132528970916E-2</c:v>
                </c:pt>
                <c:pt idx="1222">
                  <c:v>4.0549975866995783E-2</c:v>
                </c:pt>
                <c:pt idx="1223">
                  <c:v>4.0928219918965537E-2</c:v>
                </c:pt>
                <c:pt idx="1224">
                  <c:v>4.1307838120502982E-2</c:v>
                </c:pt>
                <c:pt idx="1225">
                  <c:v>4.1688803444187773E-2</c:v>
                </c:pt>
                <c:pt idx="1226">
                  <c:v>4.2071088400925244E-2</c:v>
                </c:pt>
                <c:pt idx="1227">
                  <c:v>4.2454665041448222E-2</c:v>
                </c:pt>
                <c:pt idx="1228">
                  <c:v>4.2839504957953717E-2</c:v>
                </c:pt>
                <c:pt idx="1229">
                  <c:v>4.3225579285874227E-2</c:v>
                </c:pt>
                <c:pt idx="1230">
                  <c:v>4.3612858705784928E-2</c:v>
                </c:pt>
                <c:pt idx="1231">
                  <c:v>4.4001313445447429E-2</c:v>
                </c:pt>
                <c:pt idx="1232">
                  <c:v>4.4390913281990088E-2</c:v>
                </c:pt>
                <c:pt idx="1233">
                  <c:v>4.4781627544226099E-2</c:v>
                </c:pt>
                <c:pt idx="1234">
                  <c:v>4.5173425115109495E-2</c:v>
                </c:pt>
                <c:pt idx="1235">
                  <c:v>4.5566274434329597E-2</c:v>
                </c:pt>
                <c:pt idx="1236">
                  <c:v>4.5960143501044153E-2</c:v>
                </c:pt>
                <c:pt idx="1237">
                  <c:v>4.6354999876751943E-2</c:v>
                </c:pt>
                <c:pt idx="1238">
                  <c:v>4.6750810688304577E-2</c:v>
                </c:pt>
                <c:pt idx="1239">
                  <c:v>4.7147542631058401E-2</c:v>
                </c:pt>
                <c:pt idx="1240">
                  <c:v>4.754516197216601E-2</c:v>
                </c:pt>
                <c:pt idx="1241">
                  <c:v>4.7943634554008165E-2</c:v>
                </c:pt>
                <c:pt idx="1242">
                  <c:v>4.8342925797765786E-2</c:v>
                </c:pt>
                <c:pt idx="1243">
                  <c:v>4.8743000707132444E-2</c:v>
                </c:pt>
                <c:pt idx="1244">
                  <c:v>4.9143823872166863E-2</c:v>
                </c:pt>
                <c:pt idx="1245">
                  <c:v>4.9545359473285991E-2</c:v>
                </c:pt>
                <c:pt idx="1246">
                  <c:v>4.9947571285398153E-2</c:v>
                </c:pt>
                <c:pt idx="1247">
                  <c:v>5.0350422682176064E-2</c:v>
                </c:pt>
                <c:pt idx="1248">
                  <c:v>5.0753876640470007E-2</c:v>
                </c:pt>
                <c:pt idx="1249">
                  <c:v>5.115789574486021E-2</c:v>
                </c:pt>
                <c:pt idx="1250">
                  <c:v>5.1562442192348935E-2</c:v>
                </c:pt>
                <c:pt idx="1251">
                  <c:v>5.196747779719104E-2</c:v>
                </c:pt>
                <c:pt idx="1252">
                  <c:v>5.2372963995863372E-2</c:v>
                </c:pt>
                <c:pt idx="1253">
                  <c:v>5.2778861852172052E-2</c:v>
                </c:pt>
                <c:pt idx="1254">
                  <c:v>5.3185132062497413E-2</c:v>
                </c:pt>
                <c:pt idx="1255">
                  <c:v>5.3591734961175683E-2</c:v>
                </c:pt>
                <c:pt idx="1256">
                  <c:v>5.399863052601718E-2</c:v>
                </c:pt>
                <c:pt idx="1257">
                  <c:v>5.4405778383960109E-2</c:v>
                </c:pt>
                <c:pt idx="1258">
                  <c:v>5.4813137816859071E-2</c:v>
                </c:pt>
                <c:pt idx="1259">
                  <c:v>5.522066776740802E-2</c:v>
                </c:pt>
                <c:pt idx="1260">
                  <c:v>5.562832684519612E-2</c:v>
                </c:pt>
                <c:pt idx="1261">
                  <c:v>5.6036073332896272E-2</c:v>
                </c:pt>
                <c:pt idx="1262">
                  <c:v>5.6443865192584708E-2</c:v>
                </c:pt>
                <c:pt idx="1263">
                  <c:v>5.6851660072191286E-2</c:v>
                </c:pt>
                <c:pt idx="1264">
                  <c:v>5.7259415312078808E-2</c:v>
                </c:pt>
                <c:pt idx="1265">
                  <c:v>5.7667087951750851E-2</c:v>
                </c:pt>
                <c:pt idx="1266">
                  <c:v>5.8074634736686163E-2</c:v>
                </c:pt>
                <c:pt idx="1267">
                  <c:v>5.8482012125299243E-2</c:v>
                </c:pt>
                <c:pt idx="1268">
                  <c:v>5.8889176296025157E-2</c:v>
                </c:pt>
                <c:pt idx="1269">
                  <c:v>5.9296083154527661E-2</c:v>
                </c:pt>
                <c:pt idx="1270">
                  <c:v>5.9702688341028799E-2</c:v>
                </c:pt>
                <c:pt idx="1271">
                  <c:v>6.0108947237758989E-2</c:v>
                </c:pt>
                <c:pt idx="1272">
                  <c:v>6.0514814976526006E-2</c:v>
                </c:pt>
                <c:pt idx="1273">
                  <c:v>6.0920246446400782E-2</c:v>
                </c:pt>
                <c:pt idx="1274">
                  <c:v>6.1325196301519093E-2</c:v>
                </c:pt>
                <c:pt idx="1275">
                  <c:v>6.1729618968997139E-2</c:v>
                </c:pt>
                <c:pt idx="1276">
                  <c:v>6.2133468656959408E-2</c:v>
                </c:pt>
                <c:pt idx="1277">
                  <c:v>6.2536699362676612E-2</c:v>
                </c:pt>
                <c:pt idx="1278">
                  <c:v>6.2939264880812709E-2</c:v>
                </c:pt>
                <c:pt idx="1279">
                  <c:v>6.3341118811778271E-2</c:v>
                </c:pt>
                <c:pt idx="1280">
                  <c:v>6.3742214570188971E-2</c:v>
                </c:pt>
                <c:pt idx="1281">
                  <c:v>6.4142505393426627E-2</c:v>
                </c:pt>
                <c:pt idx="1282">
                  <c:v>6.4541944350301056E-2</c:v>
                </c:pt>
                <c:pt idx="1283">
                  <c:v>6.4940484349810992E-2</c:v>
                </c:pt>
                <c:pt idx="1284">
                  <c:v>6.5338078150000936E-2</c:v>
                </c:pt>
                <c:pt idx="1285">
                  <c:v>6.5734678366913116E-2</c:v>
                </c:pt>
                <c:pt idx="1286">
                  <c:v>6.613023748363106E-2</c:v>
                </c:pt>
                <c:pt idx="1287">
                  <c:v>6.6524707859413459E-2</c:v>
                </c:pt>
                <c:pt idx="1288">
                  <c:v>6.6918041738915288E-2</c:v>
                </c:pt>
                <c:pt idx="1289">
                  <c:v>6.7310191261494456E-2</c:v>
                </c:pt>
                <c:pt idx="1290">
                  <c:v>6.7701108470600929E-2</c:v>
                </c:pt>
                <c:pt idx="1291">
                  <c:v>6.8090745323246618E-2</c:v>
                </c:pt>
                <c:pt idx="1292">
                  <c:v>6.8479053699552608E-2</c:v>
                </c:pt>
                <c:pt idx="1293">
                  <c:v>6.8865985412372058E-2</c:v>
                </c:pt>
                <c:pt idx="1294">
                  <c:v>6.9251492216985816E-2</c:v>
                </c:pt>
                <c:pt idx="1295">
                  <c:v>6.9635525820867794E-2</c:v>
                </c:pt>
                <c:pt idx="1296">
                  <c:v>7.0018037893518154E-2</c:v>
                </c:pt>
                <c:pt idx="1297">
                  <c:v>7.0398980076360917E-2</c:v>
                </c:pt>
                <c:pt idx="1298">
                  <c:v>7.0778303992703809E-2</c:v>
                </c:pt>
                <c:pt idx="1299">
                  <c:v>7.1155961257757E-2</c:v>
                </c:pt>
                <c:pt idx="1300">
                  <c:v>7.1531903488708373E-2</c:v>
                </c:pt>
                <c:pt idx="1301">
                  <c:v>7.1906082314852279E-2</c:v>
                </c:pt>
                <c:pt idx="1302">
                  <c:v>7.227844938776895E-2</c:v>
                </c:pt>
                <c:pt idx="1303">
                  <c:v>7.26489563915515E-2</c:v>
                </c:pt>
                <c:pt idx="1304">
                  <c:v>7.3017555053077651E-2</c:v>
                </c:pt>
                <c:pt idx="1305">
                  <c:v>7.3384197152323305E-2</c:v>
                </c:pt>
                <c:pt idx="1306">
                  <c:v>7.374883453271483E-2</c:v>
                </c:pt>
                <c:pt idx="1307">
                  <c:v>7.4111419111516835E-2</c:v>
                </c:pt>
                <c:pt idx="1308">
                  <c:v>7.4471902890252684E-2</c:v>
                </c:pt>
                <c:pt idx="1309">
                  <c:v>7.4830237965154658E-2</c:v>
                </c:pt>
                <c:pt idx="1310">
                  <c:v>7.518637653763996E-2</c:v>
                </c:pt>
                <c:pt idx="1311">
                  <c:v>7.5540270924810485E-2</c:v>
                </c:pt>
                <c:pt idx="1312">
                  <c:v>7.5891873569972193E-2</c:v>
                </c:pt>
                <c:pt idx="1313">
                  <c:v>7.6241137053171593E-2</c:v>
                </c:pt>
                <c:pt idx="1314">
                  <c:v>7.6588014101745455E-2</c:v>
                </c:pt>
                <c:pt idx="1315">
                  <c:v>7.6932457600881299E-2</c:v>
                </c:pt>
                <c:pt idx="1316">
                  <c:v>7.7274420604184491E-2</c:v>
                </c:pt>
                <c:pt idx="1317">
                  <c:v>7.7613856344249568E-2</c:v>
                </c:pt>
                <c:pt idx="1318">
                  <c:v>7.7950718243231729E-2</c:v>
                </c:pt>
                <c:pt idx="1319">
                  <c:v>7.8284959923415651E-2</c:v>
                </c:pt>
                <c:pt idx="1320">
                  <c:v>7.8616535217778227E-2</c:v>
                </c:pt>
                <c:pt idx="1321">
                  <c:v>7.8945398180541637E-2</c:v>
                </c:pt>
                <c:pt idx="1322">
                  <c:v>7.9271503097713719E-2</c:v>
                </c:pt>
                <c:pt idx="1323">
                  <c:v>7.9594804497612151E-2</c:v>
                </c:pt>
                <c:pt idx="1324">
                  <c:v>7.9915257161369088E-2</c:v>
                </c:pt>
                <c:pt idx="1325">
                  <c:v>8.0232816133412696E-2</c:v>
                </c:pt>
                <c:pt idx="1326">
                  <c:v>8.0547436731922648E-2</c:v>
                </c:pt>
                <c:pt idx="1327">
                  <c:v>8.0859074559255645E-2</c:v>
                </c:pt>
                <c:pt idx="1328">
                  <c:v>8.1167685512338203E-2</c:v>
                </c:pt>
                <c:pt idx="1329">
                  <c:v>8.1473225793022533E-2</c:v>
                </c:pt>
                <c:pt idx="1330">
                  <c:v>8.1775651918402914E-2</c:v>
                </c:pt>
                <c:pt idx="1331">
                  <c:v>8.2074920731088741E-2</c:v>
                </c:pt>
                <c:pt idx="1332">
                  <c:v>8.2370989409430898E-2</c:v>
                </c:pt>
                <c:pt idx="1333">
                  <c:v>8.2663815477698091E-2</c:v>
                </c:pt>
                <c:pt idx="1334">
                  <c:v>8.2953356816199919E-2</c:v>
                </c:pt>
                <c:pt idx="1335">
                  <c:v>8.3239571671353207E-2</c:v>
                </c:pt>
                <c:pt idx="1336">
                  <c:v>8.3522418665688061E-2</c:v>
                </c:pt>
                <c:pt idx="1337">
                  <c:v>8.3801856807790703E-2</c:v>
                </c:pt>
                <c:pt idx="1338">
                  <c:v>8.4077845502179435E-2</c:v>
                </c:pt>
                <c:pt idx="1339">
                  <c:v>8.4350344559110474E-2</c:v>
                </c:pt>
                <c:pt idx="1340">
                  <c:v>8.4619314204310417E-2</c:v>
                </c:pt>
                <c:pt idx="1341">
                  <c:v>8.488471508863199E-2</c:v>
                </c:pt>
                <c:pt idx="1342">
                  <c:v>8.5146508297629847E-2</c:v>
                </c:pt>
                <c:pt idx="1343">
                  <c:v>8.5404655361053211E-2</c:v>
                </c:pt>
                <c:pt idx="1344">
                  <c:v>8.565911826225181E-2</c:v>
                </c:pt>
                <c:pt idx="1345">
                  <c:v>8.5909859447492382E-2</c:v>
                </c:pt>
                <c:pt idx="1346">
                  <c:v>8.6156841835182324E-2</c:v>
                </c:pt>
                <c:pt idx="1347">
                  <c:v>8.6400028824996977E-2</c:v>
                </c:pt>
                <c:pt idx="1348">
                  <c:v>8.6639384306908221E-2</c:v>
                </c:pt>
                <c:pt idx="1349">
                  <c:v>8.687487267011032E-2</c:v>
                </c:pt>
                <c:pt idx="1350">
                  <c:v>8.7106458811840745E-2</c:v>
                </c:pt>
                <c:pt idx="1351">
                  <c:v>8.7334108146092326E-2</c:v>
                </c:pt>
                <c:pt idx="1352">
                  <c:v>8.7557786612214097E-2</c:v>
                </c:pt>
                <c:pt idx="1353">
                  <c:v>8.777746068339759E-2</c:v>
                </c:pt>
                <c:pt idx="1354">
                  <c:v>8.7993097375045876E-2</c:v>
                </c:pt>
                <c:pt idx="1355">
                  <c:v>8.8204664253022091E-2</c:v>
                </c:pt>
                <c:pt idx="1356">
                  <c:v>8.8412129441774845E-2</c:v>
                </c:pt>
                <c:pt idx="1357">
                  <c:v>8.8615461632337661E-2</c:v>
                </c:pt>
                <c:pt idx="1358">
                  <c:v>8.8814630090199381E-2</c:v>
                </c:pt>
                <c:pt idx="1359">
                  <c:v>8.9009604663042974E-2</c:v>
                </c:pt>
                <c:pt idx="1360">
                  <c:v>8.920035578835013E-2</c:v>
                </c:pt>
                <c:pt idx="1361">
                  <c:v>8.9386854500868654E-2</c:v>
                </c:pt>
                <c:pt idx="1362">
                  <c:v>8.9569072439940139E-2</c:v>
                </c:pt>
                <c:pt idx="1363">
                  <c:v>8.9746981856685559E-2</c:v>
                </c:pt>
                <c:pt idx="1364">
                  <c:v>8.9920555621045825E-2</c:v>
                </c:pt>
                <c:pt idx="1365">
                  <c:v>9.0089767228675122E-2</c:v>
                </c:pt>
                <c:pt idx="1366">
                  <c:v>9.0254590807684484E-2</c:v>
                </c:pt>
                <c:pt idx="1367">
                  <c:v>9.0415001125233083E-2</c:v>
                </c:pt>
                <c:pt idx="1368">
                  <c:v>9.0570973593965071E-2</c:v>
                </c:pt>
                <c:pt idx="1369">
                  <c:v>9.0722484278289689E-2</c:v>
                </c:pt>
                <c:pt idx="1370">
                  <c:v>9.0869509900501938E-2</c:v>
                </c:pt>
                <c:pt idx="1371">
                  <c:v>9.1012027846742477E-2</c:v>
                </c:pt>
                <c:pt idx="1372">
                  <c:v>9.1150016172793738E-2</c:v>
                </c:pt>
                <c:pt idx="1373">
                  <c:v>9.1283453609710755E-2</c:v>
                </c:pt>
                <c:pt idx="1374">
                  <c:v>9.1412319569284375E-2</c:v>
                </c:pt>
                <c:pt idx="1375">
                  <c:v>9.1536594149335099E-2</c:v>
                </c:pt>
                <c:pt idx="1376">
                  <c:v>9.1656258138835531E-2</c:v>
                </c:pt>
                <c:pt idx="1377">
                  <c:v>9.177129302285951E-2</c:v>
                </c:pt>
                <c:pt idx="1378">
                  <c:v>9.1881680987356371E-2</c:v>
                </c:pt>
                <c:pt idx="1379">
                  <c:v>9.1987404923748323E-2</c:v>
                </c:pt>
                <c:pt idx="1380">
                  <c:v>9.2088448433349707E-2</c:v>
                </c:pt>
                <c:pt idx="1381">
                  <c:v>9.2184795831605937E-2</c:v>
                </c:pt>
                <c:pt idx="1382">
                  <c:v>9.227643215215113E-2</c:v>
                </c:pt>
                <c:pt idx="1383">
                  <c:v>9.2363343150682703E-2</c:v>
                </c:pt>
                <c:pt idx="1384">
                  <c:v>9.2445515308651527E-2</c:v>
                </c:pt>
                <c:pt idx="1385">
                  <c:v>9.2522935836766462E-2</c:v>
                </c:pt>
                <c:pt idx="1386">
                  <c:v>9.2595592678311731E-2</c:v>
                </c:pt>
                <c:pt idx="1387">
                  <c:v>9.2663474512276203E-2</c:v>
                </c:pt>
                <c:pt idx="1388">
                  <c:v>9.2726570756293314E-2</c:v>
                </c:pt>
                <c:pt idx="1389">
                  <c:v>9.2784871569390484E-2</c:v>
                </c:pt>
                <c:pt idx="1390">
                  <c:v>9.283836785454723E-2</c:v>
                </c:pt>
                <c:pt idx="1391">
                  <c:v>9.2887051261060907E-2</c:v>
                </c:pt>
                <c:pt idx="1392">
                  <c:v>9.2930914186719199E-2</c:v>
                </c:pt>
                <c:pt idx="1393">
                  <c:v>9.2969949779778654E-2</c:v>
                </c:pt>
                <c:pt idx="1394">
                  <c:v>9.3004151940748417E-2</c:v>
                </c:pt>
                <c:pt idx="1395">
                  <c:v>9.303351532397873E-2</c:v>
                </c:pt>
                <c:pt idx="1396">
                  <c:v>9.3058035339053394E-2</c:v>
                </c:pt>
                <c:pt idx="1397">
                  <c:v>9.3077708151985808E-2</c:v>
                </c:pt>
                <c:pt idx="1398">
                  <c:v>9.3092530686218006E-2</c:v>
                </c:pt>
                <c:pt idx="1399">
                  <c:v>9.3102500623422638E-2</c:v>
                </c:pt>
                <c:pt idx="1400">
                  <c:v>9.3107616404107266E-2</c:v>
                </c:pt>
                <c:pt idx="1401">
                  <c:v>9.3107877228020858E-2</c:v>
                </c:pt>
                <c:pt idx="1402">
                  <c:v>9.3103283054362496E-2</c:v>
                </c:pt>
                <c:pt idx="1403">
                  <c:v>9.3093834601791964E-2</c:v>
                </c:pt>
                <c:pt idx="1404">
                  <c:v>9.3079533348242371E-2</c:v>
                </c:pt>
                <c:pt idx="1405">
                  <c:v>9.3060381530534975E-2</c:v>
                </c:pt>
                <c:pt idx="1406">
                  <c:v>9.3036382143795934E-2</c:v>
                </c:pt>
                <c:pt idx="1407">
                  <c:v>9.3007538940675746E-2</c:v>
                </c:pt>
                <c:pt idx="1408">
                  <c:v>9.2973856430371288E-2</c:v>
                </c:pt>
                <c:pt idx="1409">
                  <c:v>9.2935339877450951E-2</c:v>
                </c:pt>
                <c:pt idx="1410">
                  <c:v>9.2891995300483185E-2</c:v>
                </c:pt>
                <c:pt idx="1411">
                  <c:v>9.2843829470469097E-2</c:v>
                </c:pt>
                <c:pt idx="1412">
                  <c:v>9.2790849909079695E-2</c:v>
                </c:pt>
                <c:pt idx="1413">
                  <c:v>9.2733064886698219E-2</c:v>
                </c:pt>
                <c:pt idx="1414">
                  <c:v>9.2670483420268387E-2</c:v>
                </c:pt>
                <c:pt idx="1415">
                  <c:v>9.2603115270949471E-2</c:v>
                </c:pt>
                <c:pt idx="1416">
                  <c:v>9.2530970941578763E-2</c:v>
                </c:pt>
                <c:pt idx="1417">
                  <c:v>9.2454061673942697E-2</c:v>
                </c:pt>
                <c:pt idx="1418">
                  <c:v>9.2372399445857303E-2</c:v>
                </c:pt>
                <c:pt idx="1419">
                  <c:v>9.2285996968059253E-2</c:v>
                </c:pt>
                <c:pt idx="1420">
                  <c:v>9.2194867680908649E-2</c:v>
                </c:pt>
                <c:pt idx="1421">
                  <c:v>9.2099025750904451E-2</c:v>
                </c:pt>
                <c:pt idx="1422">
                  <c:v>9.1998486067014301E-2</c:v>
                </c:pt>
                <c:pt idx="1423">
                  <c:v>9.1893264236819663E-2</c:v>
                </c:pt>
                <c:pt idx="1424">
                  <c:v>9.1783376582477774E-2</c:v>
                </c:pt>
                <c:pt idx="1425">
                  <c:v>9.1668840136502019E-2</c:v>
                </c:pt>
                <c:pt idx="1426">
                  <c:v>9.1549672637362162E-2</c:v>
                </c:pt>
                <c:pt idx="1427">
                  <c:v>9.1425892524905877E-2</c:v>
                </c:pt>
                <c:pt idx="1428">
                  <c:v>9.1297518935603464E-2</c:v>
                </c:pt>
                <c:pt idx="1429">
                  <c:v>9.116457169761745E-2</c:v>
                </c:pt>
                <c:pt idx="1430">
                  <c:v>9.1027071325698553E-2</c:v>
                </c:pt>
                <c:pt idx="1431">
                  <c:v>9.0885039015910316E-2</c:v>
                </c:pt>
                <c:pt idx="1432">
                  <c:v>9.0738496640183935E-2</c:v>
                </c:pt>
                <c:pt idx="1433">
                  <c:v>9.058746674070535E-2</c:v>
                </c:pt>
                <c:pt idx="1434">
                  <c:v>9.0431972524136664E-2</c:v>
                </c:pt>
                <c:pt idx="1435">
                  <c:v>9.0272037855674087E-2</c:v>
                </c:pt>
                <c:pt idx="1436">
                  <c:v>9.0107687252944033E-2</c:v>
                </c:pt>
                <c:pt idx="1437">
                  <c:v>8.9938945879740231E-2</c:v>
                </c:pt>
                <c:pt idx="1438">
                  <c:v>8.9765839539603681E-2</c:v>
                </c:pt>
                <c:pt idx="1439">
                  <c:v>8.9588394669247659E-2</c:v>
                </c:pt>
                <c:pt idx="1440">
                  <c:v>8.940663833183056E-2</c:v>
                </c:pt>
                <c:pt idx="1441">
                  <c:v>8.9220598210078439E-2</c:v>
                </c:pt>
                <c:pt idx="1442">
                  <c:v>8.9030302599260161E-2</c:v>
                </c:pt>
                <c:pt idx="1443">
                  <c:v>8.8835780400017342E-2</c:v>
                </c:pt>
                <c:pt idx="1444">
                  <c:v>8.8637061111051768E-2</c:v>
                </c:pt>
                <c:pt idx="1445">
                  <c:v>8.8434174821672748E-2</c:v>
                </c:pt>
                <c:pt idx="1446">
                  <c:v>8.822715220420746E-2</c:v>
                </c:pt>
                <c:pt idx="1447">
                  <c:v>8.8016024506276144E-2</c:v>
                </c:pt>
                <c:pt idx="1448">
                  <c:v>8.7800823542935794E-2</c:v>
                </c:pt>
                <c:pt idx="1449">
                  <c:v>8.7581581688694496E-2</c:v>
                </c:pt>
                <c:pt idx="1450">
                  <c:v>8.7358331869399355E-2</c:v>
                </c:pt>
                <c:pt idx="1451">
                  <c:v>8.7131107554001122E-2</c:v>
                </c:pt>
                <c:pt idx="1452">
                  <c:v>8.6899942746197889E-2</c:v>
                </c:pt>
                <c:pt idx="1453">
                  <c:v>8.6664871975961233E-2</c:v>
                </c:pt>
                <c:pt idx="1454">
                  <c:v>8.6425930290947722E-2</c:v>
                </c:pt>
                <c:pt idx="1455">
                  <c:v>8.6183153247798322E-2</c:v>
                </c:pt>
                <c:pt idx="1456">
                  <c:v>8.5936576903329329E-2</c:v>
                </c:pt>
                <c:pt idx="1457">
                  <c:v>8.5686237805617446E-2</c:v>
                </c:pt>
                <c:pt idx="1458">
                  <c:v>8.5432172984982291E-2</c:v>
                </c:pt>
                <c:pt idx="1459">
                  <c:v>8.5174419944869448E-2</c:v>
                </c:pt>
                <c:pt idx="1460">
                  <c:v>8.4913016652636952E-2</c:v>
                </c:pt>
                <c:pt idx="1461">
                  <c:v>8.4648001530248818E-2</c:v>
                </c:pt>
                <c:pt idx="1462">
                  <c:v>8.4379413444878371E-2</c:v>
                </c:pt>
                <c:pt idx="1463">
                  <c:v>8.4107291699424838E-2</c:v>
                </c:pt>
                <c:pt idx="1464">
                  <c:v>8.3831676022946264E-2</c:v>
                </c:pt>
                <c:pt idx="1465">
                  <c:v>8.3552606561012419E-2</c:v>
                </c:pt>
                <c:pt idx="1466">
                  <c:v>8.3270123865980067E-2</c:v>
                </c:pt>
                <c:pt idx="1467">
                  <c:v>8.2984268887195137E-2</c:v>
                </c:pt>
                <c:pt idx="1468">
                  <c:v>8.2695082961124058E-2</c:v>
                </c:pt>
                <c:pt idx="1469">
                  <c:v>8.2402607801417851E-2</c:v>
                </c:pt>
                <c:pt idx="1470">
                  <c:v>8.2106885488912887E-2</c:v>
                </c:pt>
                <c:pt idx="1471">
                  <c:v>8.1807958461570685E-2</c:v>
                </c:pt>
                <c:pt idx="1472">
                  <c:v>8.1505869504360853E-2</c:v>
                </c:pt>
                <c:pt idx="1473">
                  <c:v>8.1200661739090463E-2</c:v>
                </c:pt>
                <c:pt idx="1474">
                  <c:v>8.0892378614182581E-2</c:v>
                </c:pt>
                <c:pt idx="1475">
                  <c:v>8.058106389440825E-2</c:v>
                </c:pt>
                <c:pt idx="1476">
                  <c:v>8.0266761650574781E-2</c:v>
                </c:pt>
                <c:pt idx="1477">
                  <c:v>7.9949516249173611E-2</c:v>
                </c:pt>
                <c:pt idx="1478">
                  <c:v>7.9629372341991508E-2</c:v>
                </c:pt>
                <c:pt idx="1479">
                  <c:v>7.930637485568845E-2</c:v>
                </c:pt>
                <c:pt idx="1480">
                  <c:v>7.8980568981345034E-2</c:v>
                </c:pt>
                <c:pt idx="1481">
                  <c:v>7.8652000163983771E-2</c:v>
                </c:pt>
                <c:pt idx="1482">
                  <c:v>7.8320714092066562E-2</c:v>
                </c:pt>
                <c:pt idx="1483">
                  <c:v>7.7986756686972525E-2</c:v>
                </c:pt>
                <c:pt idx="1484">
                  <c:v>7.7650174092459404E-2</c:v>
                </c:pt>
                <c:pt idx="1485">
                  <c:v>7.7311012664111348E-2</c:v>
                </c:pt>
                <c:pt idx="1486">
                  <c:v>7.6969318958777289E-2</c:v>
                </c:pt>
                <c:pt idx="1487">
                  <c:v>7.6625139724002658E-2</c:v>
                </c:pt>
                <c:pt idx="1488">
                  <c:v>7.6278521887457748E-2</c:v>
                </c:pt>
                <c:pt idx="1489">
                  <c:v>7.5929512546366512E-2</c:v>
                </c:pt>
                <c:pt idx="1490">
                  <c:v>7.5578158956938729E-2</c:v>
                </c:pt>
                <c:pt idx="1491">
                  <c:v>7.5224508523808603E-2</c:v>
                </c:pt>
                <c:pt idx="1492">
                  <c:v>7.4868608789483856E-2</c:v>
                </c:pt>
                <c:pt idx="1493">
                  <c:v>7.4510507423807548E-2</c:v>
                </c:pt>
                <c:pt idx="1494">
                  <c:v>7.4150252213436685E-2</c:v>
                </c:pt>
                <c:pt idx="1495">
                  <c:v>7.378789105134051E-2</c:v>
                </c:pt>
                <c:pt idx="1496">
                  <c:v>7.3423471926321301E-2</c:v>
                </c:pt>
                <c:pt idx="1497">
                  <c:v>7.3057042912561584E-2</c:v>
                </c:pt>
                <c:pt idx="1498">
                  <c:v>7.2688652159200409E-2</c:v>
                </c:pt>
                <c:pt idx="1499">
                  <c:v>7.2318347879941527E-2</c:v>
                </c:pt>
                <c:pt idx="1500">
                  <c:v>7.1946178342697328E-2</c:v>
                </c:pt>
                <c:pt idx="1501">
                  <c:v>7.1572191859271231E-2</c:v>
                </c:pt>
                <c:pt idx="1502">
                  <c:v>7.1196436775080807E-2</c:v>
                </c:pt>
                <c:pt idx="1503">
                  <c:v>7.0818961458926299E-2</c:v>
                </c:pt>
                <c:pt idx="1504">
                  <c:v>7.0439814292805575E-2</c:v>
                </c:pt>
                <c:pt idx="1505">
                  <c:v>7.0059043661780007E-2</c:v>
                </c:pt>
                <c:pt idx="1506">
                  <c:v>6.9676697943893473E-2</c:v>
                </c:pt>
                <c:pt idx="1507">
                  <c:v>6.929282550014694E-2</c:v>
                </c:pt>
                <c:pt idx="1508">
                  <c:v>6.890747466453255E-2</c:v>
                </c:pt>
                <c:pt idx="1509">
                  <c:v>6.8520693734129126E-2</c:v>
                </c:pt>
                <c:pt idx="1510">
                  <c:v>6.813253095926175E-2</c:v>
                </c:pt>
                <c:pt idx="1511">
                  <c:v>6.7743034533729263E-2</c:v>
                </c:pt>
                <c:pt idx="1512">
                  <c:v>6.7352252585100691E-2</c:v>
                </c:pt>
                <c:pt idx="1513">
                  <c:v>6.696023316508469E-2</c:v>
                </c:pt>
                <c:pt idx="1514">
                  <c:v>6.6567024239974001E-2</c:v>
                </c:pt>
                <c:pt idx="1515">
                  <c:v>6.6172673681166971E-2</c:v>
                </c:pt>
                <c:pt idx="1516">
                  <c:v>6.5777229255769745E-2</c:v>
                </c:pt>
                <c:pt idx="1517">
                  <c:v>6.5380738617280831E-2</c:v>
                </c:pt>
                <c:pt idx="1518">
                  <c:v>6.498324929636029E-2</c:v>
                </c:pt>
                <c:pt idx="1519">
                  <c:v>6.4584808691686646E-2</c:v>
                </c:pt>
                <c:pt idx="1520">
                  <c:v>6.4185464060903447E-2</c:v>
                </c:pt>
                <c:pt idx="1521">
                  <c:v>6.3785262511657365E-2</c:v>
                </c:pt>
                <c:pt idx="1522">
                  <c:v>6.3384250992731025E-2</c:v>
                </c:pt>
                <c:pt idx="1523">
                  <c:v>6.2982476285271566E-2</c:v>
                </c:pt>
                <c:pt idx="1524">
                  <c:v>6.257998499411821E-2</c:v>
                </c:pt>
                <c:pt idx="1525">
                  <c:v>6.2176823539230215E-2</c:v>
                </c:pt>
                <c:pt idx="1526">
                  <c:v>6.1773038147217213E-2</c:v>
                </c:pt>
                <c:pt idx="1527">
                  <c:v>6.1368674842974473E-2</c:v>
                </c:pt>
                <c:pt idx="1528">
                  <c:v>6.0963779441424601E-2</c:v>
                </c:pt>
                <c:pt idx="1529">
                  <c:v>6.0558397539367426E-2</c:v>
                </c:pt>
                <c:pt idx="1530">
                  <c:v>6.0152574507440298E-2</c:v>
                </c:pt>
                <c:pt idx="1531">
                  <c:v>5.9746355482190698E-2</c:v>
                </c:pt>
                <c:pt idx="1532">
                  <c:v>5.9339785358261843E-2</c:v>
                </c:pt>
                <c:pt idx="1533">
                  <c:v>5.8932908780694557E-2</c:v>
                </c:pt>
                <c:pt idx="1534">
                  <c:v>5.8525770137345508E-2</c:v>
                </c:pt>
                <c:pt idx="1535">
                  <c:v>5.8118413551424455E-2</c:v>
                </c:pt>
                <c:pt idx="1536">
                  <c:v>5.771088287415161E-2</c:v>
                </c:pt>
                <c:pt idx="1537">
                  <c:v>5.7303221677536216E-2</c:v>
                </c:pt>
                <c:pt idx="1538">
                  <c:v>5.6895473247278491E-2</c:v>
                </c:pt>
                <c:pt idx="1539">
                  <c:v>5.648768057579593E-2</c:v>
                </c:pt>
                <c:pt idx="1540">
                  <c:v>5.6079886355374801E-2</c:v>
                </c:pt>
                <c:pt idx="1541">
                  <c:v>5.5672132971448962E-2</c:v>
                </c:pt>
                <c:pt idx="1542">
                  <c:v>5.5264462496006708E-2</c:v>
                </c:pt>
                <c:pt idx="1543">
                  <c:v>5.4856916681126321E-2</c:v>
                </c:pt>
                <c:pt idx="1544">
                  <c:v>5.4449536952642742E-2</c:v>
                </c:pt>
                <c:pt idx="1545">
                  <c:v>5.4042364403944547E-2</c:v>
                </c:pt>
                <c:pt idx="1546">
                  <c:v>5.3635439789903858E-2</c:v>
                </c:pt>
                <c:pt idx="1547">
                  <c:v>5.3228803520939484E-2</c:v>
                </c:pt>
                <c:pt idx="1548">
                  <c:v>5.2822495657213316E-2</c:v>
                </c:pt>
                <c:pt idx="1549">
                  <c:v>5.2416555902962354E-2</c:v>
                </c:pt>
                <c:pt idx="1550">
                  <c:v>5.2011023600966023E-2</c:v>
                </c:pt>
                <c:pt idx="1551">
                  <c:v>5.1605937727149449E-2</c:v>
                </c:pt>
                <c:pt idx="1552">
                  <c:v>5.1201336885323995E-2</c:v>
                </c:pt>
                <c:pt idx="1553">
                  <c:v>5.0797259302065266E-2</c:v>
                </c:pt>
                <c:pt idx="1554">
                  <c:v>5.0393742821728621E-2</c:v>
                </c:pt>
                <c:pt idx="1555">
                  <c:v>4.9990824901603975E-2</c:v>
                </c:pt>
                <c:pt idx="1556">
                  <c:v>4.958854260720847E-2</c:v>
                </c:pt>
                <c:pt idx="1557">
                  <c:v>4.9186932607719266E-2</c:v>
                </c:pt>
                <c:pt idx="1558">
                  <c:v>4.8786031171545584E-2</c:v>
                </c:pt>
                <c:pt idx="1559">
                  <c:v>4.8385874162040203E-2</c:v>
                </c:pt>
                <c:pt idx="1560">
                  <c:v>4.7986497033351477E-2</c:v>
                </c:pt>
                <c:pt idx="1561">
                  <c:v>4.7587934826415428E-2</c:v>
                </c:pt>
                <c:pt idx="1562">
                  <c:v>4.7190222165087725E-2</c:v>
                </c:pt>
                <c:pt idx="1563">
                  <c:v>4.6793393252416361E-2</c:v>
                </c:pt>
                <c:pt idx="1564">
                  <c:v>4.6397481867054696E-2</c:v>
                </c:pt>
                <c:pt idx="1565">
                  <c:v>4.6002521359814218E-2</c:v>
                </c:pt>
                <c:pt idx="1566">
                  <c:v>4.5608544650358199E-2</c:v>
                </c:pt>
                <c:pt idx="1567">
                  <c:v>4.5215584224034572E-2</c:v>
                </c:pt>
                <c:pt idx="1568">
                  <c:v>4.4823672128849204E-2</c:v>
                </c:pt>
                <c:pt idx="1569">
                  <c:v>4.4432839972578533E-2</c:v>
                </c:pt>
                <c:pt idx="1570">
                  <c:v>4.4043118920021072E-2</c:v>
                </c:pt>
                <c:pt idx="1571">
                  <c:v>4.3654539690388315E-2</c:v>
                </c:pt>
                <c:pt idx="1572">
                  <c:v>4.3267132554833991E-2</c:v>
                </c:pt>
                <c:pt idx="1573">
                  <c:v>4.2880927334120862E-2</c:v>
                </c:pt>
                <c:pt idx="1574">
                  <c:v>4.2495953396425964E-2</c:v>
                </c:pt>
                <c:pt idx="1575">
                  <c:v>4.2112239655281901E-2</c:v>
                </c:pt>
                <c:pt idx="1576">
                  <c:v>4.1729814567655246E-2</c:v>
                </c:pt>
                <c:pt idx="1577">
                  <c:v>4.1348706132160594E-2</c:v>
                </c:pt>
                <c:pt idx="1578">
                  <c:v>4.0968941887409405E-2</c:v>
                </c:pt>
                <c:pt idx="1579">
                  <c:v>4.0590548910493636E-2</c:v>
                </c:pt>
                <c:pt idx="1580">
                  <c:v>4.0213553815603084E-2</c:v>
                </c:pt>
                <c:pt idx="1581">
                  <c:v>3.9837982752775107E-2</c:v>
                </c:pt>
                <c:pt idx="1582">
                  <c:v>3.9463861406776858E-2</c:v>
                </c:pt>
                <c:pt idx="1583">
                  <c:v>3.909121499611861E-2</c:v>
                </c:pt>
                <c:pt idx="1584">
                  <c:v>3.87200682721969E-2</c:v>
                </c:pt>
                <c:pt idx="1585">
                  <c:v>3.8350445518567609E-2</c:v>
                </c:pt>
                <c:pt idx="1586">
                  <c:v>3.7982370550346575E-2</c:v>
                </c:pt>
                <c:pt idx="1587">
                  <c:v>3.761586671373808E-2</c:v>
                </c:pt>
                <c:pt idx="1588">
                  <c:v>3.7250956885689343E-2</c:v>
                </c:pt>
                <c:pt idx="1589">
                  <c:v>3.688766347366973E-2</c:v>
                </c:pt>
                <c:pt idx="1590">
                  <c:v>3.6526008415574407E-2</c:v>
                </c:pt>
                <c:pt idx="1591">
                  <c:v>3.61660131797506E-2</c:v>
                </c:pt>
                <c:pt idx="1592">
                  <c:v>3.5807698765145141E-2</c:v>
                </c:pt>
                <c:pt idx="1593">
                  <c:v>3.5451085701572703E-2</c:v>
                </c:pt>
                <c:pt idx="1594">
                  <c:v>3.5096194050103023E-2</c:v>
                </c:pt>
                <c:pt idx="1595">
                  <c:v>3.4743043403565578E-2</c:v>
                </c:pt>
                <c:pt idx="1596">
                  <c:v>3.4391652887171185E-2</c:v>
                </c:pt>
                <c:pt idx="1597">
                  <c:v>3.4042041159248096E-2</c:v>
                </c:pt>
                <c:pt idx="1598">
                  <c:v>3.3694226412092278E-2</c:v>
                </c:pt>
                <c:pt idx="1599">
                  <c:v>3.3348226372929717E-2</c:v>
                </c:pt>
                <c:pt idx="1600">
                  <c:v>3.3004058304989516E-2</c:v>
                </c:pt>
                <c:pt idx="1601">
                  <c:v>3.2661739008686373E-2</c:v>
                </c:pt>
                <c:pt idx="1602">
                  <c:v>3.2321284822911155E-2</c:v>
                </c:pt>
                <c:pt idx="1603">
                  <c:v>3.1982711626427379E-2</c:v>
                </c:pt>
                <c:pt idx="1604">
                  <c:v>3.164603483937288E-2</c:v>
                </c:pt>
                <c:pt idx="1605">
                  <c:v>3.1311269424864688E-2</c:v>
                </c:pt>
                <c:pt idx="1606">
                  <c:v>3.0978429890705282E-2</c:v>
                </c:pt>
                <c:pt idx="1607">
                  <c:v>3.0647530291189443E-2</c:v>
                </c:pt>
                <c:pt idx="1608">
                  <c:v>3.0318584229008891E-2</c:v>
                </c:pt>
                <c:pt idx="1609">
                  <c:v>2.9991604857254304E-2</c:v>
                </c:pt>
                <c:pt idx="1610">
                  <c:v>2.9666604881512338E-2</c:v>
                </c:pt>
                <c:pt idx="1611">
                  <c:v>2.9343596562055853E-2</c:v>
                </c:pt>
                <c:pt idx="1612">
                  <c:v>2.9022591716126277E-2</c:v>
                </c:pt>
                <c:pt idx="1613">
                  <c:v>2.8703601720305973E-2</c:v>
                </c:pt>
                <c:pt idx="1614">
                  <c:v>2.8386637512978753E-2</c:v>
                </c:pt>
                <c:pt idx="1615">
                  <c:v>2.8071709596877322E-2</c:v>
                </c:pt>
                <c:pt idx="1616">
                  <c:v>2.7758828041715519E-2</c:v>
                </c:pt>
                <c:pt idx="1617">
                  <c:v>2.7448002486903489E-2</c:v>
                </c:pt>
                <c:pt idx="1618">
                  <c:v>2.7139242144344607E-2</c:v>
                </c:pt>
                <c:pt idx="1619">
                  <c:v>2.6832555801311581E-2</c:v>
                </c:pt>
                <c:pt idx="1620">
                  <c:v>2.6527951823400654E-2</c:v>
                </c:pt>
                <c:pt idx="1621">
                  <c:v>2.6225438157561766E-2</c:v>
                </c:pt>
                <c:pt idx="1622">
                  <c:v>2.5925022335202753E-2</c:v>
                </c:pt>
                <c:pt idx="1623">
                  <c:v>2.5626711475366076E-2</c:v>
                </c:pt>
                <c:pt idx="1624">
                  <c:v>2.5330512287976316E-2</c:v>
                </c:pt>
                <c:pt idx="1625">
                  <c:v>2.5036431077155929E-2</c:v>
                </c:pt>
                <c:pt idx="1626">
                  <c:v>2.47444737446086E-2</c:v>
                </c:pt>
                <c:pt idx="1627">
                  <c:v>2.4454645793067113E-2</c:v>
                </c:pt>
                <c:pt idx="1628">
                  <c:v>2.4166952329804887E-2</c:v>
                </c:pt>
                <c:pt idx="1629">
                  <c:v>2.3881398070208948E-2</c:v>
                </c:pt>
                <c:pt idx="1630">
                  <c:v>2.3597987341412278E-2</c:v>
                </c:pt>
                <c:pt idx="1631">
                  <c:v>2.3316724085984189E-2</c:v>
                </c:pt>
                <c:pt idx="1632">
                  <c:v>2.3037611865676728E-2</c:v>
                </c:pt>
                <c:pt idx="1633">
                  <c:v>2.2760653865224918E-2</c:v>
                </c:pt>
                <c:pt idx="1634">
                  <c:v>2.2485852896199542E-2</c:v>
                </c:pt>
                <c:pt idx="1635">
                  <c:v>2.2213211400910478E-2</c:v>
                </c:pt>
                <c:pt idx="1636">
                  <c:v>2.1942731456358375E-2</c:v>
                </c:pt>
                <c:pt idx="1637">
                  <c:v>2.1674414778233616E-2</c:v>
                </c:pt>
                <c:pt idx="1638">
                  <c:v>2.1408262724959871E-2</c:v>
                </c:pt>
                <c:pt idx="1639">
                  <c:v>2.1144276301781222E-2</c:v>
                </c:pt>
                <c:pt idx="1640">
                  <c:v>2.088245616489063E-2</c:v>
                </c:pt>
                <c:pt idx="1641">
                  <c:v>2.0622802625597916E-2</c:v>
                </c:pt>
                <c:pt idx="1642">
                  <c:v>2.0365315654535695E-2</c:v>
                </c:pt>
                <c:pt idx="1643">
                  <c:v>2.0109994885901532E-2</c:v>
                </c:pt>
                <c:pt idx="1644">
                  <c:v>1.9856839621734068E-2</c:v>
                </c:pt>
                <c:pt idx="1645">
                  <c:v>1.9605848836222014E-2</c:v>
                </c:pt>
                <c:pt idx="1646">
                  <c:v>1.9357021180043857E-2</c:v>
                </c:pt>
                <c:pt idx="1647">
                  <c:v>1.9110354984736483E-2</c:v>
                </c:pt>
                <c:pt idx="1648">
                  <c:v>1.8865848267091451E-2</c:v>
                </c:pt>
                <c:pt idx="1649">
                  <c:v>1.8623498733576556E-2</c:v>
                </c:pt>
                <c:pt idx="1650">
                  <c:v>1.8383303784781545E-2</c:v>
                </c:pt>
                <c:pt idx="1651">
                  <c:v>1.8145260519886106E-2</c:v>
                </c:pt>
                <c:pt idx="1652">
                  <c:v>1.7909365741148178E-2</c:v>
                </c:pt>
                <c:pt idx="1653">
                  <c:v>1.7675615958411377E-2</c:v>
                </c:pt>
                <c:pt idx="1654">
                  <c:v>1.7444007393629727E-2</c:v>
                </c:pt>
                <c:pt idx="1655">
                  <c:v>1.7214535985407745E-2</c:v>
                </c:pt>
                <c:pt idx="1656">
                  <c:v>1.698719739355483E-2</c:v>
                </c:pt>
                <c:pt idx="1657">
                  <c:v>1.676198700365196E-2</c:v>
                </c:pt>
                <c:pt idx="1658">
                  <c:v>1.653889993162911E-2</c:v>
                </c:pt>
                <c:pt idx="1659">
                  <c:v>1.6317931028352193E-2</c:v>
                </c:pt>
                <c:pt idx="1660">
                  <c:v>1.6099074884217426E-2</c:v>
                </c:pt>
                <c:pt idx="1661">
                  <c:v>1.588232583375207E-2</c:v>
                </c:pt>
                <c:pt idx="1662">
                  <c:v>1.5667677960219902E-2</c:v>
                </c:pt>
                <c:pt idx="1663">
                  <c:v>1.5455125100229606E-2</c:v>
                </c:pt>
                <c:pt idx="1664">
                  <c:v>1.524466084834512E-2</c:v>
                </c:pt>
                <c:pt idx="1665">
                  <c:v>1.5036278561696209E-2</c:v>
                </c:pt>
                <c:pt idx="1666">
                  <c:v>1.4829971364587654E-2</c:v>
                </c:pt>
                <c:pt idx="1667">
                  <c:v>1.4625732153106061E-2</c:v>
                </c:pt>
                <c:pt idx="1668">
                  <c:v>1.4423553599722654E-2</c:v>
                </c:pt>
                <c:pt idx="1669">
                  <c:v>1.4223428157890466E-2</c:v>
                </c:pt>
                <c:pt idx="1670">
                  <c:v>1.4025348066635163E-2</c:v>
                </c:pt>
                <c:pt idx="1671">
                  <c:v>1.3829305355137465E-2</c:v>
                </c:pt>
                <c:pt idx="1672">
                  <c:v>1.3635291847306425E-2</c:v>
                </c:pt>
                <c:pt idx="1673">
                  <c:v>1.3443299166341998E-2</c:v>
                </c:pt>
                <c:pt idx="1674">
                  <c:v>1.325331873928557E-2</c:v>
                </c:pt>
                <c:pt idx="1675">
                  <c:v>1.3065341801557431E-2</c:v>
                </c:pt>
                <c:pt idx="1676">
                  <c:v>1.2879359401479881E-2</c:v>
                </c:pt>
                <c:pt idx="1677">
                  <c:v>1.2695362404784537E-2</c:v>
                </c:pt>
                <c:pt idx="1678">
                  <c:v>1.2513341499103062E-2</c:v>
                </c:pt>
                <c:pt idx="1679">
                  <c:v>1.2333287198439921E-2</c:v>
                </c:pt>
                <c:pt idx="1680">
                  <c:v>1.2155189847625911E-2</c:v>
                </c:pt>
                <c:pt idx="1681">
                  <c:v>1.1979039626751771E-2</c:v>
                </c:pt>
                <c:pt idx="1682">
                  <c:v>1.1804826555580253E-2</c:v>
                </c:pt>
                <c:pt idx="1683">
                  <c:v>1.1632540497936045E-2</c:v>
                </c:pt>
                <c:pt idx="1684">
                  <c:v>1.1462171166072368E-2</c:v>
                </c:pt>
                <c:pt idx="1685">
                  <c:v>1.1293708125012934E-2</c:v>
                </c:pt>
                <c:pt idx="1686">
                  <c:v>1.1127140796868766E-2</c:v>
                </c:pt>
                <c:pt idx="1687">
                  <c:v>1.0962458465128633E-2</c:v>
                </c:pt>
                <c:pt idx="1688">
                  <c:v>1.0799650278922039E-2</c:v>
                </c:pt>
                <c:pt idx="1689">
                  <c:v>1.0638705257254249E-2</c:v>
                </c:pt>
                <c:pt idx="1690">
                  <c:v>1.0479612293211944E-2</c:v>
                </c:pt>
                <c:pt idx="1691">
                  <c:v>1.0322360158139046E-2</c:v>
                </c:pt>
                <c:pt idx="1692">
                  <c:v>1.0166937505781763E-2</c:v>
                </c:pt>
                <c:pt idx="1693">
                  <c:v>1.001333287640173E-2</c:v>
                </c:pt>
                <c:pt idx="1694">
                  <c:v>9.8615347008569401E-3</c:v>
                </c:pt>
                <c:pt idx="1695">
                  <c:v>9.7115313046493811E-3</c:v>
                </c:pt>
                <c:pt idx="1696">
                  <c:v>9.563310911938518E-3</c:v>
                </c:pt>
                <c:pt idx="1697">
                  <c:v>9.4168616495202175E-3</c:v>
                </c:pt>
                <c:pt idx="1698">
                  <c:v>9.2721715507702307E-3</c:v>
                </c:pt>
                <c:pt idx="1699">
                  <c:v>9.1292285595514205E-3</c:v>
                </c:pt>
                <c:pt idx="1700">
                  <c:v>8.9880205340844167E-3</c:v>
                </c:pt>
                <c:pt idx="1701">
                  <c:v>8.8485352507806543E-3</c:v>
                </c:pt>
                <c:pt idx="1702">
                  <c:v>8.7107604080374976E-3</c:v>
                </c:pt>
                <c:pt idx="1703">
                  <c:v>8.5746836299948059E-3</c:v>
                </c:pt>
                <c:pt idx="1704">
                  <c:v>8.4402924702521084E-3</c:v>
                </c:pt>
                <c:pt idx="1705">
                  <c:v>8.3075744155462795E-3</c:v>
                </c:pt>
                <c:pt idx="1706">
                  <c:v>8.176516889388875E-3</c:v>
                </c:pt>
                <c:pt idx="1707">
                  <c:v>8.0471072556626451E-3</c:v>
                </c:pt>
                <c:pt idx="1708">
                  <c:v>7.9193328221769388E-3</c:v>
                </c:pt>
                <c:pt idx="1709">
                  <c:v>7.793180844181416E-3</c:v>
                </c:pt>
                <c:pt idx="1710">
                  <c:v>7.6686385278375542E-3</c:v>
                </c:pt>
                <c:pt idx="1711">
                  <c:v>7.5456930336478337E-3</c:v>
                </c:pt>
                <c:pt idx="1712">
                  <c:v>7.4243314798417724E-3</c:v>
                </c:pt>
                <c:pt idx="1713">
                  <c:v>7.3045409457189008E-3</c:v>
                </c:pt>
                <c:pt idx="1714">
                  <c:v>7.1863084749480451E-3</c:v>
                </c:pt>
                <c:pt idx="1715">
                  <c:v>7.0696210788226523E-3</c:v>
                </c:pt>
                <c:pt idx="1716">
                  <c:v>6.9544657394719194E-3</c:v>
                </c:pt>
                <c:pt idx="1717">
                  <c:v>6.840829413027434E-3</c:v>
                </c:pt>
                <c:pt idx="1718">
                  <c:v>6.7286990327449399E-3</c:v>
                </c:pt>
                <c:pt idx="1719">
                  <c:v>6.6180615120811827E-3</c:v>
                </c:pt>
                <c:pt idx="1720">
                  <c:v>6.5089037477255099E-3</c:v>
                </c:pt>
                <c:pt idx="1721">
                  <c:v>6.4012126225859662E-3</c:v>
                </c:pt>
                <c:pt idx="1722">
                  <c:v>6.2949750087299017E-3</c:v>
                </c:pt>
                <c:pt idx="1723">
                  <c:v>6.1901777702786662E-3</c:v>
                </c:pt>
                <c:pt idx="1724">
                  <c:v>6.0868077662564754E-3</c:v>
                </c:pt>
                <c:pt idx="1725">
                  <c:v>5.9848518533932712E-3</c:v>
                </c:pt>
                <c:pt idx="1726">
                  <c:v>5.8842968888813347E-3</c:v>
                </c:pt>
                <c:pt idx="1727">
                  <c:v>5.7851297330857613E-3</c:v>
                </c:pt>
                <c:pt idx="1728">
                  <c:v>5.6873372522086747E-3</c:v>
                </c:pt>
                <c:pt idx="1729">
                  <c:v>5.5909063209069586E-3</c:v>
                </c:pt>
                <c:pt idx="1730">
                  <c:v>5.4958238248637801E-3</c:v>
                </c:pt>
                <c:pt idx="1731">
                  <c:v>5.402076663313651E-3</c:v>
                </c:pt>
                <c:pt idx="1732">
                  <c:v>5.3096517515210861E-3</c:v>
                </c:pt>
                <c:pt idx="1733">
                  <c:v>5.2185360232130037E-3</c:v>
                </c:pt>
                <c:pt idx="1734">
                  <c:v>5.1287164329646478E-3</c:v>
                </c:pt>
                <c:pt idx="1735">
                  <c:v>5.0401799585393803E-3</c:v>
                </c:pt>
                <c:pt idx="1736">
                  <c:v>4.9529136031822036E-3</c:v>
                </c:pt>
                <c:pt idx="1737">
                  <c:v>4.8669043978671628E-3</c:v>
                </c:pt>
                <c:pt idx="1738">
                  <c:v>4.7821394034987365E-3</c:v>
                </c:pt>
                <c:pt idx="1739">
                  <c:v>4.6986057130673662E-3</c:v>
                </c:pt>
                <c:pt idx="1740">
                  <c:v>4.6162904537590897E-3</c:v>
                </c:pt>
                <c:pt idx="1741">
                  <c:v>4.5351807890196905E-3</c:v>
                </c:pt>
                <c:pt idx="1742">
                  <c:v>4.4552639205732453E-3</c:v>
                </c:pt>
                <c:pt idx="1743">
                  <c:v>4.3765270903954254E-3</c:v>
                </c:pt>
                <c:pt idx="1744">
                  <c:v>4.2989575826417005E-3</c:v>
                </c:pt>
                <c:pt idx="1745">
                  <c:v>4.2225427255305308E-3</c:v>
                </c:pt>
                <c:pt idx="1746">
                  <c:v>4.1472698931819107E-3</c:v>
                </c:pt>
                <c:pt idx="1747">
                  <c:v>4.0731265074114295E-3</c:v>
                </c:pt>
                <c:pt idx="1748">
                  <c:v>4.0001000394800038E-3</c:v>
                </c:pt>
                <c:pt idx="1749">
                  <c:v>3.9281780117996689E-3</c:v>
                </c:pt>
                <c:pt idx="1750">
                  <c:v>3.8573479995956E-3</c:v>
                </c:pt>
                <c:pt idx="1751">
                  <c:v>3.7875976325245958E-3</c:v>
                </c:pt>
                <c:pt idx="1752">
                  <c:v>3.7189145962504399E-3</c:v>
                </c:pt>
                <c:pt idx="1753">
                  <c:v>3.6512866339762744E-3</c:v>
                </c:pt>
                <c:pt idx="1754">
                  <c:v>3.5847015479344079E-3</c:v>
                </c:pt>
                <c:pt idx="1755">
                  <c:v>3.5191472008338264E-3</c:v>
                </c:pt>
                <c:pt idx="1756">
                  <c:v>3.4546115172656546E-3</c:v>
                </c:pt>
                <c:pt idx="1757">
                  <c:v>3.3910824850670392E-3</c:v>
                </c:pt>
                <c:pt idx="1758">
                  <c:v>3.3285481566437064E-3</c:v>
                </c:pt>
                <c:pt idx="1759">
                  <c:v>3.2669966502515031E-3</c:v>
                </c:pt>
                <c:pt idx="1760">
                  <c:v>3.206416151237383E-3</c:v>
                </c:pt>
                <c:pt idx="1761">
                  <c:v>3.1467949132401554E-3</c:v>
                </c:pt>
                <c:pt idx="1762">
                  <c:v>3.0881212593512775E-3</c:v>
                </c:pt>
                <c:pt idx="1763">
                  <c:v>3.0303835832362659E-3</c:v>
                </c:pt>
                <c:pt idx="1764">
                  <c:v>2.9735703502169072E-3</c:v>
                </c:pt>
                <c:pt idx="1765">
                  <c:v>2.9176700983148079E-3</c:v>
                </c:pt>
                <c:pt idx="1766">
                  <c:v>2.8626714392566339E-3</c:v>
                </c:pt>
                <c:pt idx="1767">
                  <c:v>2.8085630594413963E-3</c:v>
                </c:pt>
                <c:pt idx="1768">
                  <c:v>2.7553337208702944E-3</c:v>
                </c:pt>
                <c:pt idx="1769">
                  <c:v>2.7029722620394679E-3</c:v>
                </c:pt>
                <c:pt idx="1770">
                  <c:v>2.6514675987960828E-3</c:v>
                </c:pt>
                <c:pt idx="1771">
                  <c:v>2.6008087251582126E-3</c:v>
                </c:pt>
                <c:pt idx="1772">
                  <c:v>2.5509847140989502E-3</c:v>
                </c:pt>
                <c:pt idx="1773">
                  <c:v>2.5019847182951123E-3</c:v>
                </c:pt>
                <c:pt idx="1774">
                  <c:v>2.4537979708411117E-3</c:v>
                </c:pt>
                <c:pt idx="1775">
                  <c:v>2.406413785928316E-3</c:v>
                </c:pt>
                <c:pt idx="1776">
                  <c:v>2.3598215594904299E-3</c:v>
                </c:pt>
                <c:pt idx="1777">
                  <c:v>2.3140107698153365E-3</c:v>
                </c:pt>
                <c:pt idx="1778">
                  <c:v>2.2689709781237946E-3</c:v>
                </c:pt>
                <c:pt idx="1779">
                  <c:v>2.2246918291155653E-3</c:v>
                </c:pt>
                <c:pt idx="1780">
                  <c:v>2.18116305148334E-3</c:v>
                </c:pt>
                <c:pt idx="1781">
                  <c:v>2.1383744583949684E-3</c:v>
                </c:pt>
                <c:pt idx="1782">
                  <c:v>2.0963159479444608E-3</c:v>
                </c:pt>
                <c:pt idx="1783">
                  <c:v>2.0549775035722507E-3</c:v>
                </c:pt>
                <c:pt idx="1784">
                  <c:v>2.0143491944551164E-3</c:v>
                </c:pt>
                <c:pt idx="1785">
                  <c:v>1.9744211758663715E-3</c:v>
                </c:pt>
                <c:pt idx="1786">
                  <c:v>1.9351836895066155E-3</c:v>
                </c:pt>
                <c:pt idx="1787">
                  <c:v>1.8966270638057518E-3</c:v>
                </c:pt>
                <c:pt idx="1788">
                  <c:v>1.858741714196533E-3</c:v>
                </c:pt>
                <c:pt idx="1789">
                  <c:v>1.8215181433602059E-3</c:v>
                </c:pt>
                <c:pt idx="1790">
                  <c:v>1.784946941444815E-3</c:v>
                </c:pt>
                <c:pt idx="1791">
                  <c:v>1.7490187862565015E-3</c:v>
                </c:pt>
                <c:pt idx="1792">
                  <c:v>1.7137244434243203E-3</c:v>
                </c:pt>
                <c:pt idx="1793">
                  <c:v>1.6790547665391728E-3</c:v>
                </c:pt>
                <c:pt idx="1794">
                  <c:v>1.6450006972671513E-3</c:v>
                </c:pt>
                <c:pt idx="1795">
                  <c:v>1.611553265437873E-3</c:v>
                </c:pt>
                <c:pt idx="1796">
                  <c:v>1.5787035891083364E-3</c:v>
                </c:pt>
                <c:pt idx="1797">
                  <c:v>1.5464428746026538E-3</c:v>
                </c:pt>
                <c:pt idx="1798">
                  <c:v>1.5147624165281861E-3</c:v>
                </c:pt>
                <c:pt idx="1799">
                  <c:v>1.4836535977686448E-3</c:v>
                </c:pt>
                <c:pt idx="1800">
                  <c:v>1.4531078894544803E-3</c:v>
                </c:pt>
                <c:pt idx="1801">
                  <c:v>1.4231168509111197E-3</c:v>
                </c:pt>
                <c:pt idx="1802">
                  <c:v>1.3936721295855585E-3</c:v>
                </c:pt>
                <c:pt idx="1803">
                  <c:v>1.364765460951685E-3</c:v>
                </c:pt>
                <c:pt idx="1804">
                  <c:v>1.3363886683948635E-3</c:v>
                </c:pt>
                <c:pt idx="1805">
                  <c:v>1.3085336630762063E-3</c:v>
                </c:pt>
                <c:pt idx="1806">
                  <c:v>1.2811924437770678E-3</c:v>
                </c:pt>
                <c:pt idx="1807">
                  <c:v>1.2543570967241317E-3</c:v>
                </c:pt>
                <c:pt idx="1808">
                  <c:v>1.2280197953955737E-3</c:v>
                </c:pt>
                <c:pt idx="1809">
                  <c:v>1.2021728003088327E-3</c:v>
                </c:pt>
                <c:pt idx="1810">
                  <c:v>1.1768084587903218E-3</c:v>
                </c:pt>
                <c:pt idx="1811">
                  <c:v>1.151919204727589E-3</c:v>
                </c:pt>
                <c:pt idx="1812">
                  <c:v>1.1274975583044214E-3</c:v>
                </c:pt>
                <c:pt idx="1813">
                  <c:v>1.1035361257192415E-3</c:v>
                </c:pt>
                <c:pt idx="1814">
                  <c:v>1.0800275988872667E-3</c:v>
                </c:pt>
                <c:pt idx="1815">
                  <c:v>1.0569647551269415E-3</c:v>
                </c:pt>
                <c:pt idx="1816">
                  <c:v>1.0343404568309625E-3</c:v>
                </c:pt>
                <c:pt idx="1817">
                  <c:v>#N/A</c:v>
                </c:pt>
                <c:pt idx="1818">
                  <c:v>7.8958653652619854E-109</c:v>
                </c:pt>
                <c:pt idx="1819">
                  <c:v>3.0099715831720964E-108</c:v>
                </c:pt>
                <c:pt idx="1820">
                  <c:v>1.1432917185994642E-107</c:v>
                </c:pt>
                <c:pt idx="1821">
                  <c:v>4.3269683756551719E-107</c:v>
                </c:pt>
                <c:pt idx="1822">
                  <c:v>1.6317077852988018E-106</c:v>
                </c:pt>
                <c:pt idx="1823">
                  <c:v>6.1310244974141717E-106</c:v>
                </c:pt>
                <c:pt idx="1824">
                  <c:v>2.2953859464841246E-105</c:v>
                </c:pt>
                <c:pt idx="1825">
                  <c:v>8.5626932561326168E-105</c:v>
                </c:pt>
                <c:pt idx="1826">
                  <c:v>3.1827099050436568E-104</c:v>
                </c:pt>
                <c:pt idx="1827">
                  <c:v>1.178733770514617E-103</c:v>
                </c:pt>
                <c:pt idx="1828">
                  <c:v>4.3497710431098152E-103</c:v>
                </c:pt>
                <c:pt idx="1829">
                  <c:v>1.5993704606073632E-102</c:v>
                </c:pt>
                <c:pt idx="1830">
                  <c:v>5.8595429855072373E-102</c:v>
                </c:pt>
                <c:pt idx="1831">
                  <c:v>2.1389982031161021E-101</c:v>
                </c:pt>
                <c:pt idx="1832">
                  <c:v>7.7801701694733114E-101</c:v>
                </c:pt>
                <c:pt idx="1833">
                  <c:v>2.8196796734254682E-100</c:v>
                </c:pt>
                <c:pt idx="1834">
                  <c:v>1.0182219436585973E-99</c:v>
                </c:pt>
                <c:pt idx="1835">
                  <c:v>3.6636766124232273E-99</c:v>
                </c:pt>
                <c:pt idx="1836">
                  <c:v>1.3134810551302044E-98</c:v>
                </c:pt>
                <c:pt idx="1837">
                  <c:v>4.6920485298598326E-98</c:v>
                </c:pt>
                <c:pt idx="1838">
                  <c:v>1.6700642473176901E-97</c:v>
                </c:pt>
                <c:pt idx="1839">
                  <c:v>5.9229199536182569E-97</c:v>
                </c:pt>
                <c:pt idx="1840">
                  <c:v>2.093006365022992E-96</c:v>
                </c:pt>
                <c:pt idx="1841">
                  <c:v>7.3694866420330707E-96</c:v>
                </c:pt>
                <c:pt idx="1842">
                  <c:v>2.5854486945126084E-95</c:v>
                </c:pt>
                <c:pt idx="1843">
                  <c:v>9.0378808873458173E-95</c:v>
                </c:pt>
                <c:pt idx="1844">
                  <c:v>3.1479607139525274E-94</c:v>
                </c:pt>
                <c:pt idx="1845">
                  <c:v>1.0925064141647055E-93</c:v>
                </c:pt>
                <c:pt idx="1846">
                  <c:v>3.7779020019269401E-93</c:v>
                </c:pt>
                <c:pt idx="1847">
                  <c:v>1.3016954361739666E-92</c:v>
                </c:pt>
                <c:pt idx="1848">
                  <c:v>4.4688942450020825E-92</c:v>
                </c:pt>
                <c:pt idx="1849">
                  <c:v>1.5287017884453798E-91</c:v>
                </c:pt>
                <c:pt idx="1850">
                  <c:v>5.2104768558349349E-91</c:v>
                </c:pt>
                <c:pt idx="1851">
                  <c:v>1.7695554247316797E-90</c:v>
                </c:pt>
                <c:pt idx="1852">
                  <c:v>5.9880148637177865E-90</c:v>
                </c:pt>
                <c:pt idx="1853">
                  <c:v>2.0189872238062232E-89</c:v>
                </c:pt>
                <c:pt idx="1854">
                  <c:v>6.7829134099034451E-89</c:v>
                </c:pt>
                <c:pt idx="1855">
                  <c:v>2.2705495102986558E-88</c:v>
                </c:pt>
                <c:pt idx="1856">
                  <c:v>7.5731695647981975E-88</c:v>
                </c:pt>
                <c:pt idx="1857">
                  <c:v>2.516844514824131E-87</c:v>
                </c:pt>
                <c:pt idx="1858">
                  <c:v>8.3342609346852336E-87</c:v>
                </c:pt>
                <c:pt idx="1859">
                  <c:v>2.7498550477644454E-86</c:v>
                </c:pt>
                <c:pt idx="1860">
                  <c:v>9.0403347255353612E-86</c:v>
                </c:pt>
                <c:pt idx="1861">
                  <c:v>2.9613601047892777E-85</c:v>
                </c:pt>
                <c:pt idx="1862">
                  <c:v>9.6656248050350436E-85</c:v>
                </c:pt>
                <c:pt idx="1863">
                  <c:v>3.1434072153904632E-84</c:v>
                </c:pt>
                <c:pt idx="1864">
                  <c:v>1.018599267858762E-83</c:v>
                </c:pt>
                <c:pt idx="1865">
                  <c:v>3.2888046273435866E-83</c:v>
                </c:pt>
                <c:pt idx="1866">
                  <c:v>1.0580465883189055E-82</c:v>
                </c:pt>
                <c:pt idx="1867">
                  <c:v>3.3915912694102346E-82</c:v>
                </c:pt>
                <c:pt idx="1868">
                  <c:v>1.0832637924429206E-81</c:v>
                </c:pt>
                <c:pt idx="1869">
                  <c:v>3.4474418321010928E-81</c:v>
                </c:pt>
                <c:pt idx="1870">
                  <c:v>1.0931799763740036E-80</c:v>
                </c:pt>
                <c:pt idx="1871">
                  <c:v>3.4539686421476313E-80</c:v>
                </c:pt>
                <c:pt idx="1872">
                  <c:v>1.0873694163631187E-79</c:v>
                </c:pt>
                <c:pt idx="1873">
                  <c:v>3.4108909779612618E-79</c:v>
                </c:pt>
                <c:pt idx="1874">
                  <c:v>1.0660818855191144E-78</c:v>
                </c:pt>
                <c:pt idx="1875">
                  <c:v>3.3200550967748686E-78</c:v>
                </c:pt>
                <c:pt idx="1876">
                  <c:v>1.0302248446759421E-77</c:v>
                </c:pt>
                <c:pt idx="1877">
                  <c:v>3.1853029827196188E-77</c:v>
                </c:pt>
                <c:pt idx="1878">
                  <c:v>9.8129927664660541E-77</c:v>
                </c:pt>
                <c:pt idx="1879">
                  <c:v>3.0122028168685722E-76</c:v>
                </c:pt>
                <c:pt idx="1880">
                  <c:v>9.2129548560427093E-76</c:v>
                </c:pt>
                <c:pt idx="1881">
                  <c:v>2.8076675141564772E-75</c:v>
                </c:pt>
                <c:pt idx="1882">
                  <c:v>8.5255893881224977E-75</c:v>
                </c:pt>
                <c:pt idx="1883">
                  <c:v>2.5794977210252634E-74</c:v>
                </c:pt>
                <c:pt idx="1884">
                  <c:v>7.7763873657747568E-74</c:v>
                </c:pt>
                <c:pt idx="1885">
                  <c:v>2.3358912758965909E-73</c:v>
                </c:pt>
                <c:pt idx="1886">
                  <c:v>6.9913229590273467E-73</c:v>
                </c:pt>
                <c:pt idx="1887">
                  <c:v>2.0849618150994228E-72</c:v>
                </c:pt>
                <c:pt idx="1888">
                  <c:v>6.1953928144643241E-72</c:v>
                </c:pt>
                <c:pt idx="1889">
                  <c:v>1.8343051740622444E-71</c:v>
                </c:pt>
                <c:pt idx="1890">
                  <c:v>5.411358860560027E-71</c:v>
                </c:pt>
                <c:pt idx="1891">
                  <c:v>1.5906443286214837E-70</c:v>
                </c:pt>
                <c:pt idx="1892">
                  <c:v>4.6587759865141098E-70</c:v>
                </c:pt>
                <c:pt idx="1893">
                  <c:v>1.3595731410554596E-69</c:v>
                </c:pt>
                <c:pt idx="1894">
                  <c:v>3.9533505493407267E-69</c:v>
                </c:pt>
                <c:pt idx="1895">
                  <c:v>1.1454076411034291E-68</c:v>
                </c:pt>
                <c:pt idx="1896">
                  <c:v>3.3066393342134144E-68</c:v>
                </c:pt>
                <c:pt idx="1897">
                  <c:v>9.5114248389189186E-68</c:v>
                </c:pt>
                <c:pt idx="1898">
                  <c:v>2.7260657999402907E-67</c:v>
                </c:pt>
                <c:pt idx="1899">
                  <c:v>7.7850084709157253E-67</c:v>
                </c:pt>
                <c:pt idx="1900">
                  <c:v>2.2152046060855445E-66</c:v>
                </c:pt>
                <c:pt idx="1901">
                  <c:v>6.2805923121045047E-66</c:v>
                </c:pt>
                <c:pt idx="1902">
                  <c:v>1.7742685803570002E-65</c:v>
                </c:pt>
                <c:pt idx="1903">
                  <c:v>4.9942481998360121E-65</c:v>
                </c:pt>
                <c:pt idx="1904">
                  <c:v>1.4007250089991455E-64</c:v>
                </c:pt>
                <c:pt idx="1905">
                  <c:v>3.9144220120955479E-64</c:v>
                </c:pt>
                <c:pt idx="1906">
                  <c:v>1.0899696576365807E-63</c:v>
                </c:pt>
                <c:pt idx="1907">
                  <c:v>3.024079282045792E-63</c:v>
                </c:pt>
                <c:pt idx="1908">
                  <c:v>8.3599549775530124E-63</c:v>
                </c:pt>
                <c:pt idx="1909">
                  <c:v>2.3027495465067531E-62</c:v>
                </c:pt>
                <c:pt idx="1910">
                  <c:v>6.3200639612319229E-62</c:v>
                </c:pt>
                <c:pt idx="1911">
                  <c:v>1.7283362653418599E-61</c:v>
                </c:pt>
                <c:pt idx="1912">
                  <c:v>4.7094155468836893E-61</c:v>
                </c:pt>
                <c:pt idx="1913">
                  <c:v>1.2786090815769618E-60</c:v>
                </c:pt>
                <c:pt idx="1914">
                  <c:v>3.4589203188913352E-60</c:v>
                </c:pt>
                <c:pt idx="1915">
                  <c:v>9.3234217775051494E-60</c:v>
                </c:pt>
                <c:pt idx="1916">
                  <c:v>2.5040448693083858E-59</c:v>
                </c:pt>
                <c:pt idx="1917">
                  <c:v>6.7010195181630528E-59</c:v>
                </c:pt>
                <c:pt idx="1918">
                  <c:v>1.7867823770278942E-58</c:v>
                </c:pt>
                <c:pt idx="1919">
                  <c:v>4.7471662245993643E-58</c:v>
                </c:pt>
                <c:pt idx="1920">
                  <c:v>1.2566930662002624E-57</c:v>
                </c:pt>
                <c:pt idx="1921">
                  <c:v>3.3147898463662011E-57</c:v>
                </c:pt>
                <c:pt idx="1922">
                  <c:v>8.7119381208696113E-57</c:v>
                </c:pt>
                <c:pt idx="1923">
                  <c:v>2.2814216860118924E-56</c:v>
                </c:pt>
                <c:pt idx="1924">
                  <c:v>5.952896749225243E-56</c:v>
                </c:pt>
                <c:pt idx="1925">
                  <c:v>1.5476870034019303E-55</c:v>
                </c:pt>
                <c:pt idx="1926">
                  <c:v>4.0093126340050309E-55</c:v>
                </c:pt>
                <c:pt idx="1927">
                  <c:v>1.0348769420389884E-54</c:v>
                </c:pt>
                <c:pt idx="1928">
                  <c:v>2.6615798491844735E-54</c:v>
                </c:pt>
                <c:pt idx="1929">
                  <c:v>6.8205954383486623E-54</c:v>
                </c:pt>
                <c:pt idx="1930">
                  <c:v>1.7415545483810685E-53</c:v>
                </c:pt>
                <c:pt idx="1931">
                  <c:v>4.4308176250764073E-53</c:v>
                </c:pt>
                <c:pt idx="1932">
                  <c:v>1.1232144152831884E-52</c:v>
                </c:pt>
                <c:pt idx="1933">
                  <c:v>2.8370922908020588E-52</c:v>
                </c:pt>
                <c:pt idx="1934">
                  <c:v>7.1402967263552053E-52</c:v>
                </c:pt>
                <c:pt idx="1935">
                  <c:v>1.7905689839421796E-51</c:v>
                </c:pt>
                <c:pt idx="1936">
                  <c:v>4.4740193292526419E-51</c:v>
                </c:pt>
                <c:pt idx="1937">
                  <c:v>1.1138755109236945E-50</c:v>
                </c:pt>
                <c:pt idx="1938">
                  <c:v>2.7631690571353121E-50</c:v>
                </c:pt>
                <c:pt idx="1939">
                  <c:v>6.8298357428981811E-50</c:v>
                </c:pt>
                <c:pt idx="1940">
                  <c:v>1.6820738623865436E-49</c:v>
                </c:pt>
                <c:pt idx="1941">
                  <c:v>4.1277355613165093E-49</c:v>
                </c:pt>
                <c:pt idx="1942">
                  <c:v>1.0092776884065007E-48</c:v>
                </c:pt>
                <c:pt idx="1943">
                  <c:v>2.4589034681814454E-48</c:v>
                </c:pt>
                <c:pt idx="1944">
                  <c:v>5.9690372284279862E-48</c:v>
                </c:pt>
                <c:pt idx="1945">
                  <c:v>1.443773601650614E-47</c:v>
                </c:pt>
                <c:pt idx="1946">
                  <c:v>3.4795726390788419E-47</c:v>
                </c:pt>
                <c:pt idx="1947">
                  <c:v>8.3557361696117891E-47</c:v>
                </c:pt>
                <c:pt idx="1948">
                  <c:v>1.9992887928943999E-46</c:v>
                </c:pt>
                <c:pt idx="1949">
                  <c:v>4.7664862602271251E-46</c:v>
                </c:pt>
                <c:pt idx="1950">
                  <c:v>1.1322782384658742E-45</c:v>
                </c:pt>
                <c:pt idx="1951">
                  <c:v>2.6800319831221933E-45</c:v>
                </c:pt>
                <c:pt idx="1952">
                  <c:v>6.3206070951882761E-45</c:v>
                </c:pt>
                <c:pt idx="1953">
                  <c:v>1.4852843771079541E-44</c:v>
                </c:pt>
                <c:pt idx="1954">
                  <c:v>3.4777025419806003E-44</c:v>
                </c:pt>
                <c:pt idx="1955">
                  <c:v>8.1134815660428212E-44</c:v>
                </c:pt>
                <c:pt idx="1956">
                  <c:v>1.8860537958357762E-43</c:v>
                </c:pt>
                <c:pt idx="1957">
                  <c:v>4.3685056252802812E-43</c:v>
                </c:pt>
                <c:pt idx="1958">
                  <c:v>1.0081931068974035E-42</c:v>
                </c:pt>
                <c:pt idx="1959">
                  <c:v>2.3183902916126293E-42</c:v>
                </c:pt>
                <c:pt idx="1960">
                  <c:v>5.3120404859853061E-42</c:v>
                </c:pt>
                <c:pt idx="1961">
                  <c:v>1.2127414023784201E-41</c:v>
                </c:pt>
                <c:pt idx="1962">
                  <c:v>2.758716253657488E-41</c:v>
                </c:pt>
                <c:pt idx="1963">
                  <c:v>6.2528478914700354E-41</c:v>
                </c:pt>
                <c:pt idx="1964">
                  <c:v>1.4121495618496795E-40</c:v>
                </c:pt>
                <c:pt idx="1965">
                  <c:v>3.177719275710278E-40</c:v>
                </c:pt>
                <c:pt idx="1966">
                  <c:v>7.1249588805546711E-40</c:v>
                </c:pt>
                <c:pt idx="1967">
                  <c:v>1.5917732329868587E-39</c:v>
                </c:pt>
                <c:pt idx="1968">
                  <c:v>3.5433335281216505E-39</c:v>
                </c:pt>
                <c:pt idx="1969">
                  <c:v>7.8591372117207993E-39</c:v>
                </c:pt>
                <c:pt idx="1970">
                  <c:v>1.7368795817854983E-38</c:v>
                </c:pt>
                <c:pt idx="1971">
                  <c:v>3.8246927233208055E-38</c:v>
                </c:pt>
                <c:pt idx="1972">
                  <c:v>8.3918051340454907E-38</c:v>
                </c:pt>
                <c:pt idx="1973">
                  <c:v>1.8346204608191061E-37</c:v>
                </c:pt>
                <c:pt idx="1974">
                  <c:v>3.9964011572088057E-37</c:v>
                </c:pt>
                <c:pt idx="1975">
                  <c:v>8.6740899322856906E-37</c:v>
                </c:pt>
                <c:pt idx="1976">
                  <c:v>1.8759046773126885E-36</c:v>
                </c:pt>
                <c:pt idx="1977">
                  <c:v>4.0423099732947065E-36</c:v>
                </c:pt>
                <c:pt idx="1978">
                  <c:v>8.6792152876385942E-36</c:v>
                </c:pt>
                <c:pt idx="1979">
                  <c:v>1.8567922312420973E-35</c:v>
                </c:pt>
                <c:pt idx="1980">
                  <c:v>3.9580216075707137E-35</c:v>
                </c:pt>
                <c:pt idx="1981">
                  <c:v>8.406689601377079E-35</c:v>
                </c:pt>
                <c:pt idx="1982">
                  <c:v>1.7791143600538415E-34</c:v>
                </c:pt>
                <c:pt idx="1983">
                  <c:v>3.7515843802736396E-34</c:v>
                </c:pt>
                <c:pt idx="1984">
                  <c:v>7.882383743537154E-34</c:v>
                </c:pt>
                <c:pt idx="1985">
                  <c:v>1.6501842220816512E-33</c:v>
                </c:pt>
                <c:pt idx="1986">
                  <c:v>3.442225264554766E-33</c:v>
                </c:pt>
                <c:pt idx="1987">
                  <c:v>7.1544811940734797E-33</c:v>
                </c:pt>
                <c:pt idx="1988">
                  <c:v>1.4816615343929662E-32</c:v>
                </c:pt>
                <c:pt idx="1989">
                  <c:v>3.0573972261918527E-32</c:v>
                </c:pt>
                <c:pt idx="1990">
                  <c:v>6.2861787961669839E-32</c:v>
                </c:pt>
                <c:pt idx="1991">
                  <c:v>1.2878153363359778E-31</c:v>
                </c:pt>
                <c:pt idx="1992">
                  <c:v>2.628769197057267E-31</c:v>
                </c:pt>
                <c:pt idx="1993">
                  <c:v>5.3466692972230112E-31</c:v>
                </c:pt>
                <c:pt idx="1994">
                  <c:v>1.0835430971697764E-30</c:v>
                </c:pt>
                <c:pt idx="1995">
                  <c:v>2.1879684626591805E-30</c:v>
                </c:pt>
                <c:pt idx="1996">
                  <c:v>4.402181324103353E-30</c:v>
                </c:pt>
                <c:pt idx="1997">
                  <c:v>8.8252455404621644E-30</c:v>
                </c:pt>
                <c:pt idx="1998">
                  <c:v>1.7628593724116251E-29</c:v>
                </c:pt>
                <c:pt idx="1999">
                  <c:v>3.5086539885410302E-29</c:v>
                </c:pt>
                <c:pt idx="2000">
                  <c:v>6.9581760963893275E-29</c:v>
                </c:pt>
                <c:pt idx="2001">
                  <c:v>1.3749353903528582E-28</c:v>
                </c:pt>
                <c:pt idx="2002">
                  <c:v>2.7070804779164636E-28</c:v>
                </c:pt>
                <c:pt idx="2003">
                  <c:v>5.3107033685419797E-28</c:v>
                </c:pt>
                <c:pt idx="2004">
                  <c:v>1.0380897981463519E-27</c:v>
                </c:pt>
                <c:pt idx="2005">
                  <c:v>2.0218540523690235E-27</c:v>
                </c:pt>
                <c:pt idx="2006">
                  <c:v>3.9237080344619988E-27</c:v>
                </c:pt>
                <c:pt idx="2007">
                  <c:v>7.5870957673460612E-27</c:v>
                </c:pt>
                <c:pt idx="2008">
                  <c:v>1.4617949232333858E-26</c:v>
                </c:pt>
                <c:pt idx="2009">
                  <c:v>2.8062692260736657E-26</c:v>
                </c:pt>
                <c:pt idx="2010">
                  <c:v>5.3678975623840615E-26</c:v>
                </c:pt>
                <c:pt idx="2011">
                  <c:v>1.0230835606402061E-25</c:v>
                </c:pt>
                <c:pt idx="2012">
                  <c:v>1.942897969113472E-25</c:v>
                </c:pt>
                <c:pt idx="2013">
                  <c:v>3.6763841369266722E-25</c:v>
                </c:pt>
                <c:pt idx="2014">
                  <c:v>6.9314448782495761E-25</c:v>
                </c:pt>
                <c:pt idx="2015">
                  <c:v>1.3021429545145297E-24</c:v>
                </c:pt>
                <c:pt idx="2016">
                  <c:v>2.4373929924027111E-24</c:v>
                </c:pt>
                <c:pt idx="2017">
                  <c:v>4.5459478792519041E-24</c:v>
                </c:pt>
                <c:pt idx="2018">
                  <c:v>8.4480280499117357E-24</c:v>
                </c:pt>
                <c:pt idx="2019">
                  <c:v>1.5642935098072859E-23</c:v>
                </c:pt>
                <c:pt idx="2020">
                  <c:v>2.8861117363385686E-23</c:v>
                </c:pt>
                <c:pt idx="2021">
                  <c:v>5.3056676186832068E-23</c:v>
                </c:pt>
                <c:pt idx="2022">
                  <c:v>9.7184932927889367E-23</c:v>
                </c:pt>
                <c:pt idx="2023">
                  <c:v>1.7737395108477165E-22</c:v>
                </c:pt>
                <c:pt idx="2024">
                  <c:v>3.2256165772126957E-22</c:v>
                </c:pt>
                <c:pt idx="2025">
                  <c:v>5.8447729603095451E-22</c:v>
                </c:pt>
                <c:pt idx="2026">
                  <c:v>1.0552480303085364E-21</c:v>
                </c:pt>
                <c:pt idx="2027">
                  <c:v>1.8983376264350328E-21</c:v>
                </c:pt>
                <c:pt idx="2028">
                  <c:v>3.4027054971400135E-21</c:v>
                </c:pt>
                <c:pt idx="2029">
                  <c:v>6.0772523568092968E-21</c:v>
                </c:pt>
                <c:pt idx="2030">
                  <c:v>1.0814891827845049E-20</c:v>
                </c:pt>
                <c:pt idx="2031">
                  <c:v>1.9176488762732384E-20</c:v>
                </c:pt>
                <c:pt idx="2032">
                  <c:v>3.3880358869420538E-20</c:v>
                </c:pt>
                <c:pt idx="2033">
                  <c:v>5.9642922343140842E-20</c:v>
                </c:pt>
                <c:pt idx="2034">
                  <c:v>1.0461689555961217E-19</c:v>
                </c:pt>
                <c:pt idx="2035">
                  <c:v>1.828423285612615E-19</c:v>
                </c:pt>
                <c:pt idx="2036">
                  <c:v>3.1840777194913472E-19</c:v>
                </c:pt>
                <c:pt idx="2037">
                  <c:v>5.5248765348407913E-19</c:v>
                </c:pt>
                <c:pt idx="2038">
                  <c:v>9.5519820097579032E-19</c:v>
                </c:pt>
                <c:pt idx="2039">
                  <c:v>1.6454944264768442E-18</c:v>
                </c:pt>
                <c:pt idx="2040">
                  <c:v>2.8244333871427717E-18</c:v>
                </c:pt>
                <c:pt idx="2041">
                  <c:v>4.8305686523202149E-18</c:v>
                </c:pt>
                <c:pt idx="2042">
                  <c:v>8.2318449555280905E-18</c:v>
                </c:pt>
                <c:pt idx="2043">
                  <c:v>1.3977455121301018E-17</c:v>
                </c:pt>
                <c:pt idx="2044">
                  <c:v>2.3647815706850847E-17</c:v>
                </c:pt>
                <c:pt idx="2045">
                  <c:v>3.9864466741591183E-17</c:v>
                </c:pt>
                <c:pt idx="2046">
                  <c:v>6.6959605611060019E-17</c:v>
                </c:pt>
                <c:pt idx="2047">
                  <c:v>1.1206546982436194E-16</c:v>
                </c:pt>
                <c:pt idx="2048">
                  <c:v>1.8687996606738388E-16</c:v>
                </c:pt>
                <c:pt idx="2049">
                  <c:v>3.1051721196564798E-16</c:v>
                </c:pt>
                <c:pt idx="2050">
                  <c:v>5.1409172200426662E-16</c:v>
                </c:pt>
                <c:pt idx="2051">
                  <c:v>8.4806188473601359E-16</c:v>
                </c:pt>
                <c:pt idx="2052">
                  <c:v>1.3939477005709536E-15</c:v>
                </c:pt>
                <c:pt idx="2053">
                  <c:v>2.2829553415886459E-15</c:v>
                </c:pt>
                <c:pt idx="2054">
                  <c:v>3.7254638490602368E-15</c:v>
                </c:pt>
                <c:pt idx="2055">
                  <c:v>6.0575260723534241E-15</c:v>
                </c:pt>
                <c:pt idx="2056">
                  <c:v>9.8139136370293789E-15</c:v>
                </c:pt>
                <c:pt idx="2057">
                  <c:v>1.584240723495532E-14</c:v>
                </c:pt>
                <c:pt idx="2058">
                  <c:v>2.5481918064228765E-14</c:v>
                </c:pt>
                <c:pt idx="2059">
                  <c:v>4.0838996143732347E-14</c:v>
                </c:pt>
                <c:pt idx="2060">
                  <c:v>6.5215376023461302E-14</c:v>
                </c:pt>
                <c:pt idx="2061">
                  <c:v>1.0376644742356254E-13</c:v>
                </c:pt>
                <c:pt idx="2062">
                  <c:v>1.6451136096411448E-13</c:v>
                </c:pt>
                <c:pt idx="2063">
                  <c:v>2.5987640074003775E-13</c:v>
                </c:pt>
                <c:pt idx="2064">
                  <c:v>4.0904377934728224E-13</c:v>
                </c:pt>
                <c:pt idx="2065">
                  <c:v>6.415119381544108E-13</c:v>
                </c:pt>
                <c:pt idx="2066">
                  <c:v>1.0024707144780094E-12</c:v>
                </c:pt>
                <c:pt idx="2067">
                  <c:v>1.5608840651844556E-12</c:v>
                </c:pt>
                <c:pt idx="2068">
                  <c:v>2.4215954998590763E-12</c:v>
                </c:pt>
                <c:pt idx="2069">
                  <c:v>3.7433855187038486E-12</c:v>
                </c:pt>
                <c:pt idx="2070">
                  <c:v>5.7657991818552244E-12</c:v>
                </c:pt>
                <c:pt idx="2071">
                  <c:v>8.8488425899420504E-12</c:v>
                </c:pt>
                <c:pt idx="2072">
                  <c:v>1.3531483995106699E-11</c:v>
                </c:pt>
                <c:pt idx="2073">
                  <c:v>2.0617518264543899E-11</c:v>
                </c:pt>
                <c:pt idx="2074">
                  <c:v>3.1301081901428378E-11</c:v>
                </c:pt>
                <c:pt idx="2075">
                  <c:v>4.7349381567039077E-11</c:v>
                </c:pt>
                <c:pt idx="2076">
                  <c:v>7.1367629922365865E-11</c:v>
                </c:pt>
                <c:pt idx="2077">
                  <c:v>1.071816007219558E-10</c:v>
                </c:pt>
                <c:pt idx="2078">
                  <c:v>1.6038775351604465E-10</c:v>
                </c:pt>
                <c:pt idx="2079">
                  <c:v>2.3914107175028608E-10</c:v>
                </c:pt>
                <c:pt idx="2080">
                  <c:v>3.5527867401410222E-10</c:v>
                </c:pt>
                <c:pt idx="2081">
                  <c:v>5.2591566680388684E-10</c:v>
                </c:pt>
                <c:pt idx="2082">
                  <c:v>7.757022993823483E-10</c:v>
                </c:pt>
                <c:pt idx="2083">
                  <c:v>1.1400031473166232E-9</c:v>
                </c:pt>
                <c:pt idx="2084">
                  <c:v>1.6693562330510783E-9</c:v>
                </c:pt>
                <c:pt idx="2085">
                  <c:v>2.4357011261619589E-9</c:v>
                </c:pt>
                <c:pt idx="2086">
                  <c:v>3.5410411362361472E-9</c:v>
                </c:pt>
                <c:pt idx="2087">
                  <c:v>5.1294399297945134E-9</c:v>
                </c:pt>
                <c:pt idx="2088">
                  <c:v>7.4035655450836414E-9</c:v>
                </c:pt>
                <c:pt idx="2089">
                  <c:v>1.0647408196486974E-8</c:v>
                </c:pt>
                <c:pt idx="2090">
                  <c:v>1.5257342095971611E-8</c:v>
                </c:pt>
                <c:pt idx="2091">
                  <c:v>2.1784413146742626E-8</c:v>
                </c:pt>
                <c:pt idx="2092">
                  <c:v>3.0991660580601038E-8</c:v>
                </c:pt>
                <c:pt idx="2093">
                  <c:v>4.3931479588581578E-8</c:v>
                </c:pt>
                <c:pt idx="2094">
                  <c:v>6.2049575511139077E-8</c:v>
                </c:pt>
                <c:pt idx="2095">
                  <c:v>8.7324036083342913E-8</c:v>
                </c:pt>
                <c:pt idx="2096">
                  <c:v>1.2245056327919658E-7</c:v>
                </c:pt>
                <c:pt idx="2097">
                  <c:v>1.7108808893639832E-7</c:v>
                </c:pt>
                <c:pt idx="2098">
                  <c:v>2.381830018406993E-7</c:v>
                </c:pt>
                <c:pt idx="2099">
                  <c:v>3.3039521941158407E-7</c:v>
                </c:pt>
                <c:pt idx="2100">
                  <c:v>4.5665555633988906E-7</c:v>
                </c:pt>
                <c:pt idx="2101">
                  <c:v>6.2889152036869118E-7</c:v>
                </c:pt>
                <c:pt idx="2102">
                  <c:v>8.6296808157871343E-7</c:v>
                </c:pt>
                <c:pt idx="2103">
                  <c:v>1.1799014311514867E-6</c:v>
                </c:pt>
                <c:pt idx="2104">
                  <c:v>1.607417618205062E-6</c:v>
                </c:pt>
                <c:pt idx="2105">
                  <c:v>2.181944609865257E-6</c:v>
                </c:pt>
                <c:pt idx="2106">
                  <c:v>2.9511461667028861E-6</c:v>
                </c:pt>
                <c:pt idx="2107">
                  <c:v>3.977129385667748E-6</c:v>
                </c:pt>
                <c:pt idx="2108">
                  <c:v>5.3404852608676254E-6</c:v>
                </c:pt>
                <c:pt idx="2109">
                  <c:v>7.145353557992456E-6</c:v>
                </c:pt>
                <c:pt idx="2110">
                  <c:v>9.5257400590258488E-6</c:v>
                </c:pt>
                <c:pt idx="2111">
                  <c:v>1.2653356106032177E-5</c:v>
                </c:pt>
                <c:pt idx="2112">
                  <c:v>1.67472975410972E-5</c:v>
                </c:pt>
                <c:pt idx="2113">
                  <c:v>2.2085932631057966E-5</c:v>
                </c:pt>
                <c:pt idx="2114">
                  <c:v>2.9021426195115978E-5</c:v>
                </c:pt>
                <c:pt idx="2115">
                  <c:v>3.7997389460433022E-5</c:v>
                </c:pt>
                <c:pt idx="2116">
                  <c:v>4.9570211350393561E-5</c:v>
                </c:pt>
                <c:pt idx="2117">
                  <c:v>6.4434695737534885E-5</c:v>
                </c:pt>
                <c:pt idx="2118">
                  <c:v>8.3454698944902963E-5</c:v>
                </c:pt>
                <c:pt idx="2119">
                  <c:v>1.0769953015501566E-4</c:v>
                </c:pt>
                <c:pt idx="2120">
                  <c:v>1.3848694143149215E-4</c:v>
                </c:pt>
                <c:pt idx="2121">
                  <c:v>1.7743359010288272E-4</c:v>
                </c:pt>
                <c:pt idx="2122">
                  <c:v>2.265138998604361E-4</c:v>
                </c:pt>
                <c:pt idx="2123">
                  <c:v>2.8812827284314046E-4</c:v>
                </c:pt>
                <c:pt idx="2124">
                  <c:v>3.651816071921458E-4</c:v>
                </c:pt>
                <c:pt idx="2125">
                  <c:v>4.6117304626804945E-4</c:v>
                </c:pt>
                <c:pt idx="2126">
                  <c:v>5.8029781949447067E-4</c:v>
                </c:pt>
                <c:pt idx="2127">
                  <c:v>7.275619226638925E-4</c:v>
                </c:pt>
                <c:pt idx="2128">
                  <c:v>9.0891021926645642E-4</c:v>
                </c:pt>
                <c:pt idx="2129">
                  <c:v>1.1313683157196451E-3</c:v>
                </c:pt>
                <c:pt idx="2130">
                  <c:v>1.403198264385417E-3</c:v>
                </c:pt>
                <c:pt idx="2131">
                  <c:v>1.7340677718609423E-3</c:v>
                </c:pt>
                <c:pt idx="2132">
                  <c:v>2.135232130436847E-3</c:v>
                </c:pt>
                <c:pt idx="2133">
                  <c:v>2.6197275439582587E-3</c:v>
                </c:pt>
                <c:pt idx="2134">
                  <c:v>3.2025738842666267E-3</c:v>
                </c:pt>
                <c:pt idx="2135">
                  <c:v>3.9009841928347756E-3</c:v>
                </c:pt>
                <c:pt idx="2136">
                  <c:v>4.7345774399189166E-3</c:v>
                </c:pt>
                <c:pt idx="2137">
                  <c:v>5.7255901808832129E-3</c:v>
                </c:pt>
                <c:pt idx="2138">
                  <c:v>6.899081821781913E-3</c:v>
                </c:pt>
                <c:pt idx="2139">
                  <c:v>8.2831272449088722E-3</c:v>
                </c:pt>
                <c:pt idx="2140">
                  <c:v>9.9089895768592982E-3</c:v>
                </c:pt>
                <c:pt idx="2141">
                  <c:v>1.1811264939737422E-2</c:v>
                </c:pt>
                <c:pt idx="2142">
                  <c:v>1.402799014938981E-2</c:v>
                </c:pt>
                <c:pt idx="2143">
                  <c:v>1.6600703557212434E-2</c:v>
                </c:pt>
                <c:pt idx="2144">
                  <c:v>1.9574448623006349E-2</c:v>
                </c:pt>
                <c:pt idx="2145">
                  <c:v>2.2997709407684447E-2</c:v>
                </c:pt>
                <c:pt idx="2146">
                  <c:v>2.6922267040266512E-2</c:v>
                </c:pt>
                <c:pt idx="2147">
                  <c:v>3.1402966397143552E-2</c:v>
                </c:pt>
                <c:pt idx="2148">
                  <c:v>3.6497382784075279E-2</c:v>
                </c:pt>
                <c:pt idx="2149">
                  <c:v>4.2265379378512283E-2</c:v>
                </c:pt>
                <c:pt idx="2150">
                  <c:v>4.8768547609197729E-2</c:v>
                </c:pt>
                <c:pt idx="2151">
                  <c:v>5.6069524547946357E-2</c:v>
                </c:pt>
                <c:pt idx="2152">
                  <c:v>6.4231183777262779E-2</c:v>
                </c:pt>
                <c:pt idx="2153">
                  <c:v>7.3315699072179399E-2</c:v>
                </c:pt>
                <c:pt idx="2154">
                  <c:v>8.3383483571057349E-2</c:v>
                </c:pt>
                <c:pt idx="2155">
                  <c:v>9.4492010862148951E-2</c:v>
                </c:pt>
                <c:pt idx="2156">
                  <c:v>0.10669452851175554</c:v>
                </c:pt>
                <c:pt idx="2157">
                  <c:v>0.12003867891378539</c:v>
                </c:pt>
                <c:pt idx="2158">
                  <c:v>0.13456504683455942</c:v>
                </c:pt>
                <c:pt idx="2159">
                  <c:v>0.15030565752501152</c:v>
                </c:pt>
                <c:pt idx="2160">
                  <c:v>0.16728245362081898</c:v>
                </c:pt>
                <c:pt idx="2161">
                  <c:v>0.18550578308134735</c:v>
                </c:pt>
                <c:pt idx="2162">
                  <c:v>0.204972933953424</c:v>
                </c:pt>
                <c:pt idx="2163">
                  <c:v>0.22566675460635288</c:v>
                </c:pt>
                <c:pt idx="2164">
                  <c:v>0.2475544000951776</c:v>
                </c:pt>
                <c:pt idx="2165">
                  <c:v>0.2705862463076148</c:v>
                </c:pt>
                <c:pt idx="2166">
                  <c:v>0.29469501339429049</c:v>
                </c:pt>
                <c:pt idx="2167">
                  <c:v>0.31979513855882385</c:v>
                </c:pt>
                <c:pt idx="2168">
                  <c:v>0.34578243551706378</c:v>
                </c:pt>
                <c:pt idx="2169">
                  <c:v>0.37253407378950065</c:v>
                </c:pt>
                <c:pt idx="2170">
                  <c:v>0.39990890548249641</c:v>
                </c:pt>
                <c:pt idx="2171">
                  <c:v>0.42774816040950359</c:v>
                </c:pt>
                <c:pt idx="2172">
                  <c:v>0.45587652242434146</c:v>
                </c:pt>
                <c:pt idx="2173">
                  <c:v>0.48410359085961963</c:v>
                </c:pt>
                <c:pt idx="2174">
                  <c:v>0.51222572121044585</c:v>
                </c:pt>
                <c:pt idx="2175">
                  <c:v>0.54002822894742275</c:v>
                </c:pt>
                <c:pt idx="2176">
                  <c:v>0.56728792989230148</c:v>
                </c:pt>
                <c:pt idx="2177">
                  <c:v>0.59377598028018774</c:v>
                </c:pt>
                <c:pt idx="2178">
                  <c:v>0.61926096981553003</c:v>
                </c:pt>
                <c:pt idx="2179">
                  <c:v>0.64351221205863973</c:v>
                </c:pt>
                <c:pt idx="2180">
                  <c:v>0.66630316869691841</c:v>
                </c:pt>
                <c:pt idx="2181">
                  <c:v>0.68741493797514608</c:v>
                </c:pt>
                <c:pt idx="2182">
                  <c:v>0.7066397330568116</c:v>
                </c:pt>
                <c:pt idx="2183">
                  <c:v>0.72378427358467334</c:v>
                </c:pt>
                <c:pt idx="2184">
                  <c:v>0.73867301336014191</c:v>
                </c:pt>
                <c:pt idx="2185">
                  <c:v>0.7511511289513777</c:v>
                </c:pt>
                <c:pt idx="2186">
                  <c:v>0.76108719817367387</c:v>
                </c:pt>
                <c:pt idx="2187">
                  <c:v>0.76837550368599972</c:v>
                </c:pt>
                <c:pt idx="2188">
                  <c:v>0.77293790525700246</c:v>
                </c:pt>
                <c:pt idx="2189">
                  <c:v>0.77472523433896479</c:v>
                </c:pt>
                <c:pt idx="2190">
                  <c:v>0.77371817614751548</c:v>
                </c:pt>
                <c:pt idx="2191">
                  <c:v>0.76992761711948443</c:v>
                </c:pt>
                <c:pt idx="2192">
                  <c:v>0.76339444900870657</c:v>
                </c:pt>
                <c:pt idx="2193">
                  <c:v>0.75418883454933738</c:v>
                </c:pt>
                <c:pt idx="2194">
                  <c:v>0.74240895312669952</c:v>
                </c:pt>
                <c:pt idx="2195">
                  <c:v>0.7281792578115025</c:v>
                </c:pt>
                <c:pt idx="2196">
                  <c:v>0.71164828702253247</c:v>
                </c:pt>
                <c:pt idx="2197">
                  <c:v>0.6929860846131124</c:v>
                </c:pt>
                <c:pt idx="2198">
                  <c:v>0.67238129100890964</c:v>
                </c:pt>
                <c:pt idx="2199">
                  <c:v>0.65003797490567938</c:v>
                </c:pt>
                <c:pt idx="2200">
                  <c:v>0.62617227978592804</c:v>
                </c:pt>
                <c:pt idx="2201">
                  <c:v>0.60100896203374532</c:v>
                </c:pt>
                <c:pt idx="2202">
                  <c:v>0.57477789769901844</c:v>
                </c:pt>
                <c:pt idx="2203">
                  <c:v>0.54771063304798817</c:v>
                </c:pt>
                <c:pt idx="2204">
                  <c:v>0.52003705007356404</c:v>
                </c:pt>
                <c:pt idx="2205">
                  <c:v>0.49198221233012829</c:v>
                </c:pt>
                <c:pt idx="2206">
                  <c:v>0.46376344906474687</c:v>
                </c:pt>
                <c:pt idx="2207">
                  <c:v>0.43558772694465164</c:v>
                </c:pt>
                <c:pt idx="2208">
                  <c:v>0.40764934906534384</c:v>
                </c:pt>
                <c:pt idx="2209">
                  <c:v>0.38012801071616109</c:v>
                </c:pt>
                <c:pt idx="2210">
                  <c:v>0.35318723093427495</c:v>
                </c:pt>
                <c:pt idx="2211">
                  <c:v>0.32697316853513053</c:v>
                </c:pt>
                <c:pt idx="2212">
                  <c:v>0.30161382138473608</c:v>
                </c:pt>
                <c:pt idx="2213">
                  <c:v>0.27721859845911995</c:v>
                </c:pt>
                <c:pt idx="2214">
                  <c:v>0.25387824595790709</c:v>
                </c:pt>
                <c:pt idx="2215">
                  <c:v>0.23166510159165946</c:v>
                </c:pt>
                <c:pt idx="2216">
                  <c:v>0.21063364528299022</c:v>
                </c:pt>
                <c:pt idx="2217">
                  <c:v>0.19082130999153865</c:v>
                </c:pt>
                <c:pt idx="2218">
                  <c:v>0.17224951322197454</c:v>
                </c:pt>
                <c:pt idx="2219">
                  <c:v>0.15492486798146643</c:v>
                </c:pt>
                <c:pt idx="2220">
                  <c:v>0.13884053145306263</c:v>
                </c:pt>
                <c:pt idx="2221">
                  <c:v>0.12397765034051637</c:v>
                </c:pt>
                <c:pt idx="2222">
                  <c:v>0.11030686358342211</c:v>
                </c:pt>
                <c:pt idx="2223">
                  <c:v>9.7789825781687656E-2</c:v>
                </c:pt>
                <c:pt idx="2224">
                  <c:v>8.6380718032942949E-2</c:v>
                </c:pt>
                <c:pt idx="2225">
                  <c:v>7.6027716796521316E-2</c:v>
                </c:pt>
                <c:pt idx="2226">
                  <c:v>6.6674395674565956E-2</c:v>
                </c:pt>
                <c:pt idx="2227">
                  <c:v>5.826103947343781E-2</c:v>
                </c:pt>
                <c:pt idx="2228">
                  <c:v>5.0725854418347767E-2</c:v>
                </c:pt>
                <c:pt idx="2229">
                  <c:v>4.4006062799768146E-2</c:v>
                </c:pt>
                <c:pt idx="2230">
                  <c:v>3.8038874510717011E-2</c:v>
                </c:pt>
                <c:pt idx="2231">
                  <c:v>3.2762331790949908E-2</c:v>
                </c:pt>
                <c:pt idx="2232">
                  <c:v>2.8116026952219215E-2</c:v>
                </c:pt>
                <c:pt idx="2233">
                  <c:v>2.4041695865828518E-2</c:v>
                </c:pt>
                <c:pt idx="2234">
                  <c:v>2.0483692519565971E-2</c:v>
                </c:pt>
                <c:pt idx="2235">
                  <c:v>1.7389351985655936E-2</c:v>
                </c:pt>
                <c:pt idx="2236">
                  <c:v>1.4709250692379034E-2</c:v>
                </c:pt>
                <c:pt idx="2237">
                  <c:v>1.239737398215782E-2</c:v>
                </c:pt>
                <c:pt idx="2238">
                  <c:v>1.041120160296023E-2</c:v>
                </c:pt>
                <c:pt idx="2239">
                  <c:v>8.7117220615574968E-3</c:v>
                </c:pt>
                <c:pt idx="2240">
                  <c:v>7.2633867163206193E-3</c:v>
                </c:pt>
                <c:pt idx="2241">
                  <c:v>6.034014156974573E-3</c:v>
                </c:pt>
                <c:pt idx="2242">
                  <c:v>4.9946548630973517E-3</c:v>
                </c:pt>
                <c:pt idx="2243">
                  <c:v>4.1194254049607588E-3</c:v>
                </c:pt>
                <c:pt idx="2244">
                  <c:v>3.3853205994651306E-3</c:v>
                </c:pt>
                <c:pt idx="2245">
                  <c:v>2.7720111060579632E-3</c:v>
                </c:pt>
                <c:pt idx="2246">
                  <c:v>2.261632983114506E-3</c:v>
                </c:pt>
                <c:pt idx="2247">
                  <c:v>1.8385747590073959E-3</c:v>
                </c:pt>
                <c:pt idx="2248">
                  <c:v>1.4892666326998363E-3</c:v>
                </c:pt>
                <c:pt idx="2249">
                  <c:v>1.2019755288943687E-3</c:v>
                </c:pt>
                <c:pt idx="2250">
                  <c:v>9.6660890955983466E-4</c:v>
                </c:pt>
                <c:pt idx="2251">
                  <c:v>7.7452949876881502E-4</c:v>
                </c:pt>
                <c:pt idx="2252">
                  <c:v>6.183824181993096E-4</c:v>
                </c:pt>
                <c:pt idx="2253">
                  <c:v>4.9193565930053559E-4</c:v>
                </c:pt>
                <c:pt idx="2254">
                  <c:v>3.8993433449179915E-4</c:v>
                </c:pt>
                <c:pt idx="2255">
                  <c:v>3.0796875062598936E-4</c:v>
                </c:pt>
                <c:pt idx="2256">
                  <c:v>2.4235602799341731E-4</c:v>
                </c:pt>
                <c:pt idx="2257">
                  <c:v>1.9003474058053448E-4</c:v>
                </c:pt>
                <c:pt idx="2258">
                  <c:v>1.4847187040598241E-4</c:v>
                </c:pt>
                <c:pt idx="2259">
                  <c:v>1.1558124233375188E-4</c:v>
                </c:pt>
                <c:pt idx="2260">
                  <c:v>8.9652527524949424E-5</c:v>
                </c:pt>
                <c:pt idx="2261">
                  <c:v>6.9289865572613672E-5</c:v>
                </c:pt>
                <c:pt idx="2262">
                  <c:v>5.3359149763562854E-5</c:v>
                </c:pt>
                <c:pt idx="2263">
                  <c:v>4.0943039846814993E-5</c:v>
                </c:pt>
                <c:pt idx="2264">
                  <c:v>3.13028059111742E-5</c:v>
                </c:pt>
                <c:pt idx="2265">
                  <c:v>2.3846160022962974E-5</c:v>
                </c:pt>
                <c:pt idx="2266">
                  <c:v>1.8100294486645728E-5</c:v>
                </c:pt>
                <c:pt idx="2267">
                  <c:v>1.3689413083627024E-5</c:v>
                </c:pt>
                <c:pt idx="2268">
                  <c:v>1.0316111269975473E-5</c:v>
                </c:pt>
                <c:pt idx="2269">
                  <c:v>7.7460305963330081E-6</c:v>
                </c:pt>
                <c:pt idx="2270">
                  <c:v>5.7952796760521414E-6</c:v>
                </c:pt>
                <c:pt idx="2271">
                  <c:v>4.3201775144808878E-6</c:v>
                </c:pt>
                <c:pt idx="2272">
                  <c:v>3.2089340087716945E-6</c:v>
                </c:pt>
                <c:pt idx="2273">
                  <c:v>2.3749363842410293E-6</c:v>
                </c:pt>
                <c:pt idx="2274">
                  <c:v>1.7513589945518743E-6</c:v>
                </c:pt>
                <c:pt idx="2275">
                  <c:v>1.2868572524334154E-6</c:v>
                </c:pt>
                <c:pt idx="2276">
                  <c:v>9.4214462109528128E-7</c:v>
                </c:pt>
                <c:pt idx="2277">
                  <c:v>6.8728485305291391E-7</c:v>
                </c:pt>
                <c:pt idx="2278">
                  <c:v>4.9956036418786297E-7</c:v>
                </c:pt>
                <c:pt idx="2279">
                  <c:v>3.6180217688271143E-7</c:v>
                </c:pt>
                <c:pt idx="2280">
                  <c:v>2.6108767978486768E-7</c:v>
                </c:pt>
                <c:pt idx="2281">
                  <c:v>1.8772995808984524E-7</c:v>
                </c:pt>
                <c:pt idx="2282">
                  <c:v>1.3449705927540624E-7</c:v>
                </c:pt>
                <c:pt idx="2283">
                  <c:v>9.6011663756575183E-8</c:v>
                </c:pt>
                <c:pt idx="2284">
                  <c:v>6.8291586718392592E-8</c:v>
                </c:pt>
                <c:pt idx="2285">
                  <c:v>4.8399671337088263E-8</c:v>
                </c:pt>
                <c:pt idx="2286">
                  <c:v>3.4178234312794734E-8</c:v>
                </c:pt>
                <c:pt idx="2287">
                  <c:v>2.4048546589675952E-8</c:v>
                </c:pt>
                <c:pt idx="2288">
                  <c:v>1.6860096145667857E-8</c:v>
                </c:pt>
                <c:pt idx="2289">
                  <c:v>1.177777519770725E-8</c:v>
                </c:pt>
                <c:pt idx="2290">
                  <c:v>8.1978218387292691E-9</c:v>
                </c:pt>
                <c:pt idx="2291">
                  <c:v>5.6854610920322074E-9</c:v>
                </c:pt>
                <c:pt idx="2292">
                  <c:v>3.9288451239451452E-9</c:v>
                </c:pt>
                <c:pt idx="2293">
                  <c:v>2.705179749164492E-9</c:v>
                </c:pt>
                <c:pt idx="2294">
                  <c:v>1.8559204079100069E-9</c:v>
                </c:pt>
                <c:pt idx="2295">
                  <c:v>1.2686872291651108E-9</c:v>
                </c:pt>
                <c:pt idx="2296">
                  <c:v>8.641353870975771E-10</c:v>
                </c:pt>
                <c:pt idx="2297">
                  <c:v>5.8646353449194628E-10</c:v>
                </c:pt>
                <c:pt idx="2298">
                  <c:v>3.9658130527239229E-10</c:v>
                </c:pt>
                <c:pt idx="2299">
                  <c:v>2.6721169592394953E-10</c:v>
                </c:pt>
                <c:pt idx="2300">
                  <c:v>1.7939514692257165E-10</c:v>
                </c:pt>
                <c:pt idx="2301">
                  <c:v>1.2000460673427901E-10</c:v>
                </c:pt>
                <c:pt idx="2302">
                  <c:v>7.9986583529794459E-11</c:v>
                </c:pt>
                <c:pt idx="2303">
                  <c:v>5.3121261194301777E-11</c:v>
                </c:pt>
                <c:pt idx="2304">
                  <c:v>3.5152127018667194E-11</c:v>
                </c:pt>
                <c:pt idx="2305">
                  <c:v>2.3177513434383268E-11</c:v>
                </c:pt>
                <c:pt idx="2306">
                  <c:v>1.5226990447102637E-11</c:v>
                </c:pt>
                <c:pt idx="2307">
                  <c:v>9.9676621711988442E-12</c:v>
                </c:pt>
                <c:pt idx="2308">
                  <c:v>6.5013649623675947E-12</c:v>
                </c:pt>
                <c:pt idx="2309">
                  <c:v>4.2252049870468337E-12</c:v>
                </c:pt>
                <c:pt idx="2310">
                  <c:v>2.7360436532514323E-12</c:v>
                </c:pt>
                <c:pt idx="2311">
                  <c:v>1.7653477236421209E-12</c:v>
                </c:pt>
                <c:pt idx="2312">
                  <c:v>1.1349311151571997E-12</c:v>
                </c:pt>
                <c:pt idx="2313">
                  <c:v>7.2701060292719094E-13</c:v>
                </c:pt>
                <c:pt idx="2314">
                  <c:v>4.6402778715472634E-13</c:v>
                </c:pt>
                <c:pt idx="2315">
                  <c:v>2.9510681054305735E-13</c:v>
                </c:pt>
                <c:pt idx="2316">
                  <c:v>1.8700209754905712E-13</c:v>
                </c:pt>
                <c:pt idx="2317">
                  <c:v>1.1807167509227242E-13</c:v>
                </c:pt>
                <c:pt idx="2318">
                  <c:v>7.4280868439670876E-14</c:v>
                </c:pt>
                <c:pt idx="2319">
                  <c:v>4.656292152021027E-14</c:v>
                </c:pt>
                <c:pt idx="2320">
                  <c:v>2.9082750124755592E-14</c:v>
                </c:pt>
                <c:pt idx="2321">
                  <c:v>1.80993393714928E-14</c:v>
                </c:pt>
                <c:pt idx="2322">
                  <c:v>1.1223336286947096E-14</c:v>
                </c:pt>
                <c:pt idx="2323">
                  <c:v>6.934469299088017E-15</c:v>
                </c:pt>
                <c:pt idx="2324">
                  <c:v>4.2691015415106667E-15</c:v>
                </c:pt>
                <c:pt idx="2325">
                  <c:v>2.6187361345776994E-15</c:v>
                </c:pt>
                <c:pt idx="2326">
                  <c:v>1.6005859420868905E-15</c:v>
                </c:pt>
                <c:pt idx="2327">
                  <c:v>9.7476125103844018E-16</c:v>
                </c:pt>
                <c:pt idx="2328">
                  <c:v>5.9149287331741131E-16</c:v>
                </c:pt>
                <c:pt idx="2329">
                  <c:v>3.5762904023361655E-16</c:v>
                </c:pt>
                <c:pt idx="2330">
                  <c:v>2.1545076437140993E-16</c:v>
                </c:pt>
                <c:pt idx="2331">
                  <c:v>1.2932881622692014E-16</c:v>
                </c:pt>
                <c:pt idx="2332">
                  <c:v>7.7352537813667861E-17</c:v>
                </c:pt>
                <c:pt idx="2333">
                  <c:v>4.6098397912079322E-17</c:v>
                </c:pt>
                <c:pt idx="2334">
                  <c:v>2.7373422398974551E-17</c:v>
                </c:pt>
                <c:pt idx="2335">
                  <c:v>1.6195873163024101E-17</c:v>
                </c:pt>
                <c:pt idx="2336">
                  <c:v>9.5479829770395664E-18</c:v>
                </c:pt>
                <c:pt idx="2337">
                  <c:v>5.6085540078812933E-18</c:v>
                </c:pt>
                <c:pt idx="2338">
                  <c:v>3.2826318406642527E-18</c:v>
                </c:pt>
                <c:pt idx="2339">
                  <c:v>1.9143681066756655E-18</c:v>
                </c:pt>
                <c:pt idx="2340">
                  <c:v>1.1123993440815791E-18</c:v>
                </c:pt>
                <c:pt idx="2341">
                  <c:v>6.4406247866439652E-19</c:v>
                </c:pt>
                <c:pt idx="2342">
                  <c:v>3.715585635377788E-19</c:v>
                </c:pt>
                <c:pt idx="2343">
                  <c:v>2.135790018455232E-19</c:v>
                </c:pt>
                <c:pt idx="2344">
                  <c:v>1.2232686084647615E-19</c:v>
                </c:pt>
                <c:pt idx="2345">
                  <c:v>6.9809915234133974E-20</c:v>
                </c:pt>
                <c:pt idx="2346">
                  <c:v>3.969578470724648E-20</c:v>
                </c:pt>
                <c:pt idx="2347">
                  <c:v>2.2490736297774047E-20</c:v>
                </c:pt>
                <c:pt idx="2348">
                  <c:v>1.2696819823997189E-20</c:v>
                </c:pt>
                <c:pt idx="2349">
                  <c:v>7.1419736094637019E-21</c:v>
                </c:pt>
                <c:pt idx="2350">
                  <c:v>4.0028888094831858E-21</c:v>
                </c:pt>
                <c:pt idx="2351">
                  <c:v>2.2354286533662892E-21</c:v>
                </c:pt>
                <c:pt idx="2352">
                  <c:v>1.2438846292264787E-21</c:v>
                </c:pt>
                <c:pt idx="2353">
                  <c:v>6.8965420779176062E-22</c:v>
                </c:pt>
                <c:pt idx="2354">
                  <c:v>3.8099096836105872E-22</c:v>
                </c:pt>
                <c:pt idx="2355">
                  <c:v>2.0971523044355351E-22</c:v>
                </c:pt>
                <c:pt idx="2356">
                  <c:v>1.1502103324513309E-22</c:v>
                </c:pt>
                <c:pt idx="2357">
                  <c:v>6.2857421020906523E-23</c:v>
                </c:pt>
                <c:pt idx="2358">
                  <c:v>3.4226922644888053E-23</c:v>
                </c:pt>
                <c:pt idx="2359">
                  <c:v>1.8569967747188585E-23</c:v>
                </c:pt>
                <c:pt idx="2360">
                  <c:v>1.0038907364887964E-23</c:v>
                </c:pt>
                <c:pt idx="2361">
                  <c:v>5.4074653498426089E-24</c:v>
                </c:pt>
                <c:pt idx="2362">
                  <c:v>2.9022381384127135E-24</c:v>
                </c:pt>
                <c:pt idx="2363">
                  <c:v>1.5520451310857259E-24</c:v>
                </c:pt>
                <c:pt idx="2364">
                  <c:v>8.270040716094479E-25</c:v>
                </c:pt>
                <c:pt idx="2365">
                  <c:v>4.3907928761766245E-25</c:v>
                </c:pt>
                <c:pt idx="2366">
                  <c:v>2.3227916452922929E-25</c:v>
                </c:pt>
                <c:pt idx="2367">
                  <c:v>1.2243612069365149E-25</c:v>
                </c:pt>
                <c:pt idx="2368">
                  <c:v>6.4304426234315917E-26</c:v>
                </c:pt>
                <c:pt idx="2369">
                  <c:v>3.3651480469819851E-26</c:v>
                </c:pt>
                <c:pt idx="2370">
                  <c:v>1.7546862968128068E-26</c:v>
                </c:pt>
                <c:pt idx="2371">
                  <c:v>9.116471838174486E-27</c:v>
                </c:pt>
                <c:pt idx="2372">
                  <c:v>4.7193925882077414E-27</c:v>
                </c:pt>
                <c:pt idx="2373">
                  <c:v>2.4343186073152664E-27</c:v>
                </c:pt>
                <c:pt idx="2374">
                  <c:v>1.2511250871366653E-27</c:v>
                </c:pt>
                <c:pt idx="2375">
                  <c:v>6.4070195245767933E-28</c:v>
                </c:pt>
                <c:pt idx="2376">
                  <c:v>3.2692141017022802E-28</c:v>
                </c:pt>
                <c:pt idx="2377">
                  <c:v>1.6621211694034338E-28</c:v>
                </c:pt>
                <c:pt idx="2378">
                  <c:v>8.4200369889472912E-29</c:v>
                </c:pt>
                <c:pt idx="2379">
                  <c:v>4.2500820948991285E-29</c:v>
                </c:pt>
                <c:pt idx="2380">
                  <c:v>2.1375320726062824E-29</c:v>
                </c:pt>
                <c:pt idx="2381">
                  <c:v>1.0711738497340964E-29</c:v>
                </c:pt>
                <c:pt idx="2382">
                  <c:v>5.3485897165779927E-30</c:v>
                </c:pt>
                <c:pt idx="2383">
                  <c:v>2.661035138414957E-30</c:v>
                </c:pt>
                <c:pt idx="2384">
                  <c:v>1.3191492500168263E-30</c:v>
                </c:pt>
                <c:pt idx="2385">
                  <c:v>6.5158227487313327E-31</c:v>
                </c:pt>
                <c:pt idx="2386">
                  <c:v>3.2068348121133344E-31</c:v>
                </c:pt>
                <c:pt idx="2387">
                  <c:v>1.5725914804508973E-31</c:v>
                </c:pt>
                <c:pt idx="2388">
                  <c:v>7.6839980994473269E-32</c:v>
                </c:pt>
                <c:pt idx="2389">
                  <c:v>3.7410247392730281E-32</c:v>
                </c:pt>
                <c:pt idx="2390">
                  <c:v>1.8147880579602614E-32</c:v>
                </c:pt>
                <c:pt idx="2391">
                  <c:v>8.7718914051994466E-33</c:v>
                </c:pt>
                <c:pt idx="2392">
                  <c:v>4.2246679643652326E-33</c:v>
                </c:pt>
                <c:pt idx="2393">
                  <c:v>2.0273275285478882E-33</c:v>
                </c:pt>
                <c:pt idx="2394">
                  <c:v>9.69364821200609E-34</c:v>
                </c:pt>
                <c:pt idx="2395">
                  <c:v>4.6183048122031026E-34</c:v>
                </c:pt>
                <c:pt idx="2396">
                  <c:v>2.1923502233693178E-34</c:v>
                </c:pt>
                <c:pt idx="2397">
                  <c:v>1.0369773579289972E-34</c:v>
                </c:pt>
                <c:pt idx="2398">
                  <c:v>4.8872056680398143E-35</c:v>
                </c:pt>
                <c:pt idx="2399">
                  <c:v>2.295006706510356E-35</c:v>
                </c:pt>
                <c:pt idx="2400">
                  <c:v>1.0738393228685852E-35</c:v>
                </c:pt>
                <c:pt idx="2401">
                  <c:v>5.0064127155849212E-36</c:v>
                </c:pt>
                <c:pt idx="2402">
                  <c:v>2.3256587802575928E-36</c:v>
                </c:pt>
                <c:pt idx="2403">
                  <c:v>1.0764586289278132E-36</c:v>
                </c:pt>
                <c:pt idx="2404">
                  <c:v>4.9645591847075971E-37</c:v>
                </c:pt>
                <c:pt idx="2405">
                  <c:v>2.2813716622145709E-37</c:v>
                </c:pt>
                <c:pt idx="2406">
                  <c:v>1.0445840593935145E-37</c:v>
                </c:pt>
                <c:pt idx="2407">
                  <c:v>4.7656566176794019E-38</c:v>
                </c:pt>
                <c:pt idx="2408">
                  <c:v>2.1663773204434962E-38</c:v>
                </c:pt>
                <c:pt idx="2409">
                  <c:v>9.812449968372086E-39</c:v>
                </c:pt>
                <c:pt idx="2410">
                  <c:v>4.4284608689619828E-39</c:v>
                </c:pt>
                <c:pt idx="2411">
                  <c:v>1.9914076391636714E-39</c:v>
                </c:pt>
                <c:pt idx="2412">
                  <c:v>8.9227664827571755E-40</c:v>
                </c:pt>
                <c:pt idx="2413">
                  <c:v>3.9835556340957914E-40</c:v>
                </c:pt>
                <c:pt idx="2414">
                  <c:v>1.7720429653811304E-40</c:v>
                </c:pt>
                <c:pt idx="2415">
                  <c:v>7.8543384179416021E-41</c:v>
                </c:pt>
                <c:pt idx="2416">
                  <c:v>3.4687817278726302E-41</c:v>
                </c:pt>
                <c:pt idx="2417">
                  <c:v>1.526428046671093E-41</c:v>
                </c:pt>
                <c:pt idx="2418">
                  <c:v>6.6927977726011554E-42</c:v>
                </c:pt>
                <c:pt idx="2419">
                  <c:v>2.923957591392496E-42</c:v>
                </c:pt>
                <c:pt idx="2420">
                  <c:v>1.2728183776458223E-42</c:v>
                </c:pt>
                <c:pt idx="2421">
                  <c:v>5.5206956588565158E-43</c:v>
                </c:pt>
                <c:pt idx="2422">
                  <c:v>2.3859051606007149E-43</c:v>
                </c:pt>
                <c:pt idx="2423">
                  <c:v>1.0274117966092057E-43</c:v>
                </c:pt>
                <c:pt idx="2424">
                  <c:v>4.408267299509543E-44</c:v>
                </c:pt>
                <c:pt idx="2425">
                  <c:v>1.8846178242610478E-44</c:v>
                </c:pt>
                <c:pt idx="2426">
                  <c:v>8.0280611004078177E-45</c:v>
                </c:pt>
                <c:pt idx="2427">
                  <c:v>3.4074543423318668E-45</c:v>
                </c:pt>
                <c:pt idx="2428">
                  <c:v>1.4410578733165705E-45</c:v>
                </c:pt>
                <c:pt idx="2429">
                  <c:v>6.0724619334392203E-46</c:v>
                </c:pt>
                <c:pt idx="2430">
                  <c:v>2.549647730059612E-46</c:v>
                </c:pt>
                <c:pt idx="2431">
                  <c:v>1.0666638123302316E-46</c:v>
                </c:pt>
                <c:pt idx="2432">
                  <c:v>4.4463837622416363E-47</c:v>
                </c:pt>
                <c:pt idx="2433">
                  <c:v>1.8467934543338763E-47</c:v>
                </c:pt>
                <c:pt idx="2434">
                  <c:v>7.6429621866301938E-48</c:v>
                </c:pt>
                <c:pt idx="2435">
                  <c:v>3.1516435748824414E-48</c:v>
                </c:pt>
                <c:pt idx="2436">
                  <c:v>1.2949246053098806E-48</c:v>
                </c:pt>
                <c:pt idx="2437">
                  <c:v>5.3013181805581386E-49</c:v>
                </c:pt>
                <c:pt idx="2438">
                  <c:v>2.1624957371529792E-49</c:v>
                </c:pt>
                <c:pt idx="2439">
                  <c:v>8.7893882791150474E-50</c:v>
                </c:pt>
                <c:pt idx="2440">
                  <c:v>3.5595413440984282E-50</c:v>
                </c:pt>
                <c:pt idx="2441">
                  <c:v>1.4363538215302673E-50</c:v>
                </c:pt>
                <c:pt idx="2442">
                  <c:v>5.7751175422587584E-51</c:v>
                </c:pt>
                <c:pt idx="2443">
                  <c:v>2.3136210281369639E-51</c:v>
                </c:pt>
                <c:pt idx="2444">
                  <c:v>9.2353980603361014E-52</c:v>
                </c:pt>
                <c:pt idx="2445">
                  <c:v>3.6732544739754949E-52</c:v>
                </c:pt>
                <c:pt idx="2446">
                  <c:v>1.4557218968726013E-52</c:v>
                </c:pt>
                <c:pt idx="2447">
                  <c:v>5.748278673065677E-53</c:v>
                </c:pt>
                <c:pt idx="2448">
                  <c:v>2.2616698841284619E-53</c:v>
                </c:pt>
                <c:pt idx="2449">
                  <c:v>8.8665081393501823E-54</c:v>
                </c:pt>
                <c:pt idx="2450">
                  <c:v>3.463442805831168E-54</c:v>
                </c:pt>
                <c:pt idx="2451">
                  <c:v>1.3480171719267876E-54</c:v>
                </c:pt>
                <c:pt idx="2452">
                  <c:v>5.2277502331764642E-55</c:v>
                </c:pt>
                <c:pt idx="2453">
                  <c:v>2.0200691522979062E-55</c:v>
                </c:pt>
                <c:pt idx="2454">
                  <c:v>7.7776723666642863E-56</c:v>
                </c:pt>
                <c:pt idx="2455">
                  <c:v>2.9837680114818228E-56</c:v>
                </c:pt>
                <c:pt idx="2456">
                  <c:v>1.1405451021145678E-56</c:v>
                </c:pt>
                <c:pt idx="2457">
                  <c:v>4.3440205915423857E-57</c:v>
                </c:pt>
                <c:pt idx="2458">
                  <c:v>1.6485544188352089E-57</c:v>
                </c:pt>
                <c:pt idx="2459">
                  <c:v>6.2337115364220668E-58</c:v>
                </c:pt>
                <c:pt idx="2460">
                  <c:v>2.3486706270348152E-58</c:v>
                </c:pt>
                <c:pt idx="2461">
                  <c:v>8.8171764604924203E-59</c:v>
                </c:pt>
                <c:pt idx="2462">
                  <c:v>3.2981389602747238E-59</c:v>
                </c:pt>
                <c:pt idx="2463">
                  <c:v>1.2292504281747708E-59</c:v>
                </c:pt>
                <c:pt idx="2464">
                  <c:v>4.5650315969072821E-60</c:v>
                </c:pt>
                <c:pt idx="2465">
                  <c:v>1.6891927495272951E-60</c:v>
                </c:pt>
                <c:pt idx="2466">
                  <c:v>6.2279717022538326E-61</c:v>
                </c:pt>
                <c:pt idx="2467">
                  <c:v>2.2879474946897311E-61</c:v>
                </c:pt>
                <c:pt idx="2468">
                  <c:v>8.3748585013405211E-62</c:v>
                </c:pt>
                <c:pt idx="2469">
                  <c:v>3.0545054445391325E-62</c:v>
                </c:pt>
                <c:pt idx="2470">
                  <c:v>1.1100341251370227E-62</c:v>
                </c:pt>
                <c:pt idx="2471">
                  <c:v>4.019423414607873E-63</c:v>
                </c:pt>
                <c:pt idx="2472">
                  <c:v>1.4501842601921577E-63</c:v>
                </c:pt>
                <c:pt idx="2473">
                  <c:v>5.2133228096704019E-64</c:v>
                </c:pt>
                <c:pt idx="2474">
                  <c:v>1.8674029851346229E-64</c:v>
                </c:pt>
                <c:pt idx="2475">
                  <c:v>6.6648975999897333E-65</c:v>
                </c:pt>
                <c:pt idx="2476">
                  <c:v>2.3701777397516089E-65</c:v>
                </c:pt>
                <c:pt idx="2477">
                  <c:v>8.3984733780788036E-66</c:v>
                </c:pt>
                <c:pt idx="2478">
                  <c:v>2.9651849419585266E-66</c:v>
                </c:pt>
                <c:pt idx="2479">
                  <c:v>1.0431222840043352E-66</c:v>
                </c:pt>
                <c:pt idx="2480">
                  <c:v>3.6563744176694468E-67</c:v>
                </c:pt>
                <c:pt idx="2481">
                  <c:v>1.2770211829043691E-67</c:v>
                </c:pt>
                <c:pt idx="2482">
                  <c:v>4.4440357307281685E-68</c:v>
                </c:pt>
                <c:pt idx="2483">
                  <c:v>1.5409515500899072E-68</c:v>
                </c:pt>
                <c:pt idx="2484">
                  <c:v>5.3239311096887951E-69</c:v>
                </c:pt>
                <c:pt idx="2485">
                  <c:v>1.8327695951903631E-69</c:v>
                </c:pt>
                <c:pt idx="2486">
                  <c:v>6.2865925999326437E-70</c:v>
                </c:pt>
                <c:pt idx="2487">
                  <c:v>2.1485960038303178E-70</c:v>
                </c:pt>
                <c:pt idx="2488">
                  <c:v>7.3168847008895727E-71</c:v>
                </c:pt>
                <c:pt idx="2489">
                  <c:v>2.4827309630490573E-71</c:v>
                </c:pt>
                <c:pt idx="2490">
                  <c:v>8.3939255074323321E-72</c:v>
                </c:pt>
                <c:pt idx="2491">
                  <c:v>2.8276949881143204E-72</c:v>
                </c:pt>
                <c:pt idx="2492">
                  <c:v>9.4914379879218832E-73</c:v>
                </c:pt>
                <c:pt idx="2493">
                  <c:v>3.1744132875075456E-73</c:v>
                </c:pt>
                <c:pt idx="2494">
                  <c:v>1.0578569002784088E-73</c:v>
                </c:pt>
                <c:pt idx="2495">
                  <c:v>3.5125489027352336E-74</c:v>
                </c:pt>
                <c:pt idx="2496">
                  <c:v>1.1621169525921255E-74</c:v>
                </c:pt>
                <c:pt idx="2497">
                  <c:v>3.8309747981460575E-75</c:v>
                </c:pt>
                <c:pt idx="2498">
                  <c:v>1.2583479751492706E-75</c:v>
                </c:pt>
                <c:pt idx="2499">
                  <c:v>4.1183591302362269E-76</c:v>
                </c:pt>
                <c:pt idx="2500">
                  <c:v>1.3430113326091124E-76</c:v>
                </c:pt>
                <c:pt idx="2501">
                  <c:v>4.3638231359189574E-77</c:v>
                </c:pt>
                <c:pt idx="2502">
                  <c:v>1.412819253749288E-77</c:v>
                </c:pt>
                <c:pt idx="2503">
                  <c:v>4.5576195595462584E-78</c:v>
                </c:pt>
                <c:pt idx="2504">
                  <c:v>1.464945732396822E-78</c:v>
                </c:pt>
                <c:pt idx="2505">
                  <c:v>4.6917731415515387E-79</c:v>
                </c:pt>
                <c:pt idx="2506">
                  <c:v>1.4972160490645258E-79</c:v>
                </c:pt>
                <c:pt idx="2507">
                  <c:v>4.7606246825377121E-80</c:v>
                </c:pt>
                <c:pt idx="2508">
                  <c:v>1.5082572282944796E-80</c:v>
                </c:pt>
                <c:pt idx="2509">
                  <c:v>4.7612270016406949E-81</c:v>
                </c:pt>
                <c:pt idx="2510">
                  <c:v>1.4975949316421365E-81</c:v>
                </c:pt>
                <c:pt idx="2511">
                  <c:v>4.6935541906788522E-82</c:v>
                </c:pt>
                <c:pt idx="2512">
                  <c:v>1.4656872588381436E-82</c:v>
                </c:pt>
                <c:pt idx="2513">
                  <c:v>4.5605034626370134E-83</c:v>
                </c:pt>
                <c:pt idx="2514">
                  <c:v>1.4138921010633473E-83</c:v>
                </c:pt>
                <c:pt idx="2515">
                  <c:v>4.3676894107230887E-84</c:v>
                </c:pt>
                <c:pt idx="2516">
                  <c:v>1.3443712880516474E-84</c:v>
                </c:pt>
                <c:pt idx="2517">
                  <c:v>4.1230510353087535E-85</c:v>
                </c:pt>
                <c:pt idx="2518">
                  <c:v>1.259940956619264E-85</c:v>
                </c:pt>
                <c:pt idx="2519">
                  <c:v>3.8363098596153364E-86</c:v>
                </c:pt>
                <c:pt idx="2520">
                  <c:v>1.163882567587774E-86</c:v>
                </c:pt>
                <c:pt idx="2521">
                  <c:v>3.5183306371297239E-87</c:v>
                </c:pt>
                <c:pt idx="2522">
                  <c:v>1.0597322179407459E-87</c:v>
                </c:pt>
                <c:pt idx="2523">
                  <c:v>3.1804430761972825E-88</c:v>
                </c:pt>
                <c:pt idx="2524">
                  <c:v>9.510670093903296E-89</c:v>
                </c:pt>
                <c:pt idx="2525">
                  <c:v>2.8337831166272766E-89</c:v>
                </c:pt>
                <c:pt idx="2526">
                  <c:v>8.4130622240475566E-90</c:v>
                </c:pt>
                <c:pt idx="2527">
                  <c:v>2.4887059994310749E-90</c:v>
                </c:pt>
                <c:pt idx="2528">
                  <c:v>7.3354217663251468E-91</c:v>
                </c:pt>
                <c:pt idx="2529">
                  <c:v>2.1543119261498898E-91</c:v>
                </c:pt>
                <c:pt idx="2530">
                  <c:v>6.3041143605167483E-92</c:v>
                </c:pt>
                <c:pt idx="2531">
                  <c:v>1.8381103536439572E-92</c:v>
                </c:pt>
                <c:pt idx="2532">
                  <c:v>5.3401207941164514E-93</c:v>
                </c:pt>
                <c:pt idx="2533">
                  <c:v>1.545833026483879E-93</c:v>
                </c:pt>
                <c:pt idx="2534">
                  <c:v>4.4586777366286724E-94</c:v>
                </c:pt>
                <c:pt idx="2535">
                  <c:v>1.2813907563166752E-94</c:v>
                </c:pt>
                <c:pt idx="2536">
                  <c:v>3.6693495966034491E-95</c:v>
                </c:pt>
                <c:pt idx="2537">
                  <c:v>1.0469564010996799E-95</c:v>
                </c:pt>
                <c:pt idx="2538">
                  <c:v>2.9764603607361986E-96</c:v>
                </c:pt>
                <c:pt idx="2539">
                  <c:v>8.4314760554286555E-97</c:v>
                </c:pt>
                <c:pt idx="2540">
                  <c:v>2.3797926561697454E-97</c:v>
                </c:pt>
                <c:pt idx="2541">
                  <c:v>6.6927812441567853E-98</c:v>
                </c:pt>
                <c:pt idx="2542">
                  <c:v>1.8754528125222723E-98</c:v>
                </c:pt>
                <c:pt idx="2543">
                  <c:v>5.2364583557994608E-99</c:v>
                </c:pt>
                <c:pt idx="2544">
                  <c:v>1.456804142593237E-99</c:v>
                </c:pt>
                <c:pt idx="2545">
                  <c:v>4.038282366898704E-100</c:v>
                </c:pt>
                <c:pt idx="2546">
                  <c:v>1.1153834564905924E-100</c:v>
                </c:pt>
                <c:pt idx="2547">
                  <c:v>3.069613639422215E-101</c:v>
                </c:pt>
                <c:pt idx="2548">
                  <c:v>8.417347063237047E-102</c:v>
                </c:pt>
                <c:pt idx="2549">
                  <c:v>2.2998459879335329E-102</c:v>
                </c:pt>
                <c:pt idx="2550">
                  <c:v>6.2611523969784323E-103</c:v>
                </c:pt>
                <c:pt idx="2551">
                  <c:v>1.6984070997410036E-103</c:v>
                </c:pt>
                <c:pt idx="2552">
                  <c:v>4.5905140370010156E-104</c:v>
                </c:pt>
                <c:pt idx="2553">
                  <c:v>1.2362686150372066E-104</c:v>
                </c:pt>
                <c:pt idx="2554">
                  <c:v>3.3173887648585674E-105</c:v>
                </c:pt>
                <c:pt idx="2555">
                  <c:v>8.8697605590147003E-106</c:v>
                </c:pt>
                <c:pt idx="2556">
                  <c:v>2.3629766163312201E-106</c:v>
                </c:pt>
                <c:pt idx="2557">
                  <c:v>6.2724752006970733E-107</c:v>
                </c:pt>
                <c:pt idx="2558">
                  <c:v>1.6590156508634283E-107</c:v>
                </c:pt>
                <c:pt idx="2559">
                  <c:v>4.3721395412620998E-108</c:v>
                </c:pt>
                <c:pt idx="2560">
                  <c:v>1.148073114988245E-108</c:v>
                </c:pt>
                <c:pt idx="2561">
                  <c:v>3.0038419676367336E-109</c:v>
                </c:pt>
                <c:pt idx="2562">
                  <c:v>7.8309890291155643E-110</c:v>
                </c:pt>
                <c:pt idx="2563">
                  <c:v>2.0341742461665928E-110</c:v>
                </c:pt>
                <c:pt idx="2564">
                  <c:v>5.2649189369439917E-111</c:v>
                </c:pt>
                <c:pt idx="2565">
                  <c:v>1.3577731843232297E-111</c:v>
                </c:pt>
                <c:pt idx="2566">
                  <c:v>3.4889501699807684E-112</c:v>
                </c:pt>
                <c:pt idx="2567">
                  <c:v>8.9329377493969182E-113</c:v>
                </c:pt>
                <c:pt idx="2568">
                  <c:v>2.2789030491300794E-113</c:v>
                </c:pt>
                <c:pt idx="2569">
                  <c:v>5.7928114458744599E-114</c:v>
                </c:pt>
                <c:pt idx="2570">
                  <c:v>1.4671851979618062E-114</c:v>
                </c:pt>
                <c:pt idx="2571">
                  <c:v>3.7026484725776707E-115</c:v>
                </c:pt>
                <c:pt idx="2572">
                  <c:v>9.3104790874521018E-116</c:v>
                </c:pt>
                <c:pt idx="2573">
                  <c:v>2.3327251773293893E-116</c:v>
                </c:pt>
                <c:pt idx="2574">
                  <c:v>5.8235408436056129E-117</c:v>
                </c:pt>
                <c:pt idx="2575">
                  <c:v>1.4485806375927591E-117</c:v>
                </c:pt>
                <c:pt idx="2576">
                  <c:v>3.5902957687909539E-118</c:v>
                </c:pt>
                <c:pt idx="2577">
                  <c:v>8.8664502133661478E-119</c:v>
                </c:pt>
                <c:pt idx="2578">
                  <c:v>2.1817316578009318E-119</c:v>
                </c:pt>
                <c:pt idx="2579">
                  <c:v>5.3491513776441203E-120</c:v>
                </c:pt>
                <c:pt idx="2580">
                  <c:v>1.3067738776841837E-120</c:v>
                </c:pt>
                <c:pt idx="2581">
                  <c:v>3.1808852450040588E-121</c:v>
                </c:pt>
                <c:pt idx="2582">
                  <c:v>7.7148513057531336E-122</c:v>
                </c:pt>
                <c:pt idx="2583">
                  <c:v>1.8644001086111996E-122</c:v>
                </c:pt>
                <c:pt idx="2584">
                  <c:v>4.4893418853201534E-123</c:v>
                </c:pt>
                <c:pt idx="2585">
                  <c:v>1.0771054967932859E-123</c:v>
                </c:pt>
                <c:pt idx="2586">
                  <c:v>2.5749322422162718E-124</c:v>
                </c:pt>
                <c:pt idx="2587">
                  <c:v>6.1334576313831053E-125</c:v>
                </c:pt>
                <c:pt idx="2588">
                  <c:v>1.4557169372967357E-125</c:v>
                </c:pt>
                <c:pt idx="2589">
                  <c:v>3.4425519418006746E-126</c:v>
                </c:pt>
                <c:pt idx="2590">
                  <c:v>8.1117782417251663E-127</c:v>
                </c:pt>
                <c:pt idx="2591">
                  <c:v>1.9045116713238986E-127</c:v>
                </c:pt>
                <c:pt idx="2592">
                  <c:v>4.4553641770736028E-128</c:v>
                </c:pt>
                <c:pt idx="2593">
                  <c:v>1.0385197974293531E-128</c:v>
                </c:pt>
                <c:pt idx="2594">
                  <c:v>2.4120058259736284E-129</c:v>
                </c:pt>
                <c:pt idx="2595">
                  <c:v>5.5817955634310196E-130</c:v>
                </c:pt>
                <c:pt idx="2596">
                  <c:v>1.2870680246193853E-130</c:v>
                </c:pt>
                <c:pt idx="2597">
                  <c:v>2.9570664031729222E-131</c:v>
                </c:pt>
                <c:pt idx="2598">
                  <c:v>6.7694386123849039E-132</c:v>
                </c:pt>
                <c:pt idx="2599">
                  <c:v>1.5441028787554168E-132</c:v>
                </c:pt>
                <c:pt idx="2600">
                  <c:v>3.5093914382528263E-133</c:v>
                </c:pt>
                <c:pt idx="2601">
                  <c:v>7.9472960764409987E-134</c:v>
                </c:pt>
                <c:pt idx="2602">
                  <c:v>1.7932423007307575E-134</c:v>
                </c:pt>
                <c:pt idx="2603">
                  <c:v>4.0317218094597958E-135</c:v>
                </c:pt>
                <c:pt idx="2604">
                  <c:v>9.031796469157139E-136</c:v>
                </c:pt>
                <c:pt idx="2605">
                  <c:v>2.0159962859578039E-136</c:v>
                </c:pt>
                <c:pt idx="2606">
                  <c:v>4.4837079250602637E-137</c:v>
                </c:pt>
                <c:pt idx="2607">
                  <c:v>9.9361216974854128E-138</c:v>
                </c:pt>
                <c:pt idx="2608">
                  <c:v>2.1939589177192636E-138</c:v>
                </c:pt>
                <c:pt idx="2609">
                  <c:v>4.826942008951059E-139</c:v>
                </c:pt>
                <c:pt idx="2610">
                  <c:v>1.0581510629645057E-139</c:v>
                </c:pt>
                <c:pt idx="2611">
                  <c:v>2.3112943893425724E-140</c:v>
                </c:pt>
                <c:pt idx="2612">
                  <c:v>5.03031126055966E-141</c:v>
                </c:pt>
                <c:pt idx="2613">
                  <c:v>1.0908535607286552E-141</c:v>
                </c:pt>
                <c:pt idx="2614">
                  <c:v>2.357056807579093E-142</c:v>
                </c:pt>
                <c:pt idx="2615">
                  <c:v>5.0746447723009102E-143</c:v>
                </c:pt>
                <c:pt idx="2616">
                  <c:v>1.0886123205240197E-143</c:v>
                </c:pt>
                <c:pt idx="2617">
                  <c:v>2.3268738812528587E-144</c:v>
                </c:pt>
                <c:pt idx="2618">
                  <c:v>4.9556935824397522E-145</c:v>
                </c:pt>
                <c:pt idx="2619">
                  <c:v>1.0516423026014325E-145</c:v>
                </c:pt>
                <c:pt idx="2620">
                  <c:v>2.2236357643036516E-146</c:v>
                </c:pt>
                <c:pt idx="2621">
                  <c:v>4.6848021542776287E-147</c:v>
                </c:pt>
                <c:pt idx="2622">
                  <c:v>9.8344677430834172E-148</c:v>
                </c:pt>
                <c:pt idx="2623">
                  <c:v>2.0570387210918972E-148</c:v>
                </c:pt>
                <c:pt idx="2624">
                  <c:v>4.2871242906818452E-149</c:v>
                </c:pt>
                <c:pt idx="2625">
                  <c:v>8.9026988651282571E-150</c:v>
                </c:pt>
                <c:pt idx="2626">
                  <c:v>1.8420834203260929E-150</c:v>
                </c:pt>
                <c:pt idx="2627">
                  <c:v>3.7977721468691778E-151</c:v>
                </c:pt>
                <c:pt idx="2628">
                  <c:v>7.801543197006621E-152</c:v>
                </c:pt>
                <c:pt idx="2629">
                  <c:v>1.5968500314687114E-152</c:v>
                </c:pt>
                <c:pt idx="2630">
                  <c:v>3.2567149367723546E-153</c:v>
                </c:pt>
                <c:pt idx="2631">
                  <c:v>6.6180091314698121E-154</c:v>
                </c:pt>
                <c:pt idx="2632">
                  <c:v>1.3400067290886909E-154</c:v>
                </c:pt>
                <c:pt idx="2633">
                  <c:v>2.7034515928089306E-155</c:v>
                </c:pt>
                <c:pt idx="2634">
                  <c:v>5.4345328364630287E-156</c:v>
                </c:pt>
                <c:pt idx="2635">
                  <c:v>1.0885235714474272E-156</c:v>
                </c:pt>
                <c:pt idx="2636">
                  <c:v>2.1724283407731131E-157</c:v>
                </c:pt>
                <c:pt idx="2637">
                  <c:v>4.320013290262293E-158</c:v>
                </c:pt>
                <c:pt idx="2638">
                  <c:v>8.5596638006297505E-159</c:v>
                </c:pt>
                <c:pt idx="2639">
                  <c:v>1.6898973798295451E-159</c:v>
                </c:pt>
                <c:pt idx="2640">
                  <c:v>3.3242674655251018E-160</c:v>
                </c:pt>
                <c:pt idx="2641">
                  <c:v>6.5157376116728999E-161</c:v>
                </c:pt>
                <c:pt idx="2642">
                  <c:v>1.2725158953579609E-161</c:v>
                </c:pt>
                <c:pt idx="2643">
                  <c:v>2.4762520385475624E-162</c:v>
                </c:pt>
                <c:pt idx="2644">
                  <c:v>4.8012959594140574E-163</c:v>
                </c:pt>
                <c:pt idx="2645">
                  <c:v>9.2758583904517669E-164</c:v>
                </c:pt>
                <c:pt idx="2646">
                  <c:v>1.7855899938110429E-164</c:v>
                </c:pt>
                <c:pt idx="2647">
                  <c:v>3.4248486054828901E-165</c:v>
                </c:pt>
                <c:pt idx="2648">
                  <c:v>6.5453521073861822E-166</c:v>
                </c:pt>
                <c:pt idx="2649">
                  <c:v>1.2463977363709812E-166</c:v>
                </c:pt>
                <c:pt idx="2650">
                  <c:v>2.3648973245614904E-167</c:v>
                </c:pt>
                <c:pt idx="2651">
                  <c:v>4.4709511989023517E-168</c:v>
                </c:pt>
                <c:pt idx="2652">
                  <c:v>8.4220840303163617E-169</c:v>
                </c:pt>
                <c:pt idx="2653">
                  <c:v>1.5807791975193205E-169</c:v>
                </c:pt>
                <c:pt idx="2654">
                  <c:v>2.9563432379660153E-170</c:v>
                </c:pt>
                <c:pt idx="2655">
                  <c:v>5.5089711681255281E-171</c:v>
                </c:pt>
                <c:pt idx="2656">
                  <c:v>1.022864591437076E-171</c:v>
                </c:pt>
                <c:pt idx="2657">
                  <c:v>1.8923339954944639E-172</c:v>
                </c:pt>
                <c:pt idx="2658">
                  <c:v>3.4882647495601062E-173</c:v>
                </c:pt>
                <c:pt idx="2659">
                  <c:v>6.4069758678247579E-174</c:v>
                </c:pt>
                <c:pt idx="2660">
                  <c:v>1.1725428920626276E-174</c:v>
                </c:pt>
                <c:pt idx="2661">
                  <c:v>2.1381412373701824E-175</c:v>
                </c:pt>
                <c:pt idx="2662">
                  <c:v>3.8848659889977101E-176</c:v>
                </c:pt>
                <c:pt idx="2663">
                  <c:v>7.0331146285770167E-177</c:v>
                </c:pt>
                <c:pt idx="2664">
                  <c:v>1.2686778297890157E-177</c:v>
                </c:pt>
                <c:pt idx="2665">
                  <c:v>2.2802738489426559E-178</c:v>
                </c:pt>
                <c:pt idx="2666">
                  <c:v>4.0837078394276602E-179</c:v>
                </c:pt>
                <c:pt idx="2667">
                  <c:v>7.2870931681362533E-180</c:v>
                </c:pt>
                <c:pt idx="2668">
                  <c:v>1.2956448756258965E-180</c:v>
                </c:pt>
                <c:pt idx="2669">
                  <c:v>2.295353833539463E-181</c:v>
                </c:pt>
                <c:pt idx="2670">
                  <c:v>4.051774849425318E-182</c:v>
                </c:pt>
                <c:pt idx="2671">
                  <c:v>7.1264454867731983E-183</c:v>
                </c:pt>
                <c:pt idx="2672">
                  <c:v>1.2489142808578014E-183</c:v>
                </c:pt>
                <c:pt idx="2673">
                  <c:v>2.180842474856344E-184</c:v>
                </c:pt>
                <c:pt idx="2674">
                  <c:v>3.7944423917844128E-185</c:v>
                </c:pt>
                <c:pt idx="2675">
                  <c:v>6.5781478648738111E-186</c:v>
                </c:pt>
                <c:pt idx="2676">
                  <c:v>1.1362955355479557E-186</c:v>
                </c:pt>
                <c:pt idx="2677">
                  <c:v>1.9557393342949553E-187</c:v>
                </c:pt>
                <c:pt idx="2678">
                  <c:v>3.3539967835102807E-188</c:v>
                </c:pt>
                <c:pt idx="2679">
                  <c:v>5.7312098985949038E-189</c:v>
                </c:pt>
                <c:pt idx="2680">
                  <c:v>9.7580263811587744E-190</c:v>
                </c:pt>
                <c:pt idx="2681">
                  <c:v>1.6554255838383513E-190</c:v>
                </c:pt>
                <c:pt idx="2682">
                  <c:v>2.7982682105418185E-191</c:v>
                </c:pt>
                <c:pt idx="2683">
                  <c:v>4.7130388089375927E-192</c:v>
                </c:pt>
                <c:pt idx="2684">
                  <c:v>7.9094210298265948E-193</c:v>
                </c:pt>
                <c:pt idx="2685">
                  <c:v>1.3225751967928692E-193</c:v>
                </c:pt>
                <c:pt idx="2686">
                  <c:v>2.2035761058263267E-194</c:v>
                </c:pt>
                <c:pt idx="2687">
                  <c:v>3.6582024511272319E-195</c:v>
                </c:pt>
                <c:pt idx="2688">
                  <c:v>6.0511709112174302E-196</c:v>
                </c:pt>
                <c:pt idx="2689">
                  <c:v>9.9733969271975107E-197</c:v>
                </c:pt>
                <c:pt idx="2690">
                  <c:v>1.6378675896161772E-197</c:v>
                </c:pt>
                <c:pt idx="2691">
                  <c:v>2.6800720876951807E-198</c:v>
                </c:pt>
                <c:pt idx="2692">
                  <c:v>4.3696450818821618E-199</c:v>
                </c:pt>
                <c:pt idx="2693">
                  <c:v>7.0986841396285386E-200</c:v>
                </c:pt>
                <c:pt idx="2694">
                  <c:v>1.1490569199079549E-200</c:v>
                </c:pt>
                <c:pt idx="2695">
                  <c:v>1.853263762052968E-201</c:v>
                </c:pt>
                <c:pt idx="2696">
                  <c:v>2.978275893477905E-202</c:v>
                </c:pt>
                <c:pt idx="2697">
                  <c:v>4.7689703237539674E-203</c:v>
                </c:pt>
                <c:pt idx="2698">
                  <c:v>7.6088025592795292E-204</c:v>
                </c:pt>
                <c:pt idx="2699">
                  <c:v>1.209595077392612E-204</c:v>
                </c:pt>
                <c:pt idx="2700">
                  <c:v>1.9160008963474698E-205</c:v>
                </c:pt>
                <c:pt idx="2701">
                  <c:v>3.0240112761759315E-206</c:v>
                </c:pt>
                <c:pt idx="2702">
                  <c:v>4.7555757717918659E-207</c:v>
                </c:pt>
                <c:pt idx="2703">
                  <c:v>7.4516904650994597E-208</c:v>
                </c:pt>
                <c:pt idx="2704">
                  <c:v>1.1634253122649997E-208</c:v>
                </c:pt>
                <c:pt idx="2705">
                  <c:v>1.809898463820556E-209</c:v>
                </c:pt>
                <c:pt idx="2706">
                  <c:v>2.8054460126100902E-210</c:v>
                </c:pt>
                <c:pt idx="2707">
                  <c:v>4.3329294826535569E-211</c:v>
                </c:pt>
                <c:pt idx="2708">
                  <c:v>6.6679652468766388E-212</c:v>
                </c:pt>
                <c:pt idx="2709">
                  <c:v>1.0224381253990054E-212</c:v>
                </c:pt>
                <c:pt idx="2710">
                  <c:v>1.5621140707811163E-213</c:v>
                </c:pt>
                <c:pt idx="2711">
                  <c:v>2.3780471129446454E-214</c:v>
                </c:pt>
                <c:pt idx="2712">
                  <c:v>3.6071164722444645E-215</c:v>
                </c:pt>
                <c:pt idx="2713">
                  <c:v>5.4516991091542084E-216</c:v>
                </c:pt>
                <c:pt idx="2714">
                  <c:v>8.2098569852849291E-217</c:v>
                </c:pt>
                <c:pt idx="2715">
                  <c:v>1.2318882323831392E-217</c:v>
                </c:pt>
                <c:pt idx="2716">
                  <c:v>1.8417853859090289E-218</c:v>
                </c:pt>
                <c:pt idx="2717">
                  <c:v>2.7437133714642615E-219</c:v>
                </c:pt>
                <c:pt idx="2718">
                  <c:v>4.0725878206684511E-220</c:v>
                </c:pt>
                <c:pt idx="2719">
                  <c:v>6.0232956066251804E-221</c:v>
                </c:pt>
                <c:pt idx="2720">
                  <c:v>8.8762576173447078E-222</c:v>
                </c:pt>
                <c:pt idx="2721">
                  <c:v>1.3033396881937085E-222</c:v>
                </c:pt>
                <c:pt idx="2722">
                  <c:v>1.9068535657796271E-223</c:v>
                </c:pt>
                <c:pt idx="2723">
                  <c:v>2.7797713051173593E-224</c:v>
                </c:pt>
                <c:pt idx="2724">
                  <c:v>4.037688332563166E-225</c:v>
                </c:pt>
                <c:pt idx="2725">
                  <c:v>5.8437081697068204E-226</c:v>
                </c:pt>
                <c:pt idx="2726">
                  <c:v>#N/A</c:v>
                </c:pt>
              </c:numCache>
            </c:numRef>
          </c:yVal>
          <c:smooth val="1"/>
          <c:extLst>
            <c:ext xmlns:c16="http://schemas.microsoft.com/office/drawing/2014/chart" uri="{C3380CC4-5D6E-409C-BE32-E72D297353CC}">
              <c16:uniqueId val="{00000000-DF08-4DCA-9446-02652E17AC07}"/>
            </c:ext>
          </c:extLst>
        </c:ser>
        <c:ser>
          <c:idx val="1"/>
          <c:order val="1"/>
          <c:tx>
            <c:strRef>
              <c:f>ANOVA!$AQ$13</c:f>
              <c:strCache>
                <c:ptCount val="1"/>
                <c:pt idx="0">
                  <c:v>Estimeret normalfordeling</c:v>
                </c:pt>
              </c:strCache>
            </c:strRef>
          </c:tx>
          <c:spPr>
            <a:ln w="19050" cap="rnd">
              <a:noFill/>
              <a:round/>
            </a:ln>
            <a:effectLst/>
          </c:spPr>
          <c:marker>
            <c:symbol val="none"/>
          </c:marker>
          <c:dLbls>
            <c:dLbl>
              <c:idx val="0"/>
              <c:tx>
                <c:rich>
                  <a:bodyPr/>
                  <a:lstStyle/>
                  <a:p>
                    <a:fld id="{5F6474CD-8893-4A7D-90E3-7BD6980E0E4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DF08-4DCA-9446-02652E17AC07}"/>
                </c:ext>
              </c:extLst>
            </c:dLbl>
            <c:dLbl>
              <c:idx val="1"/>
              <c:tx>
                <c:rich>
                  <a:bodyPr/>
                  <a:lstStyle/>
                  <a:p>
                    <a:fld id="{7AE42F1E-C605-4C32-9AB6-9E3BC67A2557}"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DF08-4DCA-9446-02652E17AC07}"/>
                </c:ext>
              </c:extLst>
            </c:dLbl>
            <c:dLbl>
              <c:idx val="2"/>
              <c:tx>
                <c:rich>
                  <a:bodyPr/>
                  <a:lstStyle/>
                  <a:p>
                    <a:fld id="{637FF5E5-2648-47E6-BDDE-BE5ECD39A930}"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DF08-4DCA-9446-02652E17AC0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[0]!AlxNorm</c:f>
              <c:numCache>
                <c:formatCode>General</c:formatCode>
                <c:ptCount val="3"/>
                <c:pt idx="0">
                  <c:v>1.8540044183209705</c:v>
                </c:pt>
                <c:pt idx="1">
                  <c:v>4.14233953833077</c:v>
                </c:pt>
                <c:pt idx="2">
                  <c:v>0.41666666666666669</c:v>
                </c:pt>
              </c:numCache>
            </c:numRef>
          </c:xVal>
          <c:yVal>
            <c:numRef>
              <c:f>[0]!AlyNorm</c:f>
              <c:numCache>
                <c:formatCode>General</c:formatCode>
                <c:ptCount val="3"/>
                <c:pt idx="0">
                  <c:v>9.2628974814029333E-2</c:v>
                </c:pt>
                <c:pt idx="1">
                  <c:v>9.3107877228020858E-2</c:v>
                </c:pt>
                <c:pt idx="2">
                  <c:v>0.77472523433896479</c:v>
                </c:pt>
              </c:numCache>
            </c:numRef>
          </c:yVal>
          <c:smooth val="0"/>
          <c:extLst>
            <c:ext xmlns:c15="http://schemas.microsoft.com/office/drawing/2012/chart" uri="{02D57815-91ED-43cb-92C2-25804820EDAC}">
              <c15:datalabelsRange>
                <c15:f>[0]!AlNorm</c15:f>
                <c15:dlblRangeCache>
                  <c:ptCount val="3"/>
                  <c:pt idx="0">
                    <c:v>Eksempel 1 (interval)
N(μ=1.854;σ=4.307)</c:v>
                  </c:pt>
                  <c:pt idx="1">
                    <c:v>Eksempel 2 (interval)
N(μ=4.142;σ=4.285)</c:v>
                  </c:pt>
                  <c:pt idx="2">
                    <c:v>Eksempel 4 (nominal)
N(μ=0.417;σ=0.515)</c:v>
                  </c:pt>
                </c15:dlblRangeCache>
              </c15:datalabelsRange>
            </c:ext>
            <c:ext xmlns:c16="http://schemas.microsoft.com/office/drawing/2014/chart" uri="{C3380CC4-5D6E-409C-BE32-E72D297353CC}">
              <c16:uniqueId val="{00000006-DF08-4DCA-9446-02652E17AC07}"/>
            </c:ext>
          </c:extLst>
        </c:ser>
        <c:dLbls>
          <c:showLegendKey val="0"/>
          <c:showVal val="0"/>
          <c:showCatName val="0"/>
          <c:showSerName val="0"/>
          <c:showPercent val="0"/>
          <c:showBubbleSize val="0"/>
        </c:dLbls>
        <c:axId val="1030118416"/>
        <c:axId val="1030109264"/>
      </c:scatterChart>
      <c:valAx>
        <c:axId val="1030118416"/>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030109264"/>
        <c:crosses val="autoZero"/>
        <c:crossBetween val="midCat"/>
      </c:valAx>
      <c:valAx>
        <c:axId val="1030109264"/>
        <c:scaling>
          <c:orientation val="minMax"/>
        </c:scaling>
        <c:delete val="1"/>
        <c:axPos val="l"/>
        <c:numFmt formatCode="General" sourceLinked="1"/>
        <c:majorTickMark val="none"/>
        <c:minorTickMark val="none"/>
        <c:tickLblPos val="nextTo"/>
        <c:crossAx val="1030118416"/>
        <c:crosses val="autoZero"/>
        <c:crossBetween val="midCat"/>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ANOVA!$BA$9</c:f>
          <c:strCache>
            <c:ptCount val="1"/>
            <c:pt idx="0">
              <c:v>Multiple sammenligninger med bonferroni justering
Der er 0 par variable med signifikant forskellige gennemsnit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ubbleChart>
        <c:varyColors val="0"/>
        <c:ser>
          <c:idx val="0"/>
          <c:order val="0"/>
          <c:tx>
            <c:strRef>
              <c:f>ANOVA!$BA$11</c:f>
              <c:strCache>
                <c:ptCount val="1"/>
                <c:pt idx="0">
                  <c:v>Forskel mellem gennemsnit</c:v>
                </c:pt>
              </c:strCache>
            </c:strRef>
          </c:tx>
          <c:spPr>
            <a:solidFill>
              <a:schemeClr val="accent1"/>
            </a:solidFill>
            <a:ln w="28575">
              <a:solidFill>
                <a:schemeClr val="accent1"/>
              </a:solidFill>
            </a:ln>
            <a:effectLst/>
          </c:spPr>
          <c:invertIfNegative val="0"/>
          <c:dLbls>
            <c:dLbl>
              <c:idx val="0"/>
              <c:tx>
                <c:rich>
                  <a:bodyPr/>
                  <a:lstStyle/>
                  <a:p>
                    <a:fld id="{F65FE2B7-D8EA-43EC-AFFE-0555E9BBF558}" type="CELLRANGE">
                      <a:rPr lang="en-US"/>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A587-428E-9F44-21199AEF2571}"/>
                </c:ext>
              </c:extLst>
            </c:dLbl>
            <c:dLbl>
              <c:idx val="1"/>
              <c:tx>
                <c:rich>
                  <a:bodyPr/>
                  <a:lstStyle/>
                  <a:p>
                    <a:fld id="{0630747E-E451-4256-8FEA-A17956D4F4E8}"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A587-428E-9F44-21199AEF2571}"/>
                </c:ext>
              </c:extLst>
            </c:dLbl>
            <c:dLbl>
              <c:idx val="2"/>
              <c:tx>
                <c:rich>
                  <a:bodyPr/>
                  <a:lstStyle/>
                  <a:p>
                    <a:fld id="{E08F9A63-AA60-4351-8775-F10A526BB829}"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A587-428E-9F44-21199AEF257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[0]!AxMs</c:f>
              <c:numCache>
                <c:formatCode>General</c:formatCode>
                <c:ptCount val="3"/>
                <c:pt idx="0">
                  <c:v>1</c:v>
                </c:pt>
                <c:pt idx="1">
                  <c:v>2</c:v>
                </c:pt>
                <c:pt idx="2">
                  <c:v>2</c:v>
                </c:pt>
              </c:numCache>
            </c:numRef>
          </c:xVal>
          <c:yVal>
            <c:numRef>
              <c:f>[0]!AyMs</c:f>
              <c:numCache>
                <c:formatCode>General</c:formatCode>
                <c:ptCount val="3"/>
                <c:pt idx="0">
                  <c:v>1</c:v>
                </c:pt>
                <c:pt idx="1">
                  <c:v>1</c:v>
                </c:pt>
                <c:pt idx="2">
                  <c:v>2</c:v>
                </c:pt>
              </c:numCache>
            </c:numRef>
          </c:yVal>
          <c:bubbleSize>
            <c:numRef>
              <c:f>[0]!AsMs</c:f>
              <c:numCache>
                <c:formatCode>General</c:formatCode>
                <c:ptCount val="3"/>
                <c:pt idx="0">
                  <c:v>-0.4054651081081645</c:v>
                </c:pt>
                <c:pt idx="1">
                  <c:v>-0.4054651081081645</c:v>
                </c:pt>
                <c:pt idx="2">
                  <c:v>-0.4054651081081645</c:v>
                </c:pt>
              </c:numCache>
            </c:numRef>
          </c:bubbleSize>
          <c:bubble3D val="0"/>
          <c:extLst>
            <c:ext xmlns:c15="http://schemas.microsoft.com/office/drawing/2012/chart" uri="{02D57815-91ED-43cb-92C2-25804820EDAC}">
              <c15:datalabelsRange>
                <c15:f>[0]!AlMs</c15:f>
                <c15:dlblRangeCache>
                  <c:ptCount val="3"/>
                  <c:pt idx="0">
                    <c:v>2.288</c:v>
                  </c:pt>
                  <c:pt idx="1">
                    <c:v>-1.437</c:v>
                  </c:pt>
                  <c:pt idx="2">
                    <c:v>-3.726</c:v>
                  </c:pt>
                </c15:dlblRangeCache>
              </c15:datalabelsRange>
            </c:ext>
            <c:ext xmlns:c16="http://schemas.microsoft.com/office/drawing/2014/chart" uri="{C3380CC4-5D6E-409C-BE32-E72D297353CC}">
              <c16:uniqueId val="{0000000A-A587-428E-9F44-21199AEF2571}"/>
            </c:ext>
          </c:extLst>
        </c:ser>
        <c:ser>
          <c:idx val="1"/>
          <c:order val="1"/>
          <c:tx>
            <c:strRef>
              <c:f>ANOVA!$BA$13</c:f>
              <c:strCache>
                <c:ptCount val="1"/>
                <c:pt idx="0">
                  <c:v>Variabel</c:v>
                </c:pt>
              </c:strCache>
            </c:strRef>
          </c:tx>
          <c:spPr>
            <a:noFill/>
            <a:ln w="25400">
              <a:noFill/>
            </a:ln>
            <a:effectLst/>
          </c:spPr>
          <c:invertIfNegative val="0"/>
          <c:dLbls>
            <c:dLbl>
              <c:idx val="0"/>
              <c:tx>
                <c:rich>
                  <a:bodyPr/>
                  <a:lstStyle/>
                  <a:p>
                    <a:fld id="{96093541-ABDA-4004-9650-4FDE3A7884AB}" type="CELLRANGE">
                      <a:rPr lang="en-US"/>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A587-428E-9F44-21199AEF2571}"/>
                </c:ext>
              </c:extLst>
            </c:dLbl>
            <c:dLbl>
              <c:idx val="1"/>
              <c:tx>
                <c:rich>
                  <a:bodyPr/>
                  <a:lstStyle/>
                  <a:p>
                    <a:fld id="{25AACA27-D47A-40E6-8B4E-63768FC1D395}"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A587-428E-9F44-21199AEF2571}"/>
                </c:ext>
              </c:extLst>
            </c:dLbl>
            <c:dLbl>
              <c:idx val="2"/>
              <c:tx>
                <c:rich>
                  <a:bodyPr/>
                  <a:lstStyle/>
                  <a:p>
                    <a:fld id="{83C613B4-3ADE-4408-89C7-93D6A2AAC065}"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A587-428E-9F44-21199AEF2571}"/>
                </c:ext>
              </c:extLst>
            </c:dLbl>
            <c:dLbl>
              <c:idx val="3"/>
              <c:tx>
                <c:rich>
                  <a:bodyPr/>
                  <a:lstStyle/>
                  <a:p>
                    <a:fld id="{F5515000-3FCE-447B-A7CA-8941C10D3510}"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A587-428E-9F44-21199AEF257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[0]!AkxMs</c:f>
              <c:numCache>
                <c:formatCode>General</c:formatCode>
                <c:ptCount val="4"/>
                <c:pt idx="0">
                  <c:v>0</c:v>
                </c:pt>
                <c:pt idx="1">
                  <c:v>0</c:v>
                </c:pt>
                <c:pt idx="2">
                  <c:v>1</c:v>
                </c:pt>
                <c:pt idx="3">
                  <c:v>2</c:v>
                </c:pt>
              </c:numCache>
            </c:numRef>
          </c:xVal>
          <c:yVal>
            <c:numRef>
              <c:f>[0]!AkyMs</c:f>
              <c:numCache>
                <c:formatCode>General</c:formatCode>
                <c:ptCount val="4"/>
                <c:pt idx="0">
                  <c:v>1</c:v>
                </c:pt>
                <c:pt idx="1">
                  <c:v>2</c:v>
                </c:pt>
                <c:pt idx="2">
                  <c:v>0</c:v>
                </c:pt>
                <c:pt idx="3">
                  <c:v>0</c:v>
                </c:pt>
              </c:numCache>
            </c:numRef>
          </c:yVal>
          <c:bubbleSize>
            <c:numRef>
              <c:f>[0]!AksMs</c:f>
              <c:numCache>
                <c:formatCode>General</c:formatCode>
                <c:ptCount val="4"/>
                <c:pt idx="0">
                  <c:v>1</c:v>
                </c:pt>
                <c:pt idx="1">
                  <c:v>1</c:v>
                </c:pt>
                <c:pt idx="2">
                  <c:v>1</c:v>
                </c:pt>
                <c:pt idx="3">
                  <c:v>1</c:v>
                </c:pt>
              </c:numCache>
            </c:numRef>
          </c:bubbleSize>
          <c:bubble3D val="0"/>
          <c:extLst>
            <c:ext xmlns:c15="http://schemas.microsoft.com/office/drawing/2012/chart" uri="{02D57815-91ED-43cb-92C2-25804820EDAC}">
              <c15:datalabelsRange>
                <c15:f>[0]!AklMs</c15:f>
                <c15:dlblRangeCache>
                  <c:ptCount val="4"/>
                  <c:pt idx="0">
                    <c:v>Eksempel 1 (interval)</c:v>
                  </c:pt>
                  <c:pt idx="1">
                    <c:v>Eksempel 2 (interval)</c:v>
                  </c:pt>
                  <c:pt idx="2">
                    <c:v>Eksempel 2 (interval)</c:v>
                  </c:pt>
                  <c:pt idx="3">
                    <c:v>Eksempel 4 (nominal)</c:v>
                  </c:pt>
                </c15:dlblRangeCache>
              </c15:datalabelsRange>
            </c:ext>
            <c:ext xmlns:c16="http://schemas.microsoft.com/office/drawing/2014/chart" uri="{C3380CC4-5D6E-409C-BE32-E72D297353CC}">
              <c16:uniqueId val="{00000013-A587-428E-9F44-21199AEF2571}"/>
            </c:ext>
          </c:extLst>
        </c:ser>
        <c:dLbls>
          <c:showLegendKey val="0"/>
          <c:showVal val="0"/>
          <c:showCatName val="0"/>
          <c:showSerName val="0"/>
          <c:showPercent val="0"/>
          <c:showBubbleSize val="0"/>
        </c:dLbls>
        <c:bubbleScale val="100"/>
        <c:showNegBubbles val="1"/>
        <c:axId val="1947327712"/>
        <c:axId val="1947324384"/>
      </c:bubbleChart>
      <c:valAx>
        <c:axId val="1947327712"/>
        <c:scaling>
          <c:orientation val="minMax"/>
          <c:min val="-0.5"/>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947324384"/>
        <c:crosses val="autoZero"/>
        <c:crossBetween val="midCat"/>
        <c:majorUnit val="1"/>
      </c:valAx>
      <c:valAx>
        <c:axId val="1947324384"/>
        <c:scaling>
          <c:orientation val="maxMin"/>
          <c:min val="-0.5"/>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947327712"/>
        <c:crosses val="autoZero"/>
        <c:crossBetween val="midCat"/>
        <c:maj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creativecommons.org/licenses/by-sa/4.0/" TargetMode="External"/><Relationship Id="rId4" Type="http://schemas.openxmlformats.org/officeDocument/2006/relationships/image" Target="../media/image3.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image" Target="../media/image4.emf"/><Relationship Id="rId4"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22</xdr:row>
      <xdr:rowOff>9525</xdr:rowOff>
    </xdr:from>
    <xdr:to>
      <xdr:col>0</xdr:col>
      <xdr:colOff>1000430</xdr:colOff>
      <xdr:row>24</xdr:row>
      <xdr:rowOff>0</xdr:rowOff>
    </xdr:to>
    <xdr:pic>
      <xdr:nvPicPr>
        <xdr:cNvPr id="11" name="Picture 10">
          <a:hlinkClick xmlns:r="http://schemas.openxmlformats.org/officeDocument/2006/relationships" r:id="rId1"/>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4048125"/>
          <a:ext cx="1000430" cy="352425"/>
        </a:xfrm>
        <a:prstGeom prst="rect">
          <a:avLst/>
        </a:prstGeom>
      </xdr:spPr>
    </xdr:pic>
    <xdr:clientData/>
  </xdr:twoCellAnchor>
  <xdr:twoCellAnchor editAs="oneCell">
    <xdr:from>
      <xdr:col>0</xdr:col>
      <xdr:colOff>0</xdr:colOff>
      <xdr:row>37</xdr:row>
      <xdr:rowOff>0</xdr:rowOff>
    </xdr:from>
    <xdr:to>
      <xdr:col>0</xdr:col>
      <xdr:colOff>3014171</xdr:colOff>
      <xdr:row>54</xdr:row>
      <xdr:rowOff>154984</xdr:rowOff>
    </xdr:to>
    <xdr:grpSp>
      <xdr:nvGrpSpPr>
        <xdr:cNvPr id="101" name="Group 100">
          <a:extLst>
            <a:ext uri="{FF2B5EF4-FFF2-40B4-BE49-F238E27FC236}">
              <a16:creationId xmlns:a16="http://schemas.microsoft.com/office/drawing/2014/main" id="{00000000-0008-0000-0000-000065000000}"/>
            </a:ext>
          </a:extLst>
        </xdr:cNvPr>
        <xdr:cNvGrpSpPr/>
      </xdr:nvGrpSpPr>
      <xdr:grpSpPr>
        <a:xfrm>
          <a:off x="0" y="6867525"/>
          <a:ext cx="3014171" cy="3231559"/>
          <a:chOff x="704022" y="4116457"/>
          <a:chExt cx="3563811" cy="3402910"/>
        </a:xfrm>
      </xdr:grpSpPr>
      <xdr:pic>
        <xdr:nvPicPr>
          <xdr:cNvPr id="102" name="Picture 101" descr="Den sikreste måde at indsætte data på i tabellen.">
            <a:extLst>
              <a:ext uri="{FF2B5EF4-FFF2-40B4-BE49-F238E27FC236}">
                <a16:creationId xmlns:a16="http://schemas.microsoft.com/office/drawing/2014/main" id="{00000000-0008-0000-0000-000066000000}"/>
              </a:ext>
            </a:extLst>
          </xdr:cNvPr>
          <xdr:cNvPicPr>
            <a:picLocks noChangeAspect="1"/>
          </xdr:cNvPicPr>
        </xdr:nvPicPr>
        <xdr:blipFill>
          <a:blip xmlns:r="http://schemas.openxmlformats.org/officeDocument/2006/relationships" r:embed="rId3"/>
          <a:stretch>
            <a:fillRect/>
          </a:stretch>
        </xdr:blipFill>
        <xdr:spPr>
          <a:xfrm>
            <a:off x="704022" y="4116457"/>
            <a:ext cx="3563811" cy="3184323"/>
          </a:xfrm>
          <a:prstGeom prst="rect">
            <a:avLst/>
          </a:prstGeom>
          <a:ln w="9525">
            <a:solidFill>
              <a:schemeClr val="tx1">
                <a:lumMod val="75000"/>
                <a:lumOff val="25000"/>
              </a:schemeClr>
            </a:solidFill>
          </a:ln>
        </xdr:spPr>
      </xdr:pic>
      <xdr:sp macro="" textlink="">
        <xdr:nvSpPr>
          <xdr:cNvPr id="103" name="TextBox 102">
            <a:extLst>
              <a:ext uri="{FF2B5EF4-FFF2-40B4-BE49-F238E27FC236}">
                <a16:creationId xmlns:a16="http://schemas.microsoft.com/office/drawing/2014/main" id="{00000000-0008-0000-0000-000067000000}"/>
              </a:ext>
            </a:extLst>
          </xdr:cNvPr>
          <xdr:cNvSpPr txBox="1"/>
        </xdr:nvSpPr>
        <xdr:spPr>
          <a:xfrm>
            <a:off x="704600" y="7303356"/>
            <a:ext cx="3554296" cy="21601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 Den sikreste måde at indsætte data på</a:t>
            </a:r>
            <a:endParaRPr lang="da-DK" sz="1100"/>
          </a:p>
        </xdr:txBody>
      </xdr:sp>
    </xdr:grpSp>
    <xdr:clientData/>
  </xdr:twoCellAnchor>
  <xdr:twoCellAnchor>
    <xdr:from>
      <xdr:col>0</xdr:col>
      <xdr:colOff>0</xdr:colOff>
      <xdr:row>58</xdr:row>
      <xdr:rowOff>47625</xdr:rowOff>
    </xdr:from>
    <xdr:to>
      <xdr:col>0</xdr:col>
      <xdr:colOff>4852394</xdr:colOff>
      <xdr:row>60</xdr:row>
      <xdr:rowOff>19613</xdr:rowOff>
    </xdr:to>
    <xdr:grpSp>
      <xdr:nvGrpSpPr>
        <xdr:cNvPr id="23" name="Group 22">
          <a:extLst>
            <a:ext uri="{FF2B5EF4-FFF2-40B4-BE49-F238E27FC236}">
              <a16:creationId xmlns:a16="http://schemas.microsoft.com/office/drawing/2014/main" id="{00000000-0008-0000-0000-000017000000}"/>
            </a:ext>
          </a:extLst>
        </xdr:cNvPr>
        <xdr:cNvGrpSpPr/>
      </xdr:nvGrpSpPr>
      <xdr:grpSpPr>
        <a:xfrm>
          <a:off x="0" y="10715625"/>
          <a:ext cx="4852394" cy="333938"/>
          <a:chOff x="5734049" y="9201150"/>
          <a:chExt cx="7897328" cy="543488"/>
        </a:xfrm>
      </xdr:grpSpPr>
      <xdr:sp macro="" textlink="">
        <xdr:nvSpPr>
          <xdr:cNvPr id="16" name="TextBox 15">
            <a:extLst>
              <a:ext uri="{FF2B5EF4-FFF2-40B4-BE49-F238E27FC236}">
                <a16:creationId xmlns:a16="http://schemas.microsoft.com/office/drawing/2014/main" id="{00000000-0008-0000-0000-000010000000}"/>
              </a:ext>
            </a:extLst>
          </xdr:cNvPr>
          <xdr:cNvSpPr txBox="1"/>
        </xdr:nvSpPr>
        <xdr:spPr>
          <a:xfrm>
            <a:off x="5734049" y="9458326"/>
            <a:ext cx="7896225" cy="286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 Navigation findes i menuen under arket</a:t>
            </a:r>
            <a:endParaRPr lang="da-DK" sz="1100"/>
          </a:p>
        </xdr:txBody>
      </xdr:sp>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4"/>
          <a:stretch>
            <a:fillRect/>
          </a:stretch>
        </xdr:blipFill>
        <xdr:spPr>
          <a:xfrm>
            <a:off x="5734050" y="9201150"/>
            <a:ext cx="7897327" cy="285790"/>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0</xdr:colOff>
      <xdr:row>7</xdr:row>
      <xdr:rowOff>0</xdr:rowOff>
    </xdr:from>
    <xdr:to>
      <xdr:col>2</xdr:col>
      <xdr:colOff>2844</xdr:colOff>
      <xdr:row>25</xdr:row>
      <xdr:rowOff>88306</xdr:rowOff>
    </xdr:to>
    <mc:AlternateContent xmlns:mc="http://schemas.openxmlformats.org/markup-compatibility/2006" xmlns:sle15="http://schemas.microsoft.com/office/drawing/2012/slicer">
      <mc:Choice Requires="sle15">
        <xdr:graphicFrame macro="">
          <xdr:nvGraphicFramePr>
            <xdr:cNvPr id="26" name="Variabel">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Variabel"/>
            </a:graphicData>
          </a:graphic>
        </xdr:graphicFrame>
      </mc:Choice>
      <mc:Fallback xmlns="">
        <xdr:sp macro="" textlink="">
          <xdr:nvSpPr>
            <xdr:cNvPr id="0" name=""/>
            <xdr:cNvSpPr>
              <a:spLocks noTextEdit="1"/>
            </xdr:cNvSpPr>
          </xdr:nvSpPr>
          <xdr:spPr>
            <a:xfrm>
              <a:off x="0" y="1306286"/>
              <a:ext cx="6112451" cy="3272377"/>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27</xdr:row>
      <xdr:rowOff>0</xdr:rowOff>
    </xdr:from>
    <xdr:to>
      <xdr:col>5</xdr:col>
      <xdr:colOff>18682</xdr:colOff>
      <xdr:row>50</xdr:row>
      <xdr:rowOff>48818</xdr:rowOff>
    </xdr:to>
    <xdr:graphicFrame macro="">
      <xdr:nvGraphicFramePr>
        <xdr:cNvPr id="28" name="Sandsynlighedsfordeling_g">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0</xdr:colOff>
      <xdr:row>27</xdr:row>
      <xdr:rowOff>0</xdr:rowOff>
    </xdr:from>
    <xdr:to>
      <xdr:col>11</xdr:col>
      <xdr:colOff>18681</xdr:colOff>
      <xdr:row>50</xdr:row>
      <xdr:rowOff>48636</xdr:rowOff>
    </xdr:to>
    <xdr:graphicFrame macro="">
      <xdr:nvGraphicFramePr>
        <xdr:cNvPr id="29" name="Sandsynlighedsfordeling_g">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6</xdr:col>
      <xdr:colOff>40822</xdr:colOff>
      <xdr:row>63</xdr:row>
      <xdr:rowOff>0</xdr:rowOff>
    </xdr:from>
    <xdr:to>
      <xdr:col>11</xdr:col>
      <xdr:colOff>59503</xdr:colOff>
      <xdr:row>86</xdr:row>
      <xdr:rowOff>48818</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0</xdr:col>
      <xdr:colOff>0</xdr:colOff>
      <xdr:row>63</xdr:row>
      <xdr:rowOff>0</xdr:rowOff>
    </xdr:from>
    <xdr:to>
      <xdr:col>5</xdr:col>
      <xdr:colOff>18682</xdr:colOff>
      <xdr:row>86</xdr:row>
      <xdr:rowOff>48818</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25</xdr:row>
      <xdr:rowOff>142875</xdr:rowOff>
    </xdr:from>
    <xdr:to>
      <xdr:col>2</xdr:col>
      <xdr:colOff>428625</xdr:colOff>
      <xdr:row>26</xdr:row>
      <xdr:rowOff>171450</xdr:rowOff>
    </xdr:to>
    <xdr:cxnSp macro="">
      <xdr:nvCxnSpPr>
        <xdr:cNvPr id="37" name="Straight Connector 36">
          <a:extLst>
            <a:ext uri="{FF2B5EF4-FFF2-40B4-BE49-F238E27FC236}">
              <a16:creationId xmlns:a16="http://schemas.microsoft.com/office/drawing/2014/main" id="{00000000-0008-0000-0B00-000025000000}"/>
            </a:ext>
          </a:extLst>
        </xdr:cNvPr>
        <xdr:cNvCxnSpPr/>
      </xdr:nvCxnSpPr>
      <xdr:spPr>
        <a:xfrm flipV="1">
          <a:off x="0" y="4724400"/>
          <a:ext cx="6534150" cy="209550"/>
        </a:xfrm>
        <a:prstGeom prst="line">
          <a:avLst/>
        </a:prstGeom>
        <a:ln>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2752725</xdr:colOff>
      <xdr:row>25</xdr:row>
      <xdr:rowOff>133350</xdr:rowOff>
    </xdr:from>
    <xdr:to>
      <xdr:col>11</xdr:col>
      <xdr:colOff>17318</xdr:colOff>
      <xdr:row>27</xdr:row>
      <xdr:rowOff>0</xdr:rowOff>
    </xdr:to>
    <xdr:cxnSp macro="">
      <xdr:nvCxnSpPr>
        <xdr:cNvPr id="38" name="Straight Connector 37">
          <a:extLst>
            <a:ext uri="{FF2B5EF4-FFF2-40B4-BE49-F238E27FC236}">
              <a16:creationId xmlns:a16="http://schemas.microsoft.com/office/drawing/2014/main" id="{00000000-0008-0000-0B00-000026000000}"/>
            </a:ext>
          </a:extLst>
        </xdr:cNvPr>
        <xdr:cNvCxnSpPr/>
      </xdr:nvCxnSpPr>
      <xdr:spPr>
        <a:xfrm>
          <a:off x="16830675" y="4714875"/>
          <a:ext cx="11018693" cy="228600"/>
        </a:xfrm>
        <a:prstGeom prst="line">
          <a:avLst/>
        </a:prstGeom>
        <a:ln>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409690</xdr:colOff>
          <xdr:row>3</xdr:row>
          <xdr:rowOff>175490</xdr:rowOff>
        </xdr:from>
        <xdr:to>
          <xdr:col>6</xdr:col>
          <xdr:colOff>2724150</xdr:colOff>
          <xdr:row>26</xdr:row>
          <xdr:rowOff>28575</xdr:rowOff>
        </xdr:to>
        <xdr:pic>
          <xdr:nvPicPr>
            <xdr:cNvPr id="41" name="Picture 40">
              <a:extLst>
                <a:ext uri="{FF2B5EF4-FFF2-40B4-BE49-F238E27FC236}">
                  <a16:creationId xmlns:a16="http://schemas.microsoft.com/office/drawing/2014/main" id="{00000000-0008-0000-0B00-000029000000}"/>
                </a:ext>
              </a:extLst>
            </xdr:cNvPr>
            <xdr:cNvPicPr>
              <a:picLocks noChangeAspect="1" noChangeArrowheads="1"/>
              <a:extLst>
                <a:ext uri="{84589F7E-364E-4C9E-8A38-B11213B215E9}">
                  <a14:cameraTool cellRange="$A$28:$K$87" spid="_x0000_s12885"/>
                </a:ext>
              </a:extLst>
            </xdr:cNvPicPr>
          </xdr:nvPicPr>
          <xdr:blipFill>
            <a:blip xmlns:r="http://schemas.openxmlformats.org/officeDocument/2006/relationships" r:embed="rId5"/>
            <a:srcRect/>
            <a:stretch>
              <a:fillRect/>
            </a:stretch>
          </xdr:blipFill>
          <xdr:spPr bwMode="auto">
            <a:xfrm>
              <a:off x="6515215" y="775565"/>
              <a:ext cx="10286885" cy="401551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ariabel" xr10:uid="{423A4C5B-28D8-482B-8B1C-42753F4262AA}" sourceName="Variable i ANOVA">
  <extLst>
    <x:ext xmlns:x15="http://schemas.microsoft.com/office/spreadsheetml/2010/11/main" uri="{2F2917AC-EB37-4324-AD4E-5DD8C200BD13}">
      <x15:tableSlicerCache tableId="3" column="4"/>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Variabel" xr10:uid="{5211B3DC-A42E-4599-8962-9865EB88AAE5}" cache="Slicer_Variabel" caption="Variable i ANOVA"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C1CDA60-1AD3-44A6-B51F-789F290348A7}" name="ANOVA_valg" displayName="ANOVA_valg" ref="A10:D60" totalsRowShown="0">
  <autoFilter ref="A10:D60" xr:uid="{DC338BB4-7CF1-4850-B79D-4F2247A2D2B1}">
    <filterColumn colId="2">
      <filters>
        <filter val="Eksempel 1 (interval)"/>
        <filter val="Eksempel 2 (interval)"/>
        <filter val="Eksempel 4 (nominal)"/>
      </filters>
    </filterColumn>
  </autoFilter>
  <tableColumns count="4">
    <tableColumn id="1" xr3:uid="{2A1745A0-4675-4ED0-B288-4CB4ADA547F9}" name="Tabel ID" dataDxfId="7"/>
    <tableColumn id="3" xr3:uid="{B014482C-B28B-4DFB-8CCB-E858C32E9F28}" name="Variabel ID" dataDxfId="6">
      <calculatedColumnFormula>MOD(A11-1,$B$5)+1</calculatedColumnFormula>
    </tableColumn>
    <tableColumn id="4" xr3:uid="{62A1D094-B6D9-4B4C-8287-738D08379C7F}" name="Variable i ANOVA" dataDxfId="5">
      <calculatedColumnFormula array="1">INDEX(DataTitelTest_liste,ANOVA_valg[[#This Row],[Variabel ID]])</calculatedColumnFormula>
    </tableColumn>
    <tableColumn id="2" xr3:uid="{19287098-1E9A-427B-8AA3-3BBE77EDCB6A}" name="Synlig" dataDxfId="4">
      <calculatedColumnFormula>_xlfn.AGGREGATE(2,5,ANOVA_valg[[#This Row],[Tabel ID]])</calculatedColumnFormula>
    </tableColumn>
  </tableColumns>
  <tableStyleInfo name="Table 1" showFirstColumn="0" showLastColumn="0" showRowStripes="1" showColumnStripes="0"/>
</table>
</file>

<file path=xl/theme/theme1.xml><?xml version="1.0" encoding="utf-8"?>
<a:theme xmlns:a="http://schemas.openxmlformats.org/drawingml/2006/main" name="Business Academy Aarhus, 2017, Danish">
  <a:themeElements>
    <a:clrScheme name="Custom 1">
      <a:dk1>
        <a:sysClr val="windowText" lastClr="000000"/>
      </a:dk1>
      <a:lt1>
        <a:sysClr val="window" lastClr="FFFFFF"/>
      </a:lt1>
      <a:dk2>
        <a:srgbClr val="1F497D"/>
      </a:dk2>
      <a:lt2>
        <a:srgbClr val="EEECE1"/>
      </a:lt2>
      <a:accent1>
        <a:srgbClr val="62B2C4"/>
      </a:accent1>
      <a:accent2>
        <a:srgbClr val="FF7000"/>
      </a:accent2>
      <a:accent3>
        <a:srgbClr val="79B57F"/>
      </a:accent3>
      <a:accent4>
        <a:srgbClr val="B52933"/>
      </a:accent4>
      <a:accent5>
        <a:srgbClr val="613C8D"/>
      </a:accent5>
      <a:accent6>
        <a:srgbClr val="FDD100"/>
      </a:accent6>
      <a:hlink>
        <a:srgbClr val="1F497D"/>
      </a:hlink>
      <a:folHlink>
        <a:srgbClr val="7030A0"/>
      </a:folHlink>
    </a:clrScheme>
    <a:fontScheme name="Tw Cen MT">
      <a:majorFont>
        <a:latin typeface="Tw Cen MT"/>
        <a:ea typeface=""/>
        <a:cs typeface=""/>
      </a:majorFont>
      <a:minorFont>
        <a:latin typeface="Tw Cen MT"/>
        <a:ea typeface=""/>
        <a:cs typeface=""/>
      </a:minorFont>
    </a:fontScheme>
    <a:fmtScheme name="Kont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extLst>
    <a:ext uri="{05A4C25C-085E-4340-85A3-A5531E510DB2}">
      <thm15:themeFamily xmlns:thm15="http://schemas.microsoft.com/office/thememl/2012/main" name="Business Academy Aarhus, 2017, Danish" id="{554348F3-738D-4A8D-BE87-7A68E9448968}" vid="{932C7983-0D3C-4E06-B35C-E8232403A98B}"/>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creativecommons.org/licenses/by-sa/4.0/"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C4993A-409D-44F9-8542-1665387421B3}">
  <sheetPr codeName="Sheet2">
    <tabColor theme="0"/>
  </sheetPr>
  <dimension ref="A1:D64"/>
  <sheetViews>
    <sheetView showGridLines="0" tabSelected="1" zoomScaleNormal="100" workbookViewId="0"/>
  </sheetViews>
  <sheetFormatPr defaultRowHeight="14.25" x14ac:dyDescent="0.2"/>
  <cols>
    <col min="1" max="1" width="64.5" customWidth="1"/>
    <col min="2" max="2" width="2.75" customWidth="1"/>
    <col min="3" max="4" width="41.125" customWidth="1"/>
    <col min="5" max="5" width="32.125" customWidth="1"/>
  </cols>
  <sheetData>
    <row r="1" spans="1:4" s="1" customFormat="1" ht="18.75" x14ac:dyDescent="0.2">
      <c r="A1" s="1" t="s">
        <v>15</v>
      </c>
      <c r="C1" s="1" t="s">
        <v>215</v>
      </c>
    </row>
    <row r="2" spans="1:4" x14ac:dyDescent="0.2">
      <c r="A2" s="4" t="s">
        <v>16</v>
      </c>
      <c r="B2" s="4"/>
    </row>
    <row r="3" spans="1:4" x14ac:dyDescent="0.2">
      <c r="A3" s="4" t="s">
        <v>3</v>
      </c>
      <c r="B3" s="4"/>
    </row>
    <row r="4" spans="1:4" x14ac:dyDescent="0.2">
      <c r="A4" s="4"/>
      <c r="B4" s="4"/>
    </row>
    <row r="5" spans="1:4" x14ac:dyDescent="0.2">
      <c r="B5" s="4"/>
    </row>
    <row r="6" spans="1:4" x14ac:dyDescent="0.2">
      <c r="B6" s="4"/>
    </row>
    <row r="7" spans="1:4" x14ac:dyDescent="0.2">
      <c r="B7" s="4"/>
    </row>
    <row r="8" spans="1:4" x14ac:dyDescent="0.2">
      <c r="B8" s="4"/>
    </row>
    <row r="9" spans="1:4" x14ac:dyDescent="0.2">
      <c r="A9" s="3" t="s">
        <v>6</v>
      </c>
      <c r="B9" s="4"/>
    </row>
    <row r="10" spans="1:4" x14ac:dyDescent="0.2">
      <c r="A10" t="s">
        <v>12</v>
      </c>
      <c r="B10" s="4"/>
      <c r="C10" s="7" t="s">
        <v>14</v>
      </c>
      <c r="D10" s="6" t="s">
        <v>13</v>
      </c>
    </row>
    <row r="21" spans="1:2" x14ac:dyDescent="0.2">
      <c r="B21" s="4"/>
    </row>
    <row r="22" spans="1:2" x14ac:dyDescent="0.2">
      <c r="B22" s="4"/>
    </row>
    <row r="23" spans="1:2" x14ac:dyDescent="0.2">
      <c r="B23" s="4"/>
    </row>
    <row r="24" spans="1:2" x14ac:dyDescent="0.2">
      <c r="B24" s="4"/>
    </row>
    <row r="25" spans="1:2" x14ac:dyDescent="0.2">
      <c r="A25" s="12" t="s">
        <v>65</v>
      </c>
      <c r="B25" s="4"/>
    </row>
    <row r="26" spans="1:2" x14ac:dyDescent="0.2">
      <c r="B26" s="4"/>
    </row>
    <row r="27" spans="1:2" s="11" customFormat="1" ht="18.75" x14ac:dyDescent="0.2">
      <c r="A27" s="8" t="s">
        <v>7</v>
      </c>
    </row>
    <row r="28" spans="1:2" x14ac:dyDescent="0.2">
      <c r="A28" s="4" t="s">
        <v>43</v>
      </c>
      <c r="B28" s="4"/>
    </row>
    <row r="29" spans="1:2" x14ac:dyDescent="0.2">
      <c r="B29" s="4"/>
    </row>
    <row r="30" spans="1:2" ht="18.75" x14ac:dyDescent="0.2">
      <c r="A30" s="10" t="s">
        <v>14</v>
      </c>
      <c r="B30" s="4"/>
    </row>
    <row r="31" spans="1:2" x14ac:dyDescent="0.2">
      <c r="A31" s="4"/>
      <c r="B31" s="4"/>
    </row>
    <row r="32" spans="1:2" x14ac:dyDescent="0.2">
      <c r="A32" s="3" t="s">
        <v>207</v>
      </c>
      <c r="B32" s="4"/>
    </row>
    <row r="33" spans="1:3" x14ac:dyDescent="0.2">
      <c r="A33" s="2" t="s">
        <v>4</v>
      </c>
      <c r="B33" s="4"/>
      <c r="C33" s="5" t="s">
        <v>206</v>
      </c>
    </row>
    <row r="34" spans="1:3" x14ac:dyDescent="0.2">
      <c r="B34" s="4"/>
      <c r="C34" s="4" t="s">
        <v>42</v>
      </c>
    </row>
    <row r="35" spans="1:3" x14ac:dyDescent="0.2">
      <c r="B35" s="4"/>
      <c r="C35" s="4" t="s">
        <v>41</v>
      </c>
    </row>
    <row r="36" spans="1:3" x14ac:dyDescent="0.2">
      <c r="B36" s="4"/>
    </row>
    <row r="37" spans="1:3" x14ac:dyDescent="0.2">
      <c r="A37" s="3" t="s">
        <v>208</v>
      </c>
      <c r="B37" s="4"/>
    </row>
    <row r="38" spans="1:3" x14ac:dyDescent="0.2">
      <c r="B38" s="4"/>
      <c r="C38" s="4" t="s">
        <v>209</v>
      </c>
    </row>
    <row r="39" spans="1:3" x14ac:dyDescent="0.2">
      <c r="B39" s="4"/>
      <c r="C39" s="4" t="s">
        <v>210</v>
      </c>
    </row>
    <row r="40" spans="1:3" x14ac:dyDescent="0.2">
      <c r="B40" s="4"/>
    </row>
    <row r="41" spans="1:3" x14ac:dyDescent="0.2">
      <c r="B41" s="4"/>
    </row>
    <row r="42" spans="1:3" x14ac:dyDescent="0.2">
      <c r="B42" s="4"/>
    </row>
    <row r="43" spans="1:3" x14ac:dyDescent="0.2">
      <c r="B43" s="4"/>
    </row>
    <row r="44" spans="1:3" x14ac:dyDescent="0.2">
      <c r="B44" s="4"/>
    </row>
    <row r="45" spans="1:3" x14ac:dyDescent="0.2">
      <c r="B45" s="4"/>
    </row>
    <row r="46" spans="1:3" x14ac:dyDescent="0.2">
      <c r="B46" s="4"/>
    </row>
    <row r="47" spans="1:3" x14ac:dyDescent="0.2">
      <c r="B47" s="4"/>
    </row>
    <row r="48" spans="1:3" x14ac:dyDescent="0.2">
      <c r="B48" s="4"/>
    </row>
    <row r="49" spans="1:3" x14ac:dyDescent="0.2">
      <c r="B49" s="4"/>
    </row>
    <row r="50" spans="1:3" x14ac:dyDescent="0.2">
      <c r="B50" s="4"/>
    </row>
    <row r="51" spans="1:3" x14ac:dyDescent="0.2">
      <c r="B51" s="4"/>
    </row>
    <row r="52" spans="1:3" x14ac:dyDescent="0.2">
      <c r="B52" s="4"/>
    </row>
    <row r="53" spans="1:3" x14ac:dyDescent="0.2">
      <c r="B53" s="4"/>
    </row>
    <row r="54" spans="1:3" x14ac:dyDescent="0.2">
      <c r="B54" s="4"/>
    </row>
    <row r="55" spans="1:3" x14ac:dyDescent="0.2">
      <c r="B55" s="4"/>
    </row>
    <row r="56" spans="1:3" x14ac:dyDescent="0.2">
      <c r="B56" s="4"/>
    </row>
    <row r="57" spans="1:3" x14ac:dyDescent="0.2">
      <c r="A57" s="3" t="s">
        <v>211</v>
      </c>
      <c r="B57" s="4"/>
    </row>
    <row r="58" spans="1:3" x14ac:dyDescent="0.2">
      <c r="B58" s="4"/>
      <c r="C58" s="4" t="s">
        <v>40</v>
      </c>
    </row>
    <row r="59" spans="1:3" x14ac:dyDescent="0.2">
      <c r="B59" s="4"/>
      <c r="C59" s="9" t="s">
        <v>39</v>
      </c>
    </row>
    <row r="64" spans="1:3" s="22" customFormat="1" x14ac:dyDescent="0.2"/>
  </sheetData>
  <phoneticPr fontId="14" type="noConversion"/>
  <hyperlinks>
    <hyperlink ref="C10" location="Data!A1" display="Gå til Data                                                                                             " xr:uid="{9B8CED4D-F14C-41F1-803E-2B7A27A06F63}"/>
    <hyperlink ref="D10" location="V_Manual_Data" display="Gå til Manual i brug af Data arket                                          " xr:uid="{A7144529-0FD3-42E4-A567-5FBAD4D70DA0}"/>
    <hyperlink ref="A30" location="Data!A1" display="Gå til Data                                                                                             " xr:uid="{C05C224F-FFE7-4D48-BA4F-5EDD23C44E5C}"/>
    <hyperlink ref="A25" r:id="rId1" xr:uid="{CE916863-CD22-4D14-AD70-B2D06A131314}"/>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325ABF-FC12-4AD0-97F4-64A873F0B28D}">
  <sheetPr codeName="Sheet4">
    <tabColor theme="4"/>
  </sheetPr>
  <dimension ref="A1:CV13"/>
  <sheetViews>
    <sheetView workbookViewId="0"/>
  </sheetViews>
  <sheetFormatPr defaultRowHeight="14.25" x14ac:dyDescent="0.2"/>
  <cols>
    <col min="1" max="100" width="19.125" customWidth="1"/>
  </cols>
  <sheetData>
    <row r="1" spans="1:100" s="3" customFormat="1" x14ac:dyDescent="0.2">
      <c r="A1" s="42" t="s">
        <v>8</v>
      </c>
      <c r="B1" s="42" t="s">
        <v>45</v>
      </c>
      <c r="C1" s="42" t="s">
        <v>44</v>
      </c>
      <c r="D1" s="42" t="s">
        <v>47</v>
      </c>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42"/>
      <c r="AX1" s="42"/>
      <c r="AY1" s="42"/>
      <c r="AZ1" s="42"/>
      <c r="BA1" s="42"/>
      <c r="BB1" s="42"/>
      <c r="BC1" s="42"/>
      <c r="BD1" s="42"/>
      <c r="BE1" s="42"/>
      <c r="BF1" s="42"/>
      <c r="BG1" s="42"/>
      <c r="BH1" s="42"/>
      <c r="BI1" s="42"/>
      <c r="BJ1" s="42"/>
      <c r="BK1" s="42"/>
      <c r="BL1" s="42"/>
      <c r="BM1" s="42"/>
      <c r="BN1" s="42"/>
      <c r="BO1" s="42"/>
      <c r="BP1" s="42"/>
      <c r="BQ1" s="42"/>
      <c r="BR1" s="42"/>
      <c r="BS1" s="42"/>
      <c r="BT1" s="42"/>
      <c r="BU1" s="42"/>
      <c r="BV1" s="42"/>
      <c r="BW1" s="42"/>
      <c r="BX1" s="42"/>
      <c r="BY1" s="42"/>
      <c r="BZ1" s="42"/>
      <c r="CA1" s="42"/>
      <c r="CB1" s="42"/>
      <c r="CC1" s="42"/>
      <c r="CD1" s="42"/>
      <c r="CE1" s="42"/>
      <c r="CF1" s="42"/>
      <c r="CG1" s="42"/>
      <c r="CH1" s="42"/>
      <c r="CI1" s="42"/>
      <c r="CJ1" s="42"/>
      <c r="CK1" s="42"/>
      <c r="CL1" s="42"/>
      <c r="CM1" s="42"/>
      <c r="CN1" s="42"/>
      <c r="CO1" s="42"/>
      <c r="CP1" s="42"/>
      <c r="CQ1" s="42"/>
      <c r="CR1" s="42"/>
      <c r="CS1" s="42"/>
      <c r="CT1" s="42"/>
      <c r="CU1" s="42"/>
      <c r="CV1" s="42"/>
    </row>
    <row r="2" spans="1:100" x14ac:dyDescent="0.2">
      <c r="A2">
        <v>1.2989587493526971</v>
      </c>
      <c r="B2">
        <v>2</v>
      </c>
      <c r="C2" t="b">
        <v>0</v>
      </c>
      <c r="D2" t="b">
        <v>0</v>
      </c>
    </row>
    <row r="3" spans="1:100" x14ac:dyDescent="0.2">
      <c r="A3">
        <v>-1.1469596428732241</v>
      </c>
      <c r="B3">
        <v>-3.2725647568992748</v>
      </c>
      <c r="C3" t="b">
        <v>0</v>
      </c>
      <c r="D3" t="b">
        <v>1</v>
      </c>
    </row>
    <row r="4" spans="1:100" x14ac:dyDescent="0.2">
      <c r="A4">
        <v>-0.40935481016144565</v>
      </c>
      <c r="B4">
        <v>2.0315172703350726</v>
      </c>
      <c r="C4" t="b">
        <v>0</v>
      </c>
      <c r="D4" t="b">
        <v>0</v>
      </c>
    </row>
    <row r="5" spans="1:100" x14ac:dyDescent="0.2">
      <c r="A5">
        <v>-1.479592604535932</v>
      </c>
      <c r="B5">
        <v>-2.2379718387660041</v>
      </c>
      <c r="C5" t="b">
        <v>0</v>
      </c>
      <c r="D5" t="b">
        <v>0</v>
      </c>
    </row>
    <row r="6" spans="1:100" x14ac:dyDescent="0.2">
      <c r="A6">
        <v>1.8110756828005981</v>
      </c>
      <c r="B6">
        <v>4</v>
      </c>
      <c r="C6" t="b">
        <v>0</v>
      </c>
      <c r="D6" t="b">
        <v>0</v>
      </c>
    </row>
    <row r="7" spans="1:100" x14ac:dyDescent="0.2">
      <c r="A7">
        <v>8</v>
      </c>
      <c r="B7">
        <v>5</v>
      </c>
      <c r="C7" t="b">
        <v>1</v>
      </c>
      <c r="D7" t="b">
        <v>1</v>
      </c>
    </row>
    <row r="8" spans="1:100" x14ac:dyDescent="0.2">
      <c r="A8">
        <v>-0.30723615599325882</v>
      </c>
      <c r="B8">
        <v>2.0228895016109072</v>
      </c>
      <c r="C8" t="b">
        <v>0</v>
      </c>
      <c r="D8" t="b">
        <v>0</v>
      </c>
    </row>
    <row r="9" spans="1:100" x14ac:dyDescent="0.2">
      <c r="A9">
        <v>13</v>
      </c>
      <c r="B9">
        <v>9</v>
      </c>
      <c r="C9" t="b">
        <v>0</v>
      </c>
      <c r="D9" t="b">
        <v>1</v>
      </c>
    </row>
    <row r="10" spans="1:100" x14ac:dyDescent="0.2">
      <c r="A10">
        <v>1.3803796539630533</v>
      </c>
      <c r="B10">
        <v>6.3251059591845431</v>
      </c>
      <c r="C10" t="b">
        <v>1</v>
      </c>
      <c r="D10" t="b">
        <v>1</v>
      </c>
    </row>
    <row r="11" spans="1:100" x14ac:dyDescent="0.2">
      <c r="A11">
        <v>8.4427372017371785E-2</v>
      </c>
      <c r="B11">
        <v>5.4220501567463426</v>
      </c>
      <c r="C11" t="b">
        <v>1</v>
      </c>
      <c r="D11" t="b">
        <v>1</v>
      </c>
    </row>
    <row r="12" spans="1:100" x14ac:dyDescent="0.2">
      <c r="A12">
        <v>0.91409189597286977</v>
      </c>
      <c r="B12">
        <v>9.7085240838788316</v>
      </c>
      <c r="C12" t="b">
        <v>0</v>
      </c>
      <c r="D12" t="b">
        <v>0</v>
      </c>
    </row>
    <row r="13" spans="1:100" x14ac:dyDescent="0.2">
      <c r="A13">
        <v>-0.89773712069108735</v>
      </c>
      <c r="B13">
        <v>9.7085240838788316</v>
      </c>
      <c r="C13" t="b">
        <v>0</v>
      </c>
      <c r="D13" t="b">
        <v>0</v>
      </c>
    </row>
  </sheetData>
  <phoneticPr fontId="14" type="noConversion"/>
  <dataValidations xWindow="103" yWindow="250" count="2">
    <dataValidation allowBlank="1" showInputMessage="1" showErrorMessage="1" promptTitle="Eksempel overskrift" prompt="Overskriften til hvert observationssæt skal være unik." sqref="A1" xr:uid="{08870AA2-D5D3-4885-A05F-5AF496214B3F}"/>
    <dataValidation allowBlank="1" showInputMessage="1" showErrorMessage="1" promptTitle="Eksempel data" prompt="Data må ikke indeholde blanke celler._x000a_Data skal enten være tal eller Sand/Falsk." sqref="A2:A13" xr:uid="{C3CBEA53-4036-4D82-B754-5A683357DBA4}"/>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61A48-E0ED-449C-85DB-8AD2A6266EE9}">
  <sheetPr codeName="Sheet5"/>
  <dimension ref="A1:CW6"/>
  <sheetViews>
    <sheetView showGridLines="0" workbookViewId="0">
      <selection activeCell="C1" sqref="C1"/>
    </sheetView>
  </sheetViews>
  <sheetFormatPr defaultRowHeight="14.25" x14ac:dyDescent="0.2"/>
  <cols>
    <col min="1" max="1" width="19.125" customWidth="1"/>
  </cols>
  <sheetData>
    <row r="1" spans="1:101" x14ac:dyDescent="0.2">
      <c r="A1" t="s">
        <v>46</v>
      </c>
      <c r="B1" cm="1">
        <f t="array" ref="B1">SUM(--_xlfn.ANCHORARRAY(B4))</f>
        <v>4</v>
      </c>
    </row>
    <row r="2" spans="1:101" x14ac:dyDescent="0.2">
      <c r="A2" t="s">
        <v>201</v>
      </c>
      <c r="B2">
        <f>MAX(B5:CW5)</f>
        <v>12</v>
      </c>
    </row>
    <row r="3" spans="1:101" x14ac:dyDescent="0.2">
      <c r="A3" t="s">
        <v>203</v>
      </c>
      <c r="B3">
        <f>_xlfn.XMATCH(TRUE,_xlfn.ANCHORARRAY(B4),0,-1)</f>
        <v>4</v>
      </c>
    </row>
    <row r="4" spans="1:101" x14ac:dyDescent="0.2">
      <c r="A4" t="s">
        <v>202</v>
      </c>
      <c r="B4" t="b" cm="1">
        <f t="array" ref="B4:CW4">NOT(ISBLANK(Data!A1:CV1))</f>
        <v>1</v>
      </c>
      <c r="C4" t="b">
        <v>1</v>
      </c>
      <c r="D4" t="b">
        <v>1</v>
      </c>
      <c r="E4" t="b">
        <v>1</v>
      </c>
      <c r="F4" t="b">
        <v>0</v>
      </c>
      <c r="G4" t="b">
        <v>0</v>
      </c>
      <c r="H4" t="b">
        <v>0</v>
      </c>
      <c r="I4" t="b">
        <v>0</v>
      </c>
      <c r="J4" t="b">
        <v>0</v>
      </c>
      <c r="K4" t="b">
        <v>0</v>
      </c>
      <c r="L4" t="b">
        <v>0</v>
      </c>
      <c r="M4" t="b">
        <v>0</v>
      </c>
      <c r="N4" t="b">
        <v>0</v>
      </c>
      <c r="O4" t="b">
        <v>0</v>
      </c>
      <c r="P4" t="b">
        <v>0</v>
      </c>
      <c r="Q4" t="b">
        <v>0</v>
      </c>
      <c r="R4" t="b">
        <v>0</v>
      </c>
      <c r="S4" t="b">
        <v>0</v>
      </c>
      <c r="T4" t="b">
        <v>0</v>
      </c>
      <c r="U4" t="b">
        <v>0</v>
      </c>
      <c r="V4" t="b">
        <v>0</v>
      </c>
      <c r="W4" t="b">
        <v>0</v>
      </c>
      <c r="X4" t="b">
        <v>0</v>
      </c>
      <c r="Y4" t="b">
        <v>0</v>
      </c>
      <c r="Z4" t="b">
        <v>0</v>
      </c>
      <c r="AA4" t="b">
        <v>0</v>
      </c>
      <c r="AB4" t="b">
        <v>0</v>
      </c>
      <c r="AC4" t="b">
        <v>0</v>
      </c>
      <c r="AD4" t="b">
        <v>0</v>
      </c>
      <c r="AE4" t="b">
        <v>0</v>
      </c>
      <c r="AF4" t="b">
        <v>0</v>
      </c>
      <c r="AG4" t="b">
        <v>0</v>
      </c>
      <c r="AH4" t="b">
        <v>0</v>
      </c>
      <c r="AI4" t="b">
        <v>0</v>
      </c>
      <c r="AJ4" t="b">
        <v>0</v>
      </c>
      <c r="AK4" t="b">
        <v>0</v>
      </c>
      <c r="AL4" t="b">
        <v>0</v>
      </c>
      <c r="AM4" t="b">
        <v>0</v>
      </c>
      <c r="AN4" t="b">
        <v>0</v>
      </c>
      <c r="AO4" t="b">
        <v>0</v>
      </c>
      <c r="AP4" t="b">
        <v>0</v>
      </c>
      <c r="AQ4" t="b">
        <v>0</v>
      </c>
      <c r="AR4" t="b">
        <v>0</v>
      </c>
      <c r="AS4" t="b">
        <v>0</v>
      </c>
      <c r="AT4" t="b">
        <v>0</v>
      </c>
      <c r="AU4" t="b">
        <v>0</v>
      </c>
      <c r="AV4" t="b">
        <v>0</v>
      </c>
      <c r="AW4" t="b">
        <v>0</v>
      </c>
      <c r="AX4" t="b">
        <v>0</v>
      </c>
      <c r="AY4" t="b">
        <v>0</v>
      </c>
      <c r="AZ4" t="b">
        <v>0</v>
      </c>
      <c r="BA4" t="b">
        <v>0</v>
      </c>
      <c r="BB4" t="b">
        <v>0</v>
      </c>
      <c r="BC4" t="b">
        <v>0</v>
      </c>
      <c r="BD4" t="b">
        <v>0</v>
      </c>
      <c r="BE4" t="b">
        <v>0</v>
      </c>
      <c r="BF4" t="b">
        <v>0</v>
      </c>
      <c r="BG4" t="b">
        <v>0</v>
      </c>
      <c r="BH4" t="b">
        <v>0</v>
      </c>
      <c r="BI4" t="b">
        <v>0</v>
      </c>
      <c r="BJ4" t="b">
        <v>0</v>
      </c>
      <c r="BK4" t="b">
        <v>0</v>
      </c>
      <c r="BL4" t="b">
        <v>0</v>
      </c>
      <c r="BM4" t="b">
        <v>0</v>
      </c>
      <c r="BN4" t="b">
        <v>0</v>
      </c>
      <c r="BO4" t="b">
        <v>0</v>
      </c>
      <c r="BP4" t="b">
        <v>0</v>
      </c>
      <c r="BQ4" t="b">
        <v>0</v>
      </c>
      <c r="BR4" t="b">
        <v>0</v>
      </c>
      <c r="BS4" t="b">
        <v>0</v>
      </c>
      <c r="BT4" t="b">
        <v>0</v>
      </c>
      <c r="BU4" t="b">
        <v>0</v>
      </c>
      <c r="BV4" t="b">
        <v>0</v>
      </c>
      <c r="BW4" t="b">
        <v>0</v>
      </c>
      <c r="BX4" t="b">
        <v>0</v>
      </c>
      <c r="BY4" t="b">
        <v>0</v>
      </c>
      <c r="BZ4" t="b">
        <v>0</v>
      </c>
      <c r="CA4" t="b">
        <v>0</v>
      </c>
      <c r="CB4" t="b">
        <v>0</v>
      </c>
      <c r="CC4" t="b">
        <v>0</v>
      </c>
      <c r="CD4" t="b">
        <v>0</v>
      </c>
      <c r="CE4" t="b">
        <v>0</v>
      </c>
      <c r="CF4" t="b">
        <v>0</v>
      </c>
      <c r="CG4" t="b">
        <v>0</v>
      </c>
      <c r="CH4" t="b">
        <v>0</v>
      </c>
      <c r="CI4" t="b">
        <v>0</v>
      </c>
      <c r="CJ4" t="b">
        <v>0</v>
      </c>
      <c r="CK4" t="b">
        <v>0</v>
      </c>
      <c r="CL4" t="b">
        <v>0</v>
      </c>
      <c r="CM4" t="b">
        <v>0</v>
      </c>
      <c r="CN4" t="b">
        <v>0</v>
      </c>
      <c r="CO4" t="b">
        <v>0</v>
      </c>
      <c r="CP4" t="b">
        <v>0</v>
      </c>
      <c r="CQ4" t="b">
        <v>0</v>
      </c>
      <c r="CR4" t="b">
        <v>0</v>
      </c>
      <c r="CS4" t="b">
        <v>0</v>
      </c>
      <c r="CT4" t="b">
        <v>0</v>
      </c>
      <c r="CU4" t="b">
        <v>0</v>
      </c>
      <c r="CV4" t="b">
        <v>0</v>
      </c>
      <c r="CW4" t="b">
        <v>0</v>
      </c>
    </row>
    <row r="5" spans="1:101" x14ac:dyDescent="0.2">
      <c r="A5" t="s">
        <v>9</v>
      </c>
      <c r="B5">
        <f>IF(B4,COUNTA(INDEX(Data!$A:$CV,,B6))-1,0)</f>
        <v>12</v>
      </c>
      <c r="C5">
        <f>IF(C4,COUNTA(INDEX(Data!$A:$CV,,C6))-1,0)</f>
        <v>12</v>
      </c>
      <c r="D5">
        <f>IF(D4,COUNTA(INDEX(Data!$A:$CV,,D6))-1,0)</f>
        <v>12</v>
      </c>
      <c r="E5">
        <f>IF(E4,COUNTA(INDEX(Data!$A:$CV,,E6))-1,0)</f>
        <v>12</v>
      </c>
      <c r="F5">
        <f>IF(F4,COUNTA(INDEX(Data!$A:$CV,,F6))-1,0)</f>
        <v>0</v>
      </c>
      <c r="G5">
        <f>IF(G4,COUNTA(INDEX(Data!$A:$CV,,G6))-1,0)</f>
        <v>0</v>
      </c>
      <c r="H5">
        <f>IF(H4,COUNTA(INDEX(Data!$A:$CV,,H6))-1,0)</f>
        <v>0</v>
      </c>
      <c r="I5">
        <f>IF(I4,COUNTA(INDEX(Data!$A:$CV,,I6))-1,0)</f>
        <v>0</v>
      </c>
      <c r="J5">
        <f>IF(J4,COUNTA(INDEX(Data!$A:$CV,,J6))-1,0)</f>
        <v>0</v>
      </c>
      <c r="K5">
        <f>IF(K4,COUNTA(INDEX(Data!$A:$CV,,K6))-1,0)</f>
        <v>0</v>
      </c>
      <c r="L5">
        <f>IF(L4,COUNTA(INDEX(Data!$A:$CV,,L6))-1,0)</f>
        <v>0</v>
      </c>
      <c r="M5">
        <f>IF(M4,COUNTA(INDEX(Data!$A:$CV,,M6))-1,0)</f>
        <v>0</v>
      </c>
      <c r="N5">
        <f>IF(N4,COUNTA(INDEX(Data!$A:$CV,,N6))-1,0)</f>
        <v>0</v>
      </c>
      <c r="O5">
        <f>IF(O4,COUNTA(INDEX(Data!$A:$CV,,O6))-1,0)</f>
        <v>0</v>
      </c>
      <c r="P5">
        <f>IF(P4,COUNTA(INDEX(Data!$A:$CV,,P6))-1,0)</f>
        <v>0</v>
      </c>
      <c r="Q5">
        <f>IF(Q4,COUNTA(INDEX(Data!$A:$CV,,Q6))-1,0)</f>
        <v>0</v>
      </c>
      <c r="R5">
        <f>IF(R4,COUNTA(INDEX(Data!$A:$CV,,R6))-1,0)</f>
        <v>0</v>
      </c>
      <c r="S5">
        <f>IF(S4,COUNTA(INDEX(Data!$A:$CV,,S6))-1,0)</f>
        <v>0</v>
      </c>
      <c r="T5">
        <f>IF(T4,COUNTA(INDEX(Data!$A:$CV,,T6))-1,0)</f>
        <v>0</v>
      </c>
      <c r="U5">
        <f>IF(U4,COUNTA(INDEX(Data!$A:$CV,,U6))-1,0)</f>
        <v>0</v>
      </c>
      <c r="V5">
        <f>IF(V4,COUNTA(INDEX(Data!$A:$CV,,V6))-1,0)</f>
        <v>0</v>
      </c>
      <c r="W5">
        <f>IF(W4,COUNTA(INDEX(Data!$A:$CV,,W6))-1,0)</f>
        <v>0</v>
      </c>
      <c r="X5">
        <f>IF(X4,COUNTA(INDEX(Data!$A:$CV,,X6))-1,0)</f>
        <v>0</v>
      </c>
      <c r="Y5">
        <f>IF(Y4,COUNTA(INDEX(Data!$A:$CV,,Y6))-1,0)</f>
        <v>0</v>
      </c>
      <c r="Z5">
        <f>IF(Z4,COUNTA(INDEX(Data!$A:$CV,,Z6))-1,0)</f>
        <v>0</v>
      </c>
      <c r="AA5">
        <f>IF(AA4,COUNTA(INDEX(Data!$A:$CV,,AA6))-1,0)</f>
        <v>0</v>
      </c>
      <c r="AB5">
        <f>IF(AB4,COUNTA(INDEX(Data!$A:$CV,,AB6))-1,0)</f>
        <v>0</v>
      </c>
      <c r="AC5">
        <f>IF(AC4,COUNTA(INDEX(Data!$A:$CV,,AC6))-1,0)</f>
        <v>0</v>
      </c>
      <c r="AD5">
        <f>IF(AD4,COUNTA(INDEX(Data!$A:$CV,,AD6))-1,0)</f>
        <v>0</v>
      </c>
      <c r="AE5">
        <f>IF(AE4,COUNTA(INDEX(Data!$A:$CV,,AE6))-1,0)</f>
        <v>0</v>
      </c>
      <c r="AF5">
        <f>IF(AF4,COUNTA(INDEX(Data!$A:$CV,,AF6))-1,0)</f>
        <v>0</v>
      </c>
      <c r="AG5">
        <f>IF(AG4,COUNTA(INDEX(Data!$A:$CV,,AG6))-1,0)</f>
        <v>0</v>
      </c>
      <c r="AH5">
        <f>IF(AH4,COUNTA(INDEX(Data!$A:$CV,,AH6))-1,0)</f>
        <v>0</v>
      </c>
      <c r="AI5">
        <f>IF(AI4,COUNTA(INDEX(Data!$A:$CV,,AI6))-1,0)</f>
        <v>0</v>
      </c>
      <c r="AJ5">
        <f>IF(AJ4,COUNTA(INDEX(Data!$A:$CV,,AJ6))-1,0)</f>
        <v>0</v>
      </c>
      <c r="AK5">
        <f>IF(AK4,COUNTA(INDEX(Data!$A:$CV,,AK6))-1,0)</f>
        <v>0</v>
      </c>
      <c r="AL5">
        <f>IF(AL4,COUNTA(INDEX(Data!$A:$CV,,AL6))-1,0)</f>
        <v>0</v>
      </c>
      <c r="AM5">
        <f>IF(AM4,COUNTA(INDEX(Data!$A:$CV,,AM6))-1,0)</f>
        <v>0</v>
      </c>
      <c r="AN5">
        <f>IF(AN4,COUNTA(INDEX(Data!$A:$CV,,AN6))-1,0)</f>
        <v>0</v>
      </c>
      <c r="AO5">
        <f>IF(AO4,COUNTA(INDEX(Data!$A:$CV,,AO6))-1,0)</f>
        <v>0</v>
      </c>
      <c r="AP5">
        <f>IF(AP4,COUNTA(INDEX(Data!$A:$CV,,AP6))-1,0)</f>
        <v>0</v>
      </c>
      <c r="AQ5">
        <f>IF(AQ4,COUNTA(INDEX(Data!$A:$CV,,AQ6))-1,0)</f>
        <v>0</v>
      </c>
      <c r="AR5">
        <f>IF(AR4,COUNTA(INDEX(Data!$A:$CV,,AR6))-1,0)</f>
        <v>0</v>
      </c>
      <c r="AS5">
        <f>IF(AS4,COUNTA(INDEX(Data!$A:$CV,,AS6))-1,0)</f>
        <v>0</v>
      </c>
      <c r="AT5">
        <f>IF(AT4,COUNTA(INDEX(Data!$A:$CV,,AT6))-1,0)</f>
        <v>0</v>
      </c>
      <c r="AU5">
        <f>IF(AU4,COUNTA(INDEX(Data!$A:$CV,,AU6))-1,0)</f>
        <v>0</v>
      </c>
      <c r="AV5">
        <f>IF(AV4,COUNTA(INDEX(Data!$A:$CV,,AV6))-1,0)</f>
        <v>0</v>
      </c>
      <c r="AW5">
        <f>IF(AW4,COUNTA(INDEX(Data!$A:$CV,,AW6))-1,0)</f>
        <v>0</v>
      </c>
      <c r="AX5">
        <f>IF(AX4,COUNTA(INDEX(Data!$A:$CV,,AX6))-1,0)</f>
        <v>0</v>
      </c>
      <c r="AY5">
        <f>IF(AY4,COUNTA(INDEX(Data!$A:$CV,,AY6))-1,0)</f>
        <v>0</v>
      </c>
      <c r="AZ5">
        <f>IF(AZ4,COUNTA(INDEX(Data!$A:$CV,,AZ6))-1,0)</f>
        <v>0</v>
      </c>
      <c r="BA5">
        <f>IF(BA4,COUNTA(INDEX(Data!$A:$CV,,BA6))-1,0)</f>
        <v>0</v>
      </c>
      <c r="BB5">
        <f>IF(BB4,COUNTA(INDEX(Data!$A:$CV,,BB6))-1,0)</f>
        <v>0</v>
      </c>
      <c r="BC5">
        <f>IF(BC4,COUNTA(INDEX(Data!$A:$CV,,BC6))-1,0)</f>
        <v>0</v>
      </c>
      <c r="BD5">
        <f>IF(BD4,COUNTA(INDEX(Data!$A:$CV,,BD6))-1,0)</f>
        <v>0</v>
      </c>
      <c r="BE5">
        <f>IF(BE4,COUNTA(INDEX(Data!$A:$CV,,BE6))-1,0)</f>
        <v>0</v>
      </c>
      <c r="BF5">
        <f>IF(BF4,COUNTA(INDEX(Data!$A:$CV,,BF6))-1,0)</f>
        <v>0</v>
      </c>
      <c r="BG5">
        <f>IF(BG4,COUNTA(INDEX(Data!$A:$CV,,BG6))-1,0)</f>
        <v>0</v>
      </c>
      <c r="BH5">
        <f>IF(BH4,COUNTA(INDEX(Data!$A:$CV,,BH6))-1,0)</f>
        <v>0</v>
      </c>
      <c r="BI5">
        <f>IF(BI4,COUNTA(INDEX(Data!$A:$CV,,BI6))-1,0)</f>
        <v>0</v>
      </c>
      <c r="BJ5">
        <f>IF(BJ4,COUNTA(INDEX(Data!$A:$CV,,BJ6))-1,0)</f>
        <v>0</v>
      </c>
      <c r="BK5">
        <f>IF(BK4,COUNTA(INDEX(Data!$A:$CV,,BK6))-1,0)</f>
        <v>0</v>
      </c>
      <c r="BL5">
        <f>IF(BL4,COUNTA(INDEX(Data!$A:$CV,,BL6))-1,0)</f>
        <v>0</v>
      </c>
      <c r="BM5">
        <f>IF(BM4,COUNTA(INDEX(Data!$A:$CV,,BM6))-1,0)</f>
        <v>0</v>
      </c>
      <c r="BN5">
        <f>IF(BN4,COUNTA(INDEX(Data!$A:$CV,,BN6))-1,0)</f>
        <v>0</v>
      </c>
      <c r="BO5">
        <f>IF(BO4,COUNTA(INDEX(Data!$A:$CV,,BO6))-1,0)</f>
        <v>0</v>
      </c>
      <c r="BP5">
        <f>IF(BP4,COUNTA(INDEX(Data!$A:$CV,,BP6))-1,0)</f>
        <v>0</v>
      </c>
      <c r="BQ5">
        <f>IF(BQ4,COUNTA(INDEX(Data!$A:$CV,,BQ6))-1,0)</f>
        <v>0</v>
      </c>
      <c r="BR5">
        <f>IF(BR4,COUNTA(INDEX(Data!$A:$CV,,BR6))-1,0)</f>
        <v>0</v>
      </c>
      <c r="BS5">
        <f>IF(BS4,COUNTA(INDEX(Data!$A:$CV,,BS6))-1,0)</f>
        <v>0</v>
      </c>
      <c r="BT5">
        <f>IF(BT4,COUNTA(INDEX(Data!$A:$CV,,BT6))-1,0)</f>
        <v>0</v>
      </c>
      <c r="BU5">
        <f>IF(BU4,COUNTA(INDEX(Data!$A:$CV,,BU6))-1,0)</f>
        <v>0</v>
      </c>
      <c r="BV5">
        <f>IF(BV4,COUNTA(INDEX(Data!$A:$CV,,BV6))-1,0)</f>
        <v>0</v>
      </c>
      <c r="BW5">
        <f>IF(BW4,COUNTA(INDEX(Data!$A:$CV,,BW6))-1,0)</f>
        <v>0</v>
      </c>
      <c r="BX5">
        <f>IF(BX4,COUNTA(INDEX(Data!$A:$CV,,BX6))-1,0)</f>
        <v>0</v>
      </c>
      <c r="BY5">
        <f>IF(BY4,COUNTA(INDEX(Data!$A:$CV,,BY6))-1,0)</f>
        <v>0</v>
      </c>
      <c r="BZ5">
        <f>IF(BZ4,COUNTA(INDEX(Data!$A:$CV,,BZ6))-1,0)</f>
        <v>0</v>
      </c>
      <c r="CA5">
        <f>IF(CA4,COUNTA(INDEX(Data!$A:$CV,,CA6))-1,0)</f>
        <v>0</v>
      </c>
      <c r="CB5">
        <f>IF(CB4,COUNTA(INDEX(Data!$A:$CV,,CB6))-1,0)</f>
        <v>0</v>
      </c>
      <c r="CC5">
        <f>IF(CC4,COUNTA(INDEX(Data!$A:$CV,,CC6))-1,0)</f>
        <v>0</v>
      </c>
      <c r="CD5">
        <f>IF(CD4,COUNTA(INDEX(Data!$A:$CV,,CD6))-1,0)</f>
        <v>0</v>
      </c>
      <c r="CE5">
        <f>IF(CE4,COUNTA(INDEX(Data!$A:$CV,,CE6))-1,0)</f>
        <v>0</v>
      </c>
      <c r="CF5">
        <f>IF(CF4,COUNTA(INDEX(Data!$A:$CV,,CF6))-1,0)</f>
        <v>0</v>
      </c>
      <c r="CG5">
        <f>IF(CG4,COUNTA(INDEX(Data!$A:$CV,,CG6))-1,0)</f>
        <v>0</v>
      </c>
      <c r="CH5">
        <f>IF(CH4,COUNTA(INDEX(Data!$A:$CV,,CH6))-1,0)</f>
        <v>0</v>
      </c>
      <c r="CI5">
        <f>IF(CI4,COUNTA(INDEX(Data!$A:$CV,,CI6))-1,0)</f>
        <v>0</v>
      </c>
      <c r="CJ5">
        <f>IF(CJ4,COUNTA(INDEX(Data!$A:$CV,,CJ6))-1,0)</f>
        <v>0</v>
      </c>
      <c r="CK5">
        <f>IF(CK4,COUNTA(INDEX(Data!$A:$CV,,CK6))-1,0)</f>
        <v>0</v>
      </c>
      <c r="CL5">
        <f>IF(CL4,COUNTA(INDEX(Data!$A:$CV,,CL6))-1,0)</f>
        <v>0</v>
      </c>
      <c r="CM5">
        <f>IF(CM4,COUNTA(INDEX(Data!$A:$CV,,CM6))-1,0)</f>
        <v>0</v>
      </c>
      <c r="CN5">
        <f>IF(CN4,COUNTA(INDEX(Data!$A:$CV,,CN6))-1,0)</f>
        <v>0</v>
      </c>
      <c r="CO5">
        <f>IF(CO4,COUNTA(INDEX(Data!$A:$CV,,CO6))-1,0)</f>
        <v>0</v>
      </c>
      <c r="CP5">
        <f>IF(CP4,COUNTA(INDEX(Data!$A:$CV,,CP6))-1,0)</f>
        <v>0</v>
      </c>
      <c r="CQ5">
        <f>IF(CQ4,COUNTA(INDEX(Data!$A:$CV,,CQ6))-1,0)</f>
        <v>0</v>
      </c>
      <c r="CR5">
        <f>IF(CR4,COUNTA(INDEX(Data!$A:$CV,,CR6))-1,0)</f>
        <v>0</v>
      </c>
      <c r="CS5">
        <f>IF(CS4,COUNTA(INDEX(Data!$A:$CV,,CS6))-1,0)</f>
        <v>0</v>
      </c>
      <c r="CT5">
        <f>IF(CT4,COUNTA(INDEX(Data!$A:$CV,,CT6))-1,0)</f>
        <v>0</v>
      </c>
      <c r="CU5">
        <f>IF(CU4,COUNTA(INDEX(Data!$A:$CV,,CU6))-1,0)</f>
        <v>0</v>
      </c>
      <c r="CV5">
        <f>IF(CV4,COUNTA(INDEX(Data!$A:$CV,,CV6))-1,0)</f>
        <v>0</v>
      </c>
      <c r="CW5">
        <f>IF(CW4,COUNTA(INDEX(Data!$A:$CV,,CW6))-1,0)</f>
        <v>0</v>
      </c>
    </row>
    <row r="6" spans="1:101" x14ac:dyDescent="0.2">
      <c r="A6" t="s">
        <v>72</v>
      </c>
      <c r="B6" cm="1">
        <f t="array" ref="B6:E6">_xlfn.SEQUENCE(,B3)</f>
        <v>1</v>
      </c>
      <c r="C6">
        <v>2</v>
      </c>
      <c r="D6">
        <v>3</v>
      </c>
      <c r="E6">
        <v>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A3E4A4-CE0E-4196-B177-1BC5375F3726}">
  <sheetPr codeName="Sheet16"/>
  <dimension ref="A1:G10"/>
  <sheetViews>
    <sheetView showGridLines="0" workbookViewId="0">
      <selection activeCell="C1" sqref="C1"/>
    </sheetView>
  </sheetViews>
  <sheetFormatPr defaultRowHeight="14.25" x14ac:dyDescent="0.2"/>
  <cols>
    <col min="1" max="3" width="33" customWidth="1"/>
    <col min="4" max="4" width="20" bestFit="1" customWidth="1"/>
    <col min="5" max="5" width="17.375" bestFit="1" customWidth="1"/>
    <col min="6" max="6" width="26.5" bestFit="1" customWidth="1"/>
    <col min="7" max="7" width="38.25" bestFit="1" customWidth="1"/>
    <col min="8" max="8" width="21.25" customWidth="1"/>
  </cols>
  <sheetData>
    <row r="1" spans="1:7" ht="18.75" x14ac:dyDescent="0.2">
      <c r="A1" s="1" t="s">
        <v>77</v>
      </c>
      <c r="B1" s="1" t="s">
        <v>83</v>
      </c>
      <c r="C1" s="1" t="s">
        <v>205</v>
      </c>
      <c r="D1" s="1" t="s">
        <v>197</v>
      </c>
      <c r="E1" s="1" t="s">
        <v>198</v>
      </c>
      <c r="F1" s="1" t="s">
        <v>199</v>
      </c>
      <c r="G1" s="1" t="s">
        <v>200</v>
      </c>
    </row>
    <row r="2" spans="1:7" x14ac:dyDescent="0.2">
      <c r="A2" t="s">
        <v>78</v>
      </c>
      <c r="B2" t="b">
        <f>TRUE()</f>
        <v>1</v>
      </c>
      <c r="C2" t="str" cm="1">
        <f t="array" ref="C2:C5">TRANSPOSE(_xlfn._xlws.FILTER(Data!A1:CV1,NOT(ISBLANK(Data!A1:CV1))))</f>
        <v>Eksempel 1 (interval)</v>
      </c>
      <c r="D2" s="17" t="s">
        <v>11</v>
      </c>
      <c r="E2" s="17" t="s">
        <v>19</v>
      </c>
      <c r="F2" t="s">
        <v>11</v>
      </c>
      <c r="G2" t="s">
        <v>19</v>
      </c>
    </row>
    <row r="3" spans="1:7" x14ac:dyDescent="0.2">
      <c r="A3" t="s">
        <v>79</v>
      </c>
      <c r="B3" t="b">
        <f>FALSE()</f>
        <v>0</v>
      </c>
      <c r="C3" t="str">
        <v>Eksempel 2 (interval)</v>
      </c>
      <c r="D3" s="17" t="s">
        <v>48</v>
      </c>
      <c r="E3" s="17" t="s">
        <v>21</v>
      </c>
      <c r="F3" t="s">
        <v>23</v>
      </c>
      <c r="G3" t="s">
        <v>21</v>
      </c>
    </row>
    <row r="4" spans="1:7" x14ac:dyDescent="0.2">
      <c r="C4" t="str">
        <v>Eksempel 3 (nominal)</v>
      </c>
      <c r="D4" s="17" t="s">
        <v>49</v>
      </c>
      <c r="E4" s="17" t="s">
        <v>32</v>
      </c>
      <c r="F4" t="s">
        <v>24</v>
      </c>
      <c r="G4" t="s">
        <v>29</v>
      </c>
    </row>
    <row r="5" spans="1:7" x14ac:dyDescent="0.2">
      <c r="C5" t="str">
        <v>Eksempel 4 (nominal)</v>
      </c>
      <c r="D5" s="17" t="s">
        <v>18</v>
      </c>
      <c r="E5" s="17" t="s">
        <v>33</v>
      </c>
      <c r="F5" t="s">
        <v>25</v>
      </c>
      <c r="G5" t="s">
        <v>31</v>
      </c>
    </row>
    <row r="6" spans="1:7" x14ac:dyDescent="0.2">
      <c r="F6" t="s">
        <v>26</v>
      </c>
      <c r="G6" t="s">
        <v>32</v>
      </c>
    </row>
    <row r="7" spans="1:7" x14ac:dyDescent="0.2">
      <c r="F7" t="s">
        <v>27</v>
      </c>
      <c r="G7" t="s">
        <v>33</v>
      </c>
    </row>
    <row r="8" spans="1:7" x14ac:dyDescent="0.2">
      <c r="F8" t="s">
        <v>28</v>
      </c>
      <c r="G8" t="s">
        <v>34</v>
      </c>
    </row>
    <row r="9" spans="1:7" x14ac:dyDescent="0.2">
      <c r="G9" t="s">
        <v>22</v>
      </c>
    </row>
    <row r="10" spans="1:7" x14ac:dyDescent="0.2">
      <c r="G10" t="s">
        <v>30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CA1DF-FBA4-4C89-A7E1-F2AE14752666}">
  <sheetPr codeName="Sheet13">
    <tabColor theme="9"/>
  </sheetPr>
  <dimension ref="A1:CU2735"/>
  <sheetViews>
    <sheetView showGridLines="0" zoomScaleNormal="100" workbookViewId="0"/>
  </sheetViews>
  <sheetFormatPr defaultRowHeight="14.25" x14ac:dyDescent="0.2"/>
  <cols>
    <col min="1" max="1" width="46.625" customWidth="1"/>
    <col min="2" max="5" width="33.5" customWidth="1"/>
    <col min="6" max="6" width="4.125" customWidth="1"/>
    <col min="7" max="7" width="46.625" customWidth="1"/>
    <col min="8" max="8" width="33.5" customWidth="1"/>
    <col min="9" max="9" width="20.25" customWidth="1"/>
    <col min="10" max="10" width="46.625" customWidth="1"/>
    <col min="11" max="11" width="33.5" customWidth="1"/>
    <col min="12" max="42" width="13.25" customWidth="1"/>
    <col min="43" max="43" width="43.125" bestFit="1" customWidth="1"/>
    <col min="44" max="44" width="10.625" bestFit="1" customWidth="1"/>
    <col min="45" max="45" width="15.375" bestFit="1" customWidth="1"/>
    <col min="46" max="46" width="13.75" bestFit="1" customWidth="1"/>
    <col min="47" max="48" width="14.625" bestFit="1" customWidth="1"/>
    <col min="49" max="49" width="10.625" bestFit="1" customWidth="1"/>
    <col min="50" max="51" width="15.625" bestFit="1" customWidth="1"/>
    <col min="52" max="52" width="31.125" bestFit="1" customWidth="1"/>
    <col min="53" max="53" width="94.875" bestFit="1" customWidth="1"/>
    <col min="54" max="54" width="14.875" bestFit="1" customWidth="1"/>
    <col min="55" max="55" width="17.875" bestFit="1" customWidth="1"/>
    <col min="56" max="56" width="6.5" bestFit="1" customWidth="1"/>
    <col min="57" max="57" width="23.25" bestFit="1" customWidth="1"/>
    <col min="58" max="58" width="24.5" bestFit="1" customWidth="1"/>
    <col min="59" max="59" width="18.5" bestFit="1" customWidth="1"/>
    <col min="60" max="60" width="19.625" bestFit="1" customWidth="1"/>
    <col min="61" max="61" width="18.25" bestFit="1" customWidth="1"/>
    <col min="62" max="62" width="27.375" bestFit="1" customWidth="1"/>
    <col min="63" max="63" width="14" bestFit="1" customWidth="1"/>
    <col min="64" max="64" width="31.5" bestFit="1" customWidth="1"/>
    <col min="65" max="65" width="11.25" bestFit="1" customWidth="1"/>
    <col min="66" max="66" width="27.875" bestFit="1" customWidth="1"/>
    <col min="67" max="68" width="17.625" bestFit="1" customWidth="1"/>
    <col min="69" max="69" width="20.75" bestFit="1" customWidth="1"/>
    <col min="70" max="71" width="18.75" bestFit="1" customWidth="1"/>
    <col min="72" max="72" width="22" bestFit="1" customWidth="1"/>
    <col min="73" max="73" width="12.375" bestFit="1" customWidth="1"/>
    <col min="74" max="74" width="15.625" bestFit="1" customWidth="1"/>
    <col min="75" max="75" width="17" bestFit="1" customWidth="1"/>
    <col min="76" max="77" width="18.5" bestFit="1" customWidth="1"/>
    <col min="78" max="78" width="21.75" bestFit="1" customWidth="1"/>
    <col min="79" max="79" width="27.125" bestFit="1" customWidth="1"/>
    <col min="80" max="80" width="17.375" bestFit="1" customWidth="1"/>
    <col min="81" max="81" width="113.75" bestFit="1" customWidth="1"/>
    <col min="82" max="82" width="19" bestFit="1" customWidth="1"/>
    <col min="83" max="84" width="14" bestFit="1" customWidth="1"/>
    <col min="85" max="85" width="17.375" bestFit="1" customWidth="1"/>
    <col min="86" max="86" width="22.875" bestFit="1" customWidth="1"/>
    <col min="87" max="87" width="15.625" bestFit="1" customWidth="1"/>
    <col min="88" max="88" width="58" customWidth="1"/>
    <col min="89" max="89" width="18.75" bestFit="1" customWidth="1"/>
    <col min="90" max="90" width="14" bestFit="1" customWidth="1"/>
    <col min="91" max="91" width="15.375" bestFit="1" customWidth="1"/>
    <col min="92" max="92" width="17.125" bestFit="1" customWidth="1"/>
    <col min="93" max="93" width="22.625" bestFit="1" customWidth="1"/>
    <col min="94" max="94" width="15.375" bestFit="1" customWidth="1"/>
    <col min="95" max="95" width="39.125" bestFit="1" customWidth="1"/>
    <col min="96" max="96" width="45.125" customWidth="1"/>
  </cols>
  <sheetData>
    <row r="1" spans="1:99" s="1" customFormat="1" ht="18.75" x14ac:dyDescent="0.2">
      <c r="A1" s="31" t="s">
        <v>52</v>
      </c>
      <c r="B1" s="32" t="s">
        <v>51</v>
      </c>
    </row>
    <row r="2" spans="1:99" x14ac:dyDescent="0.2">
      <c r="A2" s="21" t="s">
        <v>187</v>
      </c>
      <c r="B2" s="13"/>
    </row>
    <row r="4" spans="1:99" x14ac:dyDescent="0.2">
      <c r="A4" s="16" t="s">
        <v>82</v>
      </c>
      <c r="C4" s="3" t="s">
        <v>214</v>
      </c>
    </row>
    <row r="5" spans="1:99" x14ac:dyDescent="0.2">
      <c r="A5" s="18" t="s">
        <v>2</v>
      </c>
      <c r="B5" s="14">
        <v>0.95</v>
      </c>
    </row>
    <row r="7" spans="1:99" x14ac:dyDescent="0.2">
      <c r="A7" s="15" t="s">
        <v>204</v>
      </c>
      <c r="BE7" s="24"/>
    </row>
    <row r="8" spans="1:99" x14ac:dyDescent="0.2">
      <c r="AQ8" s="23" t="s">
        <v>109</v>
      </c>
      <c r="AR8" s="23" t="s">
        <v>106</v>
      </c>
      <c r="AS8" s="23" t="s">
        <v>107</v>
      </c>
      <c r="AT8" s="23" t="s">
        <v>108</v>
      </c>
      <c r="AU8" s="23" t="s">
        <v>110</v>
      </c>
      <c r="AV8" s="23" t="s">
        <v>111</v>
      </c>
      <c r="AW8" s="37" t="s">
        <v>80</v>
      </c>
      <c r="AX8" s="37" t="s">
        <v>117</v>
      </c>
      <c r="AY8" s="37" t="s">
        <v>118</v>
      </c>
      <c r="AZ8" s="37" t="s">
        <v>112</v>
      </c>
      <c r="BA8" s="23" t="s">
        <v>141</v>
      </c>
      <c r="BB8" s="37" t="s">
        <v>125</v>
      </c>
      <c r="BC8" s="37" t="s">
        <v>124</v>
      </c>
      <c r="BD8" s="37" t="s">
        <v>76</v>
      </c>
      <c r="BE8" s="37" t="s">
        <v>147</v>
      </c>
      <c r="BF8" s="37" t="s">
        <v>148</v>
      </c>
      <c r="BG8" s="37" t="s">
        <v>126</v>
      </c>
      <c r="BH8" s="37" t="s">
        <v>127</v>
      </c>
      <c r="BI8" s="37" t="s">
        <v>64</v>
      </c>
      <c r="BJ8" s="37" t="s">
        <v>128</v>
      </c>
      <c r="BK8" s="37" t="s">
        <v>50</v>
      </c>
      <c r="BL8" s="37" t="s">
        <v>129</v>
      </c>
      <c r="BM8" s="37" t="s">
        <v>146</v>
      </c>
      <c r="BN8" s="37" t="s">
        <v>145</v>
      </c>
      <c r="BO8" s="37" t="s">
        <v>133</v>
      </c>
      <c r="BP8" s="37" t="s">
        <v>134</v>
      </c>
      <c r="BQ8" s="37" t="s">
        <v>132</v>
      </c>
      <c r="BR8" s="37" t="s">
        <v>135</v>
      </c>
      <c r="BS8" s="37" t="s">
        <v>136</v>
      </c>
      <c r="BT8" s="37" t="s">
        <v>137</v>
      </c>
      <c r="BU8" s="37" t="s">
        <v>138</v>
      </c>
      <c r="BV8" s="37" t="s">
        <v>139</v>
      </c>
      <c r="BW8" s="37" t="s">
        <v>140</v>
      </c>
      <c r="BX8" s="37" t="s">
        <v>149</v>
      </c>
      <c r="BY8" s="37" t="s">
        <v>150</v>
      </c>
      <c r="BZ8" s="37" t="s">
        <v>151</v>
      </c>
      <c r="CA8" s="37" t="s">
        <v>152</v>
      </c>
      <c r="CB8" s="37" t="s">
        <v>190</v>
      </c>
      <c r="CC8" s="23" t="s">
        <v>155</v>
      </c>
      <c r="CD8" s="37" t="s">
        <v>164</v>
      </c>
      <c r="CE8" s="37" t="s">
        <v>5</v>
      </c>
      <c r="CF8" s="37" t="s">
        <v>162</v>
      </c>
      <c r="CG8" s="37" t="s">
        <v>160</v>
      </c>
      <c r="CH8" s="37" t="s">
        <v>161</v>
      </c>
      <c r="CI8" s="37" t="s">
        <v>165</v>
      </c>
      <c r="CJ8" s="23" t="s">
        <v>183</v>
      </c>
      <c r="CK8" s="37" t="s">
        <v>174</v>
      </c>
      <c r="CL8" s="37" t="s">
        <v>5</v>
      </c>
      <c r="CM8" s="37" t="s">
        <v>179</v>
      </c>
      <c r="CN8" s="37" t="s">
        <v>175</v>
      </c>
      <c r="CO8" s="37" t="s">
        <v>176</v>
      </c>
      <c r="CP8" s="37" t="s">
        <v>177</v>
      </c>
      <c r="CQ8" s="23" t="s">
        <v>46</v>
      </c>
      <c r="CS8" s="15" t="s">
        <v>188</v>
      </c>
    </row>
    <row r="9" spans="1:99" x14ac:dyDescent="0.2">
      <c r="AQ9" s="30" t="s">
        <v>121</v>
      </c>
      <c r="AR9" cm="1">
        <f t="array" ref="AR9:AR2735">_xlfn.SEQUENCE(AQ29)</f>
        <v>1</v>
      </c>
      <c r="AS9" cm="1">
        <f t="array" ref="AS9:AS2735">_xlfn.LET(_xlpm.a,MOD(_xlfn.ANCHORARRAY(AR9),AQ27+1),IF(_xlpm.a=0,NA(),_xlpm.a))</f>
        <v>1</v>
      </c>
      <c r="AT9" cm="1">
        <f t="array" ref="AT9:AT2735">IF(ISNA(_xlfn.ANCHORARRAY(AS9)),NA(),ROUNDUP(_xlfn.ANCHORARRAY(AR9)/(AQ27+1),0))</f>
        <v>1</v>
      </c>
      <c r="AU9" cm="1">
        <f t="array" ref="AU9:AU2735">AQ15+AQ19/(AQ27-1)*(_xlfn.ANCHORARRAY(AS9)-1)</f>
        <v>-11.066593778562057</v>
      </c>
      <c r="AV9" cm="1">
        <f t="array" ref="AV9:AV2735">_xlfn.NORM.DIST(_xlfn.ANCHORARRAY(AU9),INDEX(_xlfn.ANCHORARRAY(CS12),,_xlfn.ANCHORARRAY(AT9)),INDEX(_xlfn.ANCHORARRAY(CS17),,_xlfn.ANCHORARRAY(AT9)),FALSE)</f>
        <v>1.0290193250511765E-3</v>
      </c>
      <c r="AW9" cm="1">
        <f t="array" ref="AW9:AW11">_xlfn.SEQUENCE(CQ9)</f>
        <v>1</v>
      </c>
      <c r="AX9" cm="1">
        <f t="array" ref="AX9:AX11">TRANSPOSE(_xlfn.ANCHORARRAY(CS12))</f>
        <v>1.8540044183209705</v>
      </c>
      <c r="AY9" cm="1">
        <f t="array" ref="AY9:AY11">_xlfn.MAXIFS(_xlfn.ANCHORARRAY(AV9),_xlfn.ANCHORARRAY(AT9),_xlfn.ANCHORARRAY(AW9))</f>
        <v>9.2628974814029333E-2</v>
      </c>
      <c r="AZ9" t="str" cm="1">
        <f t="array" ref="AZ9:AZ11">TRANSPOSE(_xlfn.ANCHORARRAY(CS9)&amp;"
N(μ="&amp;_xlfn.ANCHORARRAY(CS20)&amp;";σ="&amp;_xlfn.ANCHORARRAY(CS21)&amp;")")</f>
        <v>Eksempel 1 (interval)
N(μ=1.854;σ=4.307)</v>
      </c>
      <c r="BA9" s="30" t="str">
        <f>"Multiple sammenligninger med bonferroni justering
Der er "&amp;BA27&amp;" par variable med signifikant forskellige gennemsnit"</f>
        <v>Multiple sammenligninger med bonferroni justering
Der er 0 par variable med signifikant forskellige gennemsnit</v>
      </c>
      <c r="BB9" cm="1">
        <f t="array" ref="BB9:BB11">_xlfn.SEQUENCE(CQ9)</f>
        <v>1</v>
      </c>
      <c r="BC9" cm="1">
        <f t="array" ref="BC9:BC11">_xlfn.ANCHORARRAY(BB9)*(_xlfn.ANCHORARRAY(BB9)-1)/2</f>
        <v>0</v>
      </c>
      <c r="BD9" cm="1">
        <f t="array" ref="BD9:BD11">_xlfn.SEQUENCE(BA15,,0)</f>
        <v>0</v>
      </c>
      <c r="BE9" cm="1">
        <f t="array" ref="BE9:BE11">MATCH(_xlfn.ANCHORARRAY(BD9),_xlfn.ANCHORARRAY(BC9),1)</f>
        <v>1</v>
      </c>
      <c r="BF9" cm="1">
        <f t="array" ref="BF9:BF11">_xlfn.ANCHORARRAY(BD9)-INDEX(_xlfn.ANCHORARRAY(BC9),_xlfn.ANCHORARRAY(BE9))+1</f>
        <v>1</v>
      </c>
      <c r="BG9" t="str" cm="1">
        <f t="array" ref="BG9:BG11">INDEX(_xlfn.ANCHORARRAY(CS9),_xlfn.ANCHORARRAY(BE9)+1)</f>
        <v>Eksempel 2 (interval)</v>
      </c>
      <c r="BH9" t="str" cm="1">
        <f t="array" ref="BH9:BH11">INDEX(_xlfn.ANCHORARRAY(CS9),_xlfn.ANCHORARRAY(BF9))</f>
        <v>Eksempel 1 (interval)</v>
      </c>
      <c r="BI9" cm="1">
        <f t="array" ref="BI9:BI11">INDEX(_xlfn.ANCHORARRAY(CS12),_xlfn.ANCHORARRAY(BE9)+1)-INDEX(_xlfn.ANCHORARRAY(CS12),_xlfn.ANCHORARRAY(BF9))</f>
        <v>2.2883351200097994</v>
      </c>
      <c r="BJ9" cm="1">
        <f t="array" ref="BJ9:BJ11">_xlfn.ANCHORARRAY(BI9)/SQRT(D60*(1/INDEX(_xlfn.ANCHORARRAY(CS11),_xlfn.ANCHORARRAY(BE9)+1)+1/INDEX(_xlfn.ANCHORARRAY(CS11),_xlfn.ANCHORARRAY(BF9))))</f>
        <v>1.5923633543369773</v>
      </c>
      <c r="BK9" cm="1">
        <f t="array" ref="BK9:BK11">_xlfn.T.DIST.2T(ABS(_xlfn.ANCHORARRAY(BJ9)),B60)</f>
        <v>0.12083811074122473</v>
      </c>
      <c r="BL9" t="b" cm="1">
        <f t="array" ref="BL9:BL11">_xlfn.ANCHORARRAY(BK9)&lt;BA17</f>
        <v>0</v>
      </c>
      <c r="BM9" t="str" cm="1">
        <f t="array" ref="BM9:BM11">ROUND(_xlfn.ANCHORARRAY(BI9),BA23)&amp;IF(_xlfn.ANCHORARRAY(BL9),"*","")</f>
        <v>2.288</v>
      </c>
      <c r="BN9" cm="1">
        <f t="array" ref="BN9:BN11">IF(_xlfn.ANCHORARRAY(BL9),BA25,-BA25)</f>
        <v>-0.4054651081081645</v>
      </c>
      <c r="BO9" cm="1">
        <f t="array" ref="BO9:BO10">_xlfn.SEQUENCE(CQ9-1,,0,0)</f>
        <v>0</v>
      </c>
      <c r="BP9" cm="1">
        <f t="array" ref="BP9:BP10">_xlfn.SEQUENCE(CQ9-1)</f>
        <v>1</v>
      </c>
      <c r="BQ9" t="str" cm="1">
        <f t="array" ref="BQ9:BQ10">INDEX(_xlfn.ANCHORARRAY(CS9),_xlfn.ANCHORARRAY(BP9))</f>
        <v>Eksempel 1 (interval)</v>
      </c>
      <c r="BR9" cm="1">
        <f t="array" ref="BR9:BR10">_xlfn.SEQUENCE(CQ9-1)</f>
        <v>1</v>
      </c>
      <c r="BS9" cm="1">
        <f t="array" ref="BS9:BS10">_xlfn.SEQUENCE(CQ9-1,,0,0)</f>
        <v>0</v>
      </c>
      <c r="BT9" t="str" cm="1">
        <f t="array" ref="BT9:BT10">INDEX(_xlfn.ANCHORARRAY(CS9),_xlfn.ANCHORARRAY(BR9)+1)</f>
        <v>Eksempel 2 (interval)</v>
      </c>
      <c r="BU9" cm="1">
        <f t="array" ref="BU9:BU12">_xlfn.SEQUENCE((CQ9-1)*2)</f>
        <v>1</v>
      </c>
      <c r="BV9" cm="1">
        <f t="array" ref="BV9:BV12">ROUNDUP(_xlfn.ANCHORARRAY(BU9)/(CQ9-1),0)</f>
        <v>1</v>
      </c>
      <c r="BW9" cm="1">
        <f t="array" ref="BW9:BW12">MOD(_xlfn.ANCHORARRAY(BU9)-1,CQ9-1)+1</f>
        <v>1</v>
      </c>
      <c r="BX9" cm="1">
        <f t="array" ref="BX9:BX12">CHOOSE(_xlfn.ANCHORARRAY(BV9),INDEX(_xlfn.ANCHORARRAY(BO9),_xlfn.ANCHORARRAY(BW9)),INDEX(_xlfn.ANCHORARRAY(BR9),_xlfn.ANCHORARRAY(BW9)))</f>
        <v>0</v>
      </c>
      <c r="BY9" cm="1">
        <f t="array" ref="BY9:BY12">CHOOSE(_xlfn.ANCHORARRAY(BV9),INDEX(_xlfn.ANCHORARRAY(BP9),_xlfn.ANCHORARRAY(BW9)),INDEX(_xlfn.ANCHORARRAY(BS9),_xlfn.ANCHORARRAY(BW9)))</f>
        <v>1</v>
      </c>
      <c r="BZ9" t="str" cm="1">
        <f t="array" ref="BZ9:BZ12">CHOOSE(_xlfn.ANCHORARRAY(BV9),INDEX(_xlfn.ANCHORARRAY(BQ9),_xlfn.ANCHORARRAY(BW9)),INDEX(_xlfn.ANCHORARRAY(BT9),_xlfn.ANCHORARRAY(BW9)))</f>
        <v>Eksempel 1 (interval)</v>
      </c>
      <c r="CA9" cm="1">
        <f t="array" ref="CA9:CA12">_xlfn.SEQUENCE((CQ9-1)*2,,1,0)</f>
        <v>1</v>
      </c>
      <c r="CB9" cm="1">
        <f t="array" ref="CB9:CB11">ABS(_xlfn.ANCHORARRAY(BI9))</f>
        <v>2.2883351200097994</v>
      </c>
      <c r="CC9" s="30" t="str">
        <f>"Hypotesetest om forskel mellem flere gennemsnit
Nulhypotese om at alle populationers gennemsnit er ens
"&amp;IF(CC37,"","kan ikke")&amp;" afvises med "&amp;B5*100&amp;"% konfidens"</f>
        <v>Hypotesetest om forskel mellem flere gennemsnit
Nulhypotese om at alle populationers gennemsnit er ens
 afvises med 95% konfidens</v>
      </c>
      <c r="CD9" cm="1">
        <f t="array" ref="CD9:CD258">_xlfn.SEQUENCE(CC17)</f>
        <v>1</v>
      </c>
      <c r="CE9" cm="1">
        <f t="array" ref="CE9:CE258">(_xlfn.ANCHORARRAY(CD9)-1)*CC19/(CC17-1)</f>
        <v>0</v>
      </c>
      <c r="CF9" cm="1">
        <f t="array" ref="CF9:CF258">_xlfn.F.DIST(_xlfn.ANCHORARRAY(CE9),B59,B60,FALSE)</f>
        <v>1</v>
      </c>
      <c r="CG9" cm="1">
        <f t="array" ref="CG9:CG258">IF(_xlfn.ANCHORARRAY(CE9)&lt;E59,_xlfn.ANCHORARRAY(CF9),NA())</f>
        <v>1</v>
      </c>
      <c r="CH9" t="e" cm="1">
        <f t="array" ref="CH9:CH258">IF(_xlfn.ANCHORARRAY(CE9)&gt;E59,_xlfn.ANCHORARRAY(CF9),NA())</f>
        <v>#N/A</v>
      </c>
      <c r="CI9" cm="1">
        <f t="array" ref="CI9:CI258">_xlfn.LET(_xlpm.a,ROUND(_xlfn.ANCHORARRAY(CE9),CC23),IF(_xlfn.ANCHORARRAY(CD9)=CC17,_xlpm.a,IF(MOD(_xlfn.ANCHORARRAY(CD9)-1,CC39)=0,_xlpm.a,"")))</f>
        <v>0</v>
      </c>
      <c r="CJ9" s="30" t="str">
        <f>"Hypotesetest om forskel mellem flere standardafvigelser (Bartlett's)
Nulhypotese om at alle populationers standardafvigelser er ens
"&amp;IF(CJ27,"","kan ikke")&amp;" afvises med "&amp;B5*100&amp;"% konfidens"</f>
        <v>Hypotesetest om forskel mellem flere standardafvigelser (Bartlett's)
Nulhypotese om at alle populationers standardafvigelser er ens
 afvises med 95% konfidens</v>
      </c>
      <c r="CK9" cm="1">
        <f t="array" ref="CK9:CK258">_xlfn.SEQUENCE(CJ17)</f>
        <v>1</v>
      </c>
      <c r="CL9" cm="1">
        <f t="array" ref="CL9:CL258">(_xlfn.ANCHORARRAY(CK9)-1)*CJ21/(CJ17-1)</f>
        <v>0</v>
      </c>
      <c r="CM9" cm="1">
        <f t="array" ref="CM9:CM258">_xlfn.CHISQ.DIST(_xlfn.ANCHORARRAY(CL9),CJ19,FALSE)</f>
        <v>0.5</v>
      </c>
      <c r="CN9" cm="1">
        <f t="array" ref="CN9:CN258">IF(_xlfn.ANCHORARRAY(CL9)&lt;CJ25,_xlfn.ANCHORARRAY(CM9),NA())</f>
        <v>0.5</v>
      </c>
      <c r="CO9" t="e" cm="1">
        <f t="array" ref="CO9:CO258">IF(_xlfn.ANCHORARRAY(CL9)&gt;CJ25,_xlfn.ANCHORARRAY(CM9),NA())</f>
        <v>#N/A</v>
      </c>
      <c r="CP9" cm="1">
        <f t="array" ref="CP9:CP258">_xlfn.LET(_xlpm.a,ROUND(_xlfn.ANCHORARRAY(CL9),CJ29),IF(_xlfn.ANCHORARRAY(CK9)=CJ17,_xlpm.a,IF(MOD(_xlfn.ANCHORARRAY(CK9)-1,ROUNDUP(CJ17/10,0))=0,_xlpm.a,"")))</f>
        <v>0</v>
      </c>
      <c r="CQ9" s="30">
        <f>COUNTA(_xlfn.ANCHORARRAY(CS9))</f>
        <v>3</v>
      </c>
      <c r="CR9" s="23" t="s">
        <v>88</v>
      </c>
      <c r="CS9" t="str" cm="1">
        <f t="array" ref="CS9:CU9">TRANSPOSE(_xlfn.LET(_xlpm.a,_xlfn.UNIQUE(ANOVA_valg[[Variable i ANOVA]:[Synlig]]),INDEX(_xlfn._xlws.FILTER(_xlpm.a,INDEX(_xlpm.a,,2)=1),,1)))</f>
        <v>Eksempel 1 (interval)</v>
      </c>
      <c r="CT9" t="str">
        <v>Eksempel 2 (interval)</v>
      </c>
      <c r="CU9" t="str">
        <v>Eksempel 4 (nominal)</v>
      </c>
    </row>
    <row r="10" spans="1:99" x14ac:dyDescent="0.2">
      <c r="AQ10" s="23" t="s">
        <v>119</v>
      </c>
      <c r="AR10">
        <v>2</v>
      </c>
      <c r="AS10">
        <v>2</v>
      </c>
      <c r="AT10">
        <v>1</v>
      </c>
      <c r="AU10">
        <v>-11.03565324724471</v>
      </c>
      <c r="AV10">
        <v>1.0514103317239135E-3</v>
      </c>
      <c r="AW10">
        <v>2</v>
      </c>
      <c r="AX10">
        <v>4.14233953833077</v>
      </c>
      <c r="AY10">
        <v>9.3107877228020858E-2</v>
      </c>
      <c r="AZ10" t="str">
        <v>Eksempel 2 (interval)
N(μ=4.142;σ=4.285)</v>
      </c>
      <c r="BA10" s="23" t="s">
        <v>142</v>
      </c>
      <c r="BB10">
        <v>2</v>
      </c>
      <c r="BC10">
        <v>1</v>
      </c>
      <c r="BD10">
        <v>1</v>
      </c>
      <c r="BE10">
        <v>2</v>
      </c>
      <c r="BF10">
        <v>1</v>
      </c>
      <c r="BG10" t="str">
        <v>Eksempel 4 (nominal)</v>
      </c>
      <c r="BH10" t="str">
        <v>Eksempel 1 (interval)</v>
      </c>
      <c r="BI10">
        <v>-1.4373377516543038</v>
      </c>
      <c r="BJ10">
        <v>-1.0001874041637813</v>
      </c>
      <c r="BK10">
        <v>0.32449780015273955</v>
      </c>
      <c r="BL10" t="b">
        <v>0</v>
      </c>
      <c r="BM10" t="str">
        <v>-1.437</v>
      </c>
      <c r="BN10">
        <v>-0.4054651081081645</v>
      </c>
      <c r="BO10">
        <v>0</v>
      </c>
      <c r="BP10">
        <v>2</v>
      </c>
      <c r="BQ10" t="str">
        <v>Eksempel 2 (interval)</v>
      </c>
      <c r="BR10">
        <v>2</v>
      </c>
      <c r="BS10">
        <v>0</v>
      </c>
      <c r="BT10" t="str">
        <v>Eksempel 4 (nominal)</v>
      </c>
      <c r="BU10">
        <v>2</v>
      </c>
      <c r="BV10">
        <v>1</v>
      </c>
      <c r="BW10">
        <v>2</v>
      </c>
      <c r="BX10">
        <v>0</v>
      </c>
      <c r="BY10">
        <v>2</v>
      </c>
      <c r="BZ10" t="str">
        <v>Eksempel 2 (interval)</v>
      </c>
      <c r="CA10">
        <v>1</v>
      </c>
      <c r="CB10">
        <v>1.4373377516543038</v>
      </c>
      <c r="CC10" s="23" t="s">
        <v>156</v>
      </c>
      <c r="CD10">
        <v>2</v>
      </c>
      <c r="CE10">
        <v>3.445193923182089E-2</v>
      </c>
      <c r="CF10">
        <v>0.96415631893896581</v>
      </c>
      <c r="CG10">
        <v>0.96415631893896581</v>
      </c>
      <c r="CH10" t="e">
        <v>#N/A</v>
      </c>
      <c r="CI10" t="str">
        <v/>
      </c>
      <c r="CJ10" s="23" t="s">
        <v>184</v>
      </c>
      <c r="CK10">
        <v>2</v>
      </c>
      <c r="CL10">
        <v>5.5483978144434828E-2</v>
      </c>
      <c r="CM10">
        <v>0.48631964299724262</v>
      </c>
      <c r="CN10">
        <v>0.48631964299724262</v>
      </c>
      <c r="CO10" t="e">
        <v>#N/A</v>
      </c>
      <c r="CP10" t="str">
        <v/>
      </c>
      <c r="CQ10" s="23" t="s">
        <v>89</v>
      </c>
      <c r="CR10" s="23" t="s">
        <v>90</v>
      </c>
      <c r="CS10" cm="1">
        <f t="array" ref="CS10:CU10">_xlfn.XMATCH(_xlfn.ANCHORARRAY(CS9),DataHeaders,0)</f>
        <v>1</v>
      </c>
      <c r="CT10">
        <v>2</v>
      </c>
      <c r="CU10">
        <v>4</v>
      </c>
    </row>
    <row r="11" spans="1:99" x14ac:dyDescent="0.2">
      <c r="AQ11" s="30" t="s">
        <v>122</v>
      </c>
      <c r="AR11">
        <v>3</v>
      </c>
      <c r="AS11">
        <v>3</v>
      </c>
      <c r="AT11">
        <v>1</v>
      </c>
      <c r="AU11">
        <v>-11.004712715927365</v>
      </c>
      <c r="AV11">
        <v>1.0742331143597441E-3</v>
      </c>
      <c r="AW11">
        <v>3</v>
      </c>
      <c r="AX11">
        <v>0.41666666666666669</v>
      </c>
      <c r="AY11">
        <v>0.77472523433896479</v>
      </c>
      <c r="AZ11" t="str">
        <v>Eksempel 4 (nominal)
N(μ=0.417;σ=0.515)</v>
      </c>
      <c r="BA11" s="30" t="s">
        <v>144</v>
      </c>
      <c r="BB11">
        <v>3</v>
      </c>
      <c r="BC11">
        <v>3</v>
      </c>
      <c r="BD11">
        <v>2</v>
      </c>
      <c r="BE11">
        <v>2</v>
      </c>
      <c r="BF11">
        <v>2</v>
      </c>
      <c r="BG11" t="str">
        <v>Eksempel 4 (nominal)</v>
      </c>
      <c r="BH11" t="str">
        <v>Eksempel 2 (interval)</v>
      </c>
      <c r="BI11">
        <v>-3.7256728716641034</v>
      </c>
      <c r="BJ11">
        <v>-2.5925507585007588</v>
      </c>
      <c r="BK11">
        <v>1.408858521335256E-2</v>
      </c>
      <c r="BL11" t="b">
        <v>0</v>
      </c>
      <c r="BM11" t="str">
        <v>-3.726</v>
      </c>
      <c r="BN11">
        <v>-0.4054651081081645</v>
      </c>
      <c r="BU11">
        <v>3</v>
      </c>
      <c r="BV11">
        <v>2</v>
      </c>
      <c r="BW11">
        <v>1</v>
      </c>
      <c r="BX11">
        <v>1</v>
      </c>
      <c r="BY11">
        <v>0</v>
      </c>
      <c r="BZ11" t="str">
        <v>Eksempel 2 (interval)</v>
      </c>
      <c r="CA11">
        <v>1</v>
      </c>
      <c r="CB11">
        <v>3.7256728716641034</v>
      </c>
      <c r="CC11" s="30" t="s">
        <v>37</v>
      </c>
      <c r="CD11">
        <v>3</v>
      </c>
      <c r="CE11">
        <v>6.8903878463641779E-2</v>
      </c>
      <c r="CF11">
        <v>0.92966803880132187</v>
      </c>
      <c r="CG11">
        <v>0.92966803880132187</v>
      </c>
      <c r="CH11" t="e">
        <v>#N/A</v>
      </c>
      <c r="CI11" t="str">
        <v/>
      </c>
      <c r="CJ11" s="30" t="s">
        <v>37</v>
      </c>
      <c r="CK11">
        <v>3</v>
      </c>
      <c r="CL11">
        <v>0.11096795628886966</v>
      </c>
      <c r="CM11">
        <v>0.47301359032993112</v>
      </c>
      <c r="CN11">
        <v>0.47301359032993112</v>
      </c>
      <c r="CO11" t="e">
        <v>#N/A</v>
      </c>
      <c r="CP11" t="str">
        <v/>
      </c>
      <c r="CQ11" s="30">
        <f>ROWS(Data)</f>
        <v>12</v>
      </c>
      <c r="CR11" s="23" t="s">
        <v>9</v>
      </c>
      <c r="CS11" cm="1">
        <f t="array" ref="CS11:CU11">MMULT(_xlfn.SEQUENCE(,CQ11,1,0),--NOT(ISBLANK(INDEX(Data,_xlfn.SEQUENCE(CQ11),_xlfn.ANCHORARRAY(CS10)))))</f>
        <v>12</v>
      </c>
      <c r="CT11">
        <v>12</v>
      </c>
      <c r="CU11">
        <v>12</v>
      </c>
    </row>
    <row r="12" spans="1:99" x14ac:dyDescent="0.2">
      <c r="AQ12" s="23" t="s">
        <v>120</v>
      </c>
      <c r="AR12">
        <v>4</v>
      </c>
      <c r="AS12">
        <v>4</v>
      </c>
      <c r="AT12">
        <v>1</v>
      </c>
      <c r="AU12">
        <v>-10.973772184610018</v>
      </c>
      <c r="AV12">
        <v>1.0974946641764966E-3</v>
      </c>
      <c r="BA12" s="23" t="s">
        <v>143</v>
      </c>
      <c r="BU12">
        <v>4</v>
      </c>
      <c r="BV12">
        <v>2</v>
      </c>
      <c r="BW12">
        <v>2</v>
      </c>
      <c r="BX12">
        <v>2</v>
      </c>
      <c r="BY12">
        <v>0</v>
      </c>
      <c r="BZ12" t="str">
        <v>Eksempel 4 (nominal)</v>
      </c>
      <c r="CA12">
        <v>1</v>
      </c>
      <c r="CC12" s="23" t="s">
        <v>157</v>
      </c>
      <c r="CD12">
        <v>4</v>
      </c>
      <c r="CE12">
        <v>0.10335581769546268</v>
      </c>
      <c r="CF12">
        <v>0.89648124620809611</v>
      </c>
      <c r="CG12">
        <v>0.89648124620809611</v>
      </c>
      <c r="CH12" t="e">
        <v>#N/A</v>
      </c>
      <c r="CI12" t="str">
        <v/>
      </c>
      <c r="CJ12" s="23" t="s">
        <v>185</v>
      </c>
      <c r="CK12">
        <v>4</v>
      </c>
      <c r="CL12">
        <v>0.16645193443330447</v>
      </c>
      <c r="CM12">
        <v>0.46007160076419201</v>
      </c>
      <c r="CN12">
        <v>0.46007160076419201</v>
      </c>
      <c r="CO12" t="e">
        <v>#N/A</v>
      </c>
      <c r="CP12" t="str">
        <v/>
      </c>
      <c r="CQ12" s="23" t="s">
        <v>91</v>
      </c>
      <c r="CR12" s="23" t="s">
        <v>0</v>
      </c>
      <c r="CS12" cm="1">
        <f t="array" ref="CS12:CU12">MMULT(_xlfn.SEQUENCE(,CQ11,1,0),--INDEX(Data,_xlfn.SEQUENCE(CQ11),_xlfn.ANCHORARRAY(CS10)))/_xlfn.ANCHORARRAY(CS11)</f>
        <v>1.8540044183209705</v>
      </c>
      <c r="CT12">
        <v>4.14233953833077</v>
      </c>
      <c r="CU12">
        <v>0.41666666666666669</v>
      </c>
    </row>
    <row r="13" spans="1:99" x14ac:dyDescent="0.2">
      <c r="AQ13" s="30" t="s">
        <v>122</v>
      </c>
      <c r="AR13">
        <v>5</v>
      </c>
      <c r="AS13">
        <v>5</v>
      </c>
      <c r="AT13">
        <v>1</v>
      </c>
      <c r="AU13">
        <v>-10.942831653292671</v>
      </c>
      <c r="AV13">
        <v>1.1212020552969838E-3</v>
      </c>
      <c r="BA13" s="30" t="s">
        <v>10</v>
      </c>
      <c r="CC13" s="30" t="s">
        <v>36</v>
      </c>
      <c r="CD13">
        <v>5</v>
      </c>
      <c r="CE13">
        <v>0.13780775692728356</v>
      </c>
      <c r="CF13">
        <v>0.86454427764871955</v>
      </c>
      <c r="CG13">
        <v>0.86454427764871955</v>
      </c>
      <c r="CH13" t="e">
        <v>#N/A</v>
      </c>
      <c r="CI13" t="str">
        <v/>
      </c>
      <c r="CJ13" s="30" t="s">
        <v>36</v>
      </c>
      <c r="CK13">
        <v>5</v>
      </c>
      <c r="CL13">
        <v>0.22193591257773931</v>
      </c>
      <c r="CM13">
        <v>0.44748371327362363</v>
      </c>
      <c r="CN13">
        <v>0.44748371327362363</v>
      </c>
      <c r="CO13" t="e">
        <v>#N/A</v>
      </c>
      <c r="CP13" t="str">
        <v/>
      </c>
      <c r="CQ13" s="30">
        <f>SUM(_xlfn.ANCHORARRAY(CS11))</f>
        <v>36</v>
      </c>
      <c r="CR13" s="23" t="s">
        <v>59</v>
      </c>
      <c r="CS13" cm="1">
        <f t="array" ref="CS13:CU13">_xlfn.ANCHORARRAY(CS11)*(_xlfn.ANCHORARRAY(CS12)-CQ15)^2</f>
        <v>0.96559536126396983</v>
      </c>
      <c r="CT13">
        <v>48.224389498556775</v>
      </c>
      <c r="CU13">
        <v>35.542238261998286</v>
      </c>
    </row>
    <row r="14" spans="1:99" x14ac:dyDescent="0.2">
      <c r="AQ14" s="23" t="s">
        <v>101</v>
      </c>
      <c r="AR14">
        <v>6</v>
      </c>
      <c r="AS14">
        <v>6</v>
      </c>
      <c r="AT14">
        <v>1</v>
      </c>
      <c r="AU14">
        <v>-10.911891121975325</v>
      </c>
      <c r="AV14">
        <v>1.1453624450681371E-3</v>
      </c>
      <c r="BA14" s="23" t="s">
        <v>123</v>
      </c>
      <c r="CC14" s="23" t="s">
        <v>163</v>
      </c>
      <c r="CD14">
        <v>6</v>
      </c>
      <c r="CE14">
        <v>0.17225969615910444</v>
      </c>
      <c r="CF14">
        <v>0.83380762121200558</v>
      </c>
      <c r="CG14">
        <v>0.83380762121200558</v>
      </c>
      <c r="CH14" t="e">
        <v>#N/A</v>
      </c>
      <c r="CI14" t="str">
        <v/>
      </c>
      <c r="CJ14" s="23" t="s">
        <v>186</v>
      </c>
      <c r="CK14">
        <v>6</v>
      </c>
      <c r="CL14">
        <v>0.2774198907221741</v>
      </c>
      <c r="CM14">
        <v>0.43524023937261824</v>
      </c>
      <c r="CN14">
        <v>0.43524023937261824</v>
      </c>
      <c r="CO14" t="e">
        <v>#N/A</v>
      </c>
      <c r="CP14" t="str">
        <v/>
      </c>
      <c r="CQ14" s="23" t="s">
        <v>92</v>
      </c>
      <c r="CR14" s="23" t="s">
        <v>60</v>
      </c>
      <c r="CS14" cm="1">
        <f t="array" ref="CS14:CU14">MMULT(_xlfn.SEQUENCE(,CQ11,1,0),IF(NOT(ISBLANK(INDEX(Data,_xlfn.SEQUENCE(CQ11),_xlfn.ANCHORARRAY(CS10)))),--INDEX(Data,_xlfn.SEQUENCE(CQ11),_xlfn.ANCHORARRAY(CS10))-_xlfn.ANCHORARRAY(CS12),0)^2)</f>
        <v>204.04004837980742</v>
      </c>
      <c r="CT14">
        <v>201.94609325648105</v>
      </c>
      <c r="CU14">
        <v>2.9166666666666665</v>
      </c>
    </row>
    <row r="15" spans="1:99" x14ac:dyDescent="0.2">
      <c r="AQ15" s="30">
        <f>MIN(_xlfn.ANCHORARRAY(CS18))</f>
        <v>-11.066593778562057</v>
      </c>
      <c r="AR15">
        <v>7</v>
      </c>
      <c r="AS15">
        <v>7</v>
      </c>
      <c r="AT15">
        <v>1</v>
      </c>
      <c r="AU15">
        <v>-10.88095059065798</v>
      </c>
      <c r="AV15">
        <v>1.1699830743653228E-3</v>
      </c>
      <c r="BA15" s="30">
        <f>CQ9*(CQ9-1)/2</f>
        <v>3</v>
      </c>
      <c r="CC15" s="30" t="str">
        <f>"F fordeling med "&amp;B59&amp;" og "&amp;B60&amp;" frihedsgrader"</f>
        <v>F fordeling med 2 og 33 frihedsgrader</v>
      </c>
      <c r="CD15">
        <v>7</v>
      </c>
      <c r="CE15">
        <v>0.20671163539092535</v>
      </c>
      <c r="CF15">
        <v>0.80422382279979376</v>
      </c>
      <c r="CG15">
        <v>0.80422382279979376</v>
      </c>
      <c r="CH15" t="e">
        <v>#N/A</v>
      </c>
      <c r="CI15" t="str">
        <v/>
      </c>
      <c r="CJ15" s="30" t="str">
        <f>"Chi i anden fordeling med "&amp;CJ19&amp;" frihedsgrader"</f>
        <v>Chi i anden fordeling med 2 frihedsgrader</v>
      </c>
      <c r="CK15">
        <v>7</v>
      </c>
      <c r="CL15">
        <v>0.33290386886660894</v>
      </c>
      <c r="CM15">
        <v>0.42333175565945225</v>
      </c>
      <c r="CN15">
        <v>0.42333175565945225</v>
      </c>
      <c r="CO15" t="e">
        <v>#N/A</v>
      </c>
      <c r="CP15" t="str">
        <v/>
      </c>
      <c r="CQ15" s="30">
        <f>SUMPRODUCT(_xlfn.ANCHORARRAY(CS11),_xlfn.ANCHORARRAY(CS12))/CQ13</f>
        <v>2.137670207772802</v>
      </c>
      <c r="CR15" s="37" t="s">
        <v>93</v>
      </c>
      <c r="CS15" cm="1">
        <f t="array" ref="CS15:CU15">_xlfn.ANCHORARRAY(CS11)-1</f>
        <v>11</v>
      </c>
      <c r="CT15">
        <v>11</v>
      </c>
      <c r="CU15">
        <v>11</v>
      </c>
    </row>
    <row r="16" spans="1:99" x14ac:dyDescent="0.2">
      <c r="AQ16" s="23" t="s">
        <v>102</v>
      </c>
      <c r="AR16">
        <v>8</v>
      </c>
      <c r="AS16">
        <v>8</v>
      </c>
      <c r="AT16">
        <v>1</v>
      </c>
      <c r="AU16">
        <v>-10.850010059340633</v>
      </c>
      <c r="AV16">
        <v>1.1950712678814519E-3</v>
      </c>
      <c r="BA16" s="23" t="s">
        <v>130</v>
      </c>
      <c r="CC16" s="23" t="s">
        <v>158</v>
      </c>
      <c r="CD16">
        <v>8</v>
      </c>
      <c r="CE16">
        <v>0.24116357462274624</v>
      </c>
      <c r="CF16">
        <v>0.77574739661012126</v>
      </c>
      <c r="CG16">
        <v>0.77574739661012126</v>
      </c>
      <c r="CH16" t="e">
        <v>#N/A</v>
      </c>
      <c r="CI16" t="str">
        <v/>
      </c>
      <c r="CJ16" s="23" t="s">
        <v>158</v>
      </c>
      <c r="CK16">
        <v>8</v>
      </c>
      <c r="CL16">
        <v>0.38838784701104379</v>
      </c>
      <c r="CM16">
        <v>0.41174909656340142</v>
      </c>
      <c r="CN16">
        <v>0.41174909656340142</v>
      </c>
      <c r="CO16" t="e">
        <v>#N/A</v>
      </c>
      <c r="CP16" t="str">
        <v/>
      </c>
      <c r="CQ16" s="23" t="s">
        <v>95</v>
      </c>
      <c r="CR16" s="37" t="s">
        <v>94</v>
      </c>
      <c r="CS16" cm="1">
        <f t="array" ref="CS16:CU16">_xlfn.ANCHORARRAY(CS14)/_xlfn.ANCHORARRAY(CS15)</f>
        <v>18.549095307255218</v>
      </c>
      <c r="CT16">
        <v>18.358735750589187</v>
      </c>
      <c r="CU16">
        <v>0.26515151515151514</v>
      </c>
    </row>
    <row r="17" spans="43:99" x14ac:dyDescent="0.2">
      <c r="AQ17" s="30">
        <f>MAX(_xlfn.ANCHORARRAY(CS19))</f>
        <v>16.996468126271015</v>
      </c>
      <c r="AR17">
        <v>9</v>
      </c>
      <c r="AS17">
        <v>9</v>
      </c>
      <c r="AT17">
        <v>1</v>
      </c>
      <c r="AU17">
        <v>-10.819069528023286</v>
      </c>
      <c r="AV17">
        <v>1.2206344344004312E-3</v>
      </c>
      <c r="BA17" s="30">
        <f>(1-B5)/2/BA15</f>
        <v>8.3333333333333402E-3</v>
      </c>
      <c r="CC17" s="30">
        <v>250</v>
      </c>
      <c r="CD17">
        <v>9</v>
      </c>
      <c r="CE17">
        <v>0.27561551385456712</v>
      </c>
      <c r="CF17">
        <v>0.74833473968732989</v>
      </c>
      <c r="CG17">
        <v>0.74833473968732989</v>
      </c>
      <c r="CH17" t="e">
        <v>#N/A</v>
      </c>
      <c r="CI17" t="str">
        <v/>
      </c>
      <c r="CJ17" s="30">
        <v>250</v>
      </c>
      <c r="CK17">
        <v>9</v>
      </c>
      <c r="CL17">
        <v>0.44387182515547863</v>
      </c>
      <c r="CM17">
        <v>0.40048334729030116</v>
      </c>
      <c r="CN17">
        <v>0.40048334729030116</v>
      </c>
      <c r="CO17" t="e">
        <v>#N/A</v>
      </c>
      <c r="CP17" t="str">
        <v/>
      </c>
      <c r="CQ17" s="30">
        <f>SUM(_xlfn.ANCHORARRAY(CS13))</f>
        <v>84.732223121819032</v>
      </c>
      <c r="CR17" s="37" t="s">
        <v>1</v>
      </c>
      <c r="CS17" cm="1">
        <f t="array" ref="CS17:CU17">SQRT(_xlfn.ANCHORARRAY(CS16))</f>
        <v>4.306866065627676</v>
      </c>
      <c r="CT17">
        <v>4.2847095293134148</v>
      </c>
      <c r="CU17">
        <v>0.51492865054443726</v>
      </c>
    </row>
    <row r="18" spans="43:99" x14ac:dyDescent="0.2">
      <c r="AQ18" s="23" t="s">
        <v>73</v>
      </c>
      <c r="AR18">
        <v>10</v>
      </c>
      <c r="AS18">
        <v>10</v>
      </c>
      <c r="AT18">
        <v>1</v>
      </c>
      <c r="AU18">
        <v>-10.788128996705939</v>
      </c>
      <c r="AV18">
        <v>1.246680067054577E-3</v>
      </c>
      <c r="BA18" s="35" t="s">
        <v>75</v>
      </c>
      <c r="CC18" s="23" t="s">
        <v>159</v>
      </c>
      <c r="CD18">
        <v>10</v>
      </c>
      <c r="CE18">
        <v>0.310067453086388</v>
      </c>
      <c r="CF18">
        <v>0.72194405034651732</v>
      </c>
      <c r="CG18">
        <v>0.72194405034651732</v>
      </c>
      <c r="CH18" t="e">
        <v>#N/A</v>
      </c>
      <c r="CI18" t="str">
        <v/>
      </c>
      <c r="CJ18" s="23" t="s">
        <v>178</v>
      </c>
      <c r="CK18">
        <v>10</v>
      </c>
      <c r="CL18">
        <v>0.49935580329991347</v>
      </c>
      <c r="CM18">
        <v>0.38952583696111998</v>
      </c>
      <c r="CN18">
        <v>0.38952583696111998</v>
      </c>
      <c r="CO18" t="e">
        <v>#N/A</v>
      </c>
      <c r="CP18" t="str">
        <v/>
      </c>
      <c r="CQ18" s="23" t="s">
        <v>96</v>
      </c>
      <c r="CR18" s="37" t="s">
        <v>99</v>
      </c>
      <c r="CS18" cm="1">
        <f t="array" ref="CS18:CU18">_xlfn.ANCHORARRAY(CS12)-_xlfn.ANCHORARRAY(CS17)*3</f>
        <v>-11.066593778562057</v>
      </c>
      <c r="CT18">
        <v>-8.7117890496094752</v>
      </c>
      <c r="CU18">
        <v>-1.128119284966645</v>
      </c>
    </row>
    <row r="19" spans="43:99" x14ac:dyDescent="0.2">
      <c r="AQ19" s="30">
        <f>AQ17-AQ15</f>
        <v>28.06306190483307</v>
      </c>
      <c r="AR19">
        <v>11</v>
      </c>
      <c r="AS19">
        <v>11</v>
      </c>
      <c r="AT19">
        <v>1</v>
      </c>
      <c r="AU19">
        <v>-10.757188465388595</v>
      </c>
      <c r="AV19">
        <v>1.2732157435655297E-3</v>
      </c>
      <c r="BA19" s="29" cm="1">
        <f t="array" ref="BA19">MAX(LEN(ROUND(ABS(_xlfn.ANCHORARRAY(BI9)),0)))</f>
        <v>1</v>
      </c>
      <c r="CC19" s="30">
        <f>IF(B5&lt;0.998,_xlfn.F.INV(0.999,B59,B60),_xlfn.F.INV(0.99999,B59,B60))</f>
        <v>8.5785328687234017</v>
      </c>
      <c r="CD19">
        <v>11</v>
      </c>
      <c r="CE19">
        <v>0.34451939231820888</v>
      </c>
      <c r="CF19">
        <v>0.69653525028923047</v>
      </c>
      <c r="CG19">
        <v>0.69653525028923047</v>
      </c>
      <c r="CH19" t="e">
        <v>#N/A</v>
      </c>
      <c r="CI19" t="str">
        <v/>
      </c>
      <c r="CJ19" s="39">
        <f>B59</f>
        <v>2</v>
      </c>
      <c r="CK19">
        <v>11</v>
      </c>
      <c r="CL19">
        <v>0.5548397814443482</v>
      </c>
      <c r="CM19">
        <v>0.37886813193826813</v>
      </c>
      <c r="CN19">
        <v>0.37886813193826813</v>
      </c>
      <c r="CO19" t="e">
        <v>#N/A</v>
      </c>
      <c r="CP19" t="str">
        <v/>
      </c>
      <c r="CQ19" s="30">
        <f>SUM(_xlfn.ANCHORARRAY(CS14))</f>
        <v>408.90280830295518</v>
      </c>
      <c r="CR19" s="37" t="s">
        <v>100</v>
      </c>
      <c r="CS19" cm="1">
        <f t="array" ref="CS19:CU19">_xlfn.ANCHORARRAY(CS12)+_xlfn.ANCHORARRAY(CS17)*3</f>
        <v>14.774602615203998</v>
      </c>
      <c r="CT19">
        <v>16.996468126271015</v>
      </c>
      <c r="CU19">
        <v>1.9614526182999785</v>
      </c>
    </row>
    <row r="20" spans="43:99" x14ac:dyDescent="0.2">
      <c r="AQ20" s="23" t="s">
        <v>103</v>
      </c>
      <c r="AR20">
        <v>12</v>
      </c>
      <c r="AS20">
        <v>12</v>
      </c>
      <c r="AT20">
        <v>1</v>
      </c>
      <c r="AU20">
        <v>-10.726247934071248</v>
      </c>
      <c r="AV20">
        <v>1.3002491264682643E-3</v>
      </c>
      <c r="BA20" s="35" t="s">
        <v>74</v>
      </c>
      <c r="CC20" s="23" t="s">
        <v>17</v>
      </c>
      <c r="CD20">
        <v>12</v>
      </c>
      <c r="CE20">
        <v>0.37897133155002977</v>
      </c>
      <c r="CF20">
        <v>0.67206991023630136</v>
      </c>
      <c r="CG20">
        <v>0.67206991023630136</v>
      </c>
      <c r="CH20" t="e">
        <v>#N/A</v>
      </c>
      <c r="CI20" t="str">
        <v/>
      </c>
      <c r="CJ20" s="23" t="s">
        <v>159</v>
      </c>
      <c r="CK20">
        <v>12</v>
      </c>
      <c r="CL20">
        <v>0.61032375958878304</v>
      </c>
      <c r="CM20">
        <v>0.36850202933450144</v>
      </c>
      <c r="CN20">
        <v>0.36850202933450144</v>
      </c>
      <c r="CO20" t="e">
        <v>#N/A</v>
      </c>
      <c r="CP20" t="str">
        <v/>
      </c>
      <c r="CQ20" s="23" t="s">
        <v>97</v>
      </c>
      <c r="CR20" s="37" t="s">
        <v>115</v>
      </c>
      <c r="CS20" cm="1">
        <f t="array" ref="CS20:CU20">ROUND(_xlfn.ANCHORARRAY(CS12),3)</f>
        <v>1.8540000000000001</v>
      </c>
      <c r="CT20">
        <v>4.1420000000000003</v>
      </c>
      <c r="CU20">
        <v>0.41699999999999998</v>
      </c>
    </row>
    <row r="21" spans="43:99" x14ac:dyDescent="0.2">
      <c r="AQ21" s="30">
        <f>MIN(_xlfn.ANCHORARRAY(CS17))*6</f>
        <v>3.0895719032666236</v>
      </c>
      <c r="AR21">
        <v>13</v>
      </c>
      <c r="AS21">
        <v>13</v>
      </c>
      <c r="AT21">
        <v>1</v>
      </c>
      <c r="AU21">
        <v>-10.695307402753901</v>
      </c>
      <c r="AV21">
        <v>1.3277879633177489E-3</v>
      </c>
      <c r="BA21" s="29">
        <f>5-ROUNDDOWN(BA15/5,0)</f>
        <v>5</v>
      </c>
      <c r="CC21" s="38">
        <f>E59</f>
        <v>3.4191051103620165</v>
      </c>
      <c r="CD21">
        <v>13</v>
      </c>
      <c r="CE21">
        <v>0.4134232707818507</v>
      </c>
      <c r="CF21">
        <v>0.64851117891227206</v>
      </c>
      <c r="CG21">
        <v>0.64851117891227206</v>
      </c>
      <c r="CH21" t="e">
        <v>#N/A</v>
      </c>
      <c r="CI21" t="str">
        <v/>
      </c>
      <c r="CJ21" s="30">
        <f>IF(B5&lt;0.998,_xlfn.CHISQ.INV(0.999,CJ19),_xlfn.CHISQ.INV(0.99999,CJ19))</f>
        <v>13.815510557964272</v>
      </c>
      <c r="CK21">
        <v>13</v>
      </c>
      <c r="CL21">
        <v>0.66580773773321789</v>
      </c>
      <c r="CM21">
        <v>0.35841955069942838</v>
      </c>
      <c r="CN21">
        <v>0.35841955069942838</v>
      </c>
      <c r="CO21" t="e">
        <v>#N/A</v>
      </c>
      <c r="CP21" t="str">
        <v/>
      </c>
      <c r="CQ21" s="30">
        <f>CQ17/(CQ9-1)</f>
        <v>42.366111560909516</v>
      </c>
      <c r="CR21" s="37" t="s">
        <v>116</v>
      </c>
      <c r="CS21" cm="1">
        <f t="array" ref="CS21:CU21">ROUND(_xlfn.ANCHORARRAY(CS17),3)</f>
        <v>4.3070000000000004</v>
      </c>
      <c r="CT21">
        <v>4.2850000000000001</v>
      </c>
      <c r="CU21">
        <v>0.51500000000000001</v>
      </c>
    </row>
    <row r="22" spans="43:99" x14ac:dyDescent="0.2">
      <c r="AQ22" s="23" t="s">
        <v>105</v>
      </c>
      <c r="AR22">
        <v>14</v>
      </c>
      <c r="AS22">
        <v>14</v>
      </c>
      <c r="AT22">
        <v>1</v>
      </c>
      <c r="AU22">
        <v>-10.664366871436556</v>
      </c>
      <c r="AV22">
        <v>1.3558400868778312E-3</v>
      </c>
      <c r="BA22" s="35" t="s">
        <v>131</v>
      </c>
      <c r="CC22" s="23" t="s">
        <v>131</v>
      </c>
      <c r="CD22">
        <v>14</v>
      </c>
      <c r="CE22">
        <v>0.44787521001367159</v>
      </c>
      <c r="CF22">
        <v>0.62582371522395908</v>
      </c>
      <c r="CG22">
        <v>0.62582371522395908</v>
      </c>
      <c r="CH22" t="e">
        <v>#N/A</v>
      </c>
      <c r="CI22" t="str">
        <v/>
      </c>
      <c r="CJ22" s="23" t="s">
        <v>182</v>
      </c>
      <c r="CK22">
        <v>14</v>
      </c>
      <c r="CL22">
        <v>0.72129171587765273</v>
      </c>
      <c r="CM22">
        <v>0.34861293587875619</v>
      </c>
      <c r="CN22">
        <v>0.34861293587875619</v>
      </c>
      <c r="CO22" t="e">
        <v>#N/A</v>
      </c>
      <c r="CP22" t="str">
        <v/>
      </c>
      <c r="CQ22" s="23" t="s">
        <v>98</v>
      </c>
    </row>
    <row r="23" spans="43:99" x14ac:dyDescent="0.2">
      <c r="AQ23" s="30">
        <f>AQ19/AQ21</f>
        <v>9.083155460846152</v>
      </c>
      <c r="AR23">
        <v>15</v>
      </c>
      <c r="AS23">
        <v>15</v>
      </c>
      <c r="AT23">
        <v>1</v>
      </c>
      <c r="AU23">
        <v>-10.633426340119209</v>
      </c>
      <c r="AV23">
        <v>1.3844134152919173E-3</v>
      </c>
      <c r="BA23" s="29">
        <f>MIN(3,MAX(0,BA21-BA19))</f>
        <v>3</v>
      </c>
      <c r="CC23" s="39">
        <v>3</v>
      </c>
      <c r="CD23">
        <v>15</v>
      </c>
      <c r="CE23">
        <v>0.48232714924549247</v>
      </c>
      <c r="CF23">
        <v>0.60397362348341044</v>
      </c>
      <c r="CG23">
        <v>0.60397362348341044</v>
      </c>
      <c r="CH23" t="e">
        <v>#N/A</v>
      </c>
      <c r="CI23" t="str">
        <v/>
      </c>
      <c r="CJ23" s="30">
        <f>CQ13-CQ9</f>
        <v>33</v>
      </c>
      <c r="CK23">
        <v>15</v>
      </c>
      <c r="CL23">
        <v>0.77677569402208757</v>
      </c>
      <c r="CM23">
        <v>0.33907463704155466</v>
      </c>
      <c r="CN23">
        <v>0.33907463704155466</v>
      </c>
      <c r="CO23" t="e">
        <v>#N/A</v>
      </c>
      <c r="CP23" t="str">
        <v/>
      </c>
      <c r="CQ23" s="30">
        <f>CQ19/(CQ13-CQ9)</f>
        <v>12.390994190998642</v>
      </c>
    </row>
    <row r="24" spans="43:99" x14ac:dyDescent="0.2">
      <c r="AQ24" s="23" t="s">
        <v>104</v>
      </c>
      <c r="AR24">
        <v>16</v>
      </c>
      <c r="AS24">
        <v>16</v>
      </c>
      <c r="AT24">
        <v>1</v>
      </c>
      <c r="AU24">
        <v>-10.602485808801863</v>
      </c>
      <c r="AV24">
        <v>1.4135159522349768E-3</v>
      </c>
      <c r="BA24" s="35" t="s">
        <v>153</v>
      </c>
      <c r="CC24" s="23" t="s">
        <v>166</v>
      </c>
      <c r="CD24">
        <v>16</v>
      </c>
      <c r="CE24">
        <v>0.51677908847731335</v>
      </c>
      <c r="CF24">
        <v>0.58292839153280418</v>
      </c>
      <c r="CG24">
        <v>0.58292839153280418</v>
      </c>
      <c r="CH24" t="e">
        <v>#N/A</v>
      </c>
      <c r="CI24" t="str">
        <v/>
      </c>
      <c r="CJ24" s="23" t="s">
        <v>180</v>
      </c>
      <c r="CK24">
        <v>16</v>
      </c>
      <c r="CL24">
        <v>0.83225967216652241</v>
      </c>
      <c r="CM24">
        <v>0.32979731287093694</v>
      </c>
      <c r="CN24">
        <v>0.32979731287093694</v>
      </c>
      <c r="CO24" t="e">
        <v>#N/A</v>
      </c>
      <c r="CP24" t="str">
        <v/>
      </c>
    </row>
    <row r="25" spans="43:99" x14ac:dyDescent="0.2">
      <c r="AQ25" s="30">
        <f>IF(AQ23&gt;100,20,100)</f>
        <v>100</v>
      </c>
      <c r="AR25">
        <v>17</v>
      </c>
      <c r="AS25">
        <v>17</v>
      </c>
      <c r="AT25">
        <v>1</v>
      </c>
      <c r="AU25">
        <v>-10.571545277484516</v>
      </c>
      <c r="AV25">
        <v>1.4431557870464799E-3</v>
      </c>
      <c r="BA25" s="29">
        <f>LN(CQ9)-LN(CQ9-1)</f>
        <v>0.4054651081081645</v>
      </c>
      <c r="CC25" s="38" cm="1">
        <f t="array" ref="CC25">ROUNDUP(SUM(--ISNA(_xlfn.ANCHORARRAY(CH9)))/2,0)</f>
        <v>50</v>
      </c>
      <c r="CD25">
        <v>17</v>
      </c>
      <c r="CE25">
        <v>0.55123102770913424</v>
      </c>
      <c r="CF25">
        <v>0.56265683163578095</v>
      </c>
      <c r="CG25">
        <v>0.56265683163578095</v>
      </c>
      <c r="CH25" t="e">
        <v>#N/A</v>
      </c>
      <c r="CI25" t="str">
        <v/>
      </c>
      <c r="CJ25" s="30" cm="1">
        <f t="array" ref="CJ25">(CJ23*LN(1/CJ23*CQ19)-SUMPRODUCT(_xlfn.ANCHORARRAY(CS15),LN(_xlfn.ANCHORARRAY(CS16))))/(1+1/(3*(CQ9-1))*(SUM(1/_xlfn.ANCHORARRAY(CS15))-1/CJ23))</f>
        <v>32.224219661001769</v>
      </c>
      <c r="CK25">
        <v>17</v>
      </c>
      <c r="CL25">
        <v>0.88774365031095726</v>
      </c>
      <c r="CM25">
        <v>0.32077382291368794</v>
      </c>
      <c r="CN25">
        <v>0.32077382291368794</v>
      </c>
      <c r="CO25" t="e">
        <v>#N/A</v>
      </c>
      <c r="CP25" t="str">
        <v/>
      </c>
    </row>
    <row r="26" spans="43:99" x14ac:dyDescent="0.2">
      <c r="AQ26" s="23" t="s">
        <v>114</v>
      </c>
      <c r="AR26">
        <v>18</v>
      </c>
      <c r="AS26">
        <v>18</v>
      </c>
      <c r="AT26">
        <v>1</v>
      </c>
      <c r="AU26">
        <v>-10.540604746167171</v>
      </c>
      <c r="AV26">
        <v>1.4733410948437723E-3</v>
      </c>
      <c r="BA26" s="35" t="s">
        <v>154</v>
      </c>
      <c r="CC26" s="23" t="s">
        <v>167</v>
      </c>
      <c r="CD26">
        <v>18</v>
      </c>
      <c r="CE26">
        <v>0.58568296694095523</v>
      </c>
      <c r="CF26">
        <v>0.54312902400628027</v>
      </c>
      <c r="CG26">
        <v>0.54312902400628027</v>
      </c>
      <c r="CH26" t="e">
        <v>#N/A</v>
      </c>
      <c r="CI26" t="str">
        <v/>
      </c>
      <c r="CJ26" s="23" t="s">
        <v>181</v>
      </c>
      <c r="CK26">
        <v>18</v>
      </c>
      <c r="CL26">
        <v>0.9432276284553921</v>
      </c>
      <c r="CM26">
        <v>0.31199722208449093</v>
      </c>
      <c r="CN26">
        <v>0.31199722208449093</v>
      </c>
      <c r="CO26" t="e">
        <v>#N/A</v>
      </c>
      <c r="CP26" t="str">
        <v/>
      </c>
    </row>
    <row r="27" spans="43:99" x14ac:dyDescent="0.2">
      <c r="AQ27" s="30">
        <f>MIN(2000,ROUND(AQ23*AQ25,0))</f>
        <v>908</v>
      </c>
      <c r="AR27">
        <v>19</v>
      </c>
      <c r="AS27">
        <v>19</v>
      </c>
      <c r="AT27">
        <v>1</v>
      </c>
      <c r="AU27">
        <v>-10.509664214849824</v>
      </c>
      <c r="AV27">
        <v>1.5040801366154927E-3</v>
      </c>
      <c r="BA27" s="29">
        <f>COUNTIF(_xlfn.ANCHORARRAY(BL9),TRUE)</f>
        <v>0</v>
      </c>
      <c r="CC27" s="38" cm="1">
        <f t="array" ref="CC27">INDEX(_xlfn.ANCHORARRAY(CF9),CC25)</f>
        <v>0.18183265379999633</v>
      </c>
      <c r="CD27">
        <v>19</v>
      </c>
      <c r="CE27">
        <v>0.620134906172776</v>
      </c>
      <c r="CF27">
        <v>0.524316262852208</v>
      </c>
      <c r="CG27">
        <v>0.524316262852208</v>
      </c>
      <c r="CH27" t="e">
        <v>#N/A</v>
      </c>
      <c r="CI27" t="str">
        <v/>
      </c>
      <c r="CJ27" s="30" t="b">
        <f>K54&lt;1-B5</f>
        <v>1</v>
      </c>
      <c r="CK27">
        <v>19</v>
      </c>
      <c r="CL27">
        <v>0.99871160659982694</v>
      </c>
      <c r="CM27">
        <v>0.30346075532052202</v>
      </c>
      <c r="CN27">
        <v>0.30346075532052202</v>
      </c>
      <c r="CO27" t="e">
        <v>#N/A</v>
      </c>
      <c r="CP27" t="str">
        <v/>
      </c>
    </row>
    <row r="28" spans="43:99" x14ac:dyDescent="0.2">
      <c r="AQ28" s="23" t="s">
        <v>113</v>
      </c>
      <c r="AR28">
        <v>20</v>
      </c>
      <c r="AS28">
        <v>20</v>
      </c>
      <c r="AT28">
        <v>1</v>
      </c>
      <c r="AU28">
        <v>-10.478723683532477</v>
      </c>
      <c r="AV28">
        <v>1.5353812592945131E-3</v>
      </c>
      <c r="CC28" s="23" t="s">
        <v>168</v>
      </c>
      <c r="CD28">
        <v>20</v>
      </c>
      <c r="CE28">
        <v>0.654586845404597</v>
      </c>
      <c r="CF28">
        <v>0.50619100481719215</v>
      </c>
      <c r="CG28">
        <v>0.50619100481719215</v>
      </c>
      <c r="CH28" t="e">
        <v>#N/A</v>
      </c>
      <c r="CI28" t="str">
        <v/>
      </c>
      <c r="CJ28" s="23" t="s">
        <v>131</v>
      </c>
      <c r="CK28">
        <v>20</v>
      </c>
      <c r="CL28">
        <v>1.0541955847442617</v>
      </c>
      <c r="CM28">
        <v>0.2951578523822998</v>
      </c>
      <c r="CN28">
        <v>0.2951578523822998</v>
      </c>
      <c r="CO28" t="e">
        <v>#N/A</v>
      </c>
      <c r="CP28" t="str">
        <v/>
      </c>
    </row>
    <row r="29" spans="43:99" x14ac:dyDescent="0.2">
      <c r="AQ29" s="30">
        <f>(AQ27+1)*CQ9</f>
        <v>2727</v>
      </c>
      <c r="AR29">
        <v>21</v>
      </c>
      <c r="AS29">
        <v>21</v>
      </c>
      <c r="AT29">
        <v>1</v>
      </c>
      <c r="AU29">
        <v>-10.447783152215131</v>
      </c>
      <c r="AV29">
        <v>1.5672528958100443E-3</v>
      </c>
      <c r="CC29" s="38" t="str">
        <f>ROUND(_xlfn.F.DIST(E59,B59,B60,TRUE)*100,CC23)&amp;"% mindre end "&amp;ROUND(E59,CC23)</f>
        <v>95.528% mindre end 3.419</v>
      </c>
      <c r="CD29">
        <v>21</v>
      </c>
      <c r="CE29">
        <v>0.68903878463641777</v>
      </c>
      <c r="CF29">
        <v>0.48872681970933252</v>
      </c>
      <c r="CG29">
        <v>0.48872681970933252</v>
      </c>
      <c r="CH29" t="e">
        <v>#N/A</v>
      </c>
      <c r="CI29" t="str">
        <v/>
      </c>
      <c r="CJ29" s="39">
        <v>3</v>
      </c>
      <c r="CK29">
        <v>21</v>
      </c>
      <c r="CL29">
        <v>1.1096795628886964</v>
      </c>
      <c r="CM29">
        <v>0.28708212279678574</v>
      </c>
      <c r="CN29">
        <v>0.28708212279678574</v>
      </c>
      <c r="CO29" t="e">
        <v>#N/A</v>
      </c>
      <c r="CP29" t="str">
        <v/>
      </c>
    </row>
    <row r="30" spans="43:99" x14ac:dyDescent="0.2">
      <c r="AR30">
        <v>22</v>
      </c>
      <c r="AS30">
        <v>22</v>
      </c>
      <c r="AT30">
        <v>1</v>
      </c>
      <c r="AU30">
        <v>-10.416842620897786</v>
      </c>
      <c r="AV30">
        <v>1.5997035651183721E-3</v>
      </c>
      <c r="CC30" s="23" t="s">
        <v>169</v>
      </c>
      <c r="CD30">
        <v>22</v>
      </c>
      <c r="CE30">
        <v>0.72349072386823876</v>
      </c>
      <c r="CF30">
        <v>0.4718983434111928</v>
      </c>
      <c r="CG30">
        <v>0.4718983434111928</v>
      </c>
      <c r="CH30" t="e">
        <v>#N/A</v>
      </c>
      <c r="CI30" t="str">
        <v/>
      </c>
      <c r="CJ30" s="23" t="s">
        <v>166</v>
      </c>
      <c r="CK30">
        <v>22</v>
      </c>
      <c r="CL30">
        <v>1.1651635410331314</v>
      </c>
      <c r="CM30">
        <v>0.27922735093884682</v>
      </c>
      <c r="CN30">
        <v>0.27922735093884682</v>
      </c>
      <c r="CO30" t="e">
        <v>#N/A</v>
      </c>
      <c r="CP30" t="str">
        <v/>
      </c>
    </row>
    <row r="31" spans="43:99" x14ac:dyDescent="0.2">
      <c r="AR31">
        <v>23</v>
      </c>
      <c r="AS31">
        <v>23</v>
      </c>
      <c r="AT31">
        <v>1</v>
      </c>
      <c r="AU31">
        <v>-10.385902089580439</v>
      </c>
      <c r="AV31">
        <v>1.632741872211831E-3</v>
      </c>
      <c r="CC31" s="38" cm="1">
        <f t="array" ref="CC31">ROUNDUP(SUM(--ISNA(_xlfn.ANCHORARRAY(CG9)))/2,0)+SUM(--ISNA(_xlfn.ANCHORARRAY(CH9)))</f>
        <v>175</v>
      </c>
      <c r="CD31">
        <v>23</v>
      </c>
      <c r="CE31">
        <v>0.75794266310005953</v>
      </c>
      <c r="CF31">
        <v>0.45568123287038503</v>
      </c>
      <c r="CG31">
        <v>0.45568123287038503</v>
      </c>
      <c r="CH31" t="e">
        <v>#N/A</v>
      </c>
      <c r="CI31" t="str">
        <v/>
      </c>
      <c r="CJ31" s="38" cm="1">
        <f t="array" ref="CJ31">ROUNDUP(SUM(--ISNA(_xlfn.ANCHORARRAY(CO9)))/2,0)</f>
        <v>125</v>
      </c>
      <c r="CK31">
        <v>23</v>
      </c>
      <c r="CL31">
        <v>1.2206475191775661</v>
      </c>
      <c r="CM31">
        <v>0.27158749124729153</v>
      </c>
      <c r="CN31">
        <v>0.27158749124729153</v>
      </c>
      <c r="CO31" t="e">
        <v>#N/A</v>
      </c>
      <c r="CP31" t="str">
        <v/>
      </c>
    </row>
    <row r="32" spans="43:99" x14ac:dyDescent="0.2">
      <c r="AR32">
        <v>24</v>
      </c>
      <c r="AS32">
        <v>24</v>
      </c>
      <c r="AT32">
        <v>1</v>
      </c>
      <c r="AU32">
        <v>-10.354961558263092</v>
      </c>
      <c r="AV32">
        <v>1.6663765081055008E-3</v>
      </c>
      <c r="CC32" s="23" t="s">
        <v>170</v>
      </c>
      <c r="CD32">
        <v>24</v>
      </c>
      <c r="CE32">
        <v>0.79239460233188053</v>
      </c>
      <c r="CF32">
        <v>0.44005212307491548</v>
      </c>
      <c r="CG32">
        <v>0.44005212307491548</v>
      </c>
      <c r="CH32" t="e">
        <v>#N/A</v>
      </c>
      <c r="CI32" t="str">
        <v/>
      </c>
      <c r="CJ32" s="23" t="s">
        <v>167</v>
      </c>
      <c r="CK32">
        <v>24</v>
      </c>
      <c r="CL32">
        <v>1.276131497322001</v>
      </c>
      <c r="CM32">
        <v>0.26415666357179912</v>
      </c>
      <c r="CN32">
        <v>0.26415666357179912</v>
      </c>
      <c r="CO32" t="e">
        <v>#N/A</v>
      </c>
      <c r="CP32" t="str">
        <v/>
      </c>
    </row>
    <row r="33" spans="6:94" x14ac:dyDescent="0.2">
      <c r="AR33">
        <v>25</v>
      </c>
      <c r="AS33">
        <v>25</v>
      </c>
      <c r="AT33">
        <v>1</v>
      </c>
      <c r="AU33">
        <v>-10.324021026945747</v>
      </c>
      <c r="AV33">
        <v>1.7006162498012303E-3</v>
      </c>
      <c r="CC33" s="38" cm="1">
        <f t="array" ref="CC33">INDEX(_xlfn.ANCHORARRAY(CF9),CC31)</f>
        <v>4.411502883925454E-3</v>
      </c>
      <c r="CD33">
        <v>25</v>
      </c>
      <c r="CE33">
        <v>0.82684654156370141</v>
      </c>
      <c r="CF33">
        <v>0.42498858592206529</v>
      </c>
      <c r="CG33">
        <v>0.42498858592206529</v>
      </c>
      <c r="CH33" t="e">
        <v>#N/A</v>
      </c>
      <c r="CI33" t="str">
        <v/>
      </c>
      <c r="CJ33" s="38" cm="1">
        <f t="array" ref="CJ33">INDEX(_xlfn.ANCHORARRAY(CM9),CJ31)</f>
        <v>1.6032236130089451E-2</v>
      </c>
      <c r="CK33">
        <v>25</v>
      </c>
      <c r="CL33">
        <v>1.3316154754664358</v>
      </c>
      <c r="CM33">
        <v>0.25692914864716015</v>
      </c>
      <c r="CN33">
        <v>0.25692914864716015</v>
      </c>
      <c r="CO33" t="e">
        <v>#N/A</v>
      </c>
      <c r="CP33" t="str">
        <v/>
      </c>
    </row>
    <row r="34" spans="6:94" x14ac:dyDescent="0.2">
      <c r="AR34">
        <v>26</v>
      </c>
      <c r="AS34">
        <v>26</v>
      </c>
      <c r="AT34">
        <v>1</v>
      </c>
      <c r="AU34">
        <v>-10.2930804956284</v>
      </c>
      <c r="AV34">
        <v>1.735469960228501E-3</v>
      </c>
      <c r="CC34" s="23" t="s">
        <v>171</v>
      </c>
      <c r="CD34">
        <v>26</v>
      </c>
      <c r="CE34">
        <v>0.86129848079552229</v>
      </c>
      <c r="CF34">
        <v>0.41046909089393424</v>
      </c>
      <c r="CG34">
        <v>0.41046909089393424</v>
      </c>
      <c r="CH34" t="e">
        <v>#N/A</v>
      </c>
      <c r="CI34">
        <v>0.86099999999999999</v>
      </c>
      <c r="CJ34" s="23" t="s">
        <v>168</v>
      </c>
      <c r="CK34">
        <v>26</v>
      </c>
      <c r="CL34">
        <v>1.3870994536108707</v>
      </c>
      <c r="CM34">
        <v>0.24989938369134482</v>
      </c>
      <c r="CN34">
        <v>0.24989938369134482</v>
      </c>
      <c r="CO34" t="e">
        <v>#N/A</v>
      </c>
      <c r="CP34">
        <v>1.387</v>
      </c>
    </row>
    <row r="35" spans="6:94" x14ac:dyDescent="0.2">
      <c r="AR35">
        <v>27</v>
      </c>
      <c r="AS35">
        <v>27</v>
      </c>
      <c r="AT35">
        <v>1</v>
      </c>
      <c r="AU35">
        <v>-10.262139964311054</v>
      </c>
      <c r="AV35">
        <v>1.7709465881616513E-3</v>
      </c>
      <c r="CC35" s="38" t="str">
        <f>ROUND((1-_xlfn.F.DIST(E59,B59,B60,TRUE))*100,CC23)&amp;"% større end "&amp;ROUND(E59,CC23)</f>
        <v>4.472% større end 3.419</v>
      </c>
      <c r="CD35">
        <v>27</v>
      </c>
      <c r="CE35">
        <v>0.89575042002734317</v>
      </c>
      <c r="CF35">
        <v>0.39647296745692678</v>
      </c>
      <c r="CG35">
        <v>0.39647296745692678</v>
      </c>
      <c r="CH35" t="e">
        <v>#N/A</v>
      </c>
      <c r="CI35" t="str">
        <v/>
      </c>
      <c r="CJ35" s="38" t="str">
        <f>ROUND(_xlfn.CHISQ.DIST(CJ25,CJ19,TRUE)*100,CJ29)&amp;"% mindre end "&amp;ROUND(CJ25,CJ29)</f>
        <v>100% mindre end 32.224</v>
      </c>
      <c r="CK35">
        <v>27</v>
      </c>
      <c r="CL35">
        <v>1.4425834317553055</v>
      </c>
      <c r="CM35">
        <v>0.24306195812401155</v>
      </c>
      <c r="CN35">
        <v>0.24306195812401155</v>
      </c>
      <c r="CO35" t="e">
        <v>#N/A</v>
      </c>
      <c r="CP35" t="str">
        <v/>
      </c>
    </row>
    <row r="36" spans="6:94" x14ac:dyDescent="0.2">
      <c r="AR36">
        <v>28</v>
      </c>
      <c r="AS36">
        <v>28</v>
      </c>
      <c r="AT36">
        <v>1</v>
      </c>
      <c r="AU36">
        <v>-10.231199432993707</v>
      </c>
      <c r="AV36">
        <v>1.807055168113057E-3</v>
      </c>
      <c r="CC36" s="23" t="s">
        <v>172</v>
      </c>
      <c r="CD36">
        <v>28</v>
      </c>
      <c r="CE36">
        <v>0.93020235925916406</v>
      </c>
      <c r="CF36">
        <v>0.38298036910639988</v>
      </c>
      <c r="CG36">
        <v>0.38298036910639988</v>
      </c>
      <c r="CH36" t="e">
        <v>#N/A</v>
      </c>
      <c r="CI36" t="str">
        <v/>
      </c>
      <c r="CJ36" s="23" t="s">
        <v>169</v>
      </c>
      <c r="CK36">
        <v>28</v>
      </c>
      <c r="CL36">
        <v>1.4980674098997402</v>
      </c>
      <c r="CM36">
        <v>0.23641160940216002</v>
      </c>
      <c r="CN36">
        <v>0.23641160940216002</v>
      </c>
      <c r="CO36" t="e">
        <v>#N/A</v>
      </c>
      <c r="CP36" t="str">
        <v/>
      </c>
    </row>
    <row r="37" spans="6:94" x14ac:dyDescent="0.2">
      <c r="AR37">
        <v>29</v>
      </c>
      <c r="AS37">
        <v>29</v>
      </c>
      <c r="AT37">
        <v>1</v>
      </c>
      <c r="AU37">
        <v>-10.200258901676362</v>
      </c>
      <c r="AV37">
        <v>1.8438048202017449E-3</v>
      </c>
      <c r="CC37" s="38" t="b">
        <f>1-_xlfn.F.DIST(E59,B59,B60,TRUE)&lt;1-B5</f>
        <v>1</v>
      </c>
      <c r="CD37">
        <v>29</v>
      </c>
      <c r="CE37">
        <v>0.96465429849098494</v>
      </c>
      <c r="CF37">
        <v>0.36997223898143639</v>
      </c>
      <c r="CG37">
        <v>0.36997223898143639</v>
      </c>
      <c r="CH37" t="e">
        <v>#N/A</v>
      </c>
      <c r="CI37" t="str">
        <v/>
      </c>
      <c r="CJ37" s="38" cm="1">
        <f t="array" ref="CJ37">ROUNDUP(SUM(--ISNA(_xlfn.ANCHORARRAY(CN9)))/2,0)+SUM(--ISNA(_xlfn.ANCHORARRAY(CO9)))</f>
        <v>250</v>
      </c>
      <c r="CK37">
        <v>29</v>
      </c>
      <c r="CL37">
        <v>1.5535513880441751</v>
      </c>
      <c r="CM37">
        <v>0.22994321896972408</v>
      </c>
      <c r="CN37">
        <v>0.22994321896972408</v>
      </c>
      <c r="CO37" t="e">
        <v>#N/A</v>
      </c>
      <c r="CP37" t="str">
        <v/>
      </c>
    </row>
    <row r="38" spans="6:94" x14ac:dyDescent="0.2">
      <c r="F38" s="34"/>
      <c r="AR38">
        <v>30</v>
      </c>
      <c r="AS38">
        <v>30</v>
      </c>
      <c r="AT38">
        <v>1</v>
      </c>
      <c r="AU38">
        <v>-10.169318370359015</v>
      </c>
      <c r="AV38">
        <v>1.881204749997037E-3</v>
      </c>
      <c r="CC38" s="23" t="s">
        <v>196</v>
      </c>
      <c r="CD38">
        <v>30</v>
      </c>
      <c r="CE38">
        <v>0.99910623772280582</v>
      </c>
      <c r="CF38">
        <v>0.35743027697827279</v>
      </c>
      <c r="CG38">
        <v>0.35743027697827279</v>
      </c>
      <c r="CH38" t="e">
        <v>#N/A</v>
      </c>
      <c r="CI38" t="str">
        <v/>
      </c>
      <c r="CJ38" s="23" t="s">
        <v>170</v>
      </c>
      <c r="CK38">
        <v>30</v>
      </c>
      <c r="CL38">
        <v>1.6090353661886099</v>
      </c>
      <c r="CM38">
        <v>0.22365180831798601</v>
      </c>
      <c r="CN38">
        <v>0.22365180831798601</v>
      </c>
      <c r="CO38" t="e">
        <v>#N/A</v>
      </c>
      <c r="CP38" t="str">
        <v/>
      </c>
    </row>
    <row r="39" spans="6:94" x14ac:dyDescent="0.2">
      <c r="F39" s="34"/>
      <c r="AR39">
        <v>31</v>
      </c>
      <c r="AS39">
        <v>31</v>
      </c>
      <c r="AT39">
        <v>1</v>
      </c>
      <c r="AU39">
        <v>-10.138377839041668</v>
      </c>
      <c r="AV39">
        <v>1.9192642483367151E-3</v>
      </c>
      <c r="CC39" s="38">
        <v>25</v>
      </c>
      <c r="CD39">
        <v>31</v>
      </c>
      <c r="CE39">
        <v>1.0335581769546267</v>
      </c>
      <c r="CF39">
        <v>0.34533690829428981</v>
      </c>
      <c r="CG39">
        <v>0.34533690829428981</v>
      </c>
      <c r="CH39" t="e">
        <v>#N/A</v>
      </c>
      <c r="CI39" t="str">
        <v/>
      </c>
      <c r="CJ39" s="38" cm="1">
        <f t="array" ref="CJ39">INDEX(_xlfn.ANCHORARRAY(CM9),CJ37)</f>
        <v>5.0000000000000055E-4</v>
      </c>
      <c r="CK39">
        <v>31</v>
      </c>
      <c r="CL39">
        <v>1.6645193443330448</v>
      </c>
      <c r="CM39">
        <v>0.21753253515378135</v>
      </c>
      <c r="CN39">
        <v>0.21753253515378135</v>
      </c>
      <c r="CO39" t="e">
        <v>#N/A</v>
      </c>
      <c r="CP39" t="str">
        <v/>
      </c>
    </row>
    <row r="40" spans="6:94" x14ac:dyDescent="0.2">
      <c r="F40" s="34"/>
      <c r="AR40">
        <v>32</v>
      </c>
      <c r="AS40">
        <v>32</v>
      </c>
      <c r="AT40">
        <v>1</v>
      </c>
      <c r="AU40">
        <v>-10.107437307724322</v>
      </c>
      <c r="AV40">
        <v>1.9579926911192824E-3</v>
      </c>
      <c r="CD40">
        <v>32</v>
      </c>
      <c r="CE40">
        <v>1.0680101161864475</v>
      </c>
      <c r="CF40">
        <v>0.33367525333769943</v>
      </c>
      <c r="CG40">
        <v>0.33367525333769943</v>
      </c>
      <c r="CH40" t="e">
        <v>#N/A</v>
      </c>
      <c r="CI40" t="str">
        <v/>
      </c>
      <c r="CJ40" s="23" t="s">
        <v>171</v>
      </c>
      <c r="CK40">
        <v>32</v>
      </c>
      <c r="CL40">
        <v>1.7200033224774796</v>
      </c>
      <c r="CM40">
        <v>0.2115806896725442</v>
      </c>
      <c r="CN40">
        <v>0.2115806896725442</v>
      </c>
      <c r="CO40" t="e">
        <v>#N/A</v>
      </c>
      <c r="CP40" t="str">
        <v/>
      </c>
    </row>
    <row r="41" spans="6:94" x14ac:dyDescent="0.2">
      <c r="F41" s="34"/>
      <c r="AR41">
        <v>33</v>
      </c>
      <c r="AS41">
        <v>33</v>
      </c>
      <c r="AT41">
        <v>1</v>
      </c>
      <c r="AU41">
        <v>-10.076496776406977</v>
      </c>
      <c r="AV41">
        <v>1.9973995390698378E-3</v>
      </c>
      <c r="CD41">
        <v>33</v>
      </c>
      <c r="CE41">
        <v>1.1024620554182685</v>
      </c>
      <c r="CF41">
        <v>0.32242909894111627</v>
      </c>
      <c r="CG41">
        <v>0.32242909894111627</v>
      </c>
      <c r="CH41" t="e">
        <v>#N/A</v>
      </c>
      <c r="CI41" t="str">
        <v/>
      </c>
      <c r="CJ41" s="38" t="str">
        <f>ROUND((1-_xlfn.CHISQ.DIST(CJ25,CJ19,TRUE))*100,CJ29)&amp;"% større end "&amp;ROUND(CJ25,CJ29)</f>
        <v>0% større end 32.224</v>
      </c>
      <c r="CK41">
        <v>33</v>
      </c>
      <c r="CL41">
        <v>1.7754873006219145</v>
      </c>
      <c r="CM41">
        <v>0.20579169093332408</v>
      </c>
      <c r="CN41">
        <v>0.20579169093332408</v>
      </c>
      <c r="CO41" t="e">
        <v>#N/A</v>
      </c>
      <c r="CP41" t="str">
        <v/>
      </c>
    </row>
    <row r="42" spans="6:94" x14ac:dyDescent="0.2">
      <c r="AR42">
        <v>34</v>
      </c>
      <c r="AS42">
        <v>34</v>
      </c>
      <c r="AT42">
        <v>1</v>
      </c>
      <c r="AU42">
        <v>-10.04555624508963</v>
      </c>
      <c r="AV42">
        <v>2.0374943374791244E-3</v>
      </c>
      <c r="CD42">
        <v>34</v>
      </c>
      <c r="CE42">
        <v>1.1369139946500895</v>
      </c>
      <c r="CF42">
        <v>0.31158287082011971</v>
      </c>
      <c r="CG42">
        <v>0.31158287082011971</v>
      </c>
      <c r="CH42" t="e">
        <v>#N/A</v>
      </c>
      <c r="CI42" t="str">
        <v/>
      </c>
      <c r="CJ42" s="23" t="s">
        <v>196</v>
      </c>
      <c r="CK42">
        <v>34</v>
      </c>
      <c r="CL42">
        <v>1.8309712787663492</v>
      </c>
      <c r="CM42">
        <v>0.20016108333298616</v>
      </c>
      <c r="CN42">
        <v>0.20016108333298616</v>
      </c>
      <c r="CO42" t="e">
        <v>#N/A</v>
      </c>
      <c r="CP42" t="str">
        <v/>
      </c>
    </row>
    <row r="43" spans="6:94" x14ac:dyDescent="0.2">
      <c r="AR43">
        <v>35</v>
      </c>
      <c r="AS43">
        <v>35</v>
      </c>
      <c r="AT43">
        <v>1</v>
      </c>
      <c r="AU43">
        <v>-10.014615713772283</v>
      </c>
      <c r="AV43">
        <v>2.0782867159152528E-3</v>
      </c>
      <c r="CD43">
        <v>35</v>
      </c>
      <c r="CE43">
        <v>1.1713659338819105</v>
      </c>
      <c r="CF43">
        <v>0.30112160722067222</v>
      </c>
      <c r="CG43">
        <v>0.30112160722067222</v>
      </c>
      <c r="CH43" t="e">
        <v>#N/A</v>
      </c>
      <c r="CI43" t="str">
        <v/>
      </c>
      <c r="CJ43" s="38">
        <v>25</v>
      </c>
      <c r="CK43">
        <v>35</v>
      </c>
      <c r="CL43">
        <v>1.8864552569107842</v>
      </c>
      <c r="CM43">
        <v>0.19468453317687828</v>
      </c>
      <c r="CN43">
        <v>0.19468453317687828</v>
      </c>
      <c r="CO43" t="e">
        <v>#N/A</v>
      </c>
      <c r="CP43" t="str">
        <v/>
      </c>
    </row>
    <row r="44" spans="6:94" x14ac:dyDescent="0.2">
      <c r="AR44">
        <v>36</v>
      </c>
      <c r="AS44">
        <v>36</v>
      </c>
      <c r="AT44">
        <v>1</v>
      </c>
      <c r="AU44">
        <v>-9.9836751824549363</v>
      </c>
      <c r="AV44">
        <v>2.1197863879076984E-3</v>
      </c>
      <c r="CD44">
        <v>36</v>
      </c>
      <c r="CE44">
        <v>1.205817873113731</v>
      </c>
      <c r="CF44">
        <v>0.29103093370190219</v>
      </c>
      <c r="CG44">
        <v>0.29103093370190219</v>
      </c>
      <c r="CH44" t="e">
        <v>#N/A</v>
      </c>
      <c r="CI44" t="str">
        <v/>
      </c>
      <c r="CK44">
        <v>36</v>
      </c>
      <c r="CL44">
        <v>1.9419392350552189</v>
      </c>
      <c r="CM44">
        <v>0.1893578253433286</v>
      </c>
      <c r="CN44">
        <v>0.1893578253433286</v>
      </c>
      <c r="CO44" t="e">
        <v>#N/A</v>
      </c>
      <c r="CP44" t="str">
        <v/>
      </c>
    </row>
    <row r="45" spans="6:94" x14ac:dyDescent="0.2">
      <c r="AR45">
        <v>37</v>
      </c>
      <c r="AS45">
        <v>37</v>
      </c>
      <c r="AT45">
        <v>1</v>
      </c>
      <c r="AU45">
        <v>-9.9527346511375914</v>
      </c>
      <c r="AV45">
        <v>2.1620031506030522E-3</v>
      </c>
      <c r="CD45">
        <v>37</v>
      </c>
      <c r="CE45">
        <v>1.240269812345552</v>
      </c>
      <c r="CF45">
        <v>0.28129703900325542</v>
      </c>
      <c r="CG45">
        <v>0.28129703900325542</v>
      </c>
      <c r="CH45" t="e">
        <v>#N/A</v>
      </c>
      <c r="CI45" t="str">
        <v/>
      </c>
      <c r="CK45">
        <v>37</v>
      </c>
      <c r="CL45">
        <v>1.9974232131996539</v>
      </c>
      <c r="CM45">
        <v>0.18417686003940356</v>
      </c>
      <c r="CN45">
        <v>0.18417686003940356</v>
      </c>
      <c r="CO45" t="e">
        <v>#N/A</v>
      </c>
      <c r="CP45" t="str">
        <v/>
      </c>
    </row>
    <row r="46" spans="6:94" x14ac:dyDescent="0.2">
      <c r="AR46">
        <v>38</v>
      </c>
      <c r="AS46">
        <v>38</v>
      </c>
      <c r="AT46">
        <v>1</v>
      </c>
      <c r="AU46">
        <v>-9.9217941198202446</v>
      </c>
      <c r="AV46">
        <v>2.2049468843921231E-3</v>
      </c>
      <c r="CD46">
        <v>38</v>
      </c>
      <c r="CE46">
        <v>1.274721751577373</v>
      </c>
      <c r="CF46">
        <v>0.27190665194741026</v>
      </c>
      <c r="CG46">
        <v>0.27190665194741026</v>
      </c>
      <c r="CH46" t="e">
        <v>#N/A</v>
      </c>
      <c r="CI46" t="str">
        <v/>
      </c>
      <c r="CK46">
        <v>38</v>
      </c>
      <c r="CL46">
        <v>2.0529071913440888</v>
      </c>
      <c r="CM46">
        <v>0.17913764964543169</v>
      </c>
      <c r="CN46">
        <v>0.17913764964543169</v>
      </c>
      <c r="CO46" t="e">
        <v>#N/A</v>
      </c>
      <c r="CP46" t="str">
        <v/>
      </c>
    </row>
    <row r="47" spans="6:94" x14ac:dyDescent="0.2">
      <c r="AR47">
        <v>39</v>
      </c>
      <c r="AS47">
        <v>39</v>
      </c>
      <c r="AT47">
        <v>1</v>
      </c>
      <c r="AU47">
        <v>-9.8908535885028979</v>
      </c>
      <c r="AV47">
        <v>2.2486275525078893E-3</v>
      </c>
      <c r="CD47">
        <v>39</v>
      </c>
      <c r="CE47">
        <v>1.309173690809194</v>
      </c>
      <c r="CF47">
        <v>0.26284701933261334</v>
      </c>
      <c r="CG47">
        <v>0.26284701933261334</v>
      </c>
      <c r="CH47" t="e">
        <v>#N/A</v>
      </c>
      <c r="CI47" t="str">
        <v/>
      </c>
      <c r="CK47">
        <v>39</v>
      </c>
      <c r="CL47">
        <v>2.1083911694885233</v>
      </c>
      <c r="CM47">
        <v>0.17423631564586292</v>
      </c>
      <c r="CN47">
        <v>0.17423631564586292</v>
      </c>
      <c r="CO47" t="e">
        <v>#N/A</v>
      </c>
      <c r="CP47" t="str">
        <v/>
      </c>
    </row>
    <row r="48" spans="6:94" x14ac:dyDescent="0.2">
      <c r="AR48">
        <v>40</v>
      </c>
      <c r="AS48">
        <v>40</v>
      </c>
      <c r="AT48">
        <v>1</v>
      </c>
      <c r="AU48">
        <v>-9.8599130571855511</v>
      </c>
      <c r="AV48">
        <v>2.293055200593877E-3</v>
      </c>
      <c r="CD48">
        <v>40</v>
      </c>
      <c r="CE48">
        <v>1.3436256300410145</v>
      </c>
      <c r="CF48">
        <v>0.25410588477025337</v>
      </c>
      <c r="CG48">
        <v>0.25410588477025337</v>
      </c>
      <c r="CH48" t="e">
        <v>#N/A</v>
      </c>
      <c r="CI48" t="str">
        <v/>
      </c>
      <c r="CK48">
        <v>40</v>
      </c>
      <c r="CL48">
        <v>2.1638751476329583</v>
      </c>
      <c r="CM48">
        <v>0.1694690856441019</v>
      </c>
      <c r="CN48">
        <v>0.1694690856441019</v>
      </c>
      <c r="CO48" t="e">
        <v>#N/A</v>
      </c>
      <c r="CP48" t="str">
        <v/>
      </c>
    </row>
    <row r="49" spans="1:94" x14ac:dyDescent="0.2">
      <c r="AR49">
        <v>41</v>
      </c>
      <c r="AS49">
        <v>41</v>
      </c>
      <c r="AT49">
        <v>1</v>
      </c>
      <c r="AU49">
        <v>-9.8289725258682061</v>
      </c>
      <c r="AV49">
        <v>2.3382399562425007E-3</v>
      </c>
      <c r="CD49">
        <v>41</v>
      </c>
      <c r="CE49">
        <v>1.3780775692728355</v>
      </c>
      <c r="CF49">
        <v>0.24567146842553902</v>
      </c>
      <c r="CG49">
        <v>0.24567146842553902</v>
      </c>
      <c r="CH49" t="e">
        <v>#N/A</v>
      </c>
      <c r="CI49" t="str">
        <v/>
      </c>
      <c r="CK49">
        <v>41</v>
      </c>
      <c r="CL49">
        <v>2.2193591257773928</v>
      </c>
      <c r="CM49">
        <v>0.16483229045901757</v>
      </c>
      <c r="CN49">
        <v>0.16483229045901757</v>
      </c>
      <c r="CO49" t="e">
        <v>#N/A</v>
      </c>
      <c r="CP49" t="str">
        <v/>
      </c>
    </row>
    <row r="50" spans="1:94" x14ac:dyDescent="0.2">
      <c r="AR50">
        <v>42</v>
      </c>
      <c r="AS50">
        <v>42</v>
      </c>
      <c r="AT50">
        <v>1</v>
      </c>
      <c r="AU50">
        <v>-9.7980319945508594</v>
      </c>
      <c r="AV50">
        <v>2.3841920285029186E-3</v>
      </c>
      <c r="CD50">
        <v>42</v>
      </c>
      <c r="CE50">
        <v>1.4125295085046565</v>
      </c>
      <c r="CF50">
        <v>0.23753244762111084</v>
      </c>
      <c r="CG50">
        <v>0.23753244762111084</v>
      </c>
      <c r="CH50" t="e">
        <v>#N/A</v>
      </c>
      <c r="CI50" t="str">
        <v/>
      </c>
      <c r="CK50">
        <v>42</v>
      </c>
      <c r="CL50">
        <v>2.2748431039218278</v>
      </c>
      <c r="CM50">
        <v>0.16032236130089444</v>
      </c>
      <c r="CN50">
        <v>0.16032236130089444</v>
      </c>
      <c r="CO50" t="e">
        <v>#N/A</v>
      </c>
      <c r="CP50" t="str">
        <v/>
      </c>
    </row>
    <row r="51" spans="1:94" x14ac:dyDescent="0.2">
      <c r="AR51">
        <v>43</v>
      </c>
      <c r="AS51">
        <v>43</v>
      </c>
      <c r="AT51">
        <v>1</v>
      </c>
      <c r="AU51">
        <v>-9.7670914632335126</v>
      </c>
      <c r="AV51">
        <v>2.4309217073579361E-3</v>
      </c>
      <c r="CD51">
        <v>43</v>
      </c>
      <c r="CE51">
        <v>1.4469814477364775</v>
      </c>
      <c r="CF51">
        <v>0.22967793826526423</v>
      </c>
      <c r="CG51">
        <v>0.22967793826526423</v>
      </c>
      <c r="CH51" t="e">
        <v>#N/A</v>
      </c>
      <c r="CI51" t="str">
        <v/>
      </c>
      <c r="CK51">
        <v>43</v>
      </c>
      <c r="CL51">
        <v>2.3303270820662627</v>
      </c>
      <c r="CM51">
        <v>0.15593582702465184</v>
      </c>
      <c r="CN51">
        <v>0.15593582702465184</v>
      </c>
      <c r="CO51" t="e">
        <v>#N/A</v>
      </c>
      <c r="CP51" t="str">
        <v/>
      </c>
    </row>
    <row r="52" spans="1:94" x14ac:dyDescent="0.2">
      <c r="AR52">
        <v>44</v>
      </c>
      <c r="AS52">
        <v>44</v>
      </c>
      <c r="AT52">
        <v>1</v>
      </c>
      <c r="AU52">
        <v>-9.7361509319161677</v>
      </c>
      <c r="AV52">
        <v>2.4784393631695537E-3</v>
      </c>
      <c r="CD52">
        <v>44</v>
      </c>
      <c r="CE52">
        <v>1.4814333869682983</v>
      </c>
      <c r="CF52">
        <v>0.22209747706823882</v>
      </c>
      <c r="CG52">
        <v>0.22209747706823882</v>
      </c>
      <c r="CH52" t="e">
        <v>#N/A</v>
      </c>
      <c r="CI52" t="str">
        <v/>
      </c>
      <c r="CK52">
        <v>44</v>
      </c>
      <c r="CL52">
        <v>2.3858110602106977</v>
      </c>
      <c r="CM52">
        <v>0.15166931145821691</v>
      </c>
      <c r="CN52">
        <v>0.15166931145821691</v>
      </c>
      <c r="CO52" t="e">
        <v>#N/A</v>
      </c>
      <c r="CP52" t="str">
        <v/>
      </c>
    </row>
    <row r="53" spans="1:94" x14ac:dyDescent="0.2">
      <c r="A53" s="3" t="s">
        <v>191</v>
      </c>
      <c r="D53" s="3" t="s">
        <v>61</v>
      </c>
      <c r="G53" s="3" t="s">
        <v>192</v>
      </c>
      <c r="J53" s="3" t="s">
        <v>61</v>
      </c>
      <c r="AR53">
        <v>45</v>
      </c>
      <c r="AS53">
        <v>45</v>
      </c>
      <c r="AT53">
        <v>1</v>
      </c>
      <c r="AU53">
        <v>-9.7052104005988209</v>
      </c>
      <c r="AV53">
        <v>2.5267554460926696E-3</v>
      </c>
      <c r="CD53">
        <v>45</v>
      </c>
      <c r="CE53">
        <v>1.5158853262001191</v>
      </c>
      <c r="CF53">
        <v>0.21478100451171675</v>
      </c>
      <c r="CG53">
        <v>0.21478100451171675</v>
      </c>
      <c r="CH53" t="e">
        <v>#N/A</v>
      </c>
      <c r="CI53" t="str">
        <v/>
      </c>
      <c r="CK53">
        <v>45</v>
      </c>
      <c r="CL53">
        <v>2.4412950383551322</v>
      </c>
      <c r="CM53">
        <v>0.1475195308039953</v>
      </c>
      <c r="CN53">
        <v>0.1475195308039953</v>
      </c>
      <c r="CO53" t="e">
        <v>#N/A</v>
      </c>
      <c r="CP53" t="str">
        <v/>
      </c>
    </row>
    <row r="54" spans="1:94" x14ac:dyDescent="0.2">
      <c r="A54" s="20" t="s">
        <v>66</v>
      </c>
      <c r="B54" s="19" t="s">
        <v>38</v>
      </c>
      <c r="D54" s="33" t="s">
        <v>62</v>
      </c>
      <c r="E54" s="28">
        <f>1-_xlfn.F.DIST(E59,B59,B60,TRUE)</f>
        <v>4.472321280508984E-2</v>
      </c>
      <c r="G54" s="20" t="s">
        <v>69</v>
      </c>
      <c r="H54" s="19" t="str" cm="1">
        <f t="array" ref="H54">IF(AND(_xlfn.ANCHORARRAY(CS11)&gt;=3),"Opfyldt","Ikke opfyldt")</f>
        <v>Opfyldt</v>
      </c>
      <c r="J54" s="33" t="s">
        <v>62</v>
      </c>
      <c r="K54" s="28">
        <f>1-_xlfn.CHISQ.DIST(CJ25,CQ9-1,TRUE)</f>
        <v>1.006003771397701E-7</v>
      </c>
      <c r="AR54">
        <v>46</v>
      </c>
      <c r="AS54">
        <v>46</v>
      </c>
      <c r="AT54">
        <v>1</v>
      </c>
      <c r="AU54">
        <v>-9.6742698692814741</v>
      </c>
      <c r="AV54">
        <v>2.5758804854565109E-3</v>
      </c>
      <c r="CD54">
        <v>46</v>
      </c>
      <c r="CE54">
        <v>1.5503372654319401</v>
      </c>
      <c r="CF54">
        <v>0.20771884853826894</v>
      </c>
      <c r="CG54">
        <v>0.20771884853826894</v>
      </c>
      <c r="CH54" t="e">
        <v>#N/A</v>
      </c>
      <c r="CI54" t="str">
        <v/>
      </c>
      <c r="CK54">
        <v>46</v>
      </c>
      <c r="CL54">
        <v>2.4967790164995671</v>
      </c>
      <c r="CM54">
        <v>0.14348329111143945</v>
      </c>
      <c r="CN54">
        <v>0.14348329111143945</v>
      </c>
      <c r="CO54" t="e">
        <v>#N/A</v>
      </c>
      <c r="CP54" t="str">
        <v/>
      </c>
    </row>
    <row r="55" spans="1:94" x14ac:dyDescent="0.2">
      <c r="A55" s="20" t="s">
        <v>67</v>
      </c>
      <c r="B55" s="19" t="s">
        <v>68</v>
      </c>
      <c r="D55" s="33" t="s">
        <v>63</v>
      </c>
      <c r="E55" s="41" t="str">
        <f>IF(E54&lt;1-B5,"Nulhypotesen afvises","Nulhypotesen kan ikke afvises")</f>
        <v>Nulhypotesen afvises</v>
      </c>
      <c r="G55" s="20" t="s">
        <v>66</v>
      </c>
      <c r="H55" s="19" t="s">
        <v>38</v>
      </c>
      <c r="J55" s="33" t="s">
        <v>71</v>
      </c>
      <c r="K55" s="41" t="str">
        <f>IF(K54&lt;1-B5,"Nulhypotesen afvises","Nulhypotesen kan ikke afvises")</f>
        <v>Nulhypotesen afvises</v>
      </c>
      <c r="AR55">
        <v>47</v>
      </c>
      <c r="AS55">
        <v>47</v>
      </c>
      <c r="AT55">
        <v>1</v>
      </c>
      <c r="AU55">
        <v>-9.6433293379641274</v>
      </c>
      <c r="AV55">
        <v>2.6258250891133881E-3</v>
      </c>
      <c r="CD55">
        <v>47</v>
      </c>
      <c r="CE55">
        <v>1.5847892046637611</v>
      </c>
      <c r="CF55">
        <v>0.20090170892902393</v>
      </c>
      <c r="CG55">
        <v>0.20090170892902393</v>
      </c>
      <c r="CH55" t="e">
        <v>#N/A</v>
      </c>
      <c r="CI55" t="str">
        <v/>
      </c>
      <c r="CK55">
        <v>47</v>
      </c>
      <c r="CL55">
        <v>2.5522629946440021</v>
      </c>
      <c r="CM55">
        <v>0.13955748581876934</v>
      </c>
      <c r="CN55">
        <v>0.13955748581876934</v>
      </c>
      <c r="CO55" t="e">
        <v>#N/A</v>
      </c>
      <c r="CP55" t="str">
        <v/>
      </c>
    </row>
    <row r="56" spans="1:94" x14ac:dyDescent="0.2">
      <c r="G56" s="20" t="s">
        <v>70</v>
      </c>
      <c r="H56" s="19" t="s">
        <v>38</v>
      </c>
      <c r="AR56">
        <v>48</v>
      </c>
      <c r="AS56">
        <v>48</v>
      </c>
      <c r="AT56">
        <v>1</v>
      </c>
      <c r="AU56">
        <v>-9.6123888066467824</v>
      </c>
      <c r="AV56">
        <v>2.6765999427542852E-3</v>
      </c>
      <c r="CD56">
        <v>48</v>
      </c>
      <c r="CE56">
        <v>1.6192411438955818</v>
      </c>
      <c r="CF56">
        <v>0.19432064233928636</v>
      </c>
      <c r="CG56">
        <v>0.19432064233928636</v>
      </c>
      <c r="CH56" t="e">
        <v>#N/A</v>
      </c>
      <c r="CI56" t="str">
        <v/>
      </c>
      <c r="CK56">
        <v>48</v>
      </c>
      <c r="CL56">
        <v>2.607746972788437</v>
      </c>
      <c r="CM56">
        <v>0.13573909336195331</v>
      </c>
      <c r="CN56">
        <v>0.13573909336195331</v>
      </c>
      <c r="CO56" t="e">
        <v>#N/A</v>
      </c>
      <c r="CP56" t="str">
        <v/>
      </c>
    </row>
    <row r="57" spans="1:94" x14ac:dyDescent="0.2">
      <c r="AR57">
        <v>49</v>
      </c>
      <c r="AS57">
        <v>49</v>
      </c>
      <c r="AT57">
        <v>1</v>
      </c>
      <c r="AU57">
        <v>-9.5814482753294357</v>
      </c>
      <c r="AV57">
        <v>2.7282158091909061E-3</v>
      </c>
      <c r="CD57">
        <v>49</v>
      </c>
      <c r="CE57">
        <v>1.6536930831274028</v>
      </c>
      <c r="CF57">
        <v>0.18796704796321512</v>
      </c>
      <c r="CG57">
        <v>0.18796704796321512</v>
      </c>
      <c r="CH57" t="e">
        <v>#N/A</v>
      </c>
      <c r="CI57" t="str">
        <v/>
      </c>
      <c r="CK57">
        <v>49</v>
      </c>
      <c r="CL57">
        <v>2.6632309509328715</v>
      </c>
      <c r="CM57">
        <v>0.13202517484910906</v>
      </c>
      <c r="CN57">
        <v>0.13202517484910906</v>
      </c>
      <c r="CO57" t="e">
        <v>#N/A</v>
      </c>
      <c r="CP57" t="str">
        <v/>
      </c>
    </row>
    <row r="58" spans="1:94" x14ac:dyDescent="0.2">
      <c r="A58" s="40" t="s">
        <v>195</v>
      </c>
      <c r="B58" s="23" t="s">
        <v>20</v>
      </c>
      <c r="C58" s="23" t="s">
        <v>56</v>
      </c>
      <c r="D58" s="23" t="s">
        <v>57</v>
      </c>
      <c r="E58" s="23" t="s">
        <v>58</v>
      </c>
      <c r="AR58">
        <v>50</v>
      </c>
      <c r="AS58">
        <v>50</v>
      </c>
      <c r="AT58">
        <v>1</v>
      </c>
      <c r="AU58">
        <v>-9.5505077440120889</v>
      </c>
      <c r="AV58">
        <v>2.7806835276037024E-3</v>
      </c>
      <c r="CD58">
        <v>50</v>
      </c>
      <c r="CE58">
        <v>1.6881450223592236</v>
      </c>
      <c r="CF58">
        <v>0.18183265379999633</v>
      </c>
      <c r="CG58">
        <v>0.18183265379999633</v>
      </c>
      <c r="CH58" t="e">
        <v>#N/A</v>
      </c>
      <c r="CI58" t="str">
        <v/>
      </c>
      <c r="CK58">
        <v>50</v>
      </c>
      <c r="CL58">
        <v>2.7187149290773065</v>
      </c>
      <c r="CM58">
        <v>0.1284128717985345</v>
      </c>
      <c r="CN58">
        <v>0.1284128717985345</v>
      </c>
      <c r="CO58" t="e">
        <v>#N/A</v>
      </c>
      <c r="CP58" t="str">
        <v/>
      </c>
    </row>
    <row r="59" spans="1:94" x14ac:dyDescent="0.2">
      <c r="A59" s="23" t="s">
        <v>53</v>
      </c>
      <c r="B59" s="27">
        <f>CQ9-1</f>
        <v>2</v>
      </c>
      <c r="C59" s="26">
        <f>CQ17</f>
        <v>84.732223121819032</v>
      </c>
      <c r="D59" s="26">
        <f>CQ21</f>
        <v>42.366111560909516</v>
      </c>
      <c r="E59" s="26">
        <f>D59/D60</f>
        <v>3.4191051103620165</v>
      </c>
      <c r="AR59">
        <v>51</v>
      </c>
      <c r="AS59">
        <v>51</v>
      </c>
      <c r="AT59">
        <v>1</v>
      </c>
      <c r="AU59">
        <v>-9.5195672126947422</v>
      </c>
      <c r="AV59">
        <v>2.8340140127555021E-3</v>
      </c>
      <c r="CD59">
        <v>51</v>
      </c>
      <c r="CE59">
        <v>1.7225969615910446</v>
      </c>
      <c r="CF59">
        <v>0.17590950349519938</v>
      </c>
      <c r="CG59">
        <v>0.17590950349519938</v>
      </c>
      <c r="CH59" t="e">
        <v>#N/A</v>
      </c>
      <c r="CI59">
        <v>1.7230000000000001</v>
      </c>
      <c r="CK59">
        <v>51</v>
      </c>
      <c r="CL59">
        <v>2.7741989072217415</v>
      </c>
      <c r="CM59">
        <v>0.12489940393862797</v>
      </c>
      <c r="CN59">
        <v>0.12489940393862797</v>
      </c>
      <c r="CO59" t="e">
        <v>#N/A</v>
      </c>
      <c r="CP59">
        <v>2.774</v>
      </c>
    </row>
    <row r="60" spans="1:94" x14ac:dyDescent="0.2">
      <c r="A60" s="23" t="s">
        <v>54</v>
      </c>
      <c r="B60" s="27">
        <f>CQ13-CQ9</f>
        <v>33</v>
      </c>
      <c r="C60" s="26">
        <f>CQ19</f>
        <v>408.90280830295518</v>
      </c>
      <c r="D60" s="26">
        <f>CQ23</f>
        <v>12.390994190998642</v>
      </c>
      <c r="E60" s="26"/>
      <c r="AR60">
        <v>52</v>
      </c>
      <c r="AS60">
        <v>52</v>
      </c>
      <c r="AT60">
        <v>1</v>
      </c>
      <c r="AU60">
        <v>-9.4886266813773972</v>
      </c>
      <c r="AV60">
        <v>2.888218254170296E-3</v>
      </c>
      <c r="CD60">
        <v>52</v>
      </c>
      <c r="CE60">
        <v>1.7570489008228654</v>
      </c>
      <c r="CF60">
        <v>0.170189943732203</v>
      </c>
      <c r="CG60">
        <v>0.170189943732203</v>
      </c>
      <c r="CH60" t="e">
        <v>#N/A</v>
      </c>
      <c r="CI60" t="str">
        <v/>
      </c>
      <c r="CK60">
        <v>52</v>
      </c>
      <c r="CL60">
        <v>2.8296828853661764</v>
      </c>
      <c r="CM60">
        <v>0.12148206706800389</v>
      </c>
      <c r="CN60">
        <v>0.12148206706800389</v>
      </c>
      <c r="CO60" t="e">
        <v>#N/A</v>
      </c>
      <c r="CP60" t="str">
        <v/>
      </c>
    </row>
    <row r="61" spans="1:94" x14ac:dyDescent="0.2">
      <c r="A61" s="23" t="s">
        <v>55</v>
      </c>
      <c r="B61" s="27">
        <f>SUM(B59:B60)</f>
        <v>35</v>
      </c>
      <c r="C61" s="26">
        <f>SUM(C59:C60)</f>
        <v>493.63503142477418</v>
      </c>
      <c r="D61" s="26"/>
      <c r="E61" s="26"/>
      <c r="AR61">
        <v>53</v>
      </c>
      <c r="AS61">
        <v>53</v>
      </c>
      <c r="AT61">
        <v>1</v>
      </c>
      <c r="AU61">
        <v>-9.4576861500600504</v>
      </c>
      <c r="AV61">
        <v>2.9433073152768095E-3</v>
      </c>
      <c r="CD61">
        <v>53</v>
      </c>
      <c r="CE61">
        <v>1.7915008400546863</v>
      </c>
      <c r="CF61">
        <v>0.16466661214971975</v>
      </c>
      <c r="CG61">
        <v>0.16466661214971975</v>
      </c>
      <c r="CH61" t="e">
        <v>#N/A</v>
      </c>
      <c r="CI61" t="str">
        <v/>
      </c>
      <c r="CK61">
        <v>53</v>
      </c>
      <c r="CL61">
        <v>2.8851668635106109</v>
      </c>
      <c r="CM61">
        <v>0.11815823097415748</v>
      </c>
      <c r="CN61">
        <v>0.11815823097415748</v>
      </c>
      <c r="CO61" t="e">
        <v>#N/A</v>
      </c>
      <c r="CP61" t="str">
        <v/>
      </c>
    </row>
    <row r="62" spans="1:94" x14ac:dyDescent="0.2">
      <c r="AR62">
        <v>54</v>
      </c>
      <c r="AS62">
        <v>54</v>
      </c>
      <c r="AT62">
        <v>1</v>
      </c>
      <c r="AU62">
        <v>-9.4267456187427037</v>
      </c>
      <c r="AV62">
        <v>2.9992923325163458E-3</v>
      </c>
      <c r="CD62">
        <v>54</v>
      </c>
      <c r="CE62">
        <v>1.8259527792865071</v>
      </c>
      <c r="CF62">
        <v>0.15933242576253434</v>
      </c>
      <c r="CG62">
        <v>0.15933242576253434</v>
      </c>
      <c r="CH62" t="e">
        <v>#N/A</v>
      </c>
      <c r="CI62" t="str">
        <v/>
      </c>
      <c r="CK62">
        <v>54</v>
      </c>
      <c r="CL62">
        <v>2.9406508416550459</v>
      </c>
      <c r="CM62">
        <v>0.11492533740907598</v>
      </c>
      <c r="CN62">
        <v>0.11492533740907598</v>
      </c>
      <c r="CO62" t="e">
        <v>#N/A</v>
      </c>
      <c r="CP62" t="str">
        <v/>
      </c>
    </row>
    <row r="63" spans="1:94" x14ac:dyDescent="0.2">
      <c r="AR63">
        <v>55</v>
      </c>
      <c r="AS63">
        <v>55</v>
      </c>
      <c r="AT63">
        <v>1</v>
      </c>
      <c r="AU63">
        <v>-9.3958050874253587</v>
      </c>
      <c r="AV63">
        <v>3.0561845144146406E-3</v>
      </c>
      <c r="CD63">
        <v>55</v>
      </c>
      <c r="CE63">
        <v>1.8604047185183281</v>
      </c>
      <c r="CF63">
        <v>0.15418056986360645</v>
      </c>
      <c r="CG63">
        <v>0.15418056986360645</v>
      </c>
      <c r="CH63" t="e">
        <v>#N/A</v>
      </c>
      <c r="CI63" t="str">
        <v/>
      </c>
      <c r="CK63">
        <v>55</v>
      </c>
      <c r="CL63">
        <v>2.9961348197994804</v>
      </c>
      <c r="CM63">
        <v>0.11178089812023899</v>
      </c>
      <c r="CN63">
        <v>0.11178089812023899</v>
      </c>
      <c r="CO63" t="e">
        <v>#N/A</v>
      </c>
      <c r="CP63" t="str">
        <v/>
      </c>
    </row>
    <row r="64" spans="1:94" x14ac:dyDescent="0.2">
      <c r="AR64">
        <v>56</v>
      </c>
      <c r="AS64">
        <v>56</v>
      </c>
      <c r="AT64">
        <v>1</v>
      </c>
      <c r="AU64">
        <v>-9.3648645561080119</v>
      </c>
      <c r="AV64">
        <v>3.1139951406172479E-3</v>
      </c>
      <c r="CD64">
        <v>56</v>
      </c>
      <c r="CE64">
        <v>1.8948566577501489</v>
      </c>
      <c r="CF64">
        <v>0.14920448738667683</v>
      </c>
      <c r="CG64">
        <v>0.14920448738667683</v>
      </c>
      <c r="CH64" t="e">
        <v>#N/A</v>
      </c>
      <c r="CI64" t="str">
        <v/>
      </c>
      <c r="CK64">
        <v>56</v>
      </c>
      <c r="CL64">
        <v>3.0516187979439158</v>
      </c>
      <c r="CM64">
        <v>0.10872249293549151</v>
      </c>
      <c r="CN64">
        <v>0.10872249293549151</v>
      </c>
      <c r="CO64" t="e">
        <v>#N/A</v>
      </c>
      <c r="CP64" t="str">
        <v/>
      </c>
    </row>
    <row r="65" spans="44:94" x14ac:dyDescent="0.2">
      <c r="AR65">
        <v>57</v>
      </c>
      <c r="AS65">
        <v>57</v>
      </c>
      <c r="AT65">
        <v>1</v>
      </c>
      <c r="AU65">
        <v>-9.3339240247906652</v>
      </c>
      <c r="AV65">
        <v>3.1727355608880442E-3</v>
      </c>
      <c r="CD65">
        <v>57</v>
      </c>
      <c r="CE65">
        <v>1.9293085969819699</v>
      </c>
      <c r="CF65">
        <v>0.14439786870945562</v>
      </c>
      <c r="CG65">
        <v>0.14439786870945562</v>
      </c>
      <c r="CH65" t="e">
        <v>#N/A</v>
      </c>
      <c r="CI65" t="str">
        <v/>
      </c>
      <c r="CK65">
        <v>57</v>
      </c>
      <c r="CL65">
        <v>3.1071027760883503</v>
      </c>
      <c r="CM65">
        <v>0.10574776790031694</v>
      </c>
      <c r="CN65">
        <v>0.10574776790031694</v>
      </c>
      <c r="CO65" t="e">
        <v>#N/A</v>
      </c>
      <c r="CP65" t="str">
        <v/>
      </c>
    </row>
    <row r="66" spans="44:94" x14ac:dyDescent="0.2">
      <c r="AR66">
        <v>58</v>
      </c>
      <c r="AS66">
        <v>58</v>
      </c>
      <c r="AT66">
        <v>1</v>
      </c>
      <c r="AU66">
        <v>-9.3029834934733184</v>
      </c>
      <c r="AV66">
        <v>3.2324171940705283E-3</v>
      </c>
      <c r="CD66">
        <v>58</v>
      </c>
      <c r="CE66">
        <v>1.9637605362137909</v>
      </c>
      <c r="CF66">
        <v>0.13975464187836859</v>
      </c>
      <c r="CG66">
        <v>0.13975464187836859</v>
      </c>
      <c r="CH66" t="e">
        <v>#N/A</v>
      </c>
      <c r="CI66" t="str">
        <v/>
      </c>
      <c r="CK66">
        <v>58</v>
      </c>
      <c r="CL66">
        <v>3.1625867542327852</v>
      </c>
      <c r="CM66">
        <v>0.10285443346607481</v>
      </c>
      <c r="CN66">
        <v>0.10285443346607481</v>
      </c>
      <c r="CO66" t="e">
        <v>#N/A</v>
      </c>
      <c r="CP66" t="str">
        <v/>
      </c>
    </row>
    <row r="67" spans="44:94" x14ac:dyDescent="0.2">
      <c r="AR67">
        <v>59</v>
      </c>
      <c r="AS67">
        <v>59</v>
      </c>
      <c r="AT67">
        <v>1</v>
      </c>
      <c r="AU67">
        <v>-9.2720429621559735</v>
      </c>
      <c r="AV67">
        <v>3.2930515270115047E-3</v>
      </c>
      <c r="CD67">
        <v>59</v>
      </c>
      <c r="CE67">
        <v>1.9982124754456116</v>
      </c>
      <c r="CF67">
        <v>0.13526896323669277</v>
      </c>
      <c r="CG67">
        <v>0.13526896323669277</v>
      </c>
      <c r="CH67" t="e">
        <v>#N/A</v>
      </c>
      <c r="CI67" t="str">
        <v/>
      </c>
      <c r="CK67">
        <v>59</v>
      </c>
      <c r="CL67">
        <v>3.2180707323772197</v>
      </c>
      <c r="CM67">
        <v>0.1000402627278103</v>
      </c>
      <c r="CN67">
        <v>0.1000402627278103</v>
      </c>
      <c r="CO67" t="e">
        <v>#N/A</v>
      </c>
      <c r="CP67" t="str">
        <v/>
      </c>
    </row>
    <row r="68" spans="44:94" x14ac:dyDescent="0.2">
      <c r="AR68">
        <v>60</v>
      </c>
      <c r="AS68">
        <v>60</v>
      </c>
      <c r="AT68">
        <v>1</v>
      </c>
      <c r="AU68">
        <v>-9.2411024308386267</v>
      </c>
      <c r="AV68">
        <v>3.3546501134467774E-3</v>
      </c>
      <c r="CD68">
        <v>60</v>
      </c>
      <c r="CE68">
        <v>2.0326644146774324</v>
      </c>
      <c r="CF68">
        <v>0.13093520843872647</v>
      </c>
      <c r="CG68">
        <v>0.13093520843872647</v>
      </c>
      <c r="CH68" t="e">
        <v>#N/A</v>
      </c>
      <c r="CI68" t="str">
        <v/>
      </c>
      <c r="CK68">
        <v>60</v>
      </c>
      <c r="CL68">
        <v>3.2735547105216551</v>
      </c>
      <c r="CM68">
        <v>9.7303089710278109E-2</v>
      </c>
      <c r="CN68">
        <v>9.7303089710278109E-2</v>
      </c>
      <c r="CO68" t="e">
        <v>#N/A</v>
      </c>
      <c r="CP68" t="str">
        <v/>
      </c>
    </row>
    <row r="69" spans="44:94" x14ac:dyDescent="0.2">
      <c r="AR69">
        <v>61</v>
      </c>
      <c r="AS69">
        <v>61</v>
      </c>
      <c r="AT69">
        <v>1</v>
      </c>
      <c r="AU69">
        <v>-9.2101618995212799</v>
      </c>
      <c r="AV69">
        <v>3.417224572848493E-3</v>
      </c>
      <c r="CD69">
        <v>61</v>
      </c>
      <c r="CE69">
        <v>2.0671163539092534</v>
      </c>
      <c r="CF69">
        <v>0.12674796383341594</v>
      </c>
      <c r="CG69">
        <v>0.12674796383341594</v>
      </c>
      <c r="CH69" t="e">
        <v>#N/A</v>
      </c>
      <c r="CI69" t="str">
        <v/>
      </c>
      <c r="CK69">
        <v>61</v>
      </c>
      <c r="CL69">
        <v>3.3290386886660897</v>
      </c>
      <c r="CM69">
        <v>9.4640807700862237E-2</v>
      </c>
      <c r="CN69">
        <v>9.4640807700862237E-2</v>
      </c>
      <c r="CO69" t="e">
        <v>#N/A</v>
      </c>
      <c r="CP69" t="str">
        <v/>
      </c>
    </row>
    <row r="70" spans="44:94" x14ac:dyDescent="0.2">
      <c r="AR70">
        <v>62</v>
      </c>
      <c r="AS70">
        <v>62</v>
      </c>
      <c r="AT70">
        <v>1</v>
      </c>
      <c r="AU70">
        <v>-9.1792213682039332</v>
      </c>
      <c r="AV70">
        <v>3.4807865892337538E-3</v>
      </c>
      <c r="CD70">
        <v>62</v>
      </c>
      <c r="CE70">
        <v>2.101568293141074</v>
      </c>
      <c r="CF70">
        <v>0.12270201820160426</v>
      </c>
      <c r="CG70">
        <v>0.12270201820160426</v>
      </c>
      <c r="CH70" t="e">
        <v>#N/A</v>
      </c>
      <c r="CI70" t="str">
        <v/>
      </c>
      <c r="CK70">
        <v>62</v>
      </c>
      <c r="CL70">
        <v>3.3845226668105246</v>
      </c>
      <c r="CM70">
        <v>9.2051367628108047E-2</v>
      </c>
      <c r="CN70">
        <v>9.2051367628108047E-2</v>
      </c>
      <c r="CO70" t="e">
        <v>#N/A</v>
      </c>
      <c r="CP70" t="str">
        <v/>
      </c>
    </row>
    <row r="71" spans="44:94" x14ac:dyDescent="0.2">
      <c r="AR71">
        <v>63</v>
      </c>
      <c r="AS71">
        <v>63</v>
      </c>
      <c r="AT71">
        <v>1</v>
      </c>
      <c r="AU71">
        <v>-9.1482808368865882</v>
      </c>
      <c r="AV71">
        <v>3.5453479099341913E-3</v>
      </c>
      <c r="CD71">
        <v>63</v>
      </c>
      <c r="CE71">
        <v>2.136020232372895</v>
      </c>
      <c r="CF71">
        <v>0.11879235483176906</v>
      </c>
      <c r="CG71">
        <v>0.11879235483176906</v>
      </c>
      <c r="CH71" t="e">
        <v>#N/A</v>
      </c>
      <c r="CI71" t="str">
        <v/>
      </c>
      <c r="CK71">
        <v>63</v>
      </c>
      <c r="CL71">
        <v>3.4400066449549591</v>
      </c>
      <c r="CM71">
        <v>8.9532776484618881E-2</v>
      </c>
      <c r="CN71">
        <v>8.9532776484618881E-2</v>
      </c>
      <c r="CO71" t="e">
        <v>#N/A</v>
      </c>
      <c r="CP71" t="str">
        <v/>
      </c>
    </row>
    <row r="72" spans="44:94" x14ac:dyDescent="0.2">
      <c r="AR72">
        <v>64</v>
      </c>
      <c r="AS72">
        <v>64</v>
      </c>
      <c r="AT72">
        <v>1</v>
      </c>
      <c r="AU72">
        <v>-9.1173403055692415</v>
      </c>
      <c r="AV72">
        <v>3.6109203443261411E-3</v>
      </c>
      <c r="CD72">
        <v>64</v>
      </c>
      <c r="CE72">
        <v>2.1704721716047159</v>
      </c>
      <c r="CF72">
        <v>0.11501414391979549</v>
      </c>
      <c r="CG72">
        <v>0.11501414391979549</v>
      </c>
      <c r="CH72" t="e">
        <v>#N/A</v>
      </c>
      <c r="CI72" t="str">
        <v/>
      </c>
      <c r="CK72">
        <v>64</v>
      </c>
      <c r="CL72">
        <v>3.4954906230993945</v>
      </c>
      <c r="CM72">
        <v>8.708309579310354E-2</v>
      </c>
      <c r="CN72">
        <v>8.708309579310354E-2</v>
      </c>
      <c r="CO72" t="e">
        <v>#N/A</v>
      </c>
      <c r="CP72" t="str">
        <v/>
      </c>
    </row>
    <row r="73" spans="44:94" x14ac:dyDescent="0.2">
      <c r="AR73">
        <v>65</v>
      </c>
      <c r="AS73">
        <v>65</v>
      </c>
      <c r="AT73">
        <v>1</v>
      </c>
      <c r="AU73">
        <v>-9.0863997742518947</v>
      </c>
      <c r="AV73">
        <v>3.677515762521023E-3</v>
      </c>
      <c r="CD73">
        <v>65</v>
      </c>
      <c r="CE73">
        <v>2.2049241108365369</v>
      </c>
      <c r="CF73">
        <v>0.11136273527896913</v>
      </c>
      <c r="CG73">
        <v>0.11136273527896913</v>
      </c>
      <c r="CH73" t="e">
        <v>#N/A</v>
      </c>
      <c r="CI73" t="str">
        <v/>
      </c>
      <c r="CK73">
        <v>65</v>
      </c>
      <c r="CL73">
        <v>3.550974601243829</v>
      </c>
      <c r="CM73">
        <v>8.4700440114393594E-2</v>
      </c>
      <c r="CN73">
        <v>8.4700440114393594E-2</v>
      </c>
      <c r="CO73" t="e">
        <v>#N/A</v>
      </c>
      <c r="CP73" t="str">
        <v/>
      </c>
    </row>
    <row r="74" spans="44:94" x14ac:dyDescent="0.2">
      <c r="AR74">
        <v>66</v>
      </c>
      <c r="AS74">
        <v>66</v>
      </c>
      <c r="AT74">
        <v>1</v>
      </c>
      <c r="AU74">
        <v>-9.0554592429345497</v>
      </c>
      <c r="AV74">
        <v>3.7451460940157049E-3</v>
      </c>
      <c r="CD74">
        <v>66</v>
      </c>
      <c r="CE74">
        <v>2.2393760500683579</v>
      </c>
      <c r="CF74">
        <v>0.10783365134698773</v>
      </c>
      <c r="CG74">
        <v>0.10783365134698773</v>
      </c>
      <c r="CH74" t="e">
        <v>#N/A</v>
      </c>
      <c r="CI74" t="str">
        <v/>
      </c>
      <c r="CK74">
        <v>66</v>
      </c>
      <c r="CL74">
        <v>3.6064585793882635</v>
      </c>
      <c r="CM74">
        <v>8.2382975596282451E-2</v>
      </c>
      <c r="CN74">
        <v>8.2382975596282451E-2</v>
      </c>
      <c r="CO74" t="e">
        <v>#N/A</v>
      </c>
      <c r="CP74" t="str">
        <v/>
      </c>
    </row>
    <row r="75" spans="44:94" x14ac:dyDescent="0.2">
      <c r="AR75">
        <v>67</v>
      </c>
      <c r="AS75">
        <v>67</v>
      </c>
      <c r="AT75">
        <v>1</v>
      </c>
      <c r="AU75">
        <v>-9.024518711617203</v>
      </c>
      <c r="AV75">
        <v>3.8138233263024577E-3</v>
      </c>
      <c r="CD75">
        <v>67</v>
      </c>
      <c r="CE75">
        <v>2.2738279893001789</v>
      </c>
      <c r="CF75">
        <v>0.10442258047737547</v>
      </c>
      <c r="CG75">
        <v>0.10442258047737547</v>
      </c>
      <c r="CH75" t="e">
        <v>#N/A</v>
      </c>
      <c r="CI75" t="str">
        <v/>
      </c>
      <c r="CK75">
        <v>67</v>
      </c>
      <c r="CL75">
        <v>3.6619425575326985</v>
      </c>
      <c r="CM75">
        <v>8.0128918562069232E-2</v>
      </c>
      <c r="CN75">
        <v>8.0128918562069232E-2</v>
      </c>
      <c r="CO75" t="e">
        <v>#N/A</v>
      </c>
      <c r="CP75" t="str">
        <v/>
      </c>
    </row>
    <row r="76" spans="44:94" x14ac:dyDescent="0.2">
      <c r="AR76">
        <v>68</v>
      </c>
      <c r="AS76">
        <v>68</v>
      </c>
      <c r="AT76">
        <v>1</v>
      </c>
      <c r="AU76">
        <v>-8.9935781802998562</v>
      </c>
      <c r="AV76">
        <v>3.8835595034381852E-3</v>
      </c>
      <c r="CD76">
        <v>68</v>
      </c>
      <c r="CE76">
        <v>2.3082799285319999</v>
      </c>
      <c r="CF76">
        <v>0.10112537050324176</v>
      </c>
      <c r="CG76">
        <v>0.10112537050324176</v>
      </c>
      <c r="CH76" t="e">
        <v>#N/A</v>
      </c>
      <c r="CI76" t="str">
        <v/>
      </c>
      <c r="CK76">
        <v>68</v>
      </c>
      <c r="CL76">
        <v>3.717426535677133</v>
      </c>
      <c r="CM76">
        <v>7.7936534137721294E-2</v>
      </c>
      <c r="CN76">
        <v>7.7936534137721294E-2</v>
      </c>
      <c r="CO76" t="e">
        <v>#N/A</v>
      </c>
      <c r="CP76" t="str">
        <v/>
      </c>
    </row>
    <row r="77" spans="44:94" x14ac:dyDescent="0.2">
      <c r="AR77">
        <v>69</v>
      </c>
      <c r="AS77">
        <v>69</v>
      </c>
      <c r="AT77">
        <v>1</v>
      </c>
      <c r="AU77">
        <v>-8.9626376489825095</v>
      </c>
      <c r="AV77">
        <v>3.9543667245726727E-3</v>
      </c>
      <c r="CD77">
        <v>69</v>
      </c>
      <c r="CE77">
        <v>2.3427318677638209</v>
      </c>
      <c r="CF77">
        <v>9.7938022561856339E-2</v>
      </c>
      <c r="CG77">
        <v>9.7938022561856339E-2</v>
      </c>
      <c r="CH77" t="e">
        <v>#N/A</v>
      </c>
      <c r="CI77" t="str">
        <v/>
      </c>
      <c r="CK77">
        <v>69</v>
      </c>
      <c r="CL77">
        <v>3.7729105138215684</v>
      </c>
      <c r="CM77">
        <v>7.5804134916598057E-2</v>
      </c>
      <c r="CN77">
        <v>7.5804134916598057E-2</v>
      </c>
      <c r="CO77" t="e">
        <v>#N/A</v>
      </c>
      <c r="CP77" t="str">
        <v/>
      </c>
    </row>
    <row r="78" spans="44:94" x14ac:dyDescent="0.2">
      <c r="AR78">
        <v>70</v>
      </c>
      <c r="AS78">
        <v>70</v>
      </c>
      <c r="AT78">
        <v>1</v>
      </c>
      <c r="AU78">
        <v>-8.9316971176651627</v>
      </c>
      <c r="AV78">
        <v>4.026257142435566E-3</v>
      </c>
      <c r="CD78">
        <v>70</v>
      </c>
      <c r="CE78">
        <v>2.377183806995641</v>
      </c>
      <c r="CF78">
        <v>9.4856685169023056E-2</v>
      </c>
      <c r="CG78">
        <v>9.4856685169023056E-2</v>
      </c>
      <c r="CH78" t="e">
        <v>#N/A</v>
      </c>
      <c r="CI78" t="str">
        <v/>
      </c>
      <c r="CK78">
        <v>70</v>
      </c>
      <c r="CL78">
        <v>3.8283944919660029</v>
      </c>
      <c r="CM78">
        <v>7.3730079660709574E-2</v>
      </c>
      <c r="CN78">
        <v>7.3730079660709574E-2</v>
      </c>
      <c r="CO78" t="e">
        <v>#N/A</v>
      </c>
      <c r="CP78" t="str">
        <v/>
      </c>
    </row>
    <row r="79" spans="44:94" x14ac:dyDescent="0.2">
      <c r="AR79">
        <v>71</v>
      </c>
      <c r="AS79">
        <v>71</v>
      </c>
      <c r="AT79">
        <v>1</v>
      </c>
      <c r="AU79">
        <v>-8.9007565863478177</v>
      </c>
      <c r="AV79">
        <v>4.0992429617817032E-3</v>
      </c>
      <c r="CD79">
        <v>71</v>
      </c>
      <c r="CE79">
        <v>2.411635746227462</v>
      </c>
      <c r="CF79">
        <v>9.1877648532716516E-2</v>
      </c>
      <c r="CG79">
        <v>9.1877648532716516E-2</v>
      </c>
      <c r="CH79" t="e">
        <v>#N/A</v>
      </c>
      <c r="CI79" t="str">
        <v/>
      </c>
      <c r="CK79">
        <v>71</v>
      </c>
      <c r="CL79">
        <v>3.8838784701104379</v>
      </c>
      <c r="CM79">
        <v>7.1712772037509059E-2</v>
      </c>
      <c r="CN79">
        <v>7.1712772037509059E-2</v>
      </c>
      <c r="CO79" t="e">
        <v>#N/A</v>
      </c>
      <c r="CP79" t="str">
        <v/>
      </c>
    </row>
    <row r="80" spans="44:94" x14ac:dyDescent="0.2">
      <c r="AR80">
        <v>72</v>
      </c>
      <c r="AS80">
        <v>72</v>
      </c>
      <c r="AT80">
        <v>1</v>
      </c>
      <c r="AU80">
        <v>-8.869816055030471</v>
      </c>
      <c r="AV80">
        <v>4.1733364377946735E-3</v>
      </c>
      <c r="CD80">
        <v>72</v>
      </c>
      <c r="CE80">
        <v>2.446087685459283</v>
      </c>
      <c r="CF80">
        <v>8.8997339095911634E-2</v>
      </c>
      <c r="CG80">
        <v>8.8997339095911634E-2</v>
      </c>
      <c r="CH80" t="e">
        <v>#N/A</v>
      </c>
      <c r="CI80" t="str">
        <v/>
      </c>
      <c r="CK80">
        <v>72</v>
      </c>
      <c r="CL80">
        <v>3.9393624482548724</v>
      </c>
      <c r="CM80">
        <v>6.975065939124811E-2</v>
      </c>
      <c r="CN80">
        <v>6.975065939124811E-2</v>
      </c>
      <c r="CO80" t="e">
        <v>#N/A</v>
      </c>
      <c r="CP80" t="str">
        <v/>
      </c>
    </row>
    <row r="81" spans="1:94" x14ac:dyDescent="0.2">
      <c r="AR81">
        <v>73</v>
      </c>
      <c r="AS81">
        <v>73</v>
      </c>
      <c r="AT81">
        <v>1</v>
      </c>
      <c r="AU81">
        <v>-8.8388755237131242</v>
      </c>
      <c r="AV81">
        <v>4.2485498744482039E-3</v>
      </c>
      <c r="CD81">
        <v>73</v>
      </c>
      <c r="CE81">
        <v>2.480539624691104</v>
      </c>
      <c r="CF81">
        <v>8.6212314298971887E-2</v>
      </c>
      <c r="CG81">
        <v>8.6212314298971887E-2</v>
      </c>
      <c r="CH81" t="e">
        <v>#N/A</v>
      </c>
      <c r="CI81" t="str">
        <v/>
      </c>
      <c r="CK81">
        <v>73</v>
      </c>
      <c r="CL81">
        <v>3.9948464263993078</v>
      </c>
      <c r="CM81">
        <v>6.7842231547948065E-2</v>
      </c>
      <c r="CN81">
        <v>6.7842231547948065E-2</v>
      </c>
      <c r="CO81" t="e">
        <v>#N/A</v>
      </c>
      <c r="CP81" t="str">
        <v/>
      </c>
    </row>
    <row r="82" spans="1:94" x14ac:dyDescent="0.2">
      <c r="AR82">
        <v>74</v>
      </c>
      <c r="AS82">
        <v>74</v>
      </c>
      <c r="AT82">
        <v>1</v>
      </c>
      <c r="AU82">
        <v>-8.8079349923957793</v>
      </c>
      <c r="AV82">
        <v>4.3248956228252172E-3</v>
      </c>
      <c r="CD82">
        <v>74</v>
      </c>
      <c r="CE82">
        <v>2.514991563922925</v>
      </c>
      <c r="CF82">
        <v>8.3519257552389661E-2</v>
      </c>
      <c r="CG82">
        <v>8.3519257552389661E-2</v>
      </c>
      <c r="CH82" t="e">
        <v>#N/A</v>
      </c>
      <c r="CI82" t="str">
        <v/>
      </c>
      <c r="CK82">
        <v>74</v>
      </c>
      <c r="CL82">
        <v>4.0503304045437423</v>
      </c>
      <c r="CM82">
        <v>6.5986019653068786E-2</v>
      </c>
      <c r="CN82">
        <v>6.5986019653068786E-2</v>
      </c>
      <c r="CO82" t="e">
        <v>#N/A</v>
      </c>
      <c r="CP82" t="str">
        <v/>
      </c>
    </row>
    <row r="83" spans="1:94" x14ac:dyDescent="0.2">
      <c r="AR83">
        <v>75</v>
      </c>
      <c r="AS83">
        <v>75</v>
      </c>
      <c r="AT83">
        <v>1</v>
      </c>
      <c r="AU83">
        <v>-8.7769944610784325</v>
      </c>
      <c r="AV83">
        <v>4.4023860793942953E-3</v>
      </c>
      <c r="CD83">
        <v>75</v>
      </c>
      <c r="CE83">
        <v>2.549443503154746</v>
      </c>
      <c r="CF83">
        <v>8.0914973411068819E-2</v>
      </c>
      <c r="CG83">
        <v>8.0914973411068819E-2</v>
      </c>
      <c r="CH83" t="e">
        <v>#N/A</v>
      </c>
      <c r="CI83" t="str">
        <v/>
      </c>
      <c r="CK83">
        <v>75</v>
      </c>
      <c r="CL83">
        <v>4.1058143826881777</v>
      </c>
      <c r="CM83">
        <v>6.4180595040978866E-2</v>
      </c>
      <c r="CN83">
        <v>6.4180595040978866E-2</v>
      </c>
      <c r="CO83" t="e">
        <v>#N/A</v>
      </c>
      <c r="CP83" t="str">
        <v/>
      </c>
    </row>
    <row r="84" spans="1:94" x14ac:dyDescent="0.2">
      <c r="AR84">
        <v>76</v>
      </c>
      <c r="AS84">
        <v>76</v>
      </c>
      <c r="AT84">
        <v>1</v>
      </c>
      <c r="AU84">
        <v>-8.7460539297610858</v>
      </c>
      <c r="AV84">
        <v>4.4810336842432633E-3</v>
      </c>
      <c r="CD84">
        <v>76</v>
      </c>
      <c r="CE84">
        <v>2.583895442386567</v>
      </c>
      <c r="CF84">
        <v>7.8396382941726683E-2</v>
      </c>
      <c r="CG84">
        <v>7.8396382941726683E-2</v>
      </c>
      <c r="CH84" t="e">
        <v>#N/A</v>
      </c>
      <c r="CI84">
        <v>2.5840000000000001</v>
      </c>
      <c r="CK84">
        <v>76</v>
      </c>
      <c r="CL84">
        <v>4.1612983608326122</v>
      </c>
      <c r="CM84">
        <v>6.2424568135358904E-2</v>
      </c>
      <c r="CN84">
        <v>6.2424568135358904E-2</v>
      </c>
      <c r="CO84" t="e">
        <v>#N/A</v>
      </c>
      <c r="CP84">
        <v>4.1609999999999996</v>
      </c>
    </row>
    <row r="85" spans="1:94" x14ac:dyDescent="0.2">
      <c r="AR85">
        <v>77</v>
      </c>
      <c r="AS85">
        <v>77</v>
      </c>
      <c r="AT85">
        <v>1</v>
      </c>
      <c r="AU85">
        <v>-8.7151133984437408</v>
      </c>
      <c r="AV85">
        <v>4.560850919269761E-3</v>
      </c>
      <c r="CD85">
        <v>77</v>
      </c>
      <c r="CE85">
        <v>2.618347381618388</v>
      </c>
      <c r="CF85">
        <v>7.5960519275357727E-2</v>
      </c>
      <c r="CG85">
        <v>7.5960519275357727E-2</v>
      </c>
      <c r="CH85" t="e">
        <v>#N/A</v>
      </c>
      <c r="CI85" t="str">
        <v/>
      </c>
      <c r="CK85">
        <v>77</v>
      </c>
      <c r="CL85">
        <v>4.2167823389770467</v>
      </c>
      <c r="CM85">
        <v>6.0716587379689588E-2</v>
      </c>
      <c r="CN85">
        <v>6.0716587379689588E-2</v>
      </c>
      <c r="CO85" t="e">
        <v>#N/A</v>
      </c>
      <c r="CP85" t="str">
        <v/>
      </c>
    </row>
    <row r="86" spans="1:94" x14ac:dyDescent="0.2">
      <c r="AR86">
        <v>78</v>
      </c>
      <c r="AS86">
        <v>78</v>
      </c>
      <c r="AT86">
        <v>1</v>
      </c>
      <c r="AU86">
        <v>-8.684172867126394</v>
      </c>
      <c r="AV86">
        <v>4.6418503063285635E-3</v>
      </c>
      <c r="CD86">
        <v>78</v>
      </c>
      <c r="CE86">
        <v>2.6527993208502085</v>
      </c>
      <c r="CF86">
        <v>7.3604523337050753E-2</v>
      </c>
      <c r="CG86">
        <v>7.3604523337050753E-2</v>
      </c>
      <c r="CH86" t="e">
        <v>#N/A</v>
      </c>
      <c r="CI86" t="str">
        <v/>
      </c>
      <c r="CK86">
        <v>78</v>
      </c>
      <c r="CL86">
        <v>4.2722663171214821</v>
      </c>
      <c r="CM86">
        <v>5.9055338197003024E-2</v>
      </c>
      <c r="CN86">
        <v>5.9055338197003024E-2</v>
      </c>
      <c r="CO86" t="e">
        <v>#N/A</v>
      </c>
      <c r="CP86" t="str">
        <v/>
      </c>
    </row>
    <row r="87" spans="1:94" x14ac:dyDescent="0.2">
      <c r="AR87">
        <v>79</v>
      </c>
      <c r="AS87">
        <v>79</v>
      </c>
      <c r="AT87">
        <v>1</v>
      </c>
      <c r="AU87">
        <v>-8.6532323358090473</v>
      </c>
      <c r="AV87">
        <v>4.7240444053354242E-3</v>
      </c>
      <c r="CD87">
        <v>79</v>
      </c>
      <c r="CE87">
        <v>2.6872512600820291</v>
      </c>
      <c r="CF87">
        <v>7.1325639745787178E-2</v>
      </c>
      <c r="CG87">
        <v>7.1325639745787178E-2</v>
      </c>
      <c r="CH87" t="e">
        <v>#N/A</v>
      </c>
      <c r="CI87" t="str">
        <v/>
      </c>
      <c r="CK87">
        <v>79</v>
      </c>
      <c r="CL87">
        <v>4.3277502952659166</v>
      </c>
      <c r="CM87">
        <v>5.7439541978095886E-2</v>
      </c>
      <c r="CN87">
        <v>5.7439541978095886E-2</v>
      </c>
      <c r="CO87" t="e">
        <v>#N/A</v>
      </c>
      <c r="CP87" t="str">
        <v/>
      </c>
    </row>
    <row r="88" spans="1:94" x14ac:dyDescent="0.2">
      <c r="AR88">
        <v>80</v>
      </c>
      <c r="AS88">
        <v>80</v>
      </c>
      <c r="AT88">
        <v>1</v>
      </c>
      <c r="AU88">
        <v>-8.6222918044917005</v>
      </c>
      <c r="AV88">
        <v>4.8074458123272884E-3</v>
      </c>
      <c r="CD88">
        <v>80</v>
      </c>
      <c r="CE88">
        <v>2.7217031993138501</v>
      </c>
      <c r="CF88">
        <v>6.912121287716419E-2</v>
      </c>
      <c r="CG88">
        <v>6.912121287716419E-2</v>
      </c>
      <c r="CH88" t="e">
        <v>#N/A</v>
      </c>
      <c r="CI88" t="str">
        <v/>
      </c>
      <c r="CK88">
        <v>80</v>
      </c>
      <c r="CL88">
        <v>4.3832342734103511</v>
      </c>
      <c r="CM88">
        <v>5.586795509742546E-2</v>
      </c>
      <c r="CN88">
        <v>5.586795509742546E-2</v>
      </c>
      <c r="CO88" t="e">
        <v>#N/A</v>
      </c>
      <c r="CP88" t="str">
        <v/>
      </c>
    </row>
    <row r="89" spans="1:94" x14ac:dyDescent="0.2">
      <c r="A89" s="3" t="s">
        <v>189</v>
      </c>
      <c r="AR89">
        <v>81</v>
      </c>
      <c r="AS89">
        <v>81</v>
      </c>
      <c r="AT89">
        <v>1</v>
      </c>
      <c r="AU89">
        <v>-8.5913512731743538</v>
      </c>
      <c r="AV89">
        <v>4.8920671574787271E-3</v>
      </c>
      <c r="CD89">
        <v>81</v>
      </c>
      <c r="CE89">
        <v>2.7561551385456711</v>
      </c>
      <c r="CF89">
        <v>6.6988683082295067E-2</v>
      </c>
      <c r="CG89">
        <v>6.6988683082295067E-2</v>
      </c>
      <c r="CH89" t="e">
        <v>#N/A</v>
      </c>
      <c r="CI89" t="str">
        <v/>
      </c>
      <c r="CK89">
        <v>81</v>
      </c>
      <c r="CL89">
        <v>4.4387182515547856</v>
      </c>
      <c r="CM89">
        <v>5.4339367955931868E-2</v>
      </c>
      <c r="CN89">
        <v>5.4339367955931868E-2</v>
      </c>
      <c r="CO89" t="e">
        <v>#N/A</v>
      </c>
      <c r="CP89" t="str">
        <v/>
      </c>
    </row>
    <row r="90" spans="1:94" x14ac:dyDescent="0.2">
      <c r="A90" s="23" t="s">
        <v>194</v>
      </c>
      <c r="B90" s="23" t="s">
        <v>144</v>
      </c>
      <c r="C90" s="23" t="s">
        <v>193</v>
      </c>
      <c r="D90" s="23" t="s">
        <v>212</v>
      </c>
      <c r="E90" s="23" t="s">
        <v>213</v>
      </c>
      <c r="AR90">
        <v>82</v>
      </c>
      <c r="AS90">
        <v>82</v>
      </c>
      <c r="AT90">
        <v>1</v>
      </c>
      <c r="AU90">
        <v>-8.5604107418570088</v>
      </c>
      <c r="AV90">
        <v>4.9779211030743942E-3</v>
      </c>
      <c r="CD90">
        <v>82</v>
      </c>
      <c r="CE90">
        <v>2.7906070777774921</v>
      </c>
      <c r="CF90">
        <v>6.4925583056426123E-2</v>
      </c>
      <c r="CG90">
        <v>6.4925583056426123E-2</v>
      </c>
      <c r="CH90" t="e">
        <v>#N/A</v>
      </c>
      <c r="CI90" t="str">
        <v/>
      </c>
      <c r="CK90">
        <v>82</v>
      </c>
      <c r="CL90">
        <v>4.494202229699221</v>
      </c>
      <c r="CM90">
        <v>5.2852604050049157E-2</v>
      </c>
      <c r="CN90">
        <v>5.2852604050049157E-2</v>
      </c>
      <c r="CO90" t="e">
        <v>#N/A</v>
      </c>
      <c r="CP90" t="str">
        <v/>
      </c>
    </row>
    <row r="91" spans="1:94" x14ac:dyDescent="0.2">
      <c r="A91" s="25" t="str" cm="1">
        <f t="array" ref="A91:A93">_xlfn.SORTBY(_xlfn.ANCHORARRAY(BG9),_xlfn.ANCHORARRAY(CB9),-1)&amp;" ; "&amp;_xlfn.SORTBY(_xlfn.ANCHORARRAY(BH9),_xlfn.ANCHORARRAY(CB9),-1)</f>
        <v>Eksempel 4 (nominal) ; Eksempel 2 (interval)</v>
      </c>
      <c r="B91" s="25" cm="1">
        <f t="array" ref="B91:B93">_xlfn.SORTBY(_xlfn.ANCHORARRAY(BI9),_xlfn.ANCHORARRAY(CB9),-1)</f>
        <v>-3.7256728716641034</v>
      </c>
      <c r="C91" s="25" t="b" cm="1">
        <f t="array" ref="C91:C93">_xlfn.SORTBY(_xlfn.ANCHORARRAY(BL9),_xlfn.ANCHORARRAY(CB9),-1)</f>
        <v>0</v>
      </c>
      <c r="D91" s="25" cm="1">
        <f t="array" ref="D91:D93">_xlfn.SORTBY(INDEX(_xlfn.ANCHORARRAY(CS12),_xlfn.ANCHORARRAY(BE9)+1),_xlfn.ANCHORARRAY(CB9),-1)</f>
        <v>0.41666666666666669</v>
      </c>
      <c r="E91" s="25" cm="1">
        <f t="array" ref="E91:E93">_xlfn.SORTBY(INDEX(_xlfn.ANCHORARRAY(CS12),_xlfn.ANCHORARRAY(BF9)),_xlfn.ANCHORARRAY(CB9),-1)</f>
        <v>4.14233953833077</v>
      </c>
      <c r="AR91">
        <v>83</v>
      </c>
      <c r="AS91">
        <v>83</v>
      </c>
      <c r="AT91">
        <v>1</v>
      </c>
      <c r="AU91">
        <v>-8.529470210539662</v>
      </c>
      <c r="AV91">
        <v>5.0650203414374043E-3</v>
      </c>
      <c r="CD91">
        <v>83</v>
      </c>
      <c r="CE91">
        <v>2.8250590170093131</v>
      </c>
      <c r="CF91">
        <v>6.2929534351090374E-2</v>
      </c>
      <c r="CG91">
        <v>6.2929534351090374E-2</v>
      </c>
      <c r="CH91" t="e">
        <v>#N/A</v>
      </c>
      <c r="CI91" t="str">
        <v/>
      </c>
      <c r="CK91">
        <v>83</v>
      </c>
      <c r="CL91">
        <v>4.5496862078436555</v>
      </c>
      <c r="CM91">
        <v>5.1406519066189066E-2</v>
      </c>
      <c r="CN91">
        <v>5.1406519066189066E-2</v>
      </c>
      <c r="CO91" t="e">
        <v>#N/A</v>
      </c>
      <c r="CP91" t="str">
        <v/>
      </c>
    </row>
    <row r="92" spans="1:94" x14ac:dyDescent="0.2">
      <c r="A92" s="25" t="str">
        <v>Eksempel 2 (interval) ; Eksempel 1 (interval)</v>
      </c>
      <c r="B92" s="25">
        <v>2.2883351200097994</v>
      </c>
      <c r="C92" s="25" t="b">
        <v>0</v>
      </c>
      <c r="D92" s="25">
        <v>4.14233953833077</v>
      </c>
      <c r="E92" s="25">
        <v>1.8540044183209705</v>
      </c>
      <c r="AR92">
        <v>84</v>
      </c>
      <c r="AS92">
        <v>84</v>
      </c>
      <c r="AT92">
        <v>1</v>
      </c>
      <c r="AU92">
        <v>-8.4985296792223153</v>
      </c>
      <c r="AV92">
        <v>5.1533775928134535E-3</v>
      </c>
      <c r="CD92">
        <v>84</v>
      </c>
      <c r="CE92">
        <v>2.859510956241134</v>
      </c>
      <c r="CF92">
        <v>6.0998244023881945E-2</v>
      </c>
      <c r="CG92">
        <v>6.0998244023881945E-2</v>
      </c>
      <c r="CH92" t="e">
        <v>#N/A</v>
      </c>
      <c r="CI92" t="str">
        <v/>
      </c>
      <c r="CK92">
        <v>84</v>
      </c>
      <c r="CL92">
        <v>4.6051701859880909</v>
      </c>
      <c r="CM92">
        <v>5.0000000000000017E-2</v>
      </c>
      <c r="CN92">
        <v>5.0000000000000017E-2</v>
      </c>
      <c r="CO92" t="e">
        <v>#N/A</v>
      </c>
      <c r="CP92" t="str">
        <v/>
      </c>
    </row>
    <row r="93" spans="1:94" x14ac:dyDescent="0.2">
      <c r="A93" s="25" t="str">
        <v>Eksempel 4 (nominal) ; Eksempel 1 (interval)</v>
      </c>
      <c r="B93" s="25">
        <v>-1.4373377516543038</v>
      </c>
      <c r="C93" s="25" t="b">
        <v>0</v>
      </c>
      <c r="D93" s="25">
        <v>0.41666666666666669</v>
      </c>
      <c r="E93" s="25">
        <v>1.8540044183209705</v>
      </c>
      <c r="AR93">
        <v>85</v>
      </c>
      <c r="AS93">
        <v>85</v>
      </c>
      <c r="AT93">
        <v>1</v>
      </c>
      <c r="AU93">
        <v>-8.4675891479049703</v>
      </c>
      <c r="AV93">
        <v>5.2430056032106006E-3</v>
      </c>
      <c r="CD93">
        <v>85</v>
      </c>
      <c r="CE93">
        <v>2.893962895472955</v>
      </c>
      <c r="CF93">
        <v>5.9129501420190821E-2</v>
      </c>
      <c r="CG93">
        <v>5.9129501420190821E-2</v>
      </c>
      <c r="CH93" t="e">
        <v>#N/A</v>
      </c>
      <c r="CI93" t="str">
        <v/>
      </c>
      <c r="CK93">
        <v>85</v>
      </c>
      <c r="CL93">
        <v>4.6606541641325254</v>
      </c>
      <c r="CM93">
        <v>4.863196429972428E-2</v>
      </c>
      <c r="CN93">
        <v>4.863196429972428E-2</v>
      </c>
      <c r="CO93" t="e">
        <v>#N/A</v>
      </c>
      <c r="CP93" t="str">
        <v/>
      </c>
    </row>
    <row r="94" spans="1:94" x14ac:dyDescent="0.2">
      <c r="A94" s="25"/>
      <c r="B94" s="25"/>
      <c r="C94" s="25"/>
      <c r="D94" s="25"/>
      <c r="E94" s="25"/>
      <c r="AR94">
        <v>86</v>
      </c>
      <c r="AS94">
        <v>86</v>
      </c>
      <c r="AT94">
        <v>1</v>
      </c>
      <c r="AU94">
        <v>-8.4366486165876236</v>
      </c>
      <c r="AV94">
        <v>5.3339171421946472E-3</v>
      </c>
      <c r="CD94">
        <v>86</v>
      </c>
      <c r="CE94">
        <v>2.928414834704776</v>
      </c>
      <c r="CF94">
        <v>5.7321175081477681E-2</v>
      </c>
      <c r="CG94">
        <v>5.7321175081477681E-2</v>
      </c>
      <c r="CH94" t="e">
        <v>#N/A</v>
      </c>
      <c r="CI94" t="str">
        <v/>
      </c>
      <c r="CK94">
        <v>86</v>
      </c>
      <c r="CL94">
        <v>4.7161381422769608</v>
      </c>
      <c r="CM94">
        <v>4.7301359032993102E-2</v>
      </c>
      <c r="CN94">
        <v>4.7301359032993102E-2</v>
      </c>
      <c r="CO94" t="e">
        <v>#N/A</v>
      </c>
      <c r="CP94" t="str">
        <v/>
      </c>
    </row>
    <row r="95" spans="1:94" x14ac:dyDescent="0.2">
      <c r="A95" s="25"/>
      <c r="B95" s="25"/>
      <c r="C95" s="25"/>
      <c r="D95" s="25"/>
      <c r="E95" s="25"/>
      <c r="AR95">
        <v>87</v>
      </c>
      <c r="AS95">
        <v>87</v>
      </c>
      <c r="AT95">
        <v>1</v>
      </c>
      <c r="AU95">
        <v>-8.4057080852702768</v>
      </c>
      <c r="AV95">
        <v>5.4261250006399243E-3</v>
      </c>
      <c r="CD95">
        <v>87</v>
      </c>
      <c r="CE95">
        <v>2.9628667739365966</v>
      </c>
      <c r="CF95">
        <v>5.5571209774901563E-2</v>
      </c>
      <c r="CG95">
        <v>5.5571209774901563E-2</v>
      </c>
      <c r="CH95" t="e">
        <v>#N/A</v>
      </c>
      <c r="CI95" t="str">
        <v/>
      </c>
      <c r="CK95">
        <v>87</v>
      </c>
      <c r="CL95">
        <v>4.7716221204213953</v>
      </c>
      <c r="CM95">
        <v>4.6007160076419217E-2</v>
      </c>
      <c r="CN95">
        <v>4.6007160076419217E-2</v>
      </c>
      <c r="CO95" t="e">
        <v>#N/A</v>
      </c>
      <c r="CP95" t="str">
        <v/>
      </c>
    </row>
    <row r="96" spans="1:94" x14ac:dyDescent="0.2">
      <c r="A96" s="25"/>
      <c r="B96" s="25"/>
      <c r="C96" s="25"/>
      <c r="D96" s="25"/>
      <c r="E96" s="25"/>
      <c r="AR96">
        <v>88</v>
      </c>
      <c r="AS96">
        <v>88</v>
      </c>
      <c r="AT96">
        <v>1</v>
      </c>
      <c r="AU96">
        <v>-8.3747675539529318</v>
      </c>
      <c r="AV96">
        <v>5.5196419884354963E-3</v>
      </c>
      <c r="CD96">
        <v>88</v>
      </c>
      <c r="CE96">
        <v>2.9973187131684171</v>
      </c>
      <c r="CF96">
        <v>5.3877623639334557E-2</v>
      </c>
      <c r="CG96">
        <v>5.3877623639334557E-2</v>
      </c>
      <c r="CH96" t="e">
        <v>#N/A</v>
      </c>
      <c r="CI96" t="str">
        <v/>
      </c>
      <c r="CK96">
        <v>88</v>
      </c>
      <c r="CL96">
        <v>4.8271060985658298</v>
      </c>
      <c r="CM96">
        <v>4.4748371327362375E-2</v>
      </c>
      <c r="CN96">
        <v>4.4748371327362375E-2</v>
      </c>
      <c r="CO96" t="e">
        <v>#N/A</v>
      </c>
      <c r="CP96" t="str">
        <v/>
      </c>
    </row>
    <row r="97" spans="1:94" x14ac:dyDescent="0.2">
      <c r="A97" s="25"/>
      <c r="B97" s="25"/>
      <c r="C97" s="25"/>
      <c r="D97" s="25"/>
      <c r="E97" s="25"/>
      <c r="AR97">
        <v>89</v>
      </c>
      <c r="AS97">
        <v>89</v>
      </c>
      <c r="AT97">
        <v>1</v>
      </c>
      <c r="AU97">
        <v>-8.3438270226355851</v>
      </c>
      <c r="AV97">
        <v>5.6144809321467372E-3</v>
      </c>
      <c r="CD97">
        <v>89</v>
      </c>
      <c r="CE97">
        <v>3.0317706524002381</v>
      </c>
      <c r="CF97">
        <v>5.2238505443008232E-2</v>
      </c>
      <c r="CG97">
        <v>5.2238505443008232E-2</v>
      </c>
      <c r="CH97" t="e">
        <v>#N/A</v>
      </c>
      <c r="CI97" t="str">
        <v/>
      </c>
      <c r="CK97">
        <v>89</v>
      </c>
      <c r="CL97">
        <v>4.8825900767102643</v>
      </c>
      <c r="CM97">
        <v>4.3524023937261846E-2</v>
      </c>
      <c r="CN97">
        <v>4.3524023937261846E-2</v>
      </c>
      <c r="CO97" t="e">
        <v>#N/A</v>
      </c>
      <c r="CP97" t="str">
        <v/>
      </c>
    </row>
    <row r="98" spans="1:94" x14ac:dyDescent="0.2">
      <c r="A98" s="25"/>
      <c r="B98" s="25"/>
      <c r="C98" s="25"/>
      <c r="D98" s="25"/>
      <c r="E98" s="25"/>
      <c r="AR98">
        <v>90</v>
      </c>
      <c r="AS98">
        <v>90</v>
      </c>
      <c r="AT98">
        <v>1</v>
      </c>
      <c r="AU98">
        <v>-8.3128864913182383</v>
      </c>
      <c r="AV98">
        <v>5.7106546726321469E-3</v>
      </c>
      <c r="CD98">
        <v>90</v>
      </c>
      <c r="CE98">
        <v>3.0662225916320591</v>
      </c>
      <c r="CF98">
        <v>5.0652011948239699E-2</v>
      </c>
      <c r="CG98">
        <v>5.0652011948239699E-2</v>
      </c>
      <c r="CH98" t="e">
        <v>#N/A</v>
      </c>
      <c r="CI98" t="str">
        <v/>
      </c>
      <c r="CK98">
        <v>90</v>
      </c>
      <c r="CL98">
        <v>4.9380740548546997</v>
      </c>
      <c r="CM98">
        <v>4.2333175565945236E-2</v>
      </c>
      <c r="CN98">
        <v>4.2333175565945236E-2</v>
      </c>
      <c r="CO98" t="e">
        <v>#N/A</v>
      </c>
      <c r="CP98" t="str">
        <v/>
      </c>
    </row>
    <row r="99" spans="1:94" x14ac:dyDescent="0.2">
      <c r="A99" s="25"/>
      <c r="B99" s="25"/>
      <c r="C99" s="25"/>
      <c r="D99" s="25"/>
      <c r="E99" s="25"/>
      <c r="AR99">
        <v>91</v>
      </c>
      <c r="AS99">
        <v>91</v>
      </c>
      <c r="AT99">
        <v>1</v>
      </c>
      <c r="AU99">
        <v>-8.2819459600008916</v>
      </c>
      <c r="AV99">
        <v>5.8081760626154848E-3</v>
      </c>
      <c r="CD99">
        <v>91</v>
      </c>
      <c r="CE99">
        <v>3.1006745308638801</v>
      </c>
      <c r="CF99">
        <v>4.9116365378877584E-2</v>
      </c>
      <c r="CG99">
        <v>4.9116365378877584E-2</v>
      </c>
      <c r="CH99" t="e">
        <v>#N/A</v>
      </c>
      <c r="CI99" t="str">
        <v/>
      </c>
      <c r="CK99">
        <v>91</v>
      </c>
      <c r="CL99">
        <v>4.9935580329991343</v>
      </c>
      <c r="CM99">
        <v>4.1174909656340165E-2</v>
      </c>
      <c r="CN99">
        <v>4.1174909656340165E-2</v>
      </c>
      <c r="CO99" t="e">
        <v>#N/A</v>
      </c>
      <c r="CP99" t="str">
        <v/>
      </c>
    </row>
    <row r="100" spans="1:94" x14ac:dyDescent="0.2">
      <c r="A100" s="25"/>
      <c r="B100" s="25"/>
      <c r="C100" s="25"/>
      <c r="D100" s="25"/>
      <c r="E100" s="25"/>
      <c r="AR100">
        <v>92</v>
      </c>
      <c r="AS100">
        <v>92</v>
      </c>
      <c r="AT100">
        <v>1</v>
      </c>
      <c r="AU100">
        <v>-8.2510054286835448</v>
      </c>
      <c r="AV100">
        <v>5.9070579642131367E-3</v>
      </c>
      <c r="CD100">
        <v>92</v>
      </c>
      <c r="CE100">
        <v>3.1351264700957011</v>
      </c>
      <c r="CF100">
        <v>4.7629850986293881E-2</v>
      </c>
      <c r="CG100">
        <v>4.7629850986293881E-2</v>
      </c>
      <c r="CH100" t="e">
        <v>#N/A</v>
      </c>
      <c r="CI100" t="str">
        <v/>
      </c>
      <c r="CK100">
        <v>92</v>
      </c>
      <c r="CL100">
        <v>5.0490420111435688</v>
      </c>
      <c r="CM100">
        <v>4.004833472903014E-2</v>
      </c>
      <c r="CN100">
        <v>4.004833472903014E-2</v>
      </c>
      <c r="CO100" t="e">
        <v>#N/A</v>
      </c>
      <c r="CP100" t="str">
        <v/>
      </c>
    </row>
    <row r="101" spans="1:94" x14ac:dyDescent="0.2">
      <c r="A101" s="25"/>
      <c r="B101" s="25"/>
      <c r="C101" s="25"/>
      <c r="D101" s="25"/>
      <c r="E101" s="25"/>
      <c r="AR101">
        <v>93</v>
      </c>
      <c r="AS101">
        <v>93</v>
      </c>
      <c r="AT101">
        <v>1</v>
      </c>
      <c r="AU101">
        <v>-8.2200648973661998</v>
      </c>
      <c r="AV101">
        <v>6.0073132464167605E-3</v>
      </c>
      <c r="CD101">
        <v>93</v>
      </c>
      <c r="CE101">
        <v>3.1695784093275221</v>
      </c>
      <c r="CF101">
        <v>4.6190814709922638E-2</v>
      </c>
      <c r="CG101">
        <v>4.6190814709922638E-2</v>
      </c>
      <c r="CH101" t="e">
        <v>#N/A</v>
      </c>
      <c r="CI101" t="str">
        <v/>
      </c>
      <c r="CK101">
        <v>93</v>
      </c>
      <c r="CL101">
        <v>5.1045259892880042</v>
      </c>
      <c r="CM101">
        <v>3.8952583696112014E-2</v>
      </c>
      <c r="CN101">
        <v>3.8952583696112014E-2</v>
      </c>
      <c r="CO101" t="e">
        <v>#N/A</v>
      </c>
      <c r="CP101" t="str">
        <v/>
      </c>
    </row>
    <row r="102" spans="1:94" x14ac:dyDescent="0.2">
      <c r="A102" s="25"/>
      <c r="B102" s="25"/>
      <c r="C102" s="25"/>
      <c r="D102" s="25"/>
      <c r="E102" s="25"/>
      <c r="AR102">
        <v>94</v>
      </c>
      <c r="AS102">
        <v>94</v>
      </c>
      <c r="AT102">
        <v>1</v>
      </c>
      <c r="AU102">
        <v>-8.1891243660488531</v>
      </c>
      <c r="AV102">
        <v>6.108954782531228E-3</v>
      </c>
      <c r="CD102">
        <v>94</v>
      </c>
      <c r="CE102">
        <v>3.2040303485593431</v>
      </c>
      <c r="CF102">
        <v>4.4797660928517648E-2</v>
      </c>
      <c r="CG102">
        <v>4.4797660928517648E-2</v>
      </c>
      <c r="CH102" t="e">
        <v>#N/A</v>
      </c>
      <c r="CI102" t="str">
        <v/>
      </c>
      <c r="CK102">
        <v>94</v>
      </c>
      <c r="CL102">
        <v>5.1600099674324396</v>
      </c>
      <c r="CM102">
        <v>3.7886813193826807E-2</v>
      </c>
      <c r="CN102">
        <v>3.7886813193826807E-2</v>
      </c>
      <c r="CO102" t="e">
        <v>#N/A</v>
      </c>
      <c r="CP102" t="str">
        <v/>
      </c>
    </row>
    <row r="103" spans="1:94" x14ac:dyDescent="0.2">
      <c r="A103" s="25"/>
      <c r="B103" s="25"/>
      <c r="C103" s="25"/>
      <c r="D103" s="25"/>
      <c r="E103" s="25"/>
      <c r="AR103">
        <v>95</v>
      </c>
      <c r="AS103">
        <v>95</v>
      </c>
      <c r="AT103">
        <v>1</v>
      </c>
      <c r="AU103">
        <v>-8.1581838347315063</v>
      </c>
      <c r="AV103">
        <v>6.2119954475678835E-3</v>
      </c>
      <c r="CD103">
        <v>95</v>
      </c>
      <c r="CE103">
        <v>3.2384822877911636</v>
      </c>
      <c r="CF103">
        <v>4.3448850298459844E-2</v>
      </c>
      <c r="CG103">
        <v>4.3448850298459844E-2</v>
      </c>
      <c r="CH103" t="e">
        <v>#N/A</v>
      </c>
      <c r="CI103" t="str">
        <v/>
      </c>
      <c r="CK103">
        <v>95</v>
      </c>
      <c r="CL103">
        <v>5.2154939455768741</v>
      </c>
      <c r="CM103">
        <v>3.6850202933450156E-2</v>
      </c>
      <c r="CN103">
        <v>3.6850202933450156E-2</v>
      </c>
      <c r="CO103" t="e">
        <v>#N/A</v>
      </c>
      <c r="CP103" t="str">
        <v/>
      </c>
    </row>
    <row r="104" spans="1:94" x14ac:dyDescent="0.2">
      <c r="A104" s="25"/>
      <c r="B104" s="25"/>
      <c r="C104" s="25"/>
      <c r="D104" s="25"/>
      <c r="E104" s="25"/>
      <c r="AR104">
        <v>96</v>
      </c>
      <c r="AS104">
        <v>96</v>
      </c>
      <c r="AT104">
        <v>1</v>
      </c>
      <c r="AU104">
        <v>-8.1272433034141613</v>
      </c>
      <c r="AV104">
        <v>6.3164481155931519E-3</v>
      </c>
      <c r="CD104">
        <v>96</v>
      </c>
      <c r="CE104">
        <v>3.2729342270229846</v>
      </c>
      <c r="CF104">
        <v>4.2142897675601899E-2</v>
      </c>
      <c r="CG104">
        <v>4.2142897675601899E-2</v>
      </c>
      <c r="CH104" t="e">
        <v>#N/A</v>
      </c>
      <c r="CI104" t="str">
        <v/>
      </c>
      <c r="CK104">
        <v>96</v>
      </c>
      <c r="CL104">
        <v>5.2709779237213086</v>
      </c>
      <c r="CM104">
        <v>3.5841955069942845E-2</v>
      </c>
      <c r="CN104">
        <v>3.5841955069942845E-2</v>
      </c>
      <c r="CO104" t="e">
        <v>#N/A</v>
      </c>
      <c r="CP104" t="str">
        <v/>
      </c>
    </row>
    <row r="105" spans="1:94" x14ac:dyDescent="0.2">
      <c r="A105" s="25"/>
      <c r="B105" s="25"/>
      <c r="C105" s="25"/>
      <c r="D105" s="25"/>
      <c r="E105" s="25"/>
      <c r="AR105">
        <v>97</v>
      </c>
      <c r="AS105">
        <v>97</v>
      </c>
      <c r="AT105">
        <v>1</v>
      </c>
      <c r="AU105">
        <v>-8.0963027720968146</v>
      </c>
      <c r="AV105">
        <v>6.4223256570327012E-3</v>
      </c>
      <c r="CD105">
        <v>97</v>
      </c>
      <c r="CE105">
        <v>3.3073861662548056</v>
      </c>
      <c r="CF105">
        <v>4.0878370117283888E-2</v>
      </c>
      <c r="CG105">
        <v>4.0878370117283888E-2</v>
      </c>
      <c r="CH105" t="e">
        <v>#N/A</v>
      </c>
      <c r="CI105" t="str">
        <v/>
      </c>
      <c r="CK105">
        <v>97</v>
      </c>
      <c r="CL105">
        <v>5.3264619018657431</v>
      </c>
      <c r="CM105">
        <v>3.4861293587875632E-2</v>
      </c>
      <c r="CN105">
        <v>3.4861293587875632E-2</v>
      </c>
      <c r="CO105" t="e">
        <v>#N/A</v>
      </c>
      <c r="CP105" t="str">
        <v/>
      </c>
    </row>
    <row r="106" spans="1:94" x14ac:dyDescent="0.2">
      <c r="A106" s="25"/>
      <c r="B106" s="25"/>
      <c r="C106" s="25"/>
      <c r="D106" s="25"/>
      <c r="E106" s="25"/>
      <c r="AR106">
        <v>98</v>
      </c>
      <c r="AS106">
        <v>98</v>
      </c>
      <c r="AT106">
        <v>1</v>
      </c>
      <c r="AU106">
        <v>-8.0653622407794678</v>
      </c>
      <c r="AV106">
        <v>6.5296409359310329E-3</v>
      </c>
      <c r="CD106">
        <v>98</v>
      </c>
      <c r="CE106">
        <v>3.3418381054866262</v>
      </c>
      <c r="CF106">
        <v>3.9653884961294988E-2</v>
      </c>
      <c r="CG106">
        <v>3.9653884961294988E-2</v>
      </c>
      <c r="CH106" t="e">
        <v>#N/A</v>
      </c>
      <c r="CI106" t="str">
        <v/>
      </c>
      <c r="CK106">
        <v>98</v>
      </c>
      <c r="CL106">
        <v>5.3819458800101776</v>
      </c>
      <c r="CM106">
        <v>3.3907463704155483E-2</v>
      </c>
      <c r="CN106">
        <v>3.3907463704155483E-2</v>
      </c>
      <c r="CO106" t="e">
        <v>#N/A</v>
      </c>
      <c r="CP106" t="str">
        <v/>
      </c>
    </row>
    <row r="107" spans="1:94" x14ac:dyDescent="0.2">
      <c r="A107" s="25"/>
      <c r="B107" s="25"/>
      <c r="C107" s="25"/>
      <c r="D107" s="25"/>
      <c r="E107" s="25"/>
      <c r="AR107">
        <v>99</v>
      </c>
      <c r="AS107">
        <v>99</v>
      </c>
      <c r="AT107">
        <v>1</v>
      </c>
      <c r="AU107">
        <v>-8.0344217094621229</v>
      </c>
      <c r="AV107">
        <v>6.6384068071667912E-3</v>
      </c>
      <c r="CD107">
        <v>99</v>
      </c>
      <c r="CE107">
        <v>3.3762900447184472</v>
      </c>
      <c r="CF107">
        <v>3.8468107978691976E-2</v>
      </c>
      <c r="CG107">
        <v>3.8468107978691976E-2</v>
      </c>
      <c r="CH107" t="e">
        <v>#N/A</v>
      </c>
      <c r="CI107" t="str">
        <v/>
      </c>
      <c r="CK107">
        <v>99</v>
      </c>
      <c r="CL107">
        <v>5.437429858154613</v>
      </c>
      <c r="CM107">
        <v>3.2979731287093708E-2</v>
      </c>
      <c r="CN107">
        <v>3.2979731287093708E-2</v>
      </c>
      <c r="CO107" t="e">
        <v>#N/A</v>
      </c>
      <c r="CP107" t="str">
        <v/>
      </c>
    </row>
    <row r="108" spans="1:94" x14ac:dyDescent="0.2">
      <c r="A108" s="25"/>
      <c r="B108" s="25"/>
      <c r="C108" s="25"/>
      <c r="D108" s="25"/>
      <c r="E108" s="25"/>
      <c r="AR108">
        <v>100</v>
      </c>
      <c r="AS108">
        <v>100</v>
      </c>
      <c r="AT108">
        <v>1</v>
      </c>
      <c r="AU108">
        <v>-8.0034811781447761</v>
      </c>
      <c r="AV108">
        <v>6.7486361136238999E-3</v>
      </c>
      <c r="CD108">
        <v>100</v>
      </c>
      <c r="CE108">
        <v>3.4107419839502682</v>
      </c>
      <c r="CF108">
        <v>3.7319751597513211E-2</v>
      </c>
      <c r="CG108">
        <v>3.7319751597513211E-2</v>
      </c>
      <c r="CH108" t="e">
        <v>#N/A</v>
      </c>
      <c r="CI108" t="str">
        <v/>
      </c>
      <c r="CK108">
        <v>100</v>
      </c>
      <c r="CL108">
        <v>5.4929138362990475</v>
      </c>
      <c r="CM108">
        <v>3.2077382291368813E-2</v>
      </c>
      <c r="CN108">
        <v>3.2077382291368813E-2</v>
      </c>
      <c r="CO108" t="e">
        <v>#N/A</v>
      </c>
      <c r="CP108" t="str">
        <v/>
      </c>
    </row>
    <row r="109" spans="1:94" x14ac:dyDescent="0.2">
      <c r="A109" s="25"/>
      <c r="B109" s="25"/>
      <c r="C109" s="25"/>
      <c r="D109" s="25"/>
      <c r="E109" s="25"/>
      <c r="AR109">
        <v>101</v>
      </c>
      <c r="AS109">
        <v>101</v>
      </c>
      <c r="AT109">
        <v>1</v>
      </c>
      <c r="AU109">
        <v>-7.9725406468274294</v>
      </c>
      <c r="AV109">
        <v>6.8603416833184902E-3</v>
      </c>
      <c r="CD109">
        <v>101</v>
      </c>
      <c r="CE109">
        <v>3.4451939231820892</v>
      </c>
      <c r="CF109">
        <v>3.6207573194551715E-2</v>
      </c>
      <c r="CG109" t="e">
        <v>#N/A</v>
      </c>
      <c r="CH109">
        <v>3.6207573194551715E-2</v>
      </c>
      <c r="CI109">
        <v>3.4449999999999998</v>
      </c>
      <c r="CK109">
        <v>101</v>
      </c>
      <c r="CL109">
        <v>5.5483978144434829</v>
      </c>
      <c r="CM109">
        <v>3.1199722208449101E-2</v>
      </c>
      <c r="CN109">
        <v>3.1199722208449101E-2</v>
      </c>
      <c r="CO109" t="e">
        <v>#N/A</v>
      </c>
      <c r="CP109">
        <v>5.548</v>
      </c>
    </row>
    <row r="110" spans="1:94" x14ac:dyDescent="0.2">
      <c r="A110" s="25"/>
      <c r="B110" s="25"/>
      <c r="C110" s="25"/>
      <c r="D110" s="25"/>
      <c r="E110" s="25"/>
      <c r="AR110">
        <v>102</v>
      </c>
      <c r="AS110">
        <v>102</v>
      </c>
      <c r="AT110">
        <v>1</v>
      </c>
      <c r="AU110">
        <v>-7.9416001155100826</v>
      </c>
      <c r="AV110">
        <v>6.973536326482053E-3</v>
      </c>
      <c r="CD110">
        <v>102</v>
      </c>
      <c r="CE110">
        <v>3.4796458624139102</v>
      </c>
      <c r="CF110">
        <v>3.5130373452467903E-2</v>
      </c>
      <c r="CG110" t="e">
        <v>#N/A</v>
      </c>
      <c r="CH110">
        <v>3.5130373452467903E-2</v>
      </c>
      <c r="CI110" t="str">
        <v/>
      </c>
      <c r="CK110">
        <v>102</v>
      </c>
      <c r="CL110">
        <v>5.6038817925879174</v>
      </c>
      <c r="CM110">
        <v>3.0346075532052222E-2</v>
      </c>
      <c r="CN110">
        <v>3.0346075532052222E-2</v>
      </c>
      <c r="CO110" t="e">
        <v>#N/A</v>
      </c>
      <c r="CP110" t="str">
        <v/>
      </c>
    </row>
    <row r="111" spans="1:94" x14ac:dyDescent="0.2">
      <c r="A111" s="25"/>
      <c r="B111" s="25"/>
      <c r="C111" s="25"/>
      <c r="D111" s="25"/>
      <c r="E111" s="25"/>
      <c r="AR111">
        <v>103</v>
      </c>
      <c r="AS111">
        <v>103</v>
      </c>
      <c r="AT111">
        <v>1</v>
      </c>
      <c r="AU111">
        <v>-7.9106595841927367</v>
      </c>
      <c r="AV111">
        <v>7.0882328326007799E-3</v>
      </c>
      <c r="CD111">
        <v>103</v>
      </c>
      <c r="CE111">
        <v>3.5140978016457307</v>
      </c>
      <c r="CF111">
        <v>3.4086994779636316E-2</v>
      </c>
      <c r="CG111" t="e">
        <v>#N/A</v>
      </c>
      <c r="CH111">
        <v>3.4086994779636316E-2</v>
      </c>
      <c r="CI111" t="str">
        <v/>
      </c>
      <c r="CK111">
        <v>103</v>
      </c>
      <c r="CL111">
        <v>5.6593657707323528</v>
      </c>
      <c r="CM111">
        <v>2.951578523822998E-2</v>
      </c>
      <c r="CN111">
        <v>2.951578523822998E-2</v>
      </c>
      <c r="CO111" t="e">
        <v>#N/A</v>
      </c>
      <c r="CP111" t="str">
        <v/>
      </c>
    </row>
    <row r="112" spans="1:94" x14ac:dyDescent="0.2">
      <c r="A112" s="25"/>
      <c r="B112" s="25"/>
      <c r="C112" s="25"/>
      <c r="D112" s="25"/>
      <c r="E112" s="25"/>
      <c r="AR112">
        <v>104</v>
      </c>
      <c r="AS112">
        <v>104</v>
      </c>
      <c r="AT112">
        <v>1</v>
      </c>
      <c r="AU112">
        <v>-7.8797190528753909</v>
      </c>
      <c r="AV112">
        <v>7.2044439674114414E-3</v>
      </c>
      <c r="CD112">
        <v>104</v>
      </c>
      <c r="CE112">
        <v>3.5485497408775517</v>
      </c>
      <c r="CF112">
        <v>3.3076319790228424E-2</v>
      </c>
      <c r="CG112" t="e">
        <v>#N/A</v>
      </c>
      <c r="CH112">
        <v>3.3076319790228424E-2</v>
      </c>
      <c r="CI112" t="str">
        <v/>
      </c>
      <c r="CK112">
        <v>104</v>
      </c>
      <c r="CL112">
        <v>5.7148497488767873</v>
      </c>
      <c r="CM112">
        <v>2.8708212279678583E-2</v>
      </c>
      <c r="CN112">
        <v>2.8708212279678583E-2</v>
      </c>
      <c r="CO112" t="e">
        <v>#N/A</v>
      </c>
      <c r="CP112" t="str">
        <v/>
      </c>
    </row>
    <row r="113" spans="1:94" x14ac:dyDescent="0.2">
      <c r="A113" s="25"/>
      <c r="B113" s="25"/>
      <c r="C113" s="25"/>
      <c r="D113" s="25"/>
      <c r="E113" s="25"/>
      <c r="AR113">
        <v>105</v>
      </c>
      <c r="AS113">
        <v>105</v>
      </c>
      <c r="AT113">
        <v>1</v>
      </c>
      <c r="AU113">
        <v>-7.8487785215580441</v>
      </c>
      <c r="AV113">
        <v>7.3221824698538503E-3</v>
      </c>
      <c r="CD113">
        <v>105</v>
      </c>
      <c r="CE113">
        <v>3.5830016801093727</v>
      </c>
      <c r="CF113">
        <v>3.2097269842137698E-2</v>
      </c>
      <c r="CG113" t="e">
        <v>#N/A</v>
      </c>
      <c r="CH113">
        <v>3.2097269842137698E-2</v>
      </c>
      <c r="CI113" t="str">
        <v/>
      </c>
      <c r="CK113">
        <v>105</v>
      </c>
      <c r="CL113">
        <v>5.7703337270212218</v>
      </c>
      <c r="CM113">
        <v>2.7922735093884699E-2</v>
      </c>
      <c r="CN113">
        <v>2.7922735093884699E-2</v>
      </c>
      <c r="CO113" t="e">
        <v>#N/A</v>
      </c>
      <c r="CP113" t="str">
        <v/>
      </c>
    </row>
    <row r="114" spans="1:94" x14ac:dyDescent="0.2">
      <c r="A114" s="25"/>
      <c r="B114" s="25"/>
      <c r="C114" s="25"/>
      <c r="D114" s="25"/>
      <c r="E114" s="25"/>
      <c r="AR114">
        <v>106</v>
      </c>
      <c r="AS114">
        <v>106</v>
      </c>
      <c r="AT114">
        <v>1</v>
      </c>
      <c r="AU114">
        <v>-7.8178379902406974</v>
      </c>
      <c r="AV114">
        <v>7.4414610489803648E-3</v>
      </c>
      <c r="CD114">
        <v>106</v>
      </c>
      <c r="CE114">
        <v>3.6174536193411937</v>
      </c>
      <c r="CF114">
        <v>3.1148803630451225E-2</v>
      </c>
      <c r="CG114" t="e">
        <v>#N/A</v>
      </c>
      <c r="CH114">
        <v>3.1148803630451225E-2</v>
      </c>
      <c r="CI114" t="str">
        <v/>
      </c>
      <c r="CK114">
        <v>106</v>
      </c>
      <c r="CL114">
        <v>5.8258177051656563</v>
      </c>
      <c r="CM114">
        <v>2.7158749124729167E-2</v>
      </c>
      <c r="CN114">
        <v>2.7158749124729167E-2</v>
      </c>
      <c r="CO114" t="e">
        <v>#N/A</v>
      </c>
      <c r="CP114" t="str">
        <v/>
      </c>
    </row>
    <row r="115" spans="1:94" x14ac:dyDescent="0.2">
      <c r="A115" s="25"/>
      <c r="B115" s="25"/>
      <c r="C115" s="25"/>
      <c r="D115" s="25"/>
      <c r="E115" s="25"/>
      <c r="AR115">
        <v>107</v>
      </c>
      <c r="AS115">
        <v>107</v>
      </c>
      <c r="AT115">
        <v>1</v>
      </c>
      <c r="AU115">
        <v>-7.7868974589233515</v>
      </c>
      <c r="AV115">
        <v>7.5622923808225124E-3</v>
      </c>
      <c r="CD115">
        <v>107</v>
      </c>
      <c r="CE115">
        <v>3.6519055585730142</v>
      </c>
      <c r="CF115">
        <v>3.0229915834267793E-2</v>
      </c>
      <c r="CG115" t="e">
        <v>#N/A</v>
      </c>
      <c r="CH115">
        <v>3.0229915834267793E-2</v>
      </c>
      <c r="CI115" t="str">
        <v/>
      </c>
      <c r="CK115">
        <v>107</v>
      </c>
      <c r="CL115">
        <v>5.8813016833100917</v>
      </c>
      <c r="CM115">
        <v>2.6415666357179918E-2</v>
      </c>
      <c r="CN115">
        <v>2.6415666357179918E-2</v>
      </c>
      <c r="CO115" t="e">
        <v>#N/A</v>
      </c>
      <c r="CP115" t="str">
        <v/>
      </c>
    </row>
    <row r="116" spans="1:94" x14ac:dyDescent="0.2">
      <c r="A116" s="25"/>
      <c r="B116" s="25"/>
      <c r="C116" s="25"/>
      <c r="D116" s="25"/>
      <c r="E116" s="25"/>
      <c r="AR116">
        <v>108</v>
      </c>
      <c r="AS116">
        <v>108</v>
      </c>
      <c r="AT116">
        <v>1</v>
      </c>
      <c r="AU116">
        <v>-7.7559569276060056</v>
      </c>
      <c r="AV116">
        <v>7.6846891052151159E-3</v>
      </c>
      <c r="CD116">
        <v>108</v>
      </c>
      <c r="CE116">
        <v>3.6863574978048352</v>
      </c>
      <c r="CF116">
        <v>2.9339635814752792E-2</v>
      </c>
      <c r="CG116" t="e">
        <v>#N/A</v>
      </c>
      <c r="CH116">
        <v>2.9339635814752792E-2</v>
      </c>
      <c r="CI116" t="str">
        <v/>
      </c>
      <c r="CK116">
        <v>108</v>
      </c>
      <c r="CL116">
        <v>5.9367856614545262</v>
      </c>
      <c r="CM116">
        <v>2.5692914864716032E-2</v>
      </c>
      <c r="CN116">
        <v>2.5692914864716032E-2</v>
      </c>
      <c r="CO116" t="e">
        <v>#N/A</v>
      </c>
      <c r="CP116" t="str">
        <v/>
      </c>
    </row>
    <row r="117" spans="1:94" x14ac:dyDescent="0.2">
      <c r="A117" s="25"/>
      <c r="B117" s="25"/>
      <c r="C117" s="25"/>
      <c r="D117" s="25"/>
      <c r="E117" s="25"/>
      <c r="AR117">
        <v>109</v>
      </c>
      <c r="AS117">
        <v>109</v>
      </c>
      <c r="AT117">
        <v>1</v>
      </c>
      <c r="AU117">
        <v>-7.7250163962886589</v>
      </c>
      <c r="AV117">
        <v>7.8086638225781753E-3</v>
      </c>
      <c r="CD117">
        <v>109</v>
      </c>
      <c r="CE117">
        <v>3.7208094370366562</v>
      </c>
      <c r="CF117">
        <v>2.8477026362407024E-2</v>
      </c>
      <c r="CG117" t="e">
        <v>#N/A</v>
      </c>
      <c r="CH117">
        <v>2.8477026362407024E-2</v>
      </c>
      <c r="CI117" t="str">
        <v/>
      </c>
      <c r="CK117">
        <v>109</v>
      </c>
      <c r="CL117">
        <v>5.9922696395989608</v>
      </c>
      <c r="CM117">
        <v>2.4989938369134497E-2</v>
      </c>
      <c r="CN117">
        <v>2.4989938369134497E-2</v>
      </c>
      <c r="CO117" t="e">
        <v>#N/A</v>
      </c>
      <c r="CP117" t="str">
        <v/>
      </c>
    </row>
    <row r="118" spans="1:94" x14ac:dyDescent="0.2">
      <c r="A118" s="25"/>
      <c r="B118" s="25"/>
      <c r="C118" s="25"/>
      <c r="D118" s="25"/>
      <c r="E118" s="25"/>
      <c r="AR118">
        <v>110</v>
      </c>
      <c r="AS118">
        <v>110</v>
      </c>
      <c r="AT118">
        <v>1</v>
      </c>
      <c r="AU118">
        <v>-7.694075864971313</v>
      </c>
      <c r="AV118">
        <v>7.9342290906567938E-3</v>
      </c>
      <c r="CD118">
        <v>110</v>
      </c>
      <c r="CE118">
        <v>3.7552613762684772</v>
      </c>
      <c r="CF118">
        <v>2.7641182491609701E-2</v>
      </c>
      <c r="CG118" t="e">
        <v>#N/A</v>
      </c>
      <c r="CH118">
        <v>2.7641182491609701E-2</v>
      </c>
      <c r="CI118" t="str">
        <v/>
      </c>
      <c r="CK118">
        <v>110</v>
      </c>
      <c r="CL118">
        <v>6.0477536177433961</v>
      </c>
      <c r="CM118">
        <v>2.4306195812401163E-2</v>
      </c>
      <c r="CN118">
        <v>2.4306195812401163E-2</v>
      </c>
      <c r="CO118" t="e">
        <v>#N/A</v>
      </c>
      <c r="CP118" t="str">
        <v/>
      </c>
    </row>
    <row r="119" spans="1:94" x14ac:dyDescent="0.2">
      <c r="A119" s="25"/>
      <c r="B119" s="25"/>
      <c r="C119" s="25"/>
      <c r="D119" s="25"/>
      <c r="E119" s="25"/>
      <c r="AR119">
        <v>111</v>
      </c>
      <c r="AS119">
        <v>111</v>
      </c>
      <c r="AT119">
        <v>1</v>
      </c>
      <c r="AU119">
        <v>-7.6631353336539672</v>
      </c>
      <c r="AV119">
        <v>8.0613974212195797E-3</v>
      </c>
      <c r="CD119">
        <v>111</v>
      </c>
      <c r="CE119">
        <v>3.7897133155002978</v>
      </c>
      <c r="CF119">
        <v>2.6831230280575491E-2</v>
      </c>
      <c r="CG119" t="e">
        <v>#N/A</v>
      </c>
      <c r="CH119">
        <v>2.6831230280575491E-2</v>
      </c>
      <c r="CI119" t="str">
        <v/>
      </c>
      <c r="CK119">
        <v>111</v>
      </c>
      <c r="CL119">
        <v>6.1032375958878315</v>
      </c>
      <c r="CM119">
        <v>2.3641160940216007E-2</v>
      </c>
      <c r="CN119">
        <v>2.3641160940216007E-2</v>
      </c>
      <c r="CO119" t="e">
        <v>#N/A</v>
      </c>
      <c r="CP119" t="str">
        <v/>
      </c>
    </row>
    <row r="120" spans="1:94" x14ac:dyDescent="0.2">
      <c r="A120" s="25"/>
      <c r="B120" s="25"/>
      <c r="C120" s="25"/>
      <c r="D120" s="25"/>
      <c r="E120" s="25"/>
      <c r="AR120">
        <v>112</v>
      </c>
      <c r="AS120">
        <v>112</v>
      </c>
      <c r="AT120">
        <v>1</v>
      </c>
      <c r="AU120">
        <v>-7.6321948023366204</v>
      </c>
      <c r="AV120">
        <v>8.1901812767158563E-3</v>
      </c>
      <c r="CD120">
        <v>112</v>
      </c>
      <c r="CE120">
        <v>3.8241652547321188</v>
      </c>
      <c r="CF120">
        <v>2.6046325754941556E-2</v>
      </c>
      <c r="CG120" t="e">
        <v>#N/A</v>
      </c>
      <c r="CH120">
        <v>2.6046325754941556E-2</v>
      </c>
      <c r="CI120" t="str">
        <v/>
      </c>
      <c r="CK120">
        <v>112</v>
      </c>
      <c r="CL120">
        <v>6.1587215740322661</v>
      </c>
      <c r="CM120">
        <v>2.2994321896972415E-2</v>
      </c>
      <c r="CN120">
        <v>2.2994321896972415E-2</v>
      </c>
      <c r="CO120" t="e">
        <v>#N/A</v>
      </c>
      <c r="CP120" t="str">
        <v/>
      </c>
    </row>
    <row r="121" spans="1:94" x14ac:dyDescent="0.2">
      <c r="A121" s="25"/>
      <c r="B121" s="25"/>
      <c r="C121" s="25"/>
      <c r="D121" s="25"/>
      <c r="E121" s="25"/>
      <c r="AR121">
        <v>113</v>
      </c>
      <c r="AS121">
        <v>113</v>
      </c>
      <c r="AT121">
        <v>1</v>
      </c>
      <c r="AU121">
        <v>-7.6012542710192736</v>
      </c>
      <c r="AV121">
        <v>8.3205930668919011E-3</v>
      </c>
      <c r="CD121">
        <v>113</v>
      </c>
      <c r="CE121">
        <v>3.8586171939639398</v>
      </c>
      <c r="CF121">
        <v>2.5285653813273922E-2</v>
      </c>
      <c r="CG121" t="e">
        <v>#N/A</v>
      </c>
      <c r="CH121">
        <v>2.5285653813273922E-2</v>
      </c>
      <c r="CI121" t="str">
        <v/>
      </c>
      <c r="CK121">
        <v>113</v>
      </c>
      <c r="CL121">
        <v>6.2142055521767006</v>
      </c>
      <c r="CM121">
        <v>2.2365180831798611E-2</v>
      </c>
      <c r="CN121">
        <v>2.2365180831798611E-2</v>
      </c>
      <c r="CO121" t="e">
        <v>#N/A</v>
      </c>
      <c r="CP121" t="str">
        <v/>
      </c>
    </row>
    <row r="122" spans="1:94" x14ac:dyDescent="0.2">
      <c r="A122" s="25"/>
      <c r="B122" s="25"/>
      <c r="C122" s="25"/>
      <c r="D122" s="25"/>
      <c r="E122" s="25"/>
      <c r="AR122">
        <v>114</v>
      </c>
      <c r="AS122">
        <v>114</v>
      </c>
      <c r="AT122">
        <v>1</v>
      </c>
      <c r="AU122">
        <v>-7.5703137397019278</v>
      </c>
      <c r="AV122">
        <v>8.4526451453668956E-3</v>
      </c>
      <c r="CD122">
        <v>114</v>
      </c>
      <c r="CE122">
        <v>3.8930691331957608</v>
      </c>
      <c r="CF122">
        <v>2.4548427192851448E-2</v>
      </c>
      <c r="CG122" t="e">
        <v>#N/A</v>
      </c>
      <c r="CH122">
        <v>2.4548427192851448E-2</v>
      </c>
      <c r="CI122" t="str">
        <v/>
      </c>
      <c r="CK122">
        <v>114</v>
      </c>
      <c r="CL122">
        <v>6.2696895303211351</v>
      </c>
      <c r="CM122">
        <v>2.1753253515378147E-2</v>
      </c>
      <c r="CN122">
        <v>2.1753253515378147E-2</v>
      </c>
      <c r="CO122" t="e">
        <v>#N/A</v>
      </c>
      <c r="CP122" t="str">
        <v/>
      </c>
    </row>
    <row r="123" spans="1:94" x14ac:dyDescent="0.2">
      <c r="A123" s="25"/>
      <c r="B123" s="25"/>
      <c r="C123" s="25"/>
      <c r="D123" s="25"/>
      <c r="E123" s="25"/>
      <c r="AR123">
        <v>115</v>
      </c>
      <c r="AS123">
        <v>115</v>
      </c>
      <c r="AT123">
        <v>1</v>
      </c>
      <c r="AU123">
        <v>-7.5393732083845819</v>
      </c>
      <c r="AV123">
        <v>8.5863498061688279E-3</v>
      </c>
      <c r="CD123">
        <v>115</v>
      </c>
      <c r="CE123">
        <v>3.9275210724275817</v>
      </c>
      <c r="CF123">
        <v>2.3833885474153556E-2</v>
      </c>
      <c r="CG123" t="e">
        <v>#N/A</v>
      </c>
      <c r="CH123">
        <v>2.3833885474153556E-2</v>
      </c>
      <c r="CI123" t="str">
        <v/>
      </c>
      <c r="CK123">
        <v>115</v>
      </c>
      <c r="CL123">
        <v>6.3251735084655705</v>
      </c>
      <c r="CM123">
        <v>2.1158068967254421E-2</v>
      </c>
      <c r="CN123">
        <v>2.1158068967254421E-2</v>
      </c>
      <c r="CO123" t="e">
        <v>#N/A</v>
      </c>
      <c r="CP123" t="str">
        <v/>
      </c>
    </row>
    <row r="124" spans="1:94" x14ac:dyDescent="0.2">
      <c r="A124" s="25"/>
      <c r="B124" s="25"/>
      <c r="C124" s="25"/>
      <c r="D124" s="25"/>
      <c r="E124" s="25"/>
      <c r="AR124">
        <v>116</v>
      </c>
      <c r="AS124">
        <v>116</v>
      </c>
      <c r="AT124">
        <v>1</v>
      </c>
      <c r="AU124">
        <v>-7.5084326770672352</v>
      </c>
      <c r="AV124">
        <v>8.7217192802307407E-3</v>
      </c>
      <c r="CD124">
        <v>116</v>
      </c>
      <c r="CE124">
        <v>3.9619730116594023</v>
      </c>
      <c r="CF124">
        <v>2.3141294122541144E-2</v>
      </c>
      <c r="CG124" t="e">
        <v>#N/A</v>
      </c>
      <c r="CH124">
        <v>2.3141294122541144E-2</v>
      </c>
      <c r="CI124" t="str">
        <v/>
      </c>
      <c r="CK124">
        <v>116</v>
      </c>
      <c r="CL124">
        <v>6.380657486610005</v>
      </c>
      <c r="CM124">
        <v>2.0579169093332423E-2</v>
      </c>
      <c r="CN124">
        <v>2.0579169093332423E-2</v>
      </c>
      <c r="CO124" t="e">
        <v>#N/A</v>
      </c>
      <c r="CP124" t="str">
        <v/>
      </c>
    </row>
    <row r="125" spans="1:94" x14ac:dyDescent="0.2">
      <c r="A125" s="25"/>
      <c r="B125" s="25"/>
      <c r="C125" s="25"/>
      <c r="D125" s="25"/>
      <c r="E125" s="25"/>
      <c r="AR125">
        <v>117</v>
      </c>
      <c r="AS125">
        <v>117</v>
      </c>
      <c r="AT125">
        <v>1</v>
      </c>
      <c r="AU125">
        <v>-7.4774921457498884</v>
      </c>
      <c r="AV125">
        <v>8.858765731847993E-3</v>
      </c>
      <c r="CD125">
        <v>117</v>
      </c>
      <c r="CE125">
        <v>3.9964249508912233</v>
      </c>
      <c r="CF125">
        <v>2.2469943565682025E-2</v>
      </c>
      <c r="CG125" t="e">
        <v>#N/A</v>
      </c>
      <c r="CH125">
        <v>2.2469943565682025E-2</v>
      </c>
      <c r="CI125" t="str">
        <v/>
      </c>
      <c r="CK125">
        <v>117</v>
      </c>
      <c r="CL125">
        <v>6.4361414647544395</v>
      </c>
      <c r="CM125">
        <v>2.0016108333298626E-2</v>
      </c>
      <c r="CN125">
        <v>2.0016108333298626E-2</v>
      </c>
      <c r="CO125" t="e">
        <v>#N/A</v>
      </c>
      <c r="CP125" t="str">
        <v/>
      </c>
    </row>
    <row r="126" spans="1:94" x14ac:dyDescent="0.2">
      <c r="A126" s="25"/>
      <c r="B126" s="25"/>
      <c r="C126" s="25"/>
      <c r="D126" s="25"/>
      <c r="E126" s="25"/>
      <c r="AR126">
        <v>118</v>
      </c>
      <c r="AS126">
        <v>118</v>
      </c>
      <c r="AT126">
        <v>1</v>
      </c>
      <c r="AU126">
        <v>-7.4465516144325425</v>
      </c>
      <c r="AV126">
        <v>8.9975012550968306E-3</v>
      </c>
      <c r="CD126">
        <v>118</v>
      </c>
      <c r="CE126">
        <v>4.0308768901230438</v>
      </c>
      <c r="CF126">
        <v>2.1819148305330376E-2</v>
      </c>
      <c r="CG126" t="e">
        <v>#N/A</v>
      </c>
      <c r="CH126">
        <v>2.1819148305330376E-2</v>
      </c>
      <c r="CI126" t="str">
        <v/>
      </c>
      <c r="CK126">
        <v>118</v>
      </c>
      <c r="CL126">
        <v>6.491625442898874</v>
      </c>
      <c r="CM126">
        <v>1.9468453317687845E-2</v>
      </c>
      <c r="CN126">
        <v>1.9468453317687845E-2</v>
      </c>
      <c r="CO126" t="e">
        <v>#N/A</v>
      </c>
      <c r="CP126" t="str">
        <v/>
      </c>
    </row>
    <row r="127" spans="1:94" x14ac:dyDescent="0.2">
      <c r="A127" s="25"/>
      <c r="B127" s="25"/>
      <c r="C127" s="25"/>
      <c r="D127" s="25"/>
      <c r="E127" s="25"/>
      <c r="AR127">
        <v>119</v>
      </c>
      <c r="AS127">
        <v>119</v>
      </c>
      <c r="AT127">
        <v>1</v>
      </c>
      <c r="AU127">
        <v>-7.4156110831151967</v>
      </c>
      <c r="AV127">
        <v>9.1379378702148798E-3</v>
      </c>
      <c r="CD127">
        <v>119</v>
      </c>
      <c r="CE127">
        <v>4.0653288293548648</v>
      </c>
      <c r="CF127">
        <v>2.1188246062126707E-2</v>
      </c>
      <c r="CG127" t="e">
        <v>#N/A</v>
      </c>
      <c r="CH127">
        <v>2.1188246062126707E-2</v>
      </c>
      <c r="CI127" t="str">
        <v/>
      </c>
      <c r="CK127">
        <v>119</v>
      </c>
      <c r="CL127">
        <v>6.5471094210433103</v>
      </c>
      <c r="CM127">
        <v>1.8935782534332861E-2</v>
      </c>
      <c r="CN127">
        <v>1.8935782534332861E-2</v>
      </c>
      <c r="CO127" t="e">
        <v>#N/A</v>
      </c>
      <c r="CP127" t="str">
        <v/>
      </c>
    </row>
    <row r="128" spans="1:94" x14ac:dyDescent="0.2">
      <c r="A128" s="25"/>
      <c r="B128" s="25"/>
      <c r="C128" s="25"/>
      <c r="D128" s="25"/>
      <c r="E128" s="25"/>
      <c r="AR128">
        <v>120</v>
      </c>
      <c r="AS128">
        <v>120</v>
      </c>
      <c r="AT128">
        <v>1</v>
      </c>
      <c r="AU128">
        <v>-7.3846705517978499</v>
      </c>
      <c r="AV128">
        <v>9.2800875199440733E-3</v>
      </c>
      <c r="CD128">
        <v>120</v>
      </c>
      <c r="CE128">
        <v>4.0997807685866858</v>
      </c>
      <c r="CF128">
        <v>2.0576596952137979E-2</v>
      </c>
      <c r="CG128" t="e">
        <v>#N/A</v>
      </c>
      <c r="CH128">
        <v>2.0576596952137979E-2</v>
      </c>
      <c r="CI128" t="str">
        <v/>
      </c>
      <c r="CK128">
        <v>120</v>
      </c>
      <c r="CL128">
        <v>6.6025933991877448</v>
      </c>
      <c r="CM128">
        <v>1.8417686003940358E-2</v>
      </c>
      <c r="CN128">
        <v>1.8417686003940358E-2</v>
      </c>
      <c r="CO128" t="e">
        <v>#N/A</v>
      </c>
      <c r="CP128" t="str">
        <v/>
      </c>
    </row>
    <row r="129" spans="1:94" x14ac:dyDescent="0.2">
      <c r="A129" s="25"/>
      <c r="B129" s="25"/>
      <c r="C129" s="25"/>
      <c r="D129" s="25"/>
      <c r="E129" s="25"/>
      <c r="AR129">
        <v>121</v>
      </c>
      <c r="AS129">
        <v>121</v>
      </c>
      <c r="AT129">
        <v>1</v>
      </c>
      <c r="AU129">
        <v>-7.3537300204805032</v>
      </c>
      <c r="AV129">
        <v>9.4239620658365247E-3</v>
      </c>
      <c r="CD129">
        <v>121</v>
      </c>
      <c r="CE129">
        <v>4.1342327078185068</v>
      </c>
      <c r="CF129">
        <v>1.99835826939097E-2</v>
      </c>
      <c r="CG129" t="e">
        <v>#N/A</v>
      </c>
      <c r="CH129">
        <v>1.99835826939097E-2</v>
      </c>
      <c r="CI129" t="str">
        <v/>
      </c>
      <c r="CK129">
        <v>121</v>
      </c>
      <c r="CL129">
        <v>6.6580773773321793</v>
      </c>
      <c r="CM129">
        <v>1.7913764964543177E-2</v>
      </c>
      <c r="CN129">
        <v>1.7913764964543177E-2</v>
      </c>
      <c r="CO129" t="e">
        <v>#N/A</v>
      </c>
      <c r="CP129" t="str">
        <v/>
      </c>
    </row>
    <row r="130" spans="1:94" x14ac:dyDescent="0.2">
      <c r="A130" s="25"/>
      <c r="B130" s="25"/>
      <c r="C130" s="25"/>
      <c r="D130" s="25"/>
      <c r="E130" s="25"/>
      <c r="AR130">
        <v>122</v>
      </c>
      <c r="AS130">
        <v>122</v>
      </c>
      <c r="AT130">
        <v>1</v>
      </c>
      <c r="AU130">
        <v>-7.3227894891631573</v>
      </c>
      <c r="AV130">
        <v>9.5695732845239474E-3</v>
      </c>
      <c r="CD130">
        <v>122</v>
      </c>
      <c r="CE130">
        <v>4.1686846470503278</v>
      </c>
      <c r="CF130">
        <v>1.9408605844851289E-2</v>
      </c>
      <c r="CG130" t="e">
        <v>#N/A</v>
      </c>
      <c r="CH130">
        <v>1.9408605844851289E-2</v>
      </c>
      <c r="CI130" t="str">
        <v/>
      </c>
      <c r="CK130">
        <v>122</v>
      </c>
      <c r="CL130">
        <v>6.7135613554766138</v>
      </c>
      <c r="CM130">
        <v>1.7423631564586307E-2</v>
      </c>
      <c r="CN130">
        <v>1.7423631564586307E-2</v>
      </c>
      <c r="CO130" t="e">
        <v>#N/A</v>
      </c>
      <c r="CP130" t="str">
        <v/>
      </c>
    </row>
    <row r="131" spans="1:94" x14ac:dyDescent="0.2">
      <c r="A131" s="25"/>
      <c r="B131" s="25"/>
      <c r="C131" s="25"/>
      <c r="D131" s="25"/>
      <c r="E131" s="25"/>
      <c r="AR131">
        <v>123</v>
      </c>
      <c r="AS131">
        <v>123</v>
      </c>
      <c r="AT131">
        <v>1</v>
      </c>
      <c r="AU131">
        <v>-7.2918489578458114</v>
      </c>
      <c r="AV131">
        <v>9.7169328639512952E-3</v>
      </c>
      <c r="CD131">
        <v>123</v>
      </c>
      <c r="CE131">
        <v>4.2031365862821479</v>
      </c>
      <c r="CF131">
        <v>1.8851089065822769E-2</v>
      </c>
      <c r="CG131" t="e">
        <v>#N/A</v>
      </c>
      <c r="CH131">
        <v>1.8851089065822769E-2</v>
      </c>
      <c r="CI131" t="str">
        <v/>
      </c>
      <c r="CK131">
        <v>123</v>
      </c>
      <c r="CL131">
        <v>6.7690453336210492</v>
      </c>
      <c r="CM131">
        <v>1.6946908564410196E-2</v>
      </c>
      <c r="CN131">
        <v>1.6946908564410196E-2</v>
      </c>
      <c r="CO131" t="e">
        <v>#N/A</v>
      </c>
      <c r="CP131" t="str">
        <v/>
      </c>
    </row>
    <row r="132" spans="1:94" x14ac:dyDescent="0.2">
      <c r="A132" s="25"/>
      <c r="B132" s="25"/>
      <c r="C132" s="25"/>
      <c r="D132" s="25"/>
      <c r="E132" s="25"/>
      <c r="AR132">
        <v>124</v>
      </c>
      <c r="AS132">
        <v>124</v>
      </c>
      <c r="AT132">
        <v>1</v>
      </c>
      <c r="AU132">
        <v>-7.2609084265284647</v>
      </c>
      <c r="AV132">
        <v>9.8660523995750676E-3</v>
      </c>
      <c r="CD132">
        <v>124</v>
      </c>
      <c r="CE132">
        <v>4.2375885255139689</v>
      </c>
      <c r="CF132">
        <v>1.8310474412837192E-2</v>
      </c>
      <c r="CG132" t="e">
        <v>#N/A</v>
      </c>
      <c r="CH132">
        <v>1.8310474412837192E-2</v>
      </c>
      <c r="CI132" t="str">
        <v/>
      </c>
      <c r="CK132">
        <v>124</v>
      </c>
      <c r="CL132">
        <v>6.8245293117654837</v>
      </c>
      <c r="CM132">
        <v>1.648322904590176E-2</v>
      </c>
      <c r="CN132">
        <v>1.648322904590176E-2</v>
      </c>
      <c r="CO132" t="e">
        <v>#N/A</v>
      </c>
      <c r="CP132" t="str">
        <v/>
      </c>
    </row>
    <row r="133" spans="1:94" x14ac:dyDescent="0.2">
      <c r="A133" s="25"/>
      <c r="B133" s="25"/>
      <c r="C133" s="25"/>
      <c r="D133" s="25"/>
      <c r="E133" s="25"/>
      <c r="AR133">
        <v>125</v>
      </c>
      <c r="AS133">
        <v>125</v>
      </c>
      <c r="AT133">
        <v>1</v>
      </c>
      <c r="AU133">
        <v>-7.2299678952111188</v>
      </c>
      <c r="AV133">
        <v>1.0016943390527106E-2</v>
      </c>
      <c r="CD133">
        <v>125</v>
      </c>
      <c r="CE133">
        <v>4.2720404647457899</v>
      </c>
      <c r="CF133">
        <v>1.7786222654836249E-2</v>
      </c>
      <c r="CG133" t="e">
        <v>#N/A</v>
      </c>
      <c r="CH133">
        <v>1.7786222654836249E-2</v>
      </c>
      <c r="CI133" t="str">
        <v/>
      </c>
      <c r="CK133">
        <v>125</v>
      </c>
      <c r="CL133">
        <v>6.8800132899099182</v>
      </c>
      <c r="CM133">
        <v>1.6032236130089451E-2</v>
      </c>
      <c r="CN133">
        <v>1.6032236130089451E-2</v>
      </c>
      <c r="CO133" t="e">
        <v>#N/A</v>
      </c>
      <c r="CP133" t="str">
        <v/>
      </c>
    </row>
    <row r="134" spans="1:94" x14ac:dyDescent="0.2">
      <c r="A134" s="25"/>
      <c r="B134" s="25"/>
      <c r="C134" s="25"/>
      <c r="D134" s="25"/>
      <c r="E134" s="25"/>
      <c r="AR134">
        <v>126</v>
      </c>
      <c r="AS134">
        <v>126</v>
      </c>
      <c r="AT134">
        <v>1</v>
      </c>
      <c r="AU134">
        <v>-7.199027363893773</v>
      </c>
      <c r="AV134">
        <v>1.0169617235744438E-2</v>
      </c>
      <c r="CD134">
        <v>126</v>
      </c>
      <c r="CE134">
        <v>4.3064924039776109</v>
      </c>
      <c r="CF134">
        <v>1.7277812616538015E-2</v>
      </c>
      <c r="CG134" t="e">
        <v>#N/A</v>
      </c>
      <c r="CH134">
        <v>1.7277812616538015E-2</v>
      </c>
      <c r="CI134">
        <v>4.306</v>
      </c>
      <c r="CK134">
        <v>126</v>
      </c>
      <c r="CL134">
        <v>6.9354972680543527</v>
      </c>
      <c r="CM134">
        <v>1.5593582702465197E-2</v>
      </c>
      <c r="CN134">
        <v>1.5593582702465197E-2</v>
      </c>
      <c r="CO134" t="e">
        <v>#N/A</v>
      </c>
      <c r="CP134">
        <v>6.9349999999999996</v>
      </c>
    </row>
    <row r="135" spans="1:94" x14ac:dyDescent="0.2">
      <c r="A135" s="25"/>
      <c r="B135" s="25"/>
      <c r="C135" s="25"/>
      <c r="D135" s="25"/>
      <c r="E135" s="25"/>
      <c r="AR135">
        <v>127</v>
      </c>
      <c r="AS135">
        <v>127</v>
      </c>
      <c r="AT135">
        <v>1</v>
      </c>
      <c r="AU135">
        <v>-7.1680868325764262</v>
      </c>
      <c r="AV135">
        <v>1.0324085230065866E-2</v>
      </c>
      <c r="CD135">
        <v>127</v>
      </c>
      <c r="CE135">
        <v>4.3409443432094319</v>
      </c>
      <c r="CF135">
        <v>1.678474054539612E-2</v>
      </c>
      <c r="CG135" t="e">
        <v>#N/A</v>
      </c>
      <c r="CH135">
        <v>1.678474054539612E-2</v>
      </c>
      <c r="CI135" t="str">
        <v/>
      </c>
      <c r="CK135">
        <v>127</v>
      </c>
      <c r="CL135">
        <v>6.990981246198789</v>
      </c>
      <c r="CM135">
        <v>1.5166931145821693E-2</v>
      </c>
      <c r="CN135">
        <v>1.5166931145821693E-2</v>
      </c>
      <c r="CO135" t="e">
        <v>#N/A</v>
      </c>
      <c r="CP135" t="str">
        <v/>
      </c>
    </row>
    <row r="136" spans="1:94" x14ac:dyDescent="0.2">
      <c r="A136" s="25"/>
      <c r="B136" s="25"/>
      <c r="C136" s="25"/>
      <c r="D136" s="25"/>
      <c r="E136" s="25"/>
      <c r="AR136">
        <v>128</v>
      </c>
      <c r="AS136">
        <v>128</v>
      </c>
      <c r="AT136">
        <v>1</v>
      </c>
      <c r="AU136">
        <v>-7.1371463012590795</v>
      </c>
      <c r="AV136">
        <v>1.0480358560296027E-2</v>
      </c>
      <c r="CD136">
        <v>128</v>
      </c>
      <c r="CE136">
        <v>4.3753962824412529</v>
      </c>
      <c r="CF136">
        <v>1.6306519501748138E-2</v>
      </c>
      <c r="CG136" t="e">
        <v>#N/A</v>
      </c>
      <c r="CH136">
        <v>1.6306519501748138E-2</v>
      </c>
      <c r="CI136" t="str">
        <v/>
      </c>
      <c r="CK136">
        <v>128</v>
      </c>
      <c r="CL136">
        <v>7.0464652243432235</v>
      </c>
      <c r="CM136">
        <v>1.4751953080399534E-2</v>
      </c>
      <c r="CN136">
        <v>1.4751953080399534E-2</v>
      </c>
      <c r="CO136" t="e">
        <v>#N/A</v>
      </c>
      <c r="CP136" t="str">
        <v/>
      </c>
    </row>
    <row r="137" spans="1:94" x14ac:dyDescent="0.2">
      <c r="A137" s="25"/>
      <c r="B137" s="25"/>
      <c r="C137" s="25"/>
      <c r="D137" s="25"/>
      <c r="E137" s="25"/>
      <c r="AR137">
        <v>129</v>
      </c>
      <c r="AS137">
        <v>129</v>
      </c>
      <c r="AT137">
        <v>1</v>
      </c>
      <c r="AU137">
        <v>-7.1062057699417336</v>
      </c>
      <c r="AV137">
        <v>1.0638448301237729E-2</v>
      </c>
      <c r="CD137">
        <v>129</v>
      </c>
      <c r="CE137">
        <v>4.4098482216730739</v>
      </c>
      <c r="CF137">
        <v>1.5842678771267042E-2</v>
      </c>
      <c r="CG137" t="e">
        <v>#N/A</v>
      </c>
      <c r="CH137">
        <v>1.5842678771267042E-2</v>
      </c>
      <c r="CI137" t="str">
        <v/>
      </c>
      <c r="CK137">
        <v>129</v>
      </c>
      <c r="CL137">
        <v>7.101949202487658</v>
      </c>
      <c r="CM137">
        <v>1.4348329111143953E-2</v>
      </c>
      <c r="CN137">
        <v>1.4348329111143953E-2</v>
      </c>
      <c r="CO137" t="e">
        <v>#N/A</v>
      </c>
      <c r="CP137" t="str">
        <v/>
      </c>
    </row>
    <row r="138" spans="1:94" x14ac:dyDescent="0.2">
      <c r="A138" s="25"/>
      <c r="B138" s="25"/>
      <c r="C138" s="25"/>
      <c r="D138" s="25"/>
      <c r="E138" s="25"/>
      <c r="AR138">
        <v>130</v>
      </c>
      <c r="AS138">
        <v>130</v>
      </c>
      <c r="AT138">
        <v>1</v>
      </c>
      <c r="AU138">
        <v>-7.0752652386243877</v>
      </c>
      <c r="AV138">
        <v>1.0798365411693111E-2</v>
      </c>
      <c r="CD138">
        <v>130</v>
      </c>
      <c r="CE138">
        <v>4.4443001609048949</v>
      </c>
      <c r="CF138">
        <v>1.5392763298865407E-2</v>
      </c>
      <c r="CG138" t="e">
        <v>#N/A</v>
      </c>
      <c r="CH138">
        <v>1.5392763298865407E-2</v>
      </c>
      <c r="CI138" t="str">
        <v/>
      </c>
      <c r="CK138">
        <v>130</v>
      </c>
      <c r="CL138">
        <v>7.1574331806320926</v>
      </c>
      <c r="CM138">
        <v>1.3955748581876941E-2</v>
      </c>
      <c r="CN138">
        <v>1.3955748581876941E-2</v>
      </c>
      <c r="CO138" t="e">
        <v>#N/A</v>
      </c>
      <c r="CP138" t="str">
        <v/>
      </c>
    </row>
    <row r="139" spans="1:94" x14ac:dyDescent="0.2">
      <c r="A139" s="25"/>
      <c r="B139" s="25"/>
      <c r="C139" s="25"/>
      <c r="D139" s="25"/>
      <c r="E139" s="25"/>
      <c r="AR139">
        <v>131</v>
      </c>
      <c r="AS139">
        <v>131</v>
      </c>
      <c r="AT139">
        <v>1</v>
      </c>
      <c r="AU139">
        <v>-7.044324707307041</v>
      </c>
      <c r="AV139">
        <v>1.0960120730434678E-2</v>
      </c>
      <c r="CD139">
        <v>131</v>
      </c>
      <c r="CE139">
        <v>4.4787521001367159</v>
      </c>
      <c r="CF139">
        <v>1.4956333143235686E-2</v>
      </c>
      <c r="CG139" t="e">
        <v>#N/A</v>
      </c>
      <c r="CH139">
        <v>1.4956333143235686E-2</v>
      </c>
      <c r="CI139" t="str">
        <v/>
      </c>
      <c r="CK139">
        <v>131</v>
      </c>
      <c r="CL139">
        <v>7.2129171587765271</v>
      </c>
      <c r="CM139">
        <v>1.3573909336195341E-2</v>
      </c>
      <c r="CN139">
        <v>1.3573909336195341E-2</v>
      </c>
      <c r="CO139" t="e">
        <v>#N/A</v>
      </c>
      <c r="CP139" t="str">
        <v/>
      </c>
    </row>
    <row r="140" spans="1:94" x14ac:dyDescent="0.2">
      <c r="A140" s="25"/>
      <c r="B140" s="25"/>
      <c r="C140" s="25"/>
      <c r="D140" s="25"/>
      <c r="E140" s="25"/>
      <c r="AR140">
        <v>132</v>
      </c>
      <c r="AS140">
        <v>132</v>
      </c>
      <c r="AT140">
        <v>1</v>
      </c>
      <c r="AU140">
        <v>-7.0133841759896951</v>
      </c>
      <c r="AV140">
        <v>1.1123724972146759E-2</v>
      </c>
      <c r="CD140">
        <v>132</v>
      </c>
      <c r="CE140">
        <v>4.5132040393685369</v>
      </c>
      <c r="CF140">
        <v>1.4532962951241834E-2</v>
      </c>
      <c r="CG140" t="e">
        <v>#N/A</v>
      </c>
      <c r="CH140">
        <v>1.4532962951241834E-2</v>
      </c>
      <c r="CI140" t="str">
        <v/>
      </c>
      <c r="CK140">
        <v>132</v>
      </c>
      <c r="CL140">
        <v>7.2684011369209625</v>
      </c>
      <c r="CM140">
        <v>1.3202517484910909E-2</v>
      </c>
      <c r="CN140">
        <v>1.3202517484910909E-2</v>
      </c>
      <c r="CO140" t="e">
        <v>#N/A</v>
      </c>
      <c r="CP140" t="str">
        <v/>
      </c>
    </row>
    <row r="141" spans="1:94" x14ac:dyDescent="0.2">
      <c r="AR141">
        <v>133</v>
      </c>
      <c r="AS141">
        <v>133</v>
      </c>
      <c r="AT141">
        <v>1</v>
      </c>
      <c r="AU141">
        <v>-6.9824436446723483</v>
      </c>
      <c r="AV141">
        <v>1.128918872333839E-2</v>
      </c>
      <c r="CD141">
        <v>133</v>
      </c>
      <c r="CE141">
        <v>4.5476559786003579</v>
      </c>
      <c r="CF141">
        <v>1.4122241451409293E-2</v>
      </c>
      <c r="CG141" t="e">
        <v>#N/A</v>
      </c>
      <c r="CH141">
        <v>1.4122241451409293E-2</v>
      </c>
      <c r="CI141" t="str">
        <v/>
      </c>
      <c r="CK141">
        <v>133</v>
      </c>
      <c r="CL141">
        <v>7.323885115065397</v>
      </c>
      <c r="CM141">
        <v>1.2841287179853453E-2</v>
      </c>
      <c r="CN141">
        <v>1.2841287179853453E-2</v>
      </c>
      <c r="CO141" t="e">
        <v>#N/A</v>
      </c>
      <c r="CP141" t="str">
        <v/>
      </c>
    </row>
    <row r="142" spans="1:94" x14ac:dyDescent="0.2">
      <c r="AR142">
        <v>134</v>
      </c>
      <c r="AS142">
        <v>134</v>
      </c>
      <c r="AT142">
        <v>1</v>
      </c>
      <c r="AU142">
        <v>-6.9515031133550025</v>
      </c>
      <c r="AV142">
        <v>1.1456522438228417E-2</v>
      </c>
      <c r="CD142">
        <v>134</v>
      </c>
      <c r="CE142">
        <v>4.5821079178321789</v>
      </c>
      <c r="CF142">
        <v>1.3723770965789384E-2</v>
      </c>
      <c r="CG142" t="e">
        <v>#N/A</v>
      </c>
      <c r="CH142">
        <v>1.3723770965789384E-2</v>
      </c>
      <c r="CI142" t="str">
        <v/>
      </c>
      <c r="CK142">
        <v>134</v>
      </c>
      <c r="CL142">
        <v>7.3793690932098315</v>
      </c>
      <c r="CM142">
        <v>1.2489940393862803E-2</v>
      </c>
      <c r="CN142">
        <v>1.2489940393862803E-2</v>
      </c>
      <c r="CO142" t="e">
        <v>#N/A</v>
      </c>
      <c r="CP142" t="str">
        <v/>
      </c>
    </row>
    <row r="143" spans="1:94" x14ac:dyDescent="0.2">
      <c r="AR143">
        <v>135</v>
      </c>
      <c r="AS143">
        <v>135</v>
      </c>
      <c r="AT143">
        <v>1</v>
      </c>
      <c r="AU143">
        <v>-6.9205625820376557</v>
      </c>
      <c r="AV143">
        <v>1.1625736434603601E-2</v>
      </c>
      <c r="CD143">
        <v>135</v>
      </c>
      <c r="CE143">
        <v>4.6165598570639998</v>
      </c>
      <c r="CF143">
        <v>1.3337166939503374E-2</v>
      </c>
      <c r="CG143" t="e">
        <v>#N/A</v>
      </c>
      <c r="CH143">
        <v>1.3337166939503374E-2</v>
      </c>
      <c r="CI143" t="str">
        <v/>
      </c>
      <c r="CK143">
        <v>135</v>
      </c>
      <c r="CL143">
        <v>7.434853071354266</v>
      </c>
      <c r="CM143">
        <v>1.2148206706800398E-2</v>
      </c>
      <c r="CN143">
        <v>1.2148206706800398E-2</v>
      </c>
      <c r="CO143" t="e">
        <v>#N/A</v>
      </c>
      <c r="CP143" t="str">
        <v/>
      </c>
    </row>
    <row r="144" spans="1:94" x14ac:dyDescent="0.2">
      <c r="AR144">
        <v>136</v>
      </c>
      <c r="AS144">
        <v>136</v>
      </c>
      <c r="AT144">
        <v>1</v>
      </c>
      <c r="AU144">
        <v>-6.8896220507203099</v>
      </c>
      <c r="AV144">
        <v>1.1796840889650719E-2</v>
      </c>
      <c r="CD144">
        <v>136</v>
      </c>
      <c r="CE144">
        <v>4.6510117962958208</v>
      </c>
      <c r="CF144">
        <v>1.29620574872981E-2</v>
      </c>
      <c r="CG144" t="e">
        <v>#N/A</v>
      </c>
      <c r="CH144">
        <v>1.29620574872981E-2</v>
      </c>
      <c r="CI144" t="str">
        <v/>
      </c>
      <c r="CK144">
        <v>136</v>
      </c>
      <c r="CL144">
        <v>7.4903370494987023</v>
      </c>
      <c r="CM144">
        <v>1.1815823097415749E-2</v>
      </c>
      <c r="CN144">
        <v>1.1815823097415749E-2</v>
      </c>
      <c r="CO144" t="e">
        <v>#N/A</v>
      </c>
      <c r="CP144" t="str">
        <v/>
      </c>
    </row>
    <row r="145" spans="44:94" x14ac:dyDescent="0.2">
      <c r="AR145">
        <v>137</v>
      </c>
      <c r="AS145">
        <v>137</v>
      </c>
      <c r="AT145">
        <v>1</v>
      </c>
      <c r="AU145">
        <v>-6.8586815194029631</v>
      </c>
      <c r="AV145">
        <v>1.1969845835763633E-2</v>
      </c>
      <c r="CD145">
        <v>137</v>
      </c>
      <c r="CE145">
        <v>4.6854637355276418</v>
      </c>
      <c r="CF145">
        <v>1.259808295647215E-2</v>
      </c>
      <c r="CG145" t="e">
        <v>#N/A</v>
      </c>
      <c r="CH145">
        <v>1.259808295647215E-2</v>
      </c>
      <c r="CI145" t="str">
        <v/>
      </c>
      <c r="CK145">
        <v>137</v>
      </c>
      <c r="CL145">
        <v>7.5458210276431368</v>
      </c>
      <c r="CM145">
        <v>1.1492533740907604E-2</v>
      </c>
      <c r="CN145">
        <v>1.1492533740907604E-2</v>
      </c>
      <c r="CO145" t="e">
        <v>#N/A</v>
      </c>
      <c r="CP145" t="str">
        <v/>
      </c>
    </row>
    <row r="146" spans="44:94" x14ac:dyDescent="0.2">
      <c r="AR146">
        <v>138</v>
      </c>
      <c r="AS146">
        <v>138</v>
      </c>
      <c r="AT146">
        <v>1</v>
      </c>
      <c r="AU146">
        <v>-6.8277409880856172</v>
      </c>
      <c r="AV146">
        <v>1.2144761156325982E-2</v>
      </c>
      <c r="CD146">
        <v>138</v>
      </c>
      <c r="CE146">
        <v>4.7199156747594628</v>
      </c>
      <c r="CF146">
        <v>1.2244895505555936E-2</v>
      </c>
      <c r="CG146" t="e">
        <v>#N/A</v>
      </c>
      <c r="CH146">
        <v>1.2244895505555936E-2</v>
      </c>
      <c r="CI146" t="str">
        <v/>
      </c>
      <c r="CK146">
        <v>138</v>
      </c>
      <c r="CL146">
        <v>7.6013050057875713</v>
      </c>
      <c r="CM146">
        <v>1.1178089812023898E-2</v>
      </c>
      <c r="CN146">
        <v>1.1178089812023898E-2</v>
      </c>
      <c r="CO146" t="e">
        <v>#N/A</v>
      </c>
      <c r="CP146" t="str">
        <v/>
      </c>
    </row>
    <row r="147" spans="44:94" x14ac:dyDescent="0.2">
      <c r="AR147">
        <v>139</v>
      </c>
      <c r="AS147">
        <v>139</v>
      </c>
      <c r="AT147">
        <v>1</v>
      </c>
      <c r="AU147">
        <v>-6.7968004567682705</v>
      </c>
      <c r="AV147">
        <v>1.2321596581470891E-2</v>
      </c>
      <c r="CD147">
        <v>139</v>
      </c>
      <c r="CE147">
        <v>4.754367613991282</v>
      </c>
      <c r="CF147">
        <v>1.1902158698153767E-2</v>
      </c>
      <c r="CG147" t="e">
        <v>#N/A</v>
      </c>
      <c r="CH147">
        <v>1.1902158698153767E-2</v>
      </c>
      <c r="CI147" t="str">
        <v/>
      </c>
      <c r="CK147">
        <v>139</v>
      </c>
      <c r="CL147">
        <v>7.6567889839320058</v>
      </c>
      <c r="CM147">
        <v>1.0872249293549159E-2</v>
      </c>
      <c r="CN147">
        <v>1.0872249293549159E-2</v>
      </c>
      <c r="CO147" t="e">
        <v>#N/A</v>
      </c>
      <c r="CP147" t="str">
        <v/>
      </c>
    </row>
    <row r="148" spans="44:94" x14ac:dyDescent="0.2">
      <c r="AR148">
        <v>140</v>
      </c>
      <c r="AS148">
        <v>140</v>
      </c>
      <c r="AT148">
        <v>1</v>
      </c>
      <c r="AU148">
        <v>-6.7658599254509246</v>
      </c>
      <c r="AV148">
        <v>1.2500361683818208E-2</v>
      </c>
      <c r="CD148">
        <v>140</v>
      </c>
      <c r="CE148">
        <v>4.788819553223103</v>
      </c>
      <c r="CF148">
        <v>1.1569547111378834E-2</v>
      </c>
      <c r="CG148" t="e">
        <v>#N/A</v>
      </c>
      <c r="CH148">
        <v>1.1569547111378834E-2</v>
      </c>
      <c r="CI148" t="str">
        <v/>
      </c>
      <c r="CK148">
        <v>140</v>
      </c>
      <c r="CL148">
        <v>7.7122729620764412</v>
      </c>
      <c r="CM148">
        <v>1.0574776790031697E-2</v>
      </c>
      <c r="CN148">
        <v>1.0574776790031697E-2</v>
      </c>
      <c r="CO148" t="e">
        <v>#N/A</v>
      </c>
      <c r="CP148" t="str">
        <v/>
      </c>
    </row>
    <row r="149" spans="44:94" x14ac:dyDescent="0.2">
      <c r="AR149">
        <v>141</v>
      </c>
      <c r="AS149">
        <v>141</v>
      </c>
      <c r="AT149">
        <v>1</v>
      </c>
      <c r="AU149">
        <v>-6.7349193941335779</v>
      </c>
      <c r="AV149">
        <v>1.2681065874190657E-2</v>
      </c>
      <c r="CD149">
        <v>141</v>
      </c>
      <c r="CE149">
        <v>4.823271492454924</v>
      </c>
      <c r="CF149">
        <v>1.1246745958334522E-2</v>
      </c>
      <c r="CG149" t="e">
        <v>#N/A</v>
      </c>
      <c r="CH149">
        <v>1.1246745958334522E-2</v>
      </c>
      <c r="CI149" t="str">
        <v/>
      </c>
      <c r="CK149">
        <v>141</v>
      </c>
      <c r="CL149">
        <v>7.7677569402208757</v>
      </c>
      <c r="CM149">
        <v>1.0285443346607484E-2</v>
      </c>
      <c r="CN149">
        <v>1.0285443346607484E-2</v>
      </c>
      <c r="CO149" t="e">
        <v>#N/A</v>
      </c>
      <c r="CP149" t="str">
        <v/>
      </c>
    </row>
    <row r="150" spans="44:94" x14ac:dyDescent="0.2">
      <c r="AR150">
        <v>142</v>
      </c>
      <c r="AS150">
        <v>142</v>
      </c>
      <c r="AT150">
        <v>1</v>
      </c>
      <c r="AU150">
        <v>-6.703978862816232</v>
      </c>
      <c r="AV150">
        <v>1.2863718397309756E-2</v>
      </c>
      <c r="CD150">
        <v>142</v>
      </c>
      <c r="CE150">
        <v>4.857723431686745</v>
      </c>
      <c r="CF150">
        <v>1.0933450724116209E-2</v>
      </c>
      <c r="CG150" t="e">
        <v>#N/A</v>
      </c>
      <c r="CH150">
        <v>1.0933450724116209E-2</v>
      </c>
      <c r="CI150" t="str">
        <v/>
      </c>
      <c r="CK150">
        <v>142</v>
      </c>
      <c r="CL150">
        <v>7.8232409183653102</v>
      </c>
      <c r="CM150">
        <v>1.0004026272781037E-2</v>
      </c>
      <c r="CN150">
        <v>1.0004026272781037E-2</v>
      </c>
      <c r="CO150" t="e">
        <v>#N/A</v>
      </c>
      <c r="CP150" t="str">
        <v/>
      </c>
    </row>
    <row r="151" spans="44:94" x14ac:dyDescent="0.2">
      <c r="AR151">
        <v>143</v>
      </c>
      <c r="AS151">
        <v>143</v>
      </c>
      <c r="AT151">
        <v>1</v>
      </c>
      <c r="AU151">
        <v>-6.6730383314988861</v>
      </c>
      <c r="AV151">
        <v>1.304832832747249E-2</v>
      </c>
      <c r="CD151">
        <v>143</v>
      </c>
      <c r="CE151">
        <v>4.892175370918566</v>
      </c>
      <c r="CF151">
        <v>1.0629366814829325E-2</v>
      </c>
      <c r="CG151" t="e">
        <v>#N/A</v>
      </c>
      <c r="CH151">
        <v>1.0629366814829325E-2</v>
      </c>
      <c r="CI151" t="str">
        <v/>
      </c>
      <c r="CK151">
        <v>143</v>
      </c>
      <c r="CL151">
        <v>7.8787248965097447</v>
      </c>
      <c r="CM151">
        <v>9.7303089710278172E-3</v>
      </c>
      <c r="CN151">
        <v>9.7303089710278172E-3</v>
      </c>
      <c r="CO151" t="e">
        <v>#N/A</v>
      </c>
      <c r="CP151" t="str">
        <v/>
      </c>
    </row>
    <row r="152" spans="44:94" x14ac:dyDescent="0.2">
      <c r="AR152">
        <v>144</v>
      </c>
      <c r="AS152">
        <v>144</v>
      </c>
      <c r="AT152">
        <v>1</v>
      </c>
      <c r="AU152">
        <v>-6.6420978001815394</v>
      </c>
      <c r="AV152">
        <v>1.3234904564210002E-2</v>
      </c>
      <c r="CD152">
        <v>144</v>
      </c>
      <c r="CE152">
        <v>4.926627310150387</v>
      </c>
      <c r="CF152">
        <v>1.0334209219137564E-2</v>
      </c>
      <c r="CG152" t="e">
        <v>#N/A</v>
      </c>
      <c r="CH152">
        <v>1.0334209219137564E-2</v>
      </c>
      <c r="CI152" t="str">
        <v/>
      </c>
      <c r="CK152">
        <v>144</v>
      </c>
      <c r="CL152">
        <v>7.9342088746541801</v>
      </c>
      <c r="CM152">
        <v>9.4640807700862306E-3</v>
      </c>
      <c r="CN152">
        <v>9.4640807700862306E-3</v>
      </c>
      <c r="CO152" t="e">
        <v>#N/A</v>
      </c>
      <c r="CP152" t="str">
        <v/>
      </c>
    </row>
    <row r="153" spans="44:94" x14ac:dyDescent="0.2">
      <c r="AR153">
        <v>145</v>
      </c>
      <c r="AS153">
        <v>145</v>
      </c>
      <c r="AT153">
        <v>1</v>
      </c>
      <c r="AU153">
        <v>-6.6111572688641935</v>
      </c>
      <c r="AV153">
        <v>1.3423455827929243E-2</v>
      </c>
      <c r="CD153">
        <v>145</v>
      </c>
      <c r="CE153">
        <v>4.961079249382208</v>
      </c>
      <c r="CF153">
        <v>1.0047702181875248E-2</v>
      </c>
      <c r="CG153" t="e">
        <v>#N/A</v>
      </c>
      <c r="CH153">
        <v>1.0047702181875248E-2</v>
      </c>
      <c r="CI153" t="str">
        <v/>
      </c>
      <c r="CK153">
        <v>145</v>
      </c>
      <c r="CL153">
        <v>7.9896928527986155</v>
      </c>
      <c r="CM153">
        <v>9.205136762810805E-3</v>
      </c>
      <c r="CN153">
        <v>9.205136762810805E-3</v>
      </c>
      <c r="CO153" t="e">
        <v>#N/A</v>
      </c>
      <c r="CP153" t="str">
        <v/>
      </c>
    </row>
    <row r="154" spans="44:94" x14ac:dyDescent="0.2">
      <c r="AR154">
        <v>146</v>
      </c>
      <c r="AS154">
        <v>146</v>
      </c>
      <c r="AT154">
        <v>1</v>
      </c>
      <c r="AU154">
        <v>-6.5802167375468468</v>
      </c>
      <c r="AV154">
        <v>1.3613990655538692E-2</v>
      </c>
      <c r="CD154">
        <v>146</v>
      </c>
      <c r="CE154">
        <v>4.995531188614029</v>
      </c>
      <c r="CF154">
        <v>9.7695788892752725E-3</v>
      </c>
      <c r="CG154" t="e">
        <v>#N/A</v>
      </c>
      <c r="CH154">
        <v>9.7695788892752725E-3</v>
      </c>
      <c r="CI154" t="str">
        <v/>
      </c>
      <c r="CK154">
        <v>146</v>
      </c>
      <c r="CL154">
        <v>8.0451768309430491</v>
      </c>
      <c r="CM154">
        <v>8.9532776484618961E-3</v>
      </c>
      <c r="CN154">
        <v>8.9532776484618961E-3</v>
      </c>
      <c r="CO154" t="e">
        <v>#N/A</v>
      </c>
      <c r="CP154" t="str">
        <v/>
      </c>
    </row>
    <row r="155" spans="44:94" x14ac:dyDescent="0.2">
      <c r="AR155">
        <v>147</v>
      </c>
      <c r="AS155">
        <v>147</v>
      </c>
      <c r="AT155">
        <v>1</v>
      </c>
      <c r="AU155">
        <v>-6.5492762062295009</v>
      </c>
      <c r="AV155">
        <v>1.3806517396059407E-2</v>
      </c>
      <c r="CD155">
        <v>147</v>
      </c>
      <c r="CE155">
        <v>5.02998312784585</v>
      </c>
      <c r="CF155">
        <v>9.4995811653814516E-3</v>
      </c>
      <c r="CG155" t="e">
        <v>#N/A</v>
      </c>
      <c r="CH155">
        <v>9.4995811653814516E-3</v>
      </c>
      <c r="CI155" t="str">
        <v/>
      </c>
      <c r="CK155">
        <v>147</v>
      </c>
      <c r="CL155">
        <v>8.1006608090874845</v>
      </c>
      <c r="CM155">
        <v>8.7083095793103592E-3</v>
      </c>
      <c r="CN155">
        <v>8.7083095793103592E-3</v>
      </c>
      <c r="CO155" t="e">
        <v>#N/A</v>
      </c>
      <c r="CP155" t="str">
        <v/>
      </c>
    </row>
    <row r="156" spans="44:94" x14ac:dyDescent="0.2">
      <c r="AR156">
        <v>148</v>
      </c>
      <c r="AS156">
        <v>148</v>
      </c>
      <c r="AT156">
        <v>1</v>
      </c>
      <c r="AU156">
        <v>-6.5183356749121542</v>
      </c>
      <c r="AV156">
        <v>1.4001044206222495E-2</v>
      </c>
      <c r="CD156">
        <v>148</v>
      </c>
      <c r="CE156">
        <v>5.064435067077671</v>
      </c>
      <c r="CF156">
        <v>9.2374591792312166E-3</v>
      </c>
      <c r="CG156" t="e">
        <v>#N/A</v>
      </c>
      <c r="CH156">
        <v>9.2374591792312166E-3</v>
      </c>
      <c r="CI156" t="str">
        <v/>
      </c>
      <c r="CK156">
        <v>148</v>
      </c>
      <c r="CL156">
        <v>8.1561447872319199</v>
      </c>
      <c r="CM156">
        <v>8.4700440114393628E-3</v>
      </c>
      <c r="CN156">
        <v>8.4700440114393628E-3</v>
      </c>
      <c r="CO156" t="e">
        <v>#N/A</v>
      </c>
      <c r="CP156" t="str">
        <v/>
      </c>
    </row>
    <row r="157" spans="44:94" x14ac:dyDescent="0.2">
      <c r="AR157">
        <v>149</v>
      </c>
      <c r="AS157">
        <v>149</v>
      </c>
      <c r="AT157">
        <v>1</v>
      </c>
      <c r="AU157">
        <v>-6.4873951435948083</v>
      </c>
      <c r="AV157">
        <v>1.419757904605406E-2</v>
      </c>
      <c r="CD157">
        <v>149</v>
      </c>
      <c r="CE157">
        <v>5.098887006309492</v>
      </c>
      <c r="CF157">
        <v>8.9829711624096909E-3</v>
      </c>
      <c r="CG157" t="e">
        <v>#N/A</v>
      </c>
      <c r="CH157">
        <v>8.9829711624096909E-3</v>
      </c>
      <c r="CI157" t="str">
        <v/>
      </c>
      <c r="CK157">
        <v>149</v>
      </c>
      <c r="CL157">
        <v>8.2116287653763553</v>
      </c>
      <c r="CM157">
        <v>8.2382975596282434E-3</v>
      </c>
      <c r="CN157">
        <v>8.2382975596282434E-3</v>
      </c>
      <c r="CO157" t="e">
        <v>#N/A</v>
      </c>
      <c r="CP157" t="str">
        <v/>
      </c>
    </row>
    <row r="158" spans="44:94" x14ac:dyDescent="0.2">
      <c r="AR158">
        <v>150</v>
      </c>
      <c r="AS158">
        <v>150</v>
      </c>
      <c r="AT158">
        <v>1</v>
      </c>
      <c r="AU158">
        <v>-6.4564546122774615</v>
      </c>
      <c r="AV158">
        <v>1.4396129674449122E-2</v>
      </c>
      <c r="CD158">
        <v>150</v>
      </c>
      <c r="CE158">
        <v>5.133338945541313</v>
      </c>
      <c r="CF158">
        <v>8.7358831365925271E-3</v>
      </c>
      <c r="CG158" t="e">
        <v>#N/A</v>
      </c>
      <c r="CH158">
        <v>8.7358831365925271E-3</v>
      </c>
      <c r="CI158" t="str">
        <v/>
      </c>
      <c r="CK158">
        <v>150</v>
      </c>
      <c r="CL158">
        <v>8.2671127435207907</v>
      </c>
      <c r="CM158">
        <v>8.0128918562069225E-3</v>
      </c>
      <c r="CN158">
        <v>8.0128918562069225E-3</v>
      </c>
      <c r="CO158" t="e">
        <v>#N/A</v>
      </c>
      <c r="CP158" t="str">
        <v/>
      </c>
    </row>
    <row r="159" spans="44:94" x14ac:dyDescent="0.2">
      <c r="AR159">
        <v>151</v>
      </c>
      <c r="AS159">
        <v>151</v>
      </c>
      <c r="AT159">
        <v>1</v>
      </c>
      <c r="AU159">
        <v>-6.4255140809601157</v>
      </c>
      <c r="AV159">
        <v>1.4596703644735379E-2</v>
      </c>
      <c r="CD159">
        <v>151</v>
      </c>
      <c r="CE159">
        <v>5.167790884773134</v>
      </c>
      <c r="CF159">
        <v>8.4959686507088978E-3</v>
      </c>
      <c r="CG159" t="e">
        <v>#N/A</v>
      </c>
      <c r="CH159">
        <v>8.4959686507088978E-3</v>
      </c>
      <c r="CI159">
        <v>5.1680000000000001</v>
      </c>
      <c r="CK159">
        <v>151</v>
      </c>
      <c r="CL159">
        <v>8.3225967216652244</v>
      </c>
      <c r="CM159">
        <v>7.7936534137721305E-3</v>
      </c>
      <c r="CN159">
        <v>7.7936534137721305E-3</v>
      </c>
      <c r="CO159" t="e">
        <v>#N/A</v>
      </c>
      <c r="CP159">
        <v>8.3230000000000004</v>
      </c>
    </row>
    <row r="160" spans="44:94" x14ac:dyDescent="0.2">
      <c r="AR160">
        <v>152</v>
      </c>
      <c r="AS160">
        <v>152</v>
      </c>
      <c r="AT160">
        <v>1</v>
      </c>
      <c r="AU160">
        <v>-6.3945735496427689</v>
      </c>
      <c r="AV160">
        <v>1.4799308300228372E-2</v>
      </c>
      <c r="CD160">
        <v>152</v>
      </c>
      <c r="CE160">
        <v>5.202242824004955</v>
      </c>
      <c r="CF160">
        <v>8.2630085273705228E-3</v>
      </c>
      <c r="CG160" t="e">
        <v>#N/A</v>
      </c>
      <c r="CH160">
        <v>8.2630085273705228E-3</v>
      </c>
      <c r="CI160" t="str">
        <v/>
      </c>
      <c r="CK160">
        <v>152</v>
      </c>
      <c r="CL160">
        <v>8.3780806998096597</v>
      </c>
      <c r="CM160">
        <v>7.580413491659806E-3</v>
      </c>
      <c r="CN160">
        <v>7.580413491659806E-3</v>
      </c>
      <c r="CO160" t="e">
        <v>#N/A</v>
      </c>
      <c r="CP160" t="str">
        <v/>
      </c>
    </row>
    <row r="161" spans="44:94" x14ac:dyDescent="0.2">
      <c r="AR161">
        <v>153</v>
      </c>
      <c r="AS161">
        <v>153</v>
      </c>
      <c r="AT161">
        <v>1</v>
      </c>
      <c r="AU161">
        <v>-6.3636330183254231</v>
      </c>
      <c r="AV161">
        <v>1.5003950769779107E-2</v>
      </c>
      <c r="CD161">
        <v>153</v>
      </c>
      <c r="CE161">
        <v>5.236694763236776</v>
      </c>
      <c r="CF161">
        <v>8.0367906182259429E-3</v>
      </c>
      <c r="CG161" t="e">
        <v>#N/A</v>
      </c>
      <c r="CH161">
        <v>8.0367906182259429E-3</v>
      </c>
      <c r="CI161" t="str">
        <v/>
      </c>
      <c r="CK161">
        <v>153</v>
      </c>
      <c r="CL161">
        <v>8.4335646779540934</v>
      </c>
      <c r="CM161">
        <v>7.3730079660709611E-3</v>
      </c>
      <c r="CN161">
        <v>7.3730079660709611E-3</v>
      </c>
      <c r="CO161" t="e">
        <v>#N/A</v>
      </c>
      <c r="CP161" t="str">
        <v/>
      </c>
    </row>
    <row r="162" spans="44:94" x14ac:dyDescent="0.2">
      <c r="AR162">
        <v>154</v>
      </c>
      <c r="AS162">
        <v>154</v>
      </c>
      <c r="AT162">
        <v>1</v>
      </c>
      <c r="AU162">
        <v>-6.3326924870080763</v>
      </c>
      <c r="AV162">
        <v>1.5210637963315453E-2</v>
      </c>
      <c r="CD162">
        <v>154</v>
      </c>
      <c r="CE162">
        <v>5.271146702468597</v>
      </c>
      <c r="CF162">
        <v>7.817109567912716E-3</v>
      </c>
      <c r="CG162" t="e">
        <v>#N/A</v>
      </c>
      <c r="CH162">
        <v>7.817109567912716E-3</v>
      </c>
      <c r="CI162" t="str">
        <v/>
      </c>
      <c r="CK162">
        <v>154</v>
      </c>
      <c r="CL162">
        <v>8.4890486560985288</v>
      </c>
      <c r="CM162">
        <v>7.1712772037509087E-3</v>
      </c>
      <c r="CN162">
        <v>7.1712772037509087E-3</v>
      </c>
      <c r="CO162" t="e">
        <v>#N/A</v>
      </c>
      <c r="CP162" t="str">
        <v/>
      </c>
    </row>
    <row r="163" spans="44:94" x14ac:dyDescent="0.2">
      <c r="AR163">
        <v>155</v>
      </c>
      <c r="AS163">
        <v>155</v>
      </c>
      <c r="AT163">
        <v>1</v>
      </c>
      <c r="AU163">
        <v>-6.3017519556907304</v>
      </c>
      <c r="AV163">
        <v>1.541937656737871E-2</v>
      </c>
      <c r="CD163">
        <v>155</v>
      </c>
      <c r="CE163">
        <v>5.3055986417004171</v>
      </c>
      <c r="CF163">
        <v>7.6037665862920371E-3</v>
      </c>
      <c r="CG163" t="e">
        <v>#N/A</v>
      </c>
      <c r="CH163">
        <v>7.6037665862920371E-3</v>
      </c>
      <c r="CI163" t="str">
        <v/>
      </c>
      <c r="CK163">
        <v>155</v>
      </c>
      <c r="CL163">
        <v>8.5445326342429642</v>
      </c>
      <c r="CM163">
        <v>6.9750659391248117E-3</v>
      </c>
      <c r="CN163">
        <v>6.9750659391248117E-3</v>
      </c>
      <c r="CO163" t="e">
        <v>#N/A</v>
      </c>
      <c r="CP163" t="str">
        <v/>
      </c>
    </row>
    <row r="164" spans="44:94" x14ac:dyDescent="0.2">
      <c r="AR164">
        <v>156</v>
      </c>
      <c r="AS164">
        <v>156</v>
      </c>
      <c r="AT164">
        <v>1</v>
      </c>
      <c r="AU164">
        <v>-6.2708114243733846</v>
      </c>
      <c r="AV164">
        <v>1.5630173040656659E-2</v>
      </c>
      <c r="CD164">
        <v>156</v>
      </c>
      <c r="CE164">
        <v>5.3400505809322381</v>
      </c>
      <c r="CF164">
        <v>7.3965692286631669E-3</v>
      </c>
      <c r="CG164" t="e">
        <v>#N/A</v>
      </c>
      <c r="CH164">
        <v>7.3965692286631669E-3</v>
      </c>
      <c r="CI164" t="str">
        <v/>
      </c>
      <c r="CK164">
        <v>156</v>
      </c>
      <c r="CL164">
        <v>8.6000166123873978</v>
      </c>
      <c r="CM164">
        <v>6.7842231547948131E-3</v>
      </c>
      <c r="CN164">
        <v>6.7842231547948131E-3</v>
      </c>
      <c r="CO164" t="e">
        <v>#N/A</v>
      </c>
      <c r="CP164" t="str">
        <v/>
      </c>
    </row>
    <row r="165" spans="44:94" x14ac:dyDescent="0.2">
      <c r="AR165">
        <v>157</v>
      </c>
      <c r="AS165">
        <v>157</v>
      </c>
      <c r="AT165">
        <v>1</v>
      </c>
      <c r="AU165">
        <v>-6.2398708930560378</v>
      </c>
      <c r="AV165">
        <v>1.5843033609514254E-2</v>
      </c>
      <c r="CD165">
        <v>157</v>
      </c>
      <c r="CE165">
        <v>5.3745025201640582</v>
      </c>
      <c r="CF165">
        <v>7.1953311836657303E-3</v>
      </c>
      <c r="CG165" t="e">
        <v>#N/A</v>
      </c>
      <c r="CH165">
        <v>7.1953311836657303E-3</v>
      </c>
      <c r="CI165" t="str">
        <v/>
      </c>
      <c r="CK165">
        <v>157</v>
      </c>
      <c r="CL165">
        <v>8.6555005905318332</v>
      </c>
      <c r="CM165">
        <v>6.5986019653068795E-3</v>
      </c>
      <c r="CN165">
        <v>6.5986019653068795E-3</v>
      </c>
      <c r="CO165" t="e">
        <v>#N/A</v>
      </c>
      <c r="CP165" t="str">
        <v/>
      </c>
    </row>
    <row r="166" spans="44:94" x14ac:dyDescent="0.2">
      <c r="AR166">
        <v>158</v>
      </c>
      <c r="AS166">
        <v>158</v>
      </c>
      <c r="AT166">
        <v>1</v>
      </c>
      <c r="AU166">
        <v>-6.2089303617386919</v>
      </c>
      <c r="AV166">
        <v>1.6057964263523558E-2</v>
      </c>
      <c r="CD166">
        <v>158</v>
      </c>
      <c r="CE166">
        <v>5.4089544593958792</v>
      </c>
      <c r="CF166">
        <v>6.9998720685896902E-3</v>
      </c>
      <c r="CG166" t="e">
        <v>#N/A</v>
      </c>
      <c r="CH166">
        <v>6.9998720685896902E-3</v>
      </c>
      <c r="CI166" t="str">
        <v/>
      </c>
      <c r="CK166">
        <v>158</v>
      </c>
      <c r="CL166">
        <v>8.7109845686762686</v>
      </c>
      <c r="CM166">
        <v>6.4180595040978878E-3</v>
      </c>
      <c r="CN166">
        <v>6.4180595040978878E-3</v>
      </c>
      <c r="CO166" t="e">
        <v>#N/A</v>
      </c>
      <c r="CP166" t="str">
        <v/>
      </c>
    </row>
    <row r="167" spans="44:94" x14ac:dyDescent="0.2">
      <c r="AR167">
        <v>159</v>
      </c>
      <c r="AS167">
        <v>159</v>
      </c>
      <c r="AT167">
        <v>1</v>
      </c>
      <c r="AU167">
        <v>-6.1779898304213452</v>
      </c>
      <c r="AV167">
        <v>1.6274970750994225E-2</v>
      </c>
      <c r="CD167">
        <v>159</v>
      </c>
      <c r="CE167">
        <v>5.4434063986277001</v>
      </c>
      <c r="CF167">
        <v>6.8100172318231803E-3</v>
      </c>
      <c r="CG167" t="e">
        <v>#N/A</v>
      </c>
      <c r="CH167">
        <v>6.8100172318231803E-3</v>
      </c>
      <c r="CI167" t="str">
        <v/>
      </c>
      <c r="CK167">
        <v>159</v>
      </c>
      <c r="CL167">
        <v>8.7664685468207022</v>
      </c>
      <c r="CM167">
        <v>6.2424568135358953E-3</v>
      </c>
      <c r="CN167">
        <v>6.2424568135358953E-3</v>
      </c>
      <c r="CO167" t="e">
        <v>#N/A</v>
      </c>
      <c r="CP167" t="str">
        <v/>
      </c>
    </row>
    <row r="168" spans="44:94" x14ac:dyDescent="0.2">
      <c r="AR168">
        <v>160</v>
      </c>
      <c r="AS168">
        <v>160</v>
      </c>
      <c r="AT168">
        <v>1</v>
      </c>
      <c r="AU168">
        <v>-6.1470492991039993</v>
      </c>
      <c r="AV168">
        <v>1.6494058574505775E-2</v>
      </c>
      <c r="CD168">
        <v>160</v>
      </c>
      <c r="CE168">
        <v>5.4778583378595211</v>
      </c>
      <c r="CF168">
        <v>6.625597562178529E-3</v>
      </c>
      <c r="CG168" t="e">
        <v>#N/A</v>
      </c>
      <c r="CH168">
        <v>6.625597562178529E-3</v>
      </c>
      <c r="CI168" t="str">
        <v/>
      </c>
      <c r="CK168">
        <v>160</v>
      </c>
      <c r="CL168">
        <v>8.8219525249651376</v>
      </c>
      <c r="CM168">
        <v>6.0716587379689591E-3</v>
      </c>
      <c r="CN168">
        <v>6.0716587379689591E-3</v>
      </c>
      <c r="CO168" t="e">
        <v>#N/A</v>
      </c>
      <c r="CP168" t="str">
        <v/>
      </c>
    </row>
    <row r="169" spans="44:94" x14ac:dyDescent="0.2">
      <c r="AR169">
        <v>161</v>
      </c>
      <c r="AS169">
        <v>161</v>
      </c>
      <c r="AT169">
        <v>1</v>
      </c>
      <c r="AU169">
        <v>-6.1161087677866526</v>
      </c>
      <c r="AV169">
        <v>1.671523298644342E-2</v>
      </c>
      <c r="CD169">
        <v>161</v>
      </c>
      <c r="CE169">
        <v>5.5123102770913421</v>
      </c>
      <c r="CF169">
        <v>6.4464493048467762E-3</v>
      </c>
      <c r="CG169" t="e">
        <v>#N/A</v>
      </c>
      <c r="CH169">
        <v>6.4464493048467762E-3</v>
      </c>
      <c r="CI169" t="str">
        <v/>
      </c>
      <c r="CK169">
        <v>161</v>
      </c>
      <c r="CL169">
        <v>8.8774365031095712</v>
      </c>
      <c r="CM169">
        <v>5.9055338197003095E-3</v>
      </c>
      <c r="CN169">
        <v>5.9055338197003095E-3</v>
      </c>
      <c r="CO169" t="e">
        <v>#N/A</v>
      </c>
      <c r="CP169" t="str">
        <v/>
      </c>
    </row>
    <row r="170" spans="44:94" x14ac:dyDescent="0.2">
      <c r="AR170">
        <v>162</v>
      </c>
      <c r="AS170">
        <v>162</v>
      </c>
      <c r="AT170">
        <v>1</v>
      </c>
      <c r="AU170">
        <v>-6.0851682364693067</v>
      </c>
      <c r="AV170">
        <v>1.6938498984538457E-2</v>
      </c>
      <c r="CD170">
        <v>162</v>
      </c>
      <c r="CE170">
        <v>5.5467622163231631</v>
      </c>
      <c r="CF170">
        <v>6.2724138837404698E-3</v>
      </c>
      <c r="CG170" t="e">
        <v>#N/A</v>
      </c>
      <c r="CH170">
        <v>6.2724138837404698E-3</v>
      </c>
      <c r="CI170" t="str">
        <v/>
      </c>
      <c r="CK170">
        <v>162</v>
      </c>
      <c r="CL170">
        <v>8.9329204812540066</v>
      </c>
      <c r="CM170">
        <v>5.7439541978095933E-3</v>
      </c>
      <c r="CN170">
        <v>5.7439541978095933E-3</v>
      </c>
      <c r="CO170" t="e">
        <v>#N/A</v>
      </c>
      <c r="CP170" t="str">
        <v/>
      </c>
    </row>
    <row r="171" spans="44:94" x14ac:dyDescent="0.2">
      <c r="AR171">
        <v>163</v>
      </c>
      <c r="AS171">
        <v>163</v>
      </c>
      <c r="AT171">
        <v>1</v>
      </c>
      <c r="AU171">
        <v>-6.05422770515196</v>
      </c>
      <c r="AV171">
        <v>1.7163861307415051E-2</v>
      </c>
      <c r="CD171">
        <v>163</v>
      </c>
      <c r="CE171">
        <v>5.5812141555549841</v>
      </c>
      <c r="CF171">
        <v>6.1033377299934454E-3</v>
      </c>
      <c r="CG171" t="e">
        <v>#N/A</v>
      </c>
      <c r="CH171">
        <v>6.1033377299934454E-3</v>
      </c>
      <c r="CI171" t="str">
        <v/>
      </c>
      <c r="CK171">
        <v>163</v>
      </c>
      <c r="CL171">
        <v>8.988404459398442</v>
      </c>
      <c r="CM171">
        <v>5.5867955097425462E-3</v>
      </c>
      <c r="CN171">
        <v>5.5867955097425462E-3</v>
      </c>
      <c r="CO171" t="e">
        <v>#N/A</v>
      </c>
      <c r="CP171" t="str">
        <v/>
      </c>
    </row>
    <row r="172" spans="44:94" x14ac:dyDescent="0.2">
      <c r="AR172">
        <v>164</v>
      </c>
      <c r="AS172">
        <v>164</v>
      </c>
      <c r="AT172">
        <v>1</v>
      </c>
      <c r="AU172">
        <v>-6.0232871738346141</v>
      </c>
      <c r="AV172">
        <v>1.7391324430144638E-2</v>
      </c>
      <c r="CD172">
        <v>164</v>
      </c>
      <c r="CE172">
        <v>5.6156660947868051</v>
      </c>
      <c r="CF172">
        <v>5.9390721163949337E-3</v>
      </c>
      <c r="CG172" t="e">
        <v>#N/A</v>
      </c>
      <c r="CH172">
        <v>5.9390721163949337E-3</v>
      </c>
      <c r="CI172" t="str">
        <v/>
      </c>
      <c r="CK172">
        <v>164</v>
      </c>
      <c r="CL172">
        <v>9.0438884375428756</v>
      </c>
      <c r="CM172">
        <v>5.4339367955931906E-3</v>
      </c>
      <c r="CN172">
        <v>5.4339367955931906E-3</v>
      </c>
      <c r="CO172" t="e">
        <v>#N/A</v>
      </c>
      <c r="CP172" t="str">
        <v/>
      </c>
    </row>
    <row r="173" spans="44:94" x14ac:dyDescent="0.2">
      <c r="AR173">
        <v>165</v>
      </c>
      <c r="AS173">
        <v>165</v>
      </c>
      <c r="AT173">
        <v>1</v>
      </c>
      <c r="AU173">
        <v>-5.9923466425172673</v>
      </c>
      <c r="AV173">
        <v>1.7620892559809621E-2</v>
      </c>
      <c r="CD173">
        <v>165</v>
      </c>
      <c r="CE173">
        <v>5.6501180340186261</v>
      </c>
      <c r="CF173">
        <v>5.7794729975441678E-3</v>
      </c>
      <c r="CG173" t="e">
        <v>#N/A</v>
      </c>
      <c r="CH173">
        <v>5.7794729975441678E-3</v>
      </c>
      <c r="CI173" t="str">
        <v/>
      </c>
      <c r="CK173">
        <v>165</v>
      </c>
      <c r="CL173">
        <v>9.099372415687311</v>
      </c>
      <c r="CM173">
        <v>5.2852604050049193E-3</v>
      </c>
      <c r="CN173">
        <v>5.2852604050049193E-3</v>
      </c>
      <c r="CO173" t="e">
        <v>#N/A</v>
      </c>
      <c r="CP173" t="str">
        <v/>
      </c>
    </row>
    <row r="174" spans="44:94" x14ac:dyDescent="0.2">
      <c r="AR174">
        <v>166</v>
      </c>
      <c r="AS174">
        <v>166</v>
      </c>
      <c r="AT174">
        <v>1</v>
      </c>
      <c r="AU174">
        <v>-5.9614061111999215</v>
      </c>
      <c r="AV174">
        <v>1.7852569631077599E-2</v>
      </c>
      <c r="CD174">
        <v>166</v>
      </c>
      <c r="CE174">
        <v>5.6845699732504471</v>
      </c>
      <c r="CF174">
        <v>5.6244008555190687E-3</v>
      </c>
      <c r="CG174" t="e">
        <v>#N/A</v>
      </c>
      <c r="CH174">
        <v>5.6244008555190687E-3</v>
      </c>
      <c r="CI174" t="str">
        <v/>
      </c>
      <c r="CK174">
        <v>166</v>
      </c>
      <c r="CL174">
        <v>9.1548563938317447</v>
      </c>
      <c r="CM174">
        <v>5.1406519066189123E-3</v>
      </c>
      <c r="CN174">
        <v>5.1406519066189123E-3</v>
      </c>
      <c r="CO174" t="e">
        <v>#N/A</v>
      </c>
      <c r="CP174" t="str">
        <v/>
      </c>
    </row>
    <row r="175" spans="44:94" x14ac:dyDescent="0.2">
      <c r="AR175">
        <v>167</v>
      </c>
      <c r="AS175">
        <v>167</v>
      </c>
      <c r="AT175">
        <v>1</v>
      </c>
      <c r="AU175">
        <v>-5.9304655798825747</v>
      </c>
      <c r="AV175">
        <v>1.8086359301788039E-2</v>
      </c>
      <c r="CD175">
        <v>167</v>
      </c>
      <c r="CE175">
        <v>5.7190219124822681</v>
      </c>
      <c r="CF175">
        <v>5.4737205508607906E-3</v>
      </c>
      <c r="CG175" t="e">
        <v>#N/A</v>
      </c>
      <c r="CH175">
        <v>5.4737205508607906E-3</v>
      </c>
      <c r="CI175" t="str">
        <v/>
      </c>
      <c r="CK175">
        <v>167</v>
      </c>
      <c r="CL175">
        <v>9.2103403719761818</v>
      </c>
      <c r="CM175">
        <v>5.0000000000000027E-3</v>
      </c>
      <c r="CN175">
        <v>5.0000000000000027E-3</v>
      </c>
      <c r="CO175" t="e">
        <v>#N/A</v>
      </c>
      <c r="CP175" t="str">
        <v/>
      </c>
    </row>
    <row r="176" spans="44:94" x14ac:dyDescent="0.2">
      <c r="AR176">
        <v>168</v>
      </c>
      <c r="AS176">
        <v>168</v>
      </c>
      <c r="AT176">
        <v>1</v>
      </c>
      <c r="AU176">
        <v>-5.8995250485652289</v>
      </c>
      <c r="AV176">
        <v>1.8322264948552495E-2</v>
      </c>
      <c r="CD176">
        <v>168</v>
      </c>
      <c r="CE176">
        <v>5.7534738517140891</v>
      </c>
      <c r="CF176">
        <v>5.327301178683198E-3</v>
      </c>
      <c r="CG176" t="e">
        <v>#N/A</v>
      </c>
      <c r="CH176">
        <v>5.327301178683198E-3</v>
      </c>
      <c r="CI176" t="str">
        <v/>
      </c>
      <c r="CK176">
        <v>168</v>
      </c>
      <c r="CL176">
        <v>9.2658243501206172</v>
      </c>
      <c r="CM176">
        <v>4.8631964299724268E-3</v>
      </c>
      <c r="CN176">
        <v>4.8631964299724268E-3</v>
      </c>
      <c r="CO176" t="e">
        <v>#N/A</v>
      </c>
      <c r="CP176" t="str">
        <v/>
      </c>
    </row>
    <row r="177" spans="44:94" x14ac:dyDescent="0.2">
      <c r="AR177">
        <v>169</v>
      </c>
      <c r="AS177">
        <v>169</v>
      </c>
      <c r="AT177">
        <v>1</v>
      </c>
      <c r="AU177">
        <v>-5.868584517247883</v>
      </c>
      <c r="AV177">
        <v>1.8560289662370315E-2</v>
      </c>
      <c r="CD177">
        <v>169</v>
      </c>
      <c r="CE177">
        <v>5.7879257909459101</v>
      </c>
      <c r="CF177">
        <v>5.1850159297233767E-3</v>
      </c>
      <c r="CG177" t="e">
        <v>#N/A</v>
      </c>
      <c r="CH177">
        <v>5.1850159297233767E-3</v>
      </c>
      <c r="CI177" t="str">
        <v/>
      </c>
      <c r="CK177">
        <v>169</v>
      </c>
      <c r="CL177">
        <v>9.3213083282650508</v>
      </c>
      <c r="CM177">
        <v>4.7301359032993137E-3</v>
      </c>
      <c r="CN177">
        <v>4.7301359032993137E-3</v>
      </c>
      <c r="CO177" t="e">
        <v>#N/A</v>
      </c>
      <c r="CP177" t="str">
        <v/>
      </c>
    </row>
    <row r="178" spans="44:94" x14ac:dyDescent="0.2">
      <c r="AR178">
        <v>170</v>
      </c>
      <c r="AS178">
        <v>170</v>
      </c>
      <c r="AT178">
        <v>1</v>
      </c>
      <c r="AU178">
        <v>-5.8376439859305362</v>
      </c>
      <c r="AV178">
        <v>1.8800436244261115E-2</v>
      </c>
      <c r="CD178">
        <v>170</v>
      </c>
      <c r="CE178">
        <v>5.8223777301777311</v>
      </c>
      <c r="CF178">
        <v>5.0467419561563013E-3</v>
      </c>
      <c r="CG178" t="e">
        <v>#N/A</v>
      </c>
      <c r="CH178">
        <v>5.0467419561563013E-3</v>
      </c>
      <c r="CI178" t="str">
        <v/>
      </c>
      <c r="CK178">
        <v>170</v>
      </c>
      <c r="CL178">
        <v>9.3767923064094862</v>
      </c>
      <c r="CM178">
        <v>4.6007160076419222E-3</v>
      </c>
      <c r="CN178">
        <v>4.6007160076419222E-3</v>
      </c>
      <c r="CO178" t="e">
        <v>#N/A</v>
      </c>
      <c r="CP178" t="str">
        <v/>
      </c>
    </row>
    <row r="179" spans="44:94" x14ac:dyDescent="0.2">
      <c r="AR179">
        <v>171</v>
      </c>
      <c r="AS179">
        <v>171</v>
      </c>
      <c r="AT179">
        <v>1</v>
      </c>
      <c r="AU179">
        <v>-5.8067034546131904</v>
      </c>
      <c r="AV179">
        <v>1.9042707200915724E-2</v>
      </c>
      <c r="CD179">
        <v>171</v>
      </c>
      <c r="CE179">
        <v>5.8568296694095521</v>
      </c>
      <c r="CF179">
        <v>4.9123602420033151E-3</v>
      </c>
      <c r="CG179" t="e">
        <v>#N/A</v>
      </c>
      <c r="CH179">
        <v>4.9123602420033151E-3</v>
      </c>
      <c r="CI179" t="str">
        <v/>
      </c>
      <c r="CK179">
        <v>171</v>
      </c>
      <c r="CL179">
        <v>9.4322762845539216</v>
      </c>
      <c r="CM179">
        <v>4.4748371327362358E-3</v>
      </c>
      <c r="CN179">
        <v>4.4748371327362358E-3</v>
      </c>
      <c r="CO179" t="e">
        <v>#N/A</v>
      </c>
      <c r="CP179" t="str">
        <v/>
      </c>
    </row>
    <row r="180" spans="44:94" x14ac:dyDescent="0.2">
      <c r="AR180">
        <v>172</v>
      </c>
      <c r="AS180">
        <v>172</v>
      </c>
      <c r="AT180">
        <v>1</v>
      </c>
      <c r="AU180">
        <v>-5.7757629232958436</v>
      </c>
      <c r="AV180">
        <v>1.928710474036727E-2</v>
      </c>
      <c r="CD180">
        <v>172</v>
      </c>
      <c r="CE180">
        <v>5.8912816086413722</v>
      </c>
      <c r="CF180">
        <v>4.781755477970372E-3</v>
      </c>
      <c r="CG180" t="e">
        <v>#N/A</v>
      </c>
      <c r="CH180">
        <v>4.781755477970372E-3</v>
      </c>
      <c r="CI180" t="str">
        <v/>
      </c>
      <c r="CK180">
        <v>172</v>
      </c>
      <c r="CL180">
        <v>9.4877602626983553</v>
      </c>
      <c r="CM180">
        <v>4.3524023937261853E-3</v>
      </c>
      <c r="CN180">
        <v>4.3524023937261853E-3</v>
      </c>
      <c r="CO180" t="e">
        <v>#N/A</v>
      </c>
      <c r="CP180" t="str">
        <v/>
      </c>
    </row>
    <row r="181" spans="44:94" x14ac:dyDescent="0.2">
      <c r="AR181">
        <v>173</v>
      </c>
      <c r="AS181">
        <v>173</v>
      </c>
      <c r="AT181">
        <v>1</v>
      </c>
      <c r="AU181">
        <v>-5.7448223919784978</v>
      </c>
      <c r="AV181">
        <v>1.9533630767683819E-2</v>
      </c>
      <c r="CD181">
        <v>173</v>
      </c>
      <c r="CE181">
        <v>5.9257335478731932</v>
      </c>
      <c r="CF181">
        <v>4.6548159405581579E-3</v>
      </c>
      <c r="CG181" t="e">
        <v>#N/A</v>
      </c>
      <c r="CH181">
        <v>4.6548159405581579E-3</v>
      </c>
      <c r="CI181" t="str">
        <v/>
      </c>
      <c r="CK181">
        <v>173</v>
      </c>
      <c r="CL181">
        <v>9.5432442408427907</v>
      </c>
      <c r="CM181">
        <v>4.2333175565945243E-3</v>
      </c>
      <c r="CN181">
        <v>4.2333175565945243E-3</v>
      </c>
      <c r="CO181" t="e">
        <v>#N/A</v>
      </c>
      <c r="CP181" t="str">
        <v/>
      </c>
    </row>
    <row r="182" spans="44:94" x14ac:dyDescent="0.2">
      <c r="AR182">
        <v>174</v>
      </c>
      <c r="AS182">
        <v>174</v>
      </c>
      <c r="AT182">
        <v>1</v>
      </c>
      <c r="AU182">
        <v>-5.713881860661151</v>
      </c>
      <c r="AV182">
        <v>1.9782286880684379E-2</v>
      </c>
      <c r="CD182">
        <v>174</v>
      </c>
      <c r="CE182">
        <v>5.9601854871050142</v>
      </c>
      <c r="CF182">
        <v>4.5314333752920453E-3</v>
      </c>
      <c r="CG182" t="e">
        <v>#N/A</v>
      </c>
      <c r="CH182">
        <v>4.5314333752920453E-3</v>
      </c>
      <c r="CI182" t="str">
        <v/>
      </c>
      <c r="CK182">
        <v>174</v>
      </c>
      <c r="CL182">
        <v>9.5987282189872243</v>
      </c>
      <c r="CM182">
        <v>4.1174909656340195E-3</v>
      </c>
      <c r="CN182">
        <v>4.1174909656340195E-3</v>
      </c>
      <c r="CO182" t="e">
        <v>#N/A</v>
      </c>
      <c r="CP182" t="str">
        <v/>
      </c>
    </row>
    <row r="183" spans="44:94" x14ac:dyDescent="0.2">
      <c r="AR183">
        <v>175</v>
      </c>
      <c r="AS183">
        <v>175</v>
      </c>
      <c r="AT183">
        <v>1</v>
      </c>
      <c r="AU183">
        <v>-5.6829413293438051</v>
      </c>
      <c r="AV183">
        <v>2.0033074365679762E-2</v>
      </c>
      <c r="CD183">
        <v>175</v>
      </c>
      <c r="CE183">
        <v>5.9946374263368343</v>
      </c>
      <c r="CF183">
        <v>4.411502883925454E-3</v>
      </c>
      <c r="CG183" t="e">
        <v>#N/A</v>
      </c>
      <c r="CH183">
        <v>4.411502883925454E-3</v>
      </c>
      <c r="CI183" t="str">
        <v/>
      </c>
      <c r="CK183">
        <v>175</v>
      </c>
      <c r="CL183">
        <v>9.6542121971316597</v>
      </c>
      <c r="CM183">
        <v>4.0048334729030147E-3</v>
      </c>
      <c r="CN183">
        <v>4.0048334729030147E-3</v>
      </c>
      <c r="CO183" t="e">
        <v>#N/A</v>
      </c>
      <c r="CP183" t="str">
        <v/>
      </c>
    </row>
    <row r="184" spans="44:94" x14ac:dyDescent="0.2">
      <c r="AR184">
        <v>176</v>
      </c>
      <c r="AS184">
        <v>176</v>
      </c>
      <c r="AT184">
        <v>1</v>
      </c>
      <c r="AU184">
        <v>-5.6520007980264584</v>
      </c>
      <c r="AV184">
        <v>2.0285994193240085E-2</v>
      </c>
      <c r="CD184">
        <v>176</v>
      </c>
      <c r="CE184">
        <v>6.0290893655686553</v>
      </c>
      <c r="CF184">
        <v>4.2949228154755955E-3</v>
      </c>
      <c r="CG184" t="e">
        <v>#N/A</v>
      </c>
      <c r="CH184">
        <v>4.2949228154755955E-3</v>
      </c>
      <c r="CI184">
        <v>6.0289999999999999</v>
      </c>
      <c r="CK184">
        <v>176</v>
      </c>
      <c r="CL184">
        <v>9.7096961752760951</v>
      </c>
      <c r="CM184">
        <v>3.8952583696112019E-3</v>
      </c>
      <c r="CN184">
        <v>3.8952583696112019E-3</v>
      </c>
      <c r="CO184" t="e">
        <v>#N/A</v>
      </c>
      <c r="CP184">
        <v>9.7100000000000009</v>
      </c>
    </row>
    <row r="185" spans="44:94" x14ac:dyDescent="0.2">
      <c r="AR185">
        <v>177</v>
      </c>
      <c r="AS185">
        <v>177</v>
      </c>
      <c r="AT185">
        <v>1</v>
      </c>
      <c r="AU185">
        <v>-5.6210602667091125</v>
      </c>
      <c r="AV185">
        <v>2.0541047013990395E-2</v>
      </c>
      <c r="CD185">
        <v>177</v>
      </c>
      <c r="CE185">
        <v>6.0635413048004763</v>
      </c>
      <c r="CF185">
        <v>4.1815946609558589E-3</v>
      </c>
      <c r="CG185" t="e">
        <v>#N/A</v>
      </c>
      <c r="CH185">
        <v>4.1815946609558589E-3</v>
      </c>
      <c r="CI185" t="str">
        <v/>
      </c>
      <c r="CK185">
        <v>177</v>
      </c>
      <c r="CL185">
        <v>9.7651801534205287</v>
      </c>
      <c r="CM185">
        <v>3.7886813193826851E-3</v>
      </c>
      <c r="CN185">
        <v>3.7886813193826851E-3</v>
      </c>
      <c r="CO185" t="e">
        <v>#N/A</v>
      </c>
      <c r="CP185" t="str">
        <v/>
      </c>
    </row>
    <row r="186" spans="44:94" x14ac:dyDescent="0.2">
      <c r="AR186">
        <v>178</v>
      </c>
      <c r="AS186">
        <v>178</v>
      </c>
      <c r="AT186">
        <v>1</v>
      </c>
      <c r="AU186">
        <v>-5.5901197353917658</v>
      </c>
      <c r="AV186">
        <v>2.0798233154436345E-2</v>
      </c>
      <c r="CD186">
        <v>178</v>
      </c>
      <c r="CE186">
        <v>6.0979932440322973</v>
      </c>
      <c r="CF186">
        <v>4.0714229516739999E-3</v>
      </c>
      <c r="CG186" t="e">
        <v>#N/A</v>
      </c>
      <c r="CH186">
        <v>4.0714229516739999E-3</v>
      </c>
      <c r="CI186" t="str">
        <v/>
      </c>
      <c r="CK186">
        <v>178</v>
      </c>
      <c r="CL186">
        <v>9.8206641315649641</v>
      </c>
      <c r="CM186">
        <v>3.6850202933450173E-3</v>
      </c>
      <c r="CN186">
        <v>3.6850202933450173E-3</v>
      </c>
      <c r="CO186" t="e">
        <v>#N/A</v>
      </c>
      <c r="CP186" t="str">
        <v/>
      </c>
    </row>
    <row r="187" spans="44:94" x14ac:dyDescent="0.2">
      <c r="AR187">
        <v>179</v>
      </c>
      <c r="AS187">
        <v>179</v>
      </c>
      <c r="AT187">
        <v>1</v>
      </c>
      <c r="AU187">
        <v>-5.5591792040744199</v>
      </c>
      <c r="AV187">
        <v>2.1057552612821207E-2</v>
      </c>
      <c r="CD187">
        <v>179</v>
      </c>
      <c r="CE187">
        <v>6.1324451832641182</v>
      </c>
      <c r="CF187">
        <v>3.9643151609702306E-3</v>
      </c>
      <c r="CG187" t="e">
        <v>#N/A</v>
      </c>
      <c r="CH187">
        <v>3.9643151609702306E-3</v>
      </c>
      <c r="CI187" t="str">
        <v/>
      </c>
      <c r="CK187">
        <v>179</v>
      </c>
      <c r="CL187">
        <v>9.8761481097093995</v>
      </c>
      <c r="CM187">
        <v>3.5841955069942856E-3</v>
      </c>
      <c r="CN187">
        <v>3.5841955069942856E-3</v>
      </c>
      <c r="CO187" t="e">
        <v>#N/A</v>
      </c>
      <c r="CP187" t="str">
        <v/>
      </c>
    </row>
    <row r="188" spans="44:94" x14ac:dyDescent="0.2">
      <c r="AR188">
        <v>180</v>
      </c>
      <c r="AS188">
        <v>180</v>
      </c>
      <c r="AT188">
        <v>1</v>
      </c>
      <c r="AU188">
        <v>-5.5282386727570731</v>
      </c>
      <c r="AV188">
        <v>2.1319005055016351E-2</v>
      </c>
      <c r="CD188">
        <v>180</v>
      </c>
      <c r="CE188">
        <v>6.1668971224959392</v>
      </c>
      <c r="CF188">
        <v>3.8601816092737528E-3</v>
      </c>
      <c r="CG188" t="e">
        <v>#N/A</v>
      </c>
      <c r="CH188">
        <v>3.8601816092737528E-3</v>
      </c>
      <c r="CI188" t="str">
        <v/>
      </c>
      <c r="CK188">
        <v>180</v>
      </c>
      <c r="CL188">
        <v>9.9316320878538331</v>
      </c>
      <c r="CM188">
        <v>3.4861293587875658E-3</v>
      </c>
      <c r="CN188">
        <v>3.4861293587875658E-3</v>
      </c>
      <c r="CO188" t="e">
        <v>#N/A</v>
      </c>
      <c r="CP188" t="str">
        <v/>
      </c>
    </row>
    <row r="189" spans="44:94" x14ac:dyDescent="0.2">
      <c r="AR189">
        <v>181</v>
      </c>
      <c r="AS189">
        <v>181</v>
      </c>
      <c r="AT189">
        <v>1</v>
      </c>
      <c r="AU189">
        <v>-5.4972981414397273</v>
      </c>
      <c r="AV189">
        <v>2.1582589810446553E-2</v>
      </c>
      <c r="CD189">
        <v>181</v>
      </c>
      <c r="CE189">
        <v>6.2013490617277602</v>
      </c>
      <c r="CF189">
        <v>3.7589353723610675E-3</v>
      </c>
      <c r="CG189" t="e">
        <v>#N/A</v>
      </c>
      <c r="CH189">
        <v>3.7589353723610675E-3</v>
      </c>
      <c r="CI189" t="str">
        <v/>
      </c>
      <c r="CK189">
        <v>181</v>
      </c>
      <c r="CL189">
        <v>9.9871160659982685</v>
      </c>
      <c r="CM189">
        <v>3.3907463704155498E-3</v>
      </c>
      <c r="CN189">
        <v>3.3907463704155498E-3</v>
      </c>
      <c r="CO189" t="e">
        <v>#N/A</v>
      </c>
      <c r="CP189" t="str">
        <v/>
      </c>
    </row>
    <row r="190" spans="44:94" x14ac:dyDescent="0.2">
      <c r="AR190">
        <v>182</v>
      </c>
      <c r="AS190">
        <v>182</v>
      </c>
      <c r="AT190">
        <v>1</v>
      </c>
      <c r="AU190">
        <v>-5.4663576101223814</v>
      </c>
      <c r="AV190">
        <v>2.1848305868052052E-2</v>
      </c>
      <c r="CD190">
        <v>182</v>
      </c>
      <c r="CE190">
        <v>6.2358010009595812</v>
      </c>
      <c r="CF190">
        <v>3.6604921927032184E-3</v>
      </c>
      <c r="CG190" t="e">
        <v>#N/A</v>
      </c>
      <c r="CH190">
        <v>3.6604921927032184E-3</v>
      </c>
      <c r="CI190" t="str">
        <v/>
      </c>
      <c r="CK190">
        <v>182</v>
      </c>
      <c r="CL190">
        <v>10.042600044142702</v>
      </c>
      <c r="CM190">
        <v>3.2979731287093752E-3</v>
      </c>
      <c r="CN190">
        <v>3.2979731287093752E-3</v>
      </c>
      <c r="CO190" t="e">
        <v>#N/A</v>
      </c>
      <c r="CP190" t="str">
        <v/>
      </c>
    </row>
    <row r="191" spans="44:94" x14ac:dyDescent="0.2">
      <c r="AR191">
        <v>183</v>
      </c>
      <c r="AS191">
        <v>183</v>
      </c>
      <c r="AT191">
        <v>1</v>
      </c>
      <c r="AU191">
        <v>-5.4354170788050347</v>
      </c>
      <c r="AV191">
        <v>2.2116151872288888E-2</v>
      </c>
      <c r="CD191">
        <v>183</v>
      </c>
      <c r="CE191">
        <v>6.2702529401914022</v>
      </c>
      <c r="CF191">
        <v>3.564770393793641E-3</v>
      </c>
      <c r="CG191" t="e">
        <v>#N/A</v>
      </c>
      <c r="CH191">
        <v>3.564770393793641E-3</v>
      </c>
      <c r="CI191" t="str">
        <v/>
      </c>
      <c r="CK191">
        <v>183</v>
      </c>
      <c r="CL191">
        <v>10.098084022287138</v>
      </c>
      <c r="CM191">
        <v>3.2077382291368843E-3</v>
      </c>
      <c r="CN191">
        <v>3.2077382291368843E-3</v>
      </c>
      <c r="CO191" t="e">
        <v>#N/A</v>
      </c>
      <c r="CP191" t="str">
        <v/>
      </c>
    </row>
    <row r="192" spans="44:94" x14ac:dyDescent="0.2">
      <c r="AR192">
        <v>184</v>
      </c>
      <c r="AS192">
        <v>184</v>
      </c>
      <c r="AT192">
        <v>1</v>
      </c>
      <c r="AU192">
        <v>-5.4044765474876888</v>
      </c>
      <c r="AV192">
        <v>2.2386126119169347E-2</v>
      </c>
      <c r="CD192">
        <v>184</v>
      </c>
      <c r="CE192">
        <v>6.3047048794232232</v>
      </c>
      <c r="CF192">
        <v>3.4716907973521898E-3</v>
      </c>
      <c r="CG192" t="e">
        <v>#N/A</v>
      </c>
      <c r="CH192">
        <v>3.4716907973521898E-3</v>
      </c>
      <c r="CI192" t="str">
        <v/>
      </c>
      <c r="CK192">
        <v>184</v>
      </c>
      <c r="CL192">
        <v>10.153568000431575</v>
      </c>
      <c r="CM192">
        <v>3.1199722208449096E-3</v>
      </c>
      <c r="CN192">
        <v>3.1199722208449096E-3</v>
      </c>
      <c r="CO192" t="e">
        <v>#N/A</v>
      </c>
      <c r="CP192" t="str">
        <v/>
      </c>
    </row>
    <row r="193" spans="44:94" x14ac:dyDescent="0.2">
      <c r="AR193">
        <v>185</v>
      </c>
      <c r="AS193">
        <v>185</v>
      </c>
      <c r="AT193">
        <v>1</v>
      </c>
      <c r="AU193">
        <v>-5.373536016170342</v>
      </c>
      <c r="AV193">
        <v>2.2658226552344337E-2</v>
      </c>
      <c r="CD193">
        <v>185</v>
      </c>
      <c r="CE193">
        <v>6.3391568186550442</v>
      </c>
      <c r="CF193">
        <v>3.3811766433043899E-3</v>
      </c>
      <c r="CG193" t="e">
        <v>#N/A</v>
      </c>
      <c r="CH193">
        <v>3.3811766433043899E-3</v>
      </c>
      <c r="CI193" t="str">
        <v/>
      </c>
      <c r="CK193">
        <v>185</v>
      </c>
      <c r="CL193">
        <v>10.209051978576008</v>
      </c>
      <c r="CM193">
        <v>3.0346075532052229E-3</v>
      </c>
      <c r="CN193">
        <v>3.0346075532052229E-3</v>
      </c>
      <c r="CO193" t="e">
        <v>#N/A</v>
      </c>
      <c r="CP193" t="str">
        <v/>
      </c>
    </row>
    <row r="194" spans="44:94" x14ac:dyDescent="0.2">
      <c r="AR194">
        <v>186</v>
      </c>
      <c r="AS194">
        <v>186</v>
      </c>
      <c r="AT194">
        <v>1</v>
      </c>
      <c r="AU194">
        <v>-5.3425954848529962</v>
      </c>
      <c r="AV194">
        <v>2.2932450759229131E-2</v>
      </c>
      <c r="CD194">
        <v>186</v>
      </c>
      <c r="CE194">
        <v>6.3736087578868652</v>
      </c>
      <c r="CF194">
        <v>3.2931535124391597E-3</v>
      </c>
      <c r="CG194" t="e">
        <v>#N/A</v>
      </c>
      <c r="CH194">
        <v>3.2931535124391597E-3</v>
      </c>
      <c r="CI194" t="str">
        <v/>
      </c>
      <c r="CK194">
        <v>186</v>
      </c>
      <c r="CL194">
        <v>10.264535956720444</v>
      </c>
      <c r="CM194">
        <v>2.9515785238229987E-3</v>
      </c>
      <c r="CN194">
        <v>2.9515785238229987E-3</v>
      </c>
      <c r="CO194" t="e">
        <v>#N/A</v>
      </c>
      <c r="CP194" t="str">
        <v/>
      </c>
    </row>
    <row r="195" spans="44:94" x14ac:dyDescent="0.2">
      <c r="AR195">
        <v>187</v>
      </c>
      <c r="AS195">
        <v>187</v>
      </c>
      <c r="AT195">
        <v>1</v>
      </c>
      <c r="AU195">
        <v>-5.3116549535356494</v>
      </c>
      <c r="AV195">
        <v>2.3208795967174584E-2</v>
      </c>
      <c r="CD195">
        <v>187</v>
      </c>
      <c r="CE195">
        <v>6.4080606971186862</v>
      </c>
      <c r="CF195">
        <v>3.2075492516513782E-3</v>
      </c>
      <c r="CG195" t="e">
        <v>#N/A</v>
      </c>
      <c r="CH195">
        <v>3.2075492516513782E-3</v>
      </c>
      <c r="CI195" t="str">
        <v/>
      </c>
      <c r="CK195">
        <v>187</v>
      </c>
      <c r="CL195">
        <v>10.320019934864879</v>
      </c>
      <c r="CM195">
        <v>2.8708212279678581E-3</v>
      </c>
      <c r="CN195">
        <v>2.8708212279678581E-3</v>
      </c>
      <c r="CO195" t="e">
        <v>#N/A</v>
      </c>
      <c r="CP195" t="str">
        <v/>
      </c>
    </row>
    <row r="196" spans="44:94" x14ac:dyDescent="0.2">
      <c r="AR196">
        <v>188</v>
      </c>
      <c r="AS196">
        <v>188</v>
      </c>
      <c r="AT196">
        <v>1</v>
      </c>
      <c r="AU196">
        <v>-5.2807144222183036</v>
      </c>
      <c r="AV196">
        <v>2.3487259039685206E-2</v>
      </c>
      <c r="CD196">
        <v>188</v>
      </c>
      <c r="CE196">
        <v>6.4425126363505063</v>
      </c>
      <c r="CF196">
        <v>3.1242939016791422E-3</v>
      </c>
      <c r="CG196" t="e">
        <v>#N/A</v>
      </c>
      <c r="CH196">
        <v>3.1242939016791422E-3</v>
      </c>
      <c r="CI196" t="str">
        <v/>
      </c>
      <c r="CK196">
        <v>188</v>
      </c>
      <c r="CL196">
        <v>10.375503913009313</v>
      </c>
      <c r="CM196">
        <v>2.7922735093884698E-3</v>
      </c>
      <c r="CN196">
        <v>2.7922735093884698E-3</v>
      </c>
      <c r="CO196" t="e">
        <v>#N/A</v>
      </c>
      <c r="CP196" t="str">
        <v/>
      </c>
    </row>
    <row r="197" spans="44:94" x14ac:dyDescent="0.2">
      <c r="AR197">
        <v>189</v>
      </c>
      <c r="AS197">
        <v>189</v>
      </c>
      <c r="AT197">
        <v>1</v>
      </c>
      <c r="AU197">
        <v>-5.2497738909009568</v>
      </c>
      <c r="AV197">
        <v>2.3767836472686238E-2</v>
      </c>
      <c r="CD197">
        <v>189</v>
      </c>
      <c r="CE197">
        <v>6.4769645755823273</v>
      </c>
      <c r="CF197">
        <v>3.0433196272491325E-3</v>
      </c>
      <c r="CG197" t="e">
        <v>#N/A</v>
      </c>
      <c r="CH197">
        <v>3.0433196272491325E-3</v>
      </c>
      <c r="CI197" t="str">
        <v/>
      </c>
      <c r="CK197">
        <v>189</v>
      </c>
      <c r="CL197">
        <v>10.430987891153748</v>
      </c>
      <c r="CM197">
        <v>2.7158749124729163E-3</v>
      </c>
      <c r="CN197">
        <v>2.7158749124729163E-3</v>
      </c>
      <c r="CO197" t="e">
        <v>#N/A</v>
      </c>
      <c r="CP197" t="str">
        <v/>
      </c>
    </row>
    <row r="198" spans="44:94" x14ac:dyDescent="0.2">
      <c r="AR198">
        <v>190</v>
      </c>
      <c r="AS198">
        <v>190</v>
      </c>
      <c r="AT198">
        <v>1</v>
      </c>
      <c r="AU198">
        <v>-5.2188333595836109</v>
      </c>
      <c r="AV198">
        <v>2.4050524390840999E-2</v>
      </c>
      <c r="CD198">
        <v>190</v>
      </c>
      <c r="CE198">
        <v>6.5114165148141483</v>
      </c>
      <c r="CF198">
        <v>2.9645606495461115E-3</v>
      </c>
      <c r="CG198" t="e">
        <v>#N/A</v>
      </c>
      <c r="CH198">
        <v>2.9645606495461115E-3</v>
      </c>
      <c r="CI198" t="str">
        <v/>
      </c>
      <c r="CK198">
        <v>190</v>
      </c>
      <c r="CL198">
        <v>10.486471869298182</v>
      </c>
      <c r="CM198">
        <v>2.641566635717994E-3</v>
      </c>
      <c r="CN198">
        <v>2.641566635717994E-3</v>
      </c>
      <c r="CO198" t="e">
        <v>#N/A</v>
      </c>
      <c r="CP198" t="str">
        <v/>
      </c>
    </row>
    <row r="199" spans="44:94" x14ac:dyDescent="0.2">
      <c r="AR199">
        <v>191</v>
      </c>
      <c r="AS199">
        <v>191</v>
      </c>
      <c r="AT199">
        <v>1</v>
      </c>
      <c r="AU199">
        <v>-5.1878928282662642</v>
      </c>
      <c r="AV199">
        <v>2.4335318543920736E-2</v>
      </c>
      <c r="CD199">
        <v>191</v>
      </c>
      <c r="CE199">
        <v>6.5458684540459693</v>
      </c>
      <c r="CF199">
        <v>2.8879531809260467E-3</v>
      </c>
      <c r="CG199" t="e">
        <v>#N/A</v>
      </c>
      <c r="CH199">
        <v>2.8879531809260467E-3</v>
      </c>
      <c r="CI199" t="str">
        <v/>
      </c>
      <c r="CK199">
        <v>191</v>
      </c>
      <c r="CL199">
        <v>10.541955847442617</v>
      </c>
      <c r="CM199">
        <v>2.5692914864716035E-3</v>
      </c>
      <c r="CN199">
        <v>2.5692914864716035E-3</v>
      </c>
      <c r="CO199" t="e">
        <v>#N/A</v>
      </c>
      <c r="CP199" t="str">
        <v/>
      </c>
    </row>
    <row r="200" spans="44:94" x14ac:dyDescent="0.2">
      <c r="AR200">
        <v>192</v>
      </c>
      <c r="AS200">
        <v>192</v>
      </c>
      <c r="AT200">
        <v>1</v>
      </c>
      <c r="AU200">
        <v>-5.1569522969489183</v>
      </c>
      <c r="AV200">
        <v>2.4622214303228362E-2</v>
      </c>
      <c r="CD200">
        <v>192</v>
      </c>
      <c r="CE200">
        <v>6.5803203932777903</v>
      </c>
      <c r="CF200">
        <v>2.8134353617951997E-3</v>
      </c>
      <c r="CG200" t="e">
        <v>#N/A</v>
      </c>
      <c r="CH200">
        <v>2.8134353617951997E-3</v>
      </c>
      <c r="CI200" t="str">
        <v/>
      </c>
      <c r="CK200">
        <v>192</v>
      </c>
      <c r="CL200">
        <v>10.597439825587053</v>
      </c>
      <c r="CM200">
        <v>2.4989938369134488E-3</v>
      </c>
      <c r="CN200">
        <v>2.4989938369134488E-3</v>
      </c>
      <c r="CO200" t="e">
        <v>#N/A</v>
      </c>
      <c r="CP200" t="str">
        <v/>
      </c>
    </row>
    <row r="201" spans="44:94" x14ac:dyDescent="0.2">
      <c r="AR201">
        <v>193</v>
      </c>
      <c r="AS201">
        <v>193</v>
      </c>
      <c r="AT201">
        <v>1</v>
      </c>
      <c r="AU201">
        <v>-5.1260117656315725</v>
      </c>
      <c r="AV201">
        <v>2.4911206658078153E-2</v>
      </c>
      <c r="CD201">
        <v>193</v>
      </c>
      <c r="CE201">
        <v>6.6147723325096113</v>
      </c>
      <c r="CF201">
        <v>2.7409471995800765E-3</v>
      </c>
      <c r="CG201" t="e">
        <v>#N/A</v>
      </c>
      <c r="CH201">
        <v>2.7409471995800765E-3</v>
      </c>
      <c r="CI201" t="str">
        <v/>
      </c>
      <c r="CK201">
        <v>193</v>
      </c>
      <c r="CL201">
        <v>10.652923803731486</v>
      </c>
      <c r="CM201">
        <v>2.4306195812401174E-3</v>
      </c>
      <c r="CN201">
        <v>2.4306195812401174E-3</v>
      </c>
      <c r="CO201" t="e">
        <v>#N/A</v>
      </c>
      <c r="CP201" t="str">
        <v/>
      </c>
    </row>
    <row r="202" spans="44:94" x14ac:dyDescent="0.2">
      <c r="AR202">
        <v>194</v>
      </c>
      <c r="AS202">
        <v>194</v>
      </c>
      <c r="AT202">
        <v>1</v>
      </c>
      <c r="AU202">
        <v>-5.0950712343142257</v>
      </c>
      <c r="AV202">
        <v>2.5202290212332813E-2</v>
      </c>
      <c r="CD202">
        <v>194</v>
      </c>
      <c r="CE202">
        <v>6.6492242717414314</v>
      </c>
      <c r="CF202">
        <v>2.6704305097160676E-3</v>
      </c>
      <c r="CG202" t="e">
        <v>#N/A</v>
      </c>
      <c r="CH202">
        <v>2.6704305097160676E-3</v>
      </c>
      <c r="CI202" t="str">
        <v/>
      </c>
      <c r="CK202">
        <v>194</v>
      </c>
      <c r="CL202">
        <v>10.708407781875922</v>
      </c>
      <c r="CM202">
        <v>2.364116094021602E-3</v>
      </c>
      <c r="CN202">
        <v>2.364116094021602E-3</v>
      </c>
      <c r="CO202" t="e">
        <v>#N/A</v>
      </c>
      <c r="CP202" t="str">
        <v/>
      </c>
    </row>
    <row r="203" spans="44:94" x14ac:dyDescent="0.2">
      <c r="AR203">
        <v>195</v>
      </c>
      <c r="AS203">
        <v>195</v>
      </c>
      <c r="AT203">
        <v>1</v>
      </c>
      <c r="AU203">
        <v>-5.0641307029968798</v>
      </c>
      <c r="AV203">
        <v>2.5495459180999991E-2</v>
      </c>
      <c r="CD203">
        <v>195</v>
      </c>
      <c r="CE203">
        <v>6.6836762109732524</v>
      </c>
      <c r="CF203">
        <v>2.601828858585245E-3</v>
      </c>
      <c r="CG203" t="e">
        <v>#N/A</v>
      </c>
      <c r="CH203">
        <v>2.601828858585245E-3</v>
      </c>
      <c r="CI203" t="str">
        <v/>
      </c>
      <c r="CK203">
        <v>195</v>
      </c>
      <c r="CL203">
        <v>10.763891760020355</v>
      </c>
      <c r="CM203">
        <v>2.2994321896972437E-3</v>
      </c>
      <c r="CN203">
        <v>2.2994321896972437E-3</v>
      </c>
      <c r="CO203" t="e">
        <v>#N/A</v>
      </c>
      <c r="CP203" t="str">
        <v/>
      </c>
    </row>
    <row r="204" spans="44:94" x14ac:dyDescent="0.2">
      <c r="AR204">
        <v>196</v>
      </c>
      <c r="AS204">
        <v>196</v>
      </c>
      <c r="AT204">
        <v>1</v>
      </c>
      <c r="AU204">
        <v>-5.0331901716795331</v>
      </c>
      <c r="AV204">
        <v>2.5790707386889808E-2</v>
      </c>
      <c r="CD204">
        <v>196</v>
      </c>
      <c r="CE204">
        <v>6.7181281502050734</v>
      </c>
      <c r="CF204">
        <v>2.5350875083360027E-3</v>
      </c>
      <c r="CG204" t="e">
        <v>#N/A</v>
      </c>
      <c r="CH204">
        <v>2.5350875083360027E-3</v>
      </c>
      <c r="CI204" t="str">
        <v/>
      </c>
      <c r="CK204">
        <v>196</v>
      </c>
      <c r="CL204">
        <v>10.819375738164791</v>
      </c>
      <c r="CM204">
        <v>2.2365180831798626E-3</v>
      </c>
      <c r="CN204">
        <v>2.2365180831798626E-3</v>
      </c>
      <c r="CO204" t="e">
        <v>#N/A</v>
      </c>
      <c r="CP204" t="str">
        <v/>
      </c>
    </row>
    <row r="205" spans="44:94" x14ac:dyDescent="0.2">
      <c r="AR205">
        <v>197</v>
      </c>
      <c r="AS205">
        <v>197</v>
      </c>
      <c r="AT205">
        <v>1</v>
      </c>
      <c r="AU205">
        <v>-5.0022496403621872</v>
      </c>
      <c r="AV205">
        <v>2.6088028257335184E-2</v>
      </c>
      <c r="CD205">
        <v>197</v>
      </c>
      <c r="CE205">
        <v>6.7525800894368944</v>
      </c>
      <c r="CF205">
        <v>2.4701533635199044E-3</v>
      </c>
      <c r="CG205" t="e">
        <v>#N/A</v>
      </c>
      <c r="CH205">
        <v>2.4701533635199044E-3</v>
      </c>
      <c r="CI205" t="str">
        <v/>
      </c>
      <c r="CK205">
        <v>197</v>
      </c>
      <c r="CL205">
        <v>10.874859716309226</v>
      </c>
      <c r="CM205">
        <v>2.1753253515378154E-3</v>
      </c>
      <c r="CN205">
        <v>2.1753253515378154E-3</v>
      </c>
      <c r="CO205" t="e">
        <v>#N/A</v>
      </c>
      <c r="CP205" t="str">
        <v/>
      </c>
    </row>
    <row r="206" spans="44:94" x14ac:dyDescent="0.2">
      <c r="AR206">
        <v>198</v>
      </c>
      <c r="AS206">
        <v>198</v>
      </c>
      <c r="AT206">
        <v>1</v>
      </c>
      <c r="AU206">
        <v>-4.9713091090448405</v>
      </c>
      <c r="AV206">
        <v>2.6387414820976837E-2</v>
      </c>
      <c r="CD206">
        <v>198</v>
      </c>
      <c r="CE206">
        <v>6.7870320286687154</v>
      </c>
      <c r="CF206">
        <v>2.4069749194833745E-3</v>
      </c>
      <c r="CG206" t="e">
        <v>#N/A</v>
      </c>
      <c r="CH206">
        <v>2.4069749194833745E-3</v>
      </c>
      <c r="CI206" t="str">
        <v/>
      </c>
      <c r="CK206">
        <v>198</v>
      </c>
      <c r="CL206">
        <v>10.93034369445366</v>
      </c>
      <c r="CM206">
        <v>2.1158068967254448E-3</v>
      </c>
      <c r="CN206">
        <v>2.1158068967254448E-3</v>
      </c>
      <c r="CO206" t="e">
        <v>#N/A</v>
      </c>
      <c r="CP206" t="str">
        <v/>
      </c>
    </row>
    <row r="207" spans="44:94" x14ac:dyDescent="0.2">
      <c r="AR207">
        <v>199</v>
      </c>
      <c r="AS207">
        <v>199</v>
      </c>
      <c r="AT207">
        <v>1</v>
      </c>
      <c r="AU207">
        <v>-4.9403685777274946</v>
      </c>
      <c r="AV207">
        <v>2.6688859704614477E-2</v>
      </c>
      <c r="CD207">
        <v>199</v>
      </c>
      <c r="CE207">
        <v>6.8214839679005363</v>
      </c>
      <c r="CF207">
        <v>2.3455022124539535E-3</v>
      </c>
      <c r="CG207" t="e">
        <v>#N/A</v>
      </c>
      <c r="CH207">
        <v>2.3455022124539535E-3</v>
      </c>
      <c r="CI207" t="str">
        <v/>
      </c>
      <c r="CK207">
        <v>199</v>
      </c>
      <c r="CL207">
        <v>10.985827672598095</v>
      </c>
      <c r="CM207">
        <v>2.0579169093332436E-3</v>
      </c>
      <c r="CN207">
        <v>2.0579169093332436E-3</v>
      </c>
      <c r="CO207" t="e">
        <v>#N/A</v>
      </c>
      <c r="CP207" t="str">
        <v/>
      </c>
    </row>
    <row r="208" spans="44:94" x14ac:dyDescent="0.2">
      <c r="AR208">
        <v>200</v>
      </c>
      <c r="AS208">
        <v>200</v>
      </c>
      <c r="AT208">
        <v>1</v>
      </c>
      <c r="AU208">
        <v>-4.9094280464101479</v>
      </c>
      <c r="AV208">
        <v>2.6992355130126169E-2</v>
      </c>
      <c r="CD208">
        <v>200</v>
      </c>
      <c r="CE208">
        <v>6.8559359071323573</v>
      </c>
      <c r="CF208">
        <v>2.285686771263078E-3</v>
      </c>
      <c r="CG208" t="e">
        <v>#N/A</v>
      </c>
      <c r="CH208">
        <v>2.285686771263078E-3</v>
      </c>
      <c r="CI208" t="str">
        <v/>
      </c>
      <c r="CK208">
        <v>200</v>
      </c>
      <c r="CL208">
        <v>11.04131165074253</v>
      </c>
      <c r="CM208">
        <v>2.0016108333298635E-3</v>
      </c>
      <c r="CN208">
        <v>2.0016108333298635E-3</v>
      </c>
      <c r="CO208" t="e">
        <v>#N/A</v>
      </c>
      <c r="CP208" t="str">
        <v/>
      </c>
    </row>
    <row r="209" spans="44:94" x14ac:dyDescent="0.2">
      <c r="AR209">
        <v>201</v>
      </c>
      <c r="AS209">
        <v>201</v>
      </c>
      <c r="AT209">
        <v>1</v>
      </c>
      <c r="AU209">
        <v>-4.878487515092802</v>
      </c>
      <c r="AV209">
        <v>2.7297892911457431E-2</v>
      </c>
      <c r="CD209">
        <v>201</v>
      </c>
      <c r="CE209">
        <v>6.8903878463641783</v>
      </c>
      <c r="CF209">
        <v>2.2274815706496065E-3</v>
      </c>
      <c r="CG209" t="e">
        <v>#N/A</v>
      </c>
      <c r="CH209">
        <v>2.2274815706496065E-3</v>
      </c>
      <c r="CI209">
        <v>6.89</v>
      </c>
      <c r="CK209">
        <v>201</v>
      </c>
      <c r="CL209">
        <v>11.096795628886966</v>
      </c>
      <c r="CM209">
        <v>1.9468453317687843E-3</v>
      </c>
      <c r="CN209">
        <v>1.9468453317687843E-3</v>
      </c>
      <c r="CO209" t="e">
        <v>#N/A</v>
      </c>
      <c r="CP209">
        <v>11.097</v>
      </c>
    </row>
    <row r="210" spans="44:94" x14ac:dyDescent="0.2">
      <c r="AR210">
        <v>202</v>
      </c>
      <c r="AS210">
        <v>202</v>
      </c>
      <c r="AT210">
        <v>1</v>
      </c>
      <c r="AU210">
        <v>-4.8475469837754552</v>
      </c>
      <c r="AV210">
        <v>2.7605464451681966E-2</v>
      </c>
      <c r="CD210">
        <v>202</v>
      </c>
      <c r="CE210">
        <v>6.9248397855959993</v>
      </c>
      <c r="CF210">
        <v>2.1708409860898403E-3</v>
      </c>
      <c r="CG210" t="e">
        <v>#N/A</v>
      </c>
      <c r="CH210">
        <v>2.1708409860898403E-3</v>
      </c>
      <c r="CI210" t="str">
        <v/>
      </c>
      <c r="CK210">
        <v>202</v>
      </c>
      <c r="CL210">
        <v>11.152279607031401</v>
      </c>
      <c r="CM210">
        <v>1.8935782534332867E-3</v>
      </c>
      <c r="CN210">
        <v>1.8935782534332867E-3</v>
      </c>
      <c r="CO210" t="e">
        <v>#N/A</v>
      </c>
      <c r="CP210" t="str">
        <v/>
      </c>
    </row>
    <row r="211" spans="44:94" x14ac:dyDescent="0.2">
      <c r="AR211">
        <v>203</v>
      </c>
      <c r="AS211">
        <v>203</v>
      </c>
      <c r="AT211">
        <v>1</v>
      </c>
      <c r="AU211">
        <v>-4.8166064524581094</v>
      </c>
      <c r="AV211">
        <v>2.7915060740135552E-2</v>
      </c>
      <c r="CD211">
        <v>203</v>
      </c>
      <c r="CE211">
        <v>6.9592917248278203</v>
      </c>
      <c r="CF211">
        <v>2.1157207501022041E-3</v>
      </c>
      <c r="CG211" t="e">
        <v>#N/A</v>
      </c>
      <c r="CH211">
        <v>2.1157207501022041E-3</v>
      </c>
      <c r="CI211" t="str">
        <v/>
      </c>
      <c r="CK211">
        <v>203</v>
      </c>
      <c r="CL211">
        <v>11.207763585175835</v>
      </c>
      <c r="CM211">
        <v>1.8417686003940374E-3</v>
      </c>
      <c r="CN211">
        <v>1.8417686003940374E-3</v>
      </c>
      <c r="CO211" t="e">
        <v>#N/A</v>
      </c>
      <c r="CP211" t="str">
        <v/>
      </c>
    </row>
    <row r="212" spans="44:94" x14ac:dyDescent="0.2">
      <c r="AR212">
        <v>204</v>
      </c>
      <c r="AS212">
        <v>204</v>
      </c>
      <c r="AT212">
        <v>1</v>
      </c>
      <c r="AU212">
        <v>-4.7856659211407626</v>
      </c>
      <c r="AV212">
        <v>2.8226672349625049E-2</v>
      </c>
      <c r="CD212">
        <v>204</v>
      </c>
      <c r="CE212">
        <v>6.9937436640596404</v>
      </c>
      <c r="CF212">
        <v>2.0620779099763181E-3</v>
      </c>
      <c r="CG212" t="e">
        <v>#N/A</v>
      </c>
      <c r="CH212">
        <v>2.0620779099763181E-3</v>
      </c>
      <c r="CI212" t="str">
        <v/>
      </c>
      <c r="CK212">
        <v>204</v>
      </c>
      <c r="CL212">
        <v>11.26324756332027</v>
      </c>
      <c r="CM212">
        <v>1.7913764964543185E-3</v>
      </c>
      <c r="CN212">
        <v>1.7913764964543185E-3</v>
      </c>
      <c r="CO212" t="e">
        <v>#N/A</v>
      </c>
      <c r="CP212" t="str">
        <v/>
      </c>
    </row>
    <row r="213" spans="44:94" x14ac:dyDescent="0.2">
      <c r="AR213">
        <v>205</v>
      </c>
      <c r="AS213">
        <v>205</v>
      </c>
      <c r="AT213">
        <v>1</v>
      </c>
      <c r="AU213">
        <v>-4.7547253898234167</v>
      </c>
      <c r="AV213">
        <v>2.8540289433713971E-2</v>
      </c>
      <c r="CD213">
        <v>205</v>
      </c>
      <c r="CE213">
        <v>7.0281956032914614</v>
      </c>
      <c r="CF213">
        <v>2.0098707868779903E-3</v>
      </c>
      <c r="CG213" t="e">
        <v>#N/A</v>
      </c>
      <c r="CH213">
        <v>2.0098707868779903E-3</v>
      </c>
      <c r="CI213" t="str">
        <v/>
      </c>
      <c r="CK213">
        <v>205</v>
      </c>
      <c r="CL213">
        <v>11.318731541464706</v>
      </c>
      <c r="CM213">
        <v>1.7423631564586302E-3</v>
      </c>
      <c r="CN213">
        <v>1.7423631564586302E-3</v>
      </c>
      <c r="CO213" t="e">
        <v>#N/A</v>
      </c>
      <c r="CP213" t="str">
        <v/>
      </c>
    </row>
    <row r="214" spans="44:94" x14ac:dyDescent="0.2">
      <c r="AR214">
        <v>206</v>
      </c>
      <c r="AS214">
        <v>206</v>
      </c>
      <c r="AT214">
        <v>1</v>
      </c>
      <c r="AU214">
        <v>-4.7237848585060709</v>
      </c>
      <c r="AV214">
        <v>2.8855901724086669E-2</v>
      </c>
      <c r="CD214">
        <v>206</v>
      </c>
      <c r="CE214">
        <v>7.0626475425232824</v>
      </c>
      <c r="CF214">
        <v>1.9590589362834562E-3</v>
      </c>
      <c r="CG214" t="e">
        <v>#N/A</v>
      </c>
      <c r="CH214">
        <v>1.9590589362834562E-3</v>
      </c>
      <c r="CI214" t="str">
        <v/>
      </c>
      <c r="CK214">
        <v>206</v>
      </c>
      <c r="CL214">
        <v>11.374215519609139</v>
      </c>
      <c r="CM214">
        <v>1.6946908564410205E-3</v>
      </c>
      <c r="CN214">
        <v>1.6946908564410205E-3</v>
      </c>
      <c r="CO214" t="e">
        <v>#N/A</v>
      </c>
      <c r="CP214" t="str">
        <v/>
      </c>
    </row>
    <row r="215" spans="44:94" x14ac:dyDescent="0.2">
      <c r="AR215">
        <v>207</v>
      </c>
      <c r="AS215">
        <v>207</v>
      </c>
      <c r="AT215">
        <v>1</v>
      </c>
      <c r="AU215">
        <v>-4.6928443271887241</v>
      </c>
      <c r="AV215">
        <v>2.917349852799243E-2</v>
      </c>
      <c r="CD215">
        <v>207</v>
      </c>
      <c r="CE215">
        <v>7.0970994817551034</v>
      </c>
      <c r="CF215">
        <v>1.9096031096978456E-3</v>
      </c>
      <c r="CG215" t="e">
        <v>#N/A</v>
      </c>
      <c r="CH215">
        <v>1.9096031096978456E-3</v>
      </c>
      <c r="CI215" t="str">
        <v/>
      </c>
      <c r="CK215">
        <v>207</v>
      </c>
      <c r="CL215">
        <v>11.429699497753575</v>
      </c>
      <c r="CM215">
        <v>1.6483229045901762E-3</v>
      </c>
      <c r="CN215">
        <v>1.6483229045901762E-3</v>
      </c>
      <c r="CO215" t="e">
        <v>#N/A</v>
      </c>
      <c r="CP215" t="str">
        <v/>
      </c>
    </row>
    <row r="216" spans="44:94" x14ac:dyDescent="0.2">
      <c r="AR216">
        <v>208</v>
      </c>
      <c r="AS216">
        <v>208</v>
      </c>
      <c r="AT216">
        <v>1</v>
      </c>
      <c r="AU216">
        <v>-4.6619037958713783</v>
      </c>
      <c r="AV216">
        <v>2.9493068725771447E-2</v>
      </c>
      <c r="CD216">
        <v>208</v>
      </c>
      <c r="CE216">
        <v>7.1315514209869244</v>
      </c>
      <c r="CF216">
        <v>1.8614652176143168E-3</v>
      </c>
      <c r="CG216" t="e">
        <v>#N/A</v>
      </c>
      <c r="CH216">
        <v>1.8614652176143168E-3</v>
      </c>
      <c r="CI216" t="str">
        <v/>
      </c>
      <c r="CK216">
        <v>208</v>
      </c>
      <c r="CL216">
        <v>11.48518347589801</v>
      </c>
      <c r="CM216">
        <v>1.603223613008945E-3</v>
      </c>
      <c r="CN216">
        <v>1.603223613008945E-3</v>
      </c>
      <c r="CO216" t="e">
        <v>#N/A</v>
      </c>
      <c r="CP216" t="str">
        <v/>
      </c>
    </row>
    <row r="217" spans="44:94" x14ac:dyDescent="0.2">
      <c r="AR217">
        <v>209</v>
      </c>
      <c r="AS217">
        <v>209</v>
      </c>
      <c r="AT217">
        <v>1</v>
      </c>
      <c r="AU217">
        <v>-4.6309632645540315</v>
      </c>
      <c r="AV217">
        <v>2.9814600768464334E-2</v>
      </c>
      <c r="CD217">
        <v>209</v>
      </c>
      <c r="CE217">
        <v>7.1660033602187454</v>
      </c>
      <c r="CF217">
        <v>1.8146082936719783E-3</v>
      </c>
      <c r="CG217" t="e">
        <v>#N/A</v>
      </c>
      <c r="CH217">
        <v>1.8146082936719783E-3</v>
      </c>
      <c r="CI217" t="str">
        <v/>
      </c>
      <c r="CK217">
        <v>209</v>
      </c>
      <c r="CL217">
        <v>11.540667454042444</v>
      </c>
      <c r="CM217">
        <v>1.5593582702465197E-3</v>
      </c>
      <c r="CN217">
        <v>1.5593582702465197E-3</v>
      </c>
      <c r="CO217" t="e">
        <v>#N/A</v>
      </c>
      <c r="CP217" t="str">
        <v/>
      </c>
    </row>
    <row r="218" spans="44:94" x14ac:dyDescent="0.2">
      <c r="AR218">
        <v>210</v>
      </c>
      <c r="AS218">
        <v>210</v>
      </c>
      <c r="AT218">
        <v>1</v>
      </c>
      <c r="AU218">
        <v>-4.6000227332366856</v>
      </c>
      <c r="AV218">
        <v>3.013808267550663E-2</v>
      </c>
      <c r="CD218">
        <v>210</v>
      </c>
      <c r="CE218">
        <v>7.2004552994505664</v>
      </c>
      <c r="CF218">
        <v>1.7689964599721456E-3</v>
      </c>
      <c r="CG218" t="e">
        <v>#N/A</v>
      </c>
      <c r="CH218">
        <v>1.7689964599721456E-3</v>
      </c>
      <c r="CI218" t="str">
        <v/>
      </c>
      <c r="CK218">
        <v>210</v>
      </c>
      <c r="CL218">
        <v>11.596151432186879</v>
      </c>
      <c r="CM218">
        <v>1.5166931145821703E-3</v>
      </c>
      <c r="CN218">
        <v>1.5166931145821703E-3</v>
      </c>
      <c r="CO218" t="e">
        <v>#N/A</v>
      </c>
      <c r="CP218" t="str">
        <v/>
      </c>
    </row>
    <row r="219" spans="44:94" x14ac:dyDescent="0.2">
      <c r="AR219">
        <v>211</v>
      </c>
      <c r="AS219">
        <v>211</v>
      </c>
      <c r="AT219">
        <v>1</v>
      </c>
      <c r="AU219">
        <v>-4.5690822019193389</v>
      </c>
      <c r="AV219">
        <v>3.0463502032510231E-2</v>
      </c>
      <c r="CD219">
        <v>211</v>
      </c>
      <c r="CE219">
        <v>7.2349072386823874</v>
      </c>
      <c r="CF219">
        <v>1.7245948935138281E-3</v>
      </c>
      <c r="CG219" t="e">
        <v>#N/A</v>
      </c>
      <c r="CH219">
        <v>1.7245948935138281E-3</v>
      </c>
      <c r="CI219" t="str">
        <v/>
      </c>
      <c r="CK219">
        <v>211</v>
      </c>
      <c r="CL219">
        <v>11.651635410331313</v>
      </c>
      <c r="CM219">
        <v>1.475195308039955E-3</v>
      </c>
      <c r="CN219">
        <v>1.475195308039955E-3</v>
      </c>
      <c r="CO219" t="e">
        <v>#N/A</v>
      </c>
      <c r="CP219" t="str">
        <v/>
      </c>
    </row>
    <row r="220" spans="44:94" x14ac:dyDescent="0.2">
      <c r="AR220">
        <v>212</v>
      </c>
      <c r="AS220">
        <v>212</v>
      </c>
      <c r="AT220">
        <v>1</v>
      </c>
      <c r="AU220">
        <v>-4.538141670601993</v>
      </c>
      <c r="AV220">
        <v>3.079084598913313E-2</v>
      </c>
      <c r="CD220">
        <v>212</v>
      </c>
      <c r="CE220">
        <v>7.2693591779142075</v>
      </c>
      <c r="CF220">
        <v>1.6813697937108673E-3</v>
      </c>
      <c r="CG220" t="e">
        <v>#N/A</v>
      </c>
      <c r="CH220">
        <v>1.6813697937108673E-3</v>
      </c>
      <c r="CI220" t="str">
        <v/>
      </c>
      <c r="CK220">
        <v>212</v>
      </c>
      <c r="CL220">
        <v>11.707119388475748</v>
      </c>
      <c r="CM220">
        <v>1.4348329111143958E-3</v>
      </c>
      <c r="CN220">
        <v>1.4348329111143958E-3</v>
      </c>
      <c r="CO220" t="e">
        <v>#N/A</v>
      </c>
      <c r="CP220" t="str">
        <v/>
      </c>
    </row>
    <row r="221" spans="44:94" x14ac:dyDescent="0.2">
      <c r="AR221">
        <v>213</v>
      </c>
      <c r="AS221">
        <v>213</v>
      </c>
      <c r="AT221">
        <v>1</v>
      </c>
      <c r="AU221">
        <v>-4.5072011392846463</v>
      </c>
      <c r="AV221">
        <v>3.112010125703929E-2</v>
      </c>
      <c r="CD221">
        <v>213</v>
      </c>
      <c r="CE221">
        <v>7.3038111171460285</v>
      </c>
      <c r="CF221">
        <v>1.63928835095429E-3</v>
      </c>
      <c r="CG221" t="e">
        <v>#N/A</v>
      </c>
      <c r="CH221">
        <v>1.63928835095429E-3</v>
      </c>
      <c r="CI221" t="str">
        <v/>
      </c>
      <c r="CK221">
        <v>213</v>
      </c>
      <c r="CL221">
        <v>11.762603366620183</v>
      </c>
      <c r="CM221">
        <v>1.3955748581876944E-3</v>
      </c>
      <c r="CN221">
        <v>1.3955748581876944E-3</v>
      </c>
      <c r="CO221" t="e">
        <v>#N/A</v>
      </c>
      <c r="CP221" t="str">
        <v/>
      </c>
    </row>
    <row r="222" spans="44:94" x14ac:dyDescent="0.2">
      <c r="AR222">
        <v>214</v>
      </c>
      <c r="AS222">
        <v>214</v>
      </c>
      <c r="AT222">
        <v>1</v>
      </c>
      <c r="AU222">
        <v>-4.4762606079673004</v>
      </c>
      <c r="AV222">
        <v>3.145125410795007E-2</v>
      </c>
      <c r="CD222">
        <v>214</v>
      </c>
      <c r="CE222">
        <v>7.3382630563778495</v>
      </c>
      <c r="CF222">
        <v>1.5983187161848253E-3</v>
      </c>
      <c r="CG222" t="e">
        <v>#N/A</v>
      </c>
      <c r="CH222">
        <v>1.5983187161848253E-3</v>
      </c>
      <c r="CI222" t="str">
        <v/>
      </c>
      <c r="CK222">
        <v>214</v>
      </c>
      <c r="CL222">
        <v>11.818087344764617</v>
      </c>
      <c r="CM222">
        <v>1.3573909336195347E-3</v>
      </c>
      <c r="CN222">
        <v>1.3573909336195347E-3</v>
      </c>
      <c r="CO222" t="e">
        <v>#N/A</v>
      </c>
      <c r="CP222" t="str">
        <v/>
      </c>
    </row>
    <row r="223" spans="44:94" x14ac:dyDescent="0.2">
      <c r="AR223">
        <v>215</v>
      </c>
      <c r="AS223">
        <v>215</v>
      </c>
      <c r="AT223">
        <v>1</v>
      </c>
      <c r="AU223">
        <v>-4.4453200766499537</v>
      </c>
      <c r="AV223">
        <v>3.1784290371789023E-2</v>
      </c>
      <c r="CD223">
        <v>215</v>
      </c>
      <c r="CE223">
        <v>7.3727149956096705</v>
      </c>
      <c r="CF223">
        <v>1.5584299714417875E-3</v>
      </c>
      <c r="CG223" t="e">
        <v>#N/A</v>
      </c>
      <c r="CH223">
        <v>1.5584299714417875E-3</v>
      </c>
      <c r="CI223" t="str">
        <v/>
      </c>
      <c r="CK223">
        <v>215</v>
      </c>
      <c r="CL223">
        <v>11.873571322909052</v>
      </c>
      <c r="CM223">
        <v>1.3202517484910917E-3</v>
      </c>
      <c r="CN223">
        <v>1.3202517484910917E-3</v>
      </c>
      <c r="CO223" t="e">
        <v>#N/A</v>
      </c>
      <c r="CP223" t="str">
        <v/>
      </c>
    </row>
    <row r="224" spans="44:94" x14ac:dyDescent="0.2">
      <c r="AR224">
        <v>216</v>
      </c>
      <c r="AS224">
        <v>216</v>
      </c>
      <c r="AT224">
        <v>1</v>
      </c>
      <c r="AU224">
        <v>-4.4143795453326078</v>
      </c>
      <c r="AV224">
        <v>3.2119195434921352E-2</v>
      </c>
      <c r="CD224">
        <v>216</v>
      </c>
      <c r="CE224">
        <v>7.4071669348414915</v>
      </c>
      <c r="CF224">
        <v>1.5195921013555502E-3</v>
      </c>
      <c r="CG224" t="e">
        <v>#N/A</v>
      </c>
      <c r="CH224">
        <v>1.5195921013555502E-3</v>
      </c>
      <c r="CI224" t="str">
        <v/>
      </c>
      <c r="CK224">
        <v>216</v>
      </c>
      <c r="CL224">
        <v>11.929055301053488</v>
      </c>
      <c r="CM224">
        <v>1.2841287179853457E-3</v>
      </c>
      <c r="CN224">
        <v>1.2841287179853457E-3</v>
      </c>
      <c r="CO224" t="e">
        <v>#N/A</v>
      </c>
      <c r="CP224" t="str">
        <v/>
      </c>
    </row>
    <row r="225" spans="44:94" x14ac:dyDescent="0.2">
      <c r="AR225">
        <v>217</v>
      </c>
      <c r="AS225">
        <v>217</v>
      </c>
      <c r="AT225">
        <v>1</v>
      </c>
      <c r="AU225">
        <v>-4.383439014015261</v>
      </c>
      <c r="AV225">
        <v>3.2455954238489931E-2</v>
      </c>
      <c r="CD225">
        <v>217</v>
      </c>
      <c r="CE225">
        <v>7.4416188740733125</v>
      </c>
      <c r="CF225">
        <v>1.4817759655521483E-3</v>
      </c>
      <c r="CG225" t="e">
        <v>#N/A</v>
      </c>
      <c r="CH225">
        <v>1.4817759655521483E-3</v>
      </c>
      <c r="CI225" t="str">
        <v/>
      </c>
      <c r="CK225">
        <v>217</v>
      </c>
      <c r="CL225">
        <v>11.984539279197922</v>
      </c>
      <c r="CM225">
        <v>1.2489940393862811E-3</v>
      </c>
      <c r="CN225">
        <v>1.2489940393862811E-3</v>
      </c>
      <c r="CO225" t="e">
        <v>#N/A</v>
      </c>
      <c r="CP225" t="str">
        <v/>
      </c>
    </row>
    <row r="226" spans="44:94" x14ac:dyDescent="0.2">
      <c r="AR226">
        <v>218</v>
      </c>
      <c r="AS226">
        <v>218</v>
      </c>
      <c r="AT226">
        <v>1</v>
      </c>
      <c r="AU226">
        <v>-4.3524984826979152</v>
      </c>
      <c r="AV226">
        <v>3.2794551276849007E-2</v>
      </c>
      <c r="CD226">
        <v>218</v>
      </c>
      <c r="CE226">
        <v>7.4760708133051335</v>
      </c>
      <c r="CF226">
        <v>1.4449532719395786E-3</v>
      </c>
      <c r="CG226" t="e">
        <v>#N/A</v>
      </c>
      <c r="CH226">
        <v>1.4449532719395786E-3</v>
      </c>
      <c r="CI226" t="str">
        <v/>
      </c>
      <c r="CK226">
        <v>218</v>
      </c>
      <c r="CL226">
        <v>12.040023257342359</v>
      </c>
      <c r="CM226">
        <v>1.2148206706800392E-3</v>
      </c>
      <c r="CN226">
        <v>1.2148206706800392E-3</v>
      </c>
      <c r="CO226" t="e">
        <v>#N/A</v>
      </c>
      <c r="CP226" t="str">
        <v/>
      </c>
    </row>
    <row r="227" spans="44:94" x14ac:dyDescent="0.2">
      <c r="AR227">
        <v>219</v>
      </c>
      <c r="AS227">
        <v>219</v>
      </c>
      <c r="AT227">
        <v>1</v>
      </c>
      <c r="AU227">
        <v>-4.3215579513805693</v>
      </c>
      <c r="AV227">
        <v>3.313497059609756E-2</v>
      </c>
      <c r="CD227">
        <v>219</v>
      </c>
      <c r="CE227">
        <v>7.5105227525369544</v>
      </c>
      <c r="CF227">
        <v>1.4090965508463606E-3</v>
      </c>
      <c r="CG227" t="e">
        <v>#N/A</v>
      </c>
      <c r="CH227">
        <v>1.4090965508463606E-3</v>
      </c>
      <c r="CI227" t="str">
        <v/>
      </c>
      <c r="CK227">
        <v>219</v>
      </c>
      <c r="CL227">
        <v>12.095507235486792</v>
      </c>
      <c r="CM227">
        <v>1.1815823097415757E-3</v>
      </c>
      <c r="CN227">
        <v>1.1815823097415757E-3</v>
      </c>
      <c r="CO227" t="e">
        <v>#N/A</v>
      </c>
      <c r="CP227" t="str">
        <v/>
      </c>
    </row>
    <row r="228" spans="44:94" x14ac:dyDescent="0.2">
      <c r="AR228">
        <v>220</v>
      </c>
      <c r="AS228">
        <v>220</v>
      </c>
      <c r="AT228">
        <v>1</v>
      </c>
      <c r="AU228">
        <v>-4.2906174200632226</v>
      </c>
      <c r="AV228">
        <v>3.3477195792713486E-2</v>
      </c>
      <c r="CD228">
        <v>220</v>
      </c>
      <c r="CE228">
        <v>7.5449746917687746</v>
      </c>
      <c r="CF228">
        <v>1.3741791299840386E-3</v>
      </c>
      <c r="CG228" t="e">
        <v>#N/A</v>
      </c>
      <c r="CH228">
        <v>1.3741791299840386E-3</v>
      </c>
      <c r="CI228" t="str">
        <v/>
      </c>
      <c r="CK228">
        <v>220</v>
      </c>
      <c r="CL228">
        <v>12.150991213631228</v>
      </c>
      <c r="CM228">
        <v>1.1492533740907606E-3</v>
      </c>
      <c r="CN228">
        <v>1.1492533740907606E-3</v>
      </c>
      <c r="CO228" t="e">
        <v>#N/A</v>
      </c>
      <c r="CP228" t="str">
        <v/>
      </c>
    </row>
    <row r="229" spans="44:94" x14ac:dyDescent="0.2">
      <c r="AR229">
        <v>221</v>
      </c>
      <c r="AS229">
        <v>221</v>
      </c>
      <c r="AT229">
        <v>1</v>
      </c>
      <c r="AU229">
        <v>-4.2596768887458767</v>
      </c>
      <c r="AV229">
        <v>3.3821210012290111E-2</v>
      </c>
      <c r="CD229">
        <v>221</v>
      </c>
      <c r="CE229">
        <v>7.5794266310005955</v>
      </c>
      <c r="CF229">
        <v>1.3401751102062611E-3</v>
      </c>
      <c r="CG229" t="e">
        <v>#N/A</v>
      </c>
      <c r="CH229">
        <v>1.3401751102062611E-3</v>
      </c>
      <c r="CI229" t="str">
        <v/>
      </c>
      <c r="CK229">
        <v>221</v>
      </c>
      <c r="CL229">
        <v>12.206475191775663</v>
      </c>
      <c r="CM229">
        <v>1.11780898120239E-3</v>
      </c>
      <c r="CN229">
        <v>1.11780898120239E-3</v>
      </c>
      <c r="CO229" t="e">
        <v>#N/A</v>
      </c>
      <c r="CP229" t="str">
        <v/>
      </c>
    </row>
    <row r="230" spans="44:94" x14ac:dyDescent="0.2">
      <c r="AR230">
        <v>222</v>
      </c>
      <c r="AS230">
        <v>222</v>
      </c>
      <c r="AT230">
        <v>1</v>
      </c>
      <c r="AU230">
        <v>-4.2287363574285299</v>
      </c>
      <c r="AV230">
        <v>3.4166995948376765E-2</v>
      </c>
      <c r="CD230">
        <v>222</v>
      </c>
      <c r="CE230">
        <v>7.6138785702324165</v>
      </c>
      <c r="CF230">
        <v>1.3070593420379587E-3</v>
      </c>
      <c r="CG230" t="e">
        <v>#N/A</v>
      </c>
      <c r="CH230">
        <v>1.3070593420379587E-3</v>
      </c>
      <c r="CI230" t="str">
        <v/>
      </c>
      <c r="CK230">
        <v>222</v>
      </c>
      <c r="CL230">
        <v>12.261959169920097</v>
      </c>
      <c r="CM230">
        <v>1.0872249293549163E-3</v>
      </c>
      <c r="CN230">
        <v>1.0872249293549163E-3</v>
      </c>
      <c r="CO230" t="e">
        <v>#N/A</v>
      </c>
      <c r="CP230" t="str">
        <v/>
      </c>
    </row>
    <row r="231" spans="44:94" x14ac:dyDescent="0.2">
      <c r="AR231">
        <v>223</v>
      </c>
      <c r="AS231">
        <v>223</v>
      </c>
      <c r="AT231">
        <v>1</v>
      </c>
      <c r="AU231">
        <v>-4.1977958261111841</v>
      </c>
      <c r="AV231">
        <v>3.4514535841424436E-2</v>
      </c>
      <c r="CD231">
        <v>223</v>
      </c>
      <c r="CE231">
        <v>7.6483305094642375</v>
      </c>
      <c r="CF231">
        <v>1.2748074029491352E-3</v>
      </c>
      <c r="CG231" t="e">
        <v>#N/A</v>
      </c>
      <c r="CH231">
        <v>1.2748074029491352E-3</v>
      </c>
      <c r="CI231" t="str">
        <v/>
      </c>
      <c r="CK231">
        <v>223</v>
      </c>
      <c r="CL231">
        <v>12.317443148064532</v>
      </c>
      <c r="CM231">
        <v>1.0574776790031699E-3</v>
      </c>
      <c r="CN231">
        <v>1.0574776790031699E-3</v>
      </c>
      <c r="CO231" t="e">
        <v>#N/A</v>
      </c>
      <c r="CP231" t="str">
        <v/>
      </c>
    </row>
    <row r="232" spans="44:94" x14ac:dyDescent="0.2">
      <c r="AR232">
        <v>224</v>
      </c>
      <c r="AS232">
        <v>224</v>
      </c>
      <c r="AT232">
        <v>1</v>
      </c>
      <c r="AU232">
        <v>-4.1668552947938373</v>
      </c>
      <c r="AV232">
        <v>3.4863811477838375E-2</v>
      </c>
      <c r="CD232">
        <v>224</v>
      </c>
      <c r="CE232">
        <v>7.6827824486960585</v>
      </c>
      <c r="CF232">
        <v>1.2433955753486422E-3</v>
      </c>
      <c r="CG232" t="e">
        <v>#N/A</v>
      </c>
      <c r="CH232">
        <v>1.2433955753486422E-3</v>
      </c>
      <c r="CI232" t="str">
        <v/>
      </c>
      <c r="CK232">
        <v>224</v>
      </c>
      <c r="CL232">
        <v>12.372927126208968</v>
      </c>
      <c r="CM232">
        <v>1.0285443346607485E-3</v>
      </c>
      <c r="CN232">
        <v>1.0285443346607485E-3</v>
      </c>
      <c r="CO232" t="e">
        <v>#N/A</v>
      </c>
      <c r="CP232" t="str">
        <v/>
      </c>
    </row>
    <row r="233" spans="44:94" x14ac:dyDescent="0.2">
      <c r="AR233">
        <v>225</v>
      </c>
      <c r="AS233">
        <v>225</v>
      </c>
      <c r="AT233">
        <v>1</v>
      </c>
      <c r="AU233">
        <v>-4.1359147634764915</v>
      </c>
      <c r="AV233">
        <v>3.521480418913852E-2</v>
      </c>
      <c r="CD233">
        <v>225</v>
      </c>
      <c r="CE233">
        <v>7.7172343879278795</v>
      </c>
      <c r="CF233">
        <v>1.2128008252741199E-3</v>
      </c>
      <c r="CG233" t="e">
        <v>#N/A</v>
      </c>
      <c r="CH233">
        <v>1.2128008252741199E-3</v>
      </c>
      <c r="CI233" t="str">
        <v/>
      </c>
      <c r="CK233">
        <v>225</v>
      </c>
      <c r="CL233">
        <v>12.428411104353401</v>
      </c>
      <c r="CM233">
        <v>1.0004026272781037E-3</v>
      </c>
      <c r="CN233">
        <v>1.0004026272781037E-3</v>
      </c>
      <c r="CO233" t="e">
        <v>#N/A</v>
      </c>
      <c r="CP233" t="str">
        <v/>
      </c>
    </row>
    <row r="234" spans="44:94" x14ac:dyDescent="0.2">
      <c r="AR234">
        <v>226</v>
      </c>
      <c r="AS234">
        <v>226</v>
      </c>
      <c r="AT234">
        <v>1</v>
      </c>
      <c r="AU234">
        <v>-4.1049742321591447</v>
      </c>
      <c r="AV234">
        <v>3.5567494851229613E-2</v>
      </c>
      <c r="CD234">
        <v>226</v>
      </c>
      <c r="CE234">
        <v>7.7516863271597005</v>
      </c>
      <c r="CF234">
        <v>1.1830007817551383E-3</v>
      </c>
      <c r="CG234" t="e">
        <v>#N/A</v>
      </c>
      <c r="CH234">
        <v>1.1830007817551383E-3</v>
      </c>
      <c r="CI234">
        <v>7.7519999999999998</v>
      </c>
      <c r="CK234">
        <v>226</v>
      </c>
      <c r="CL234">
        <v>12.483895082497837</v>
      </c>
      <c r="CM234">
        <v>9.7303089710278176E-4</v>
      </c>
      <c r="CN234">
        <v>9.7303089710278176E-4</v>
      </c>
      <c r="CO234" t="e">
        <v>#N/A</v>
      </c>
      <c r="CP234">
        <v>12.484</v>
      </c>
    </row>
    <row r="235" spans="44:94" x14ac:dyDescent="0.2">
      <c r="AR235">
        <v>227</v>
      </c>
      <c r="AS235">
        <v>227</v>
      </c>
      <c r="AT235">
        <v>1</v>
      </c>
      <c r="AU235">
        <v>-4.0740337008417988</v>
      </c>
      <c r="AV235">
        <v>3.5921863883781949E-2</v>
      </c>
      <c r="CD235">
        <v>227</v>
      </c>
      <c r="CE235">
        <v>7.7861382663915215</v>
      </c>
      <c r="CF235">
        <v>1.1539737168273978E-3</v>
      </c>
      <c r="CG235" t="e">
        <v>#N/A</v>
      </c>
      <c r="CH235">
        <v>1.1539737168273978E-3</v>
      </c>
      <c r="CI235" t="str">
        <v/>
      </c>
      <c r="CK235">
        <v>227</v>
      </c>
      <c r="CL235">
        <v>12.53937906064227</v>
      </c>
      <c r="CM235">
        <v>9.4640807700862358E-4</v>
      </c>
      <c r="CN235">
        <v>9.4640807700862358E-4</v>
      </c>
      <c r="CO235" t="e">
        <v>#N/A</v>
      </c>
      <c r="CP235" t="str">
        <v/>
      </c>
    </row>
    <row r="236" spans="44:94" x14ac:dyDescent="0.2">
      <c r="AR236">
        <v>228</v>
      </c>
      <c r="AS236">
        <v>228</v>
      </c>
      <c r="AT236">
        <v>1</v>
      </c>
      <c r="AU236">
        <v>-4.0430931695244521</v>
      </c>
      <c r="AV236">
        <v>3.6277891249724352E-2</v>
      </c>
      <c r="CD236">
        <v>228</v>
      </c>
      <c r="CE236">
        <v>7.8205902056233425</v>
      </c>
      <c r="CF236">
        <v>1.1256985261765126E-3</v>
      </c>
      <c r="CG236" t="e">
        <v>#N/A</v>
      </c>
      <c r="CH236">
        <v>1.1256985261765126E-3</v>
      </c>
      <c r="CI236" t="str">
        <v/>
      </c>
      <c r="CK236">
        <v>228</v>
      </c>
      <c r="CL236">
        <v>12.594863038786706</v>
      </c>
      <c r="CM236">
        <v>9.2051367628108124E-4</v>
      </c>
      <c r="CN236">
        <v>9.2051367628108124E-4</v>
      </c>
      <c r="CO236" t="e">
        <v>#N/A</v>
      </c>
      <c r="CP236" t="str">
        <v/>
      </c>
    </row>
    <row r="237" spans="44:94" x14ac:dyDescent="0.2">
      <c r="AR237">
        <v>229</v>
      </c>
      <c r="AS237">
        <v>229</v>
      </c>
      <c r="AT237">
        <v>1</v>
      </c>
      <c r="AU237">
        <v>-4.0121526382071062</v>
      </c>
      <c r="AV237">
        <v>3.6635556454850407E-2</v>
      </c>
      <c r="CD237">
        <v>229</v>
      </c>
      <c r="CE237">
        <v>7.8550421448551635</v>
      </c>
      <c r="CF237">
        <v>1.098154710390717E-3</v>
      </c>
      <c r="CG237" t="e">
        <v>#N/A</v>
      </c>
      <c r="CH237">
        <v>1.098154710390717E-3</v>
      </c>
      <c r="CI237" t="str">
        <v/>
      </c>
      <c r="CK237">
        <v>229</v>
      </c>
      <c r="CL237">
        <v>12.650347016931141</v>
      </c>
      <c r="CM237">
        <v>8.9532776484618911E-4</v>
      </c>
      <c r="CN237">
        <v>8.9532776484618911E-4</v>
      </c>
      <c r="CO237" t="e">
        <v>#N/A</v>
      </c>
      <c r="CP237" t="str">
        <v/>
      </c>
    </row>
    <row r="238" spans="44:94" x14ac:dyDescent="0.2">
      <c r="AR238">
        <v>230</v>
      </c>
      <c r="AS238">
        <v>230</v>
      </c>
      <c r="AT238">
        <v>1</v>
      </c>
      <c r="AU238">
        <v>-3.9812121068897595</v>
      </c>
      <c r="AV238">
        <v>3.6994838547539405E-2</v>
      </c>
      <c r="CD238">
        <v>230</v>
      </c>
      <c r="CE238">
        <v>7.8894940840869836</v>
      </c>
      <c r="CF238">
        <v>1.0713223568025257E-3</v>
      </c>
      <c r="CG238" t="e">
        <v>#N/A</v>
      </c>
      <c r="CH238">
        <v>1.0713223568025257E-3</v>
      </c>
      <c r="CI238" t="str">
        <v/>
      </c>
      <c r="CK238">
        <v>230</v>
      </c>
      <c r="CL238">
        <v>12.705830995075575</v>
      </c>
      <c r="CM238">
        <v>8.7083095793103642E-4</v>
      </c>
      <c r="CN238">
        <v>8.7083095793103642E-4</v>
      </c>
      <c r="CO238" t="e">
        <v>#N/A</v>
      </c>
      <c r="CP238" t="str">
        <v/>
      </c>
    </row>
    <row r="239" spans="44:94" x14ac:dyDescent="0.2">
      <c r="AR239">
        <v>231</v>
      </c>
      <c r="AS239">
        <v>231</v>
      </c>
      <c r="AT239">
        <v>1</v>
      </c>
      <c r="AU239">
        <v>-3.9502715755724136</v>
      </c>
      <c r="AV239">
        <v>3.7355716118593077E-2</v>
      </c>
      <c r="CD239">
        <v>231</v>
      </c>
      <c r="CE239">
        <v>7.9239460233188046</v>
      </c>
      <c r="CF239">
        <v>1.045182121900015E-3</v>
      </c>
      <c r="CG239" t="e">
        <v>#N/A</v>
      </c>
      <c r="CH239">
        <v>1.045182121900015E-3</v>
      </c>
      <c r="CI239" t="str">
        <v/>
      </c>
      <c r="CK239">
        <v>231</v>
      </c>
      <c r="CL239">
        <v>12.76131497322001</v>
      </c>
      <c r="CM239">
        <v>8.4700440114393648E-4</v>
      </c>
      <c r="CN239">
        <v>8.4700440114393648E-4</v>
      </c>
      <c r="CO239" t="e">
        <v>#N/A</v>
      </c>
      <c r="CP239" t="str">
        <v/>
      </c>
    </row>
    <row r="240" spans="44:94" x14ac:dyDescent="0.2">
      <c r="AR240">
        <v>232</v>
      </c>
      <c r="AS240">
        <v>232</v>
      </c>
      <c r="AT240">
        <v>1</v>
      </c>
      <c r="AU240">
        <v>-3.9193310442550677</v>
      </c>
      <c r="AV240">
        <v>3.7718167301189473E-2</v>
      </c>
      <c r="CD240">
        <v>232</v>
      </c>
      <c r="CE240">
        <v>7.9583979625506256</v>
      </c>
      <c r="CF240">
        <v>1.0197152142891474E-3</v>
      </c>
      <c r="CG240" t="e">
        <v>#N/A</v>
      </c>
      <c r="CH240">
        <v>1.0197152142891474E-3</v>
      </c>
      <c r="CI240" t="str">
        <v/>
      </c>
      <c r="CK240">
        <v>232</v>
      </c>
      <c r="CL240">
        <v>12.816798951364444</v>
      </c>
      <c r="CM240">
        <v>8.2382975596282564E-4</v>
      </c>
      <c r="CN240">
        <v>8.2382975596282564E-4</v>
      </c>
      <c r="CO240" t="e">
        <v>#N/A</v>
      </c>
      <c r="CP240" t="str">
        <v/>
      </c>
    </row>
    <row r="241" spans="44:94" x14ac:dyDescent="0.2">
      <c r="AR241">
        <v>233</v>
      </c>
      <c r="AS241">
        <v>233</v>
      </c>
      <c r="AT241">
        <v>1</v>
      </c>
      <c r="AU241">
        <v>-3.888390512937721</v>
      </c>
      <c r="AV241">
        <v>3.8082169770954973E-2</v>
      </c>
      <c r="CD241">
        <v>233</v>
      </c>
      <c r="CE241">
        <v>7.9928499017824466</v>
      </c>
      <c r="CF241">
        <v>9.9490337818906893E-4</v>
      </c>
      <c r="CG241" t="e">
        <v>#N/A</v>
      </c>
      <c r="CH241">
        <v>9.9490337818906893E-4</v>
      </c>
      <c r="CI241" t="str">
        <v/>
      </c>
      <c r="CK241">
        <v>233</v>
      </c>
      <c r="CL241">
        <v>12.872282929508879</v>
      </c>
      <c r="CM241">
        <v>8.0128918562069335E-4</v>
      </c>
      <c r="CN241">
        <v>8.0128918562069335E-4</v>
      </c>
      <c r="CO241" t="e">
        <v>#N/A</v>
      </c>
      <c r="CP241" t="str">
        <v/>
      </c>
    </row>
    <row r="242" spans="44:94" x14ac:dyDescent="0.2">
      <c r="AR242">
        <v>234</v>
      </c>
      <c r="AS242">
        <v>234</v>
      </c>
      <c r="AT242">
        <v>1</v>
      </c>
      <c r="AU242">
        <v>-3.8574499816203751</v>
      </c>
      <c r="AV242">
        <v>3.844770074615559E-2</v>
      </c>
      <c r="CD242">
        <v>234</v>
      </c>
      <c r="CE242">
        <v>8.0273018410142676</v>
      </c>
      <c r="CF242">
        <v>9.7072887744301475E-4</v>
      </c>
      <c r="CG242" t="e">
        <v>#N/A</v>
      </c>
      <c r="CH242">
        <v>9.7072887744301475E-4</v>
      </c>
      <c r="CI242" t="str">
        <v/>
      </c>
      <c r="CK242">
        <v>234</v>
      </c>
      <c r="CL242">
        <v>12.927766907653314</v>
      </c>
      <c r="CM242">
        <v>7.7936534137721368E-4</v>
      </c>
      <c r="CN242">
        <v>7.7936534137721368E-4</v>
      </c>
      <c r="CO242" t="e">
        <v>#N/A</v>
      </c>
      <c r="CP242" t="str">
        <v/>
      </c>
    </row>
    <row r="243" spans="44:94" x14ac:dyDescent="0.2">
      <c r="AR243">
        <v>235</v>
      </c>
      <c r="AS243">
        <v>235</v>
      </c>
      <c r="AT243">
        <v>1</v>
      </c>
      <c r="AU243">
        <v>-3.8265094503030284</v>
      </c>
      <c r="AV243">
        <v>3.8814736988008858E-2</v>
      </c>
      <c r="CD243">
        <v>235</v>
      </c>
      <c r="CE243">
        <v>8.0617537802460877</v>
      </c>
      <c r="CF243">
        <v>9.4717448002805578E-4</v>
      </c>
      <c r="CG243" t="e">
        <v>#N/A</v>
      </c>
      <c r="CH243">
        <v>9.4717448002805578E-4</v>
      </c>
      <c r="CI243" t="str">
        <v/>
      </c>
      <c r="CK243">
        <v>235</v>
      </c>
      <c r="CL243">
        <v>12.983250885797748</v>
      </c>
      <c r="CM243">
        <v>7.5804134916598171E-4</v>
      </c>
      <c r="CN243">
        <v>7.5804134916598171E-4</v>
      </c>
      <c r="CO243" t="e">
        <v>#N/A</v>
      </c>
      <c r="CP243" t="str">
        <v/>
      </c>
    </row>
    <row r="244" spans="44:94" x14ac:dyDescent="0.2">
      <c r="AR244">
        <v>236</v>
      </c>
      <c r="AS244">
        <v>236</v>
      </c>
      <c r="AT244">
        <v>1</v>
      </c>
      <c r="AU244">
        <v>-3.7955689189856825</v>
      </c>
      <c r="AV244">
        <v>3.9183254801117062E-2</v>
      </c>
      <c r="CD244">
        <v>236</v>
      </c>
      <c r="CE244">
        <v>8.0962057194779096</v>
      </c>
      <c r="CF244">
        <v>9.2422344304740329E-4</v>
      </c>
      <c r="CG244" t="e">
        <v>#N/A</v>
      </c>
      <c r="CH244">
        <v>9.2422344304740329E-4</v>
      </c>
      <c r="CI244" t="str">
        <v/>
      </c>
      <c r="CK244">
        <v>236</v>
      </c>
      <c r="CL244">
        <v>13.038734863942185</v>
      </c>
      <c r="CM244">
        <v>7.3730079660709602E-4</v>
      </c>
      <c r="CN244">
        <v>7.3730079660709602E-4</v>
      </c>
      <c r="CO244" t="e">
        <v>#N/A</v>
      </c>
      <c r="CP244" t="str">
        <v/>
      </c>
    </row>
    <row r="245" spans="44:94" x14ac:dyDescent="0.2">
      <c r="AR245">
        <v>237</v>
      </c>
      <c r="AS245">
        <v>237</v>
      </c>
      <c r="AT245">
        <v>1</v>
      </c>
      <c r="AU245">
        <v>-3.7646283876683357</v>
      </c>
      <c r="AV245">
        <v>3.9553230034023182E-2</v>
      </c>
      <c r="CD245">
        <v>237</v>
      </c>
      <c r="CE245">
        <v>8.1306576587097297</v>
      </c>
      <c r="CF245">
        <v>9.0185949818960684E-4</v>
      </c>
      <c r="CG245" t="e">
        <v>#N/A</v>
      </c>
      <c r="CH245">
        <v>9.0185949818960684E-4</v>
      </c>
      <c r="CI245" t="str">
        <v/>
      </c>
      <c r="CK245">
        <v>237</v>
      </c>
      <c r="CL245">
        <v>13.094218842086621</v>
      </c>
      <c r="CM245">
        <v>7.1712772037509087E-4</v>
      </c>
      <c r="CN245">
        <v>7.1712772037509087E-4</v>
      </c>
      <c r="CO245" t="e">
        <v>#N/A</v>
      </c>
      <c r="CP245" t="str">
        <v/>
      </c>
    </row>
    <row r="246" spans="44:94" x14ac:dyDescent="0.2">
      <c r="AR246">
        <v>238</v>
      </c>
      <c r="AS246">
        <v>238</v>
      </c>
      <c r="AT246">
        <v>1</v>
      </c>
      <c r="AU246">
        <v>-3.7336878563509899</v>
      </c>
      <c r="AV246">
        <v>3.9924638079890169E-2</v>
      </c>
      <c r="CD246">
        <v>238</v>
      </c>
      <c r="CE246">
        <v>8.1651095979415516</v>
      </c>
      <c r="CF246">
        <v>8.8006683763952966E-4</v>
      </c>
      <c r="CG246" t="e">
        <v>#N/A</v>
      </c>
      <c r="CH246">
        <v>8.8006683763952966E-4</v>
      </c>
      <c r="CI246" t="str">
        <v/>
      </c>
      <c r="CK246">
        <v>238</v>
      </c>
      <c r="CL246">
        <v>13.149702820231054</v>
      </c>
      <c r="CM246">
        <v>6.9750659391248167E-4</v>
      </c>
      <c r="CN246">
        <v>6.9750659391248167E-4</v>
      </c>
      <c r="CO246" t="e">
        <v>#N/A</v>
      </c>
      <c r="CP246" t="str">
        <v/>
      </c>
    </row>
    <row r="247" spans="44:94" x14ac:dyDescent="0.2">
      <c r="AR247">
        <v>239</v>
      </c>
      <c r="AS247">
        <v>239</v>
      </c>
      <c r="AT247">
        <v>1</v>
      </c>
      <c r="AU247">
        <v>-3.7027473250336431</v>
      </c>
      <c r="AV247">
        <v>4.0297453877304844E-2</v>
      </c>
      <c r="CD247">
        <v>239</v>
      </c>
      <c r="CE247">
        <v>8.1995615371733717</v>
      </c>
      <c r="CF247">
        <v>8.5883010042641435E-4</v>
      </c>
      <c r="CG247" t="e">
        <v>#N/A</v>
      </c>
      <c r="CH247">
        <v>8.5883010042641435E-4</v>
      </c>
      <c r="CI247" t="str">
        <v/>
      </c>
      <c r="CK247">
        <v>239</v>
      </c>
      <c r="CL247">
        <v>13.20518679837549</v>
      </c>
      <c r="CM247">
        <v>6.7842231547948111E-4</v>
      </c>
      <c r="CN247">
        <v>6.7842231547948111E-4</v>
      </c>
      <c r="CO247" t="e">
        <v>#N/A</v>
      </c>
      <c r="CP247" t="str">
        <v/>
      </c>
    </row>
    <row r="248" spans="44:94" x14ac:dyDescent="0.2">
      <c r="AR248">
        <v>240</v>
      </c>
      <c r="AS248">
        <v>240</v>
      </c>
      <c r="AT248">
        <v>1</v>
      </c>
      <c r="AU248">
        <v>-3.6718067937162973</v>
      </c>
      <c r="AV248">
        <v>4.0671651911207175E-2</v>
      </c>
      <c r="CD248">
        <v>240</v>
      </c>
      <c r="CE248">
        <v>8.2340134764051918</v>
      </c>
      <c r="CF248">
        <v>8.3813435919490855E-4</v>
      </c>
      <c r="CG248" t="e">
        <v>#N/A</v>
      </c>
      <c r="CH248">
        <v>8.3813435919490855E-4</v>
      </c>
      <c r="CI248" t="str">
        <v/>
      </c>
      <c r="CK248">
        <v>240</v>
      </c>
      <c r="CL248">
        <v>13.260670776519923</v>
      </c>
      <c r="CM248">
        <v>6.5986019653068828E-4</v>
      </c>
      <c r="CN248">
        <v>6.5986019653068828E-4</v>
      </c>
      <c r="CO248" t="e">
        <v>#N/A</v>
      </c>
      <c r="CP248" t="str">
        <v/>
      </c>
    </row>
    <row r="249" spans="44:94" x14ac:dyDescent="0.2">
      <c r="AR249">
        <v>241</v>
      </c>
      <c r="AS249">
        <v>241</v>
      </c>
      <c r="AT249">
        <v>1</v>
      </c>
      <c r="AU249">
        <v>-3.6408662623989505</v>
      </c>
      <c r="AV249">
        <v>4.1047206213945933E-2</v>
      </c>
      <c r="CD249">
        <v>241</v>
      </c>
      <c r="CE249">
        <v>8.2684654156370136</v>
      </c>
      <c r="CF249">
        <v>8.1796510738542112E-4</v>
      </c>
      <c r="CG249" t="e">
        <v>#N/A</v>
      </c>
      <c r="CH249">
        <v>8.1796510738542112E-4</v>
      </c>
      <c r="CI249" t="str">
        <v/>
      </c>
      <c r="CK249">
        <v>241</v>
      </c>
      <c r="CL249">
        <v>13.316154754664359</v>
      </c>
      <c r="CM249">
        <v>6.4180595040978924E-4</v>
      </c>
      <c r="CN249">
        <v>6.4180595040978924E-4</v>
      </c>
      <c r="CO249" t="e">
        <v>#N/A</v>
      </c>
      <c r="CP249" t="str">
        <v/>
      </c>
    </row>
    <row r="250" spans="44:94" x14ac:dyDescent="0.2">
      <c r="AR250">
        <v>242</v>
      </c>
      <c r="AS250">
        <v>242</v>
      </c>
      <c r="AT250">
        <v>1</v>
      </c>
      <c r="AU250">
        <v>-3.6099257310816046</v>
      </c>
      <c r="AV250">
        <v>4.1424090366461309E-2</v>
      </c>
      <c r="CD250">
        <v>242</v>
      </c>
      <c r="CE250">
        <v>8.3029173548688338</v>
      </c>
      <c r="CF250">
        <v>7.983082468105366E-4</v>
      </c>
      <c r="CG250" t="e">
        <v>#N/A</v>
      </c>
      <c r="CH250">
        <v>7.983082468105366E-4</v>
      </c>
      <c r="CI250" t="str">
        <v/>
      </c>
      <c r="CK250">
        <v>242</v>
      </c>
      <c r="CL250">
        <v>13.371638732808794</v>
      </c>
      <c r="CM250">
        <v>6.2424568135358927E-4</v>
      </c>
      <c r="CN250">
        <v>6.2424568135358927E-4</v>
      </c>
      <c r="CO250" t="e">
        <v>#N/A</v>
      </c>
      <c r="CP250" t="str">
        <v/>
      </c>
    </row>
    <row r="251" spans="44:94" x14ac:dyDescent="0.2">
      <c r="AR251">
        <v>243</v>
      </c>
      <c r="AS251">
        <v>243</v>
      </c>
      <c r="AT251">
        <v>1</v>
      </c>
      <c r="AU251">
        <v>-3.5789851997642579</v>
      </c>
      <c r="AV251">
        <v>4.1802277499595773E-2</v>
      </c>
      <c r="CD251">
        <v>243</v>
      </c>
      <c r="CE251">
        <v>8.3373692941006556</v>
      </c>
      <c r="CF251">
        <v>7.7915007561476872E-4</v>
      </c>
      <c r="CG251" t="e">
        <v>#N/A</v>
      </c>
      <c r="CH251">
        <v>7.7915007561476872E-4</v>
      </c>
      <c r="CI251" t="str">
        <v/>
      </c>
      <c r="CK251">
        <v>243</v>
      </c>
      <c r="CL251">
        <v>13.427122710953228</v>
      </c>
      <c r="CM251">
        <v>6.0716587379689639E-4</v>
      </c>
      <c r="CN251">
        <v>6.0716587379689639E-4</v>
      </c>
      <c r="CO251" t="e">
        <v>#N/A</v>
      </c>
      <c r="CP251" t="str">
        <v/>
      </c>
    </row>
    <row r="252" spans="44:94" x14ac:dyDescent="0.2">
      <c r="AR252">
        <v>244</v>
      </c>
      <c r="AS252">
        <v>244</v>
      </c>
      <c r="AT252">
        <v>1</v>
      </c>
      <c r="AU252">
        <v>-3.548044668446912</v>
      </c>
      <c r="AV252">
        <v>4.2181740295533392E-2</v>
      </c>
      <c r="CD252">
        <v>244</v>
      </c>
      <c r="CE252">
        <v>8.3718212333324757</v>
      </c>
      <c r="CF252">
        <v>7.6047727660531229E-4</v>
      </c>
      <c r="CG252" t="e">
        <v>#N/A</v>
      </c>
      <c r="CH252">
        <v>7.6047727660531229E-4</v>
      </c>
      <c r="CI252" t="str">
        <v/>
      </c>
      <c r="CK252">
        <v>244</v>
      </c>
      <c r="CL252">
        <v>13.482606689097663</v>
      </c>
      <c r="CM252">
        <v>5.9055338197003086E-4</v>
      </c>
      <c r="CN252">
        <v>5.9055338197003086E-4</v>
      </c>
      <c r="CO252" t="e">
        <v>#N/A</v>
      </c>
      <c r="CP252" t="str">
        <v/>
      </c>
    </row>
    <row r="253" spans="44:94" x14ac:dyDescent="0.2">
      <c r="AR253">
        <v>245</v>
      </c>
      <c r="AS253">
        <v>245</v>
      </c>
      <c r="AT253">
        <v>1</v>
      </c>
      <c r="AU253">
        <v>-3.5171041371295662</v>
      </c>
      <c r="AV253">
        <v>4.2562450989368929E-2</v>
      </c>
      <c r="CD253">
        <v>245</v>
      </c>
      <c r="CE253">
        <v>8.4062731725642958</v>
      </c>
      <c r="CF253">
        <v>7.4227690594184958E-4</v>
      </c>
      <c r="CG253" t="e">
        <v>#N/A</v>
      </c>
      <c r="CH253">
        <v>7.4227690594184958E-4</v>
      </c>
      <c r="CI253" t="str">
        <v/>
      </c>
      <c r="CK253">
        <v>245</v>
      </c>
      <c r="CL253">
        <v>13.538090667242098</v>
      </c>
      <c r="CM253">
        <v>5.7439541978095913E-4</v>
      </c>
      <c r="CN253">
        <v>5.7439541978095913E-4</v>
      </c>
      <c r="CO253" t="e">
        <v>#N/A</v>
      </c>
      <c r="CP253" t="str">
        <v/>
      </c>
    </row>
    <row r="254" spans="44:94" x14ac:dyDescent="0.2">
      <c r="AR254">
        <v>246</v>
      </c>
      <c r="AS254">
        <v>246</v>
      </c>
      <c r="AT254">
        <v>1</v>
      </c>
      <c r="AU254">
        <v>-3.4861636058122194</v>
      </c>
      <c r="AV254">
        <v>4.2944381370806854E-2</v>
      </c>
      <c r="CD254">
        <v>246</v>
      </c>
      <c r="CE254">
        <v>8.4407251117961177</v>
      </c>
      <c r="CF254">
        <v>7.2453638217389812E-4</v>
      </c>
      <c r="CG254" t="e">
        <v>#N/A</v>
      </c>
      <c r="CH254">
        <v>7.2453638217389812E-4</v>
      </c>
      <c r="CI254" t="str">
        <v/>
      </c>
      <c r="CK254">
        <v>246</v>
      </c>
      <c r="CL254">
        <v>13.593574645386532</v>
      </c>
      <c r="CM254">
        <v>5.5867955097425512E-4</v>
      </c>
      <c r="CN254">
        <v>5.5867955097425512E-4</v>
      </c>
      <c r="CO254" t="e">
        <v>#N/A</v>
      </c>
      <c r="CP254" t="str">
        <v/>
      </c>
    </row>
    <row r="255" spans="44:94" x14ac:dyDescent="0.2">
      <c r="AR255">
        <v>247</v>
      </c>
      <c r="AS255">
        <v>247</v>
      </c>
      <c r="AT255">
        <v>1</v>
      </c>
      <c r="AU255">
        <v>-3.4552230744948735</v>
      </c>
      <c r="AV255">
        <v>4.3327502785991283E-2</v>
      </c>
      <c r="CD255">
        <v>247</v>
      </c>
      <c r="CE255">
        <v>8.4751770510279378</v>
      </c>
      <c r="CF255">
        <v>7.0724347561458253E-4</v>
      </c>
      <c r="CG255" t="e">
        <v>#N/A</v>
      </c>
      <c r="CH255">
        <v>7.0724347561458253E-4</v>
      </c>
      <c r="CI255" t="str">
        <v/>
      </c>
      <c r="CK255">
        <v>247</v>
      </c>
      <c r="CL255">
        <v>13.649058623530967</v>
      </c>
      <c r="CM255">
        <v>5.4339367955931895E-4</v>
      </c>
      <c r="CN255">
        <v>5.4339367955931895E-4</v>
      </c>
      <c r="CO255" t="e">
        <v>#N/A</v>
      </c>
      <c r="CP255" t="str">
        <v/>
      </c>
    </row>
    <row r="256" spans="44:94" x14ac:dyDescent="0.2">
      <c r="AR256">
        <v>248</v>
      </c>
      <c r="AS256">
        <v>248</v>
      </c>
      <c r="AT256">
        <v>1</v>
      </c>
      <c r="AU256">
        <v>-3.4242825431775268</v>
      </c>
      <c r="AV256">
        <v>4.3711786139467405E-2</v>
      </c>
      <c r="CD256">
        <v>248</v>
      </c>
      <c r="CE256">
        <v>8.5096289902597597</v>
      </c>
      <c r="CF256">
        <v>6.9038629804002612E-4</v>
      </c>
      <c r="CG256" t="e">
        <v>#N/A</v>
      </c>
      <c r="CH256">
        <v>6.9038629804002612E-4</v>
      </c>
      <c r="CI256" t="str">
        <v/>
      </c>
      <c r="CK256">
        <v>248</v>
      </c>
      <c r="CL256">
        <v>13.704542601675401</v>
      </c>
      <c r="CM256">
        <v>5.2852604050049237E-4</v>
      </c>
      <c r="CN256">
        <v>5.2852604050049237E-4</v>
      </c>
      <c r="CO256" t="e">
        <v>#N/A</v>
      </c>
      <c r="CP256" t="str">
        <v/>
      </c>
    </row>
    <row r="257" spans="44:94" x14ac:dyDescent="0.2">
      <c r="AR257">
        <v>249</v>
      </c>
      <c r="AS257">
        <v>249</v>
      </c>
      <c r="AT257">
        <v>1</v>
      </c>
      <c r="AU257">
        <v>-3.3933420118601809</v>
      </c>
      <c r="AV257">
        <v>4.4097201896274814E-2</v>
      </c>
      <c r="CD257">
        <v>249</v>
      </c>
      <c r="CE257">
        <v>8.5440809294915798</v>
      </c>
      <c r="CF257">
        <v>6.7395329270396797E-4</v>
      </c>
      <c r="CG257" t="e">
        <v>#N/A</v>
      </c>
      <c r="CH257">
        <v>6.7395329270396797E-4</v>
      </c>
      <c r="CI257" t="str">
        <v/>
      </c>
      <c r="CK257">
        <v>249</v>
      </c>
      <c r="CL257">
        <v>13.760026579819836</v>
      </c>
      <c r="CM257">
        <v>5.1406519066189119E-4</v>
      </c>
      <c r="CN257">
        <v>5.1406519066189119E-4</v>
      </c>
      <c r="CO257" t="e">
        <v>#N/A</v>
      </c>
      <c r="CP257" t="str">
        <v/>
      </c>
    </row>
    <row r="258" spans="44:94" x14ac:dyDescent="0.2">
      <c r="AR258">
        <v>250</v>
      </c>
      <c r="AS258">
        <v>250</v>
      </c>
      <c r="AT258">
        <v>1</v>
      </c>
      <c r="AU258">
        <v>-3.3624014805428342</v>
      </c>
      <c r="AV258">
        <v>4.4483720084173513E-2</v>
      </c>
      <c r="CD258">
        <v>250</v>
      </c>
      <c r="CE258">
        <v>8.5785328687234017</v>
      </c>
      <c r="CF258">
        <v>6.5793322465757084E-4</v>
      </c>
      <c r="CG258" t="e">
        <v>#N/A</v>
      </c>
      <c r="CH258">
        <v>6.5793322465757084E-4</v>
      </c>
      <c r="CI258">
        <v>8.5790000000000006</v>
      </c>
      <c r="CK258">
        <v>250</v>
      </c>
      <c r="CL258">
        <v>13.815510557964272</v>
      </c>
      <c r="CM258">
        <v>5.0000000000000055E-4</v>
      </c>
      <c r="CN258">
        <v>5.0000000000000055E-4</v>
      </c>
      <c r="CO258" t="e">
        <v>#N/A</v>
      </c>
      <c r="CP258">
        <v>13.816000000000001</v>
      </c>
    </row>
    <row r="259" spans="44:94" x14ac:dyDescent="0.2">
      <c r="AR259">
        <v>251</v>
      </c>
      <c r="AS259">
        <v>251</v>
      </c>
      <c r="AT259">
        <v>1</v>
      </c>
      <c r="AU259">
        <v>-3.3314609492254883</v>
      </c>
      <c r="AV259">
        <v>4.4871310296002706E-2</v>
      </c>
    </row>
    <row r="260" spans="44:94" x14ac:dyDescent="0.2">
      <c r="AR260">
        <v>252</v>
      </c>
      <c r="AS260">
        <v>252</v>
      </c>
      <c r="AT260">
        <v>1</v>
      </c>
      <c r="AU260">
        <v>-3.3005204179081415</v>
      </c>
      <c r="AV260">
        <v>4.5259941692173344E-2</v>
      </c>
    </row>
    <row r="261" spans="44:94" x14ac:dyDescent="0.2">
      <c r="AR261">
        <v>253</v>
      </c>
      <c r="AS261">
        <v>253</v>
      </c>
      <c r="AT261">
        <v>1</v>
      </c>
      <c r="AU261">
        <v>-3.2695798865907957</v>
      </c>
      <c r="AV261">
        <v>4.564958300329422E-2</v>
      </c>
    </row>
    <row r="262" spans="44:94" x14ac:dyDescent="0.2">
      <c r="AR262">
        <v>254</v>
      </c>
      <c r="AS262">
        <v>254</v>
      </c>
      <c r="AT262">
        <v>1</v>
      </c>
      <c r="AU262">
        <v>-3.2386393552734489</v>
      </c>
      <c r="AV262">
        <v>4.6040202532932568E-2</v>
      </c>
    </row>
    <row r="263" spans="44:94" x14ac:dyDescent="0.2">
      <c r="AR263">
        <v>255</v>
      </c>
      <c r="AS263">
        <v>255</v>
      </c>
      <c r="AT263">
        <v>1</v>
      </c>
      <c r="AU263">
        <v>-3.2076988239561031</v>
      </c>
      <c r="AV263">
        <v>4.6431768160508827E-2</v>
      </c>
    </row>
    <row r="264" spans="44:94" x14ac:dyDescent="0.2">
      <c r="AR264">
        <v>256</v>
      </c>
      <c r="AS264">
        <v>256</v>
      </c>
      <c r="AT264">
        <v>1</v>
      </c>
      <c r="AU264">
        <v>-3.1767582926387563</v>
      </c>
      <c r="AV264">
        <v>4.6824247344326497E-2</v>
      </c>
    </row>
    <row r="265" spans="44:94" x14ac:dyDescent="0.2">
      <c r="AR265">
        <v>257</v>
      </c>
      <c r="AS265">
        <v>257</v>
      </c>
      <c r="AT265">
        <v>1</v>
      </c>
      <c r="AU265">
        <v>-3.1458177613214104</v>
      </c>
      <c r="AV265">
        <v>4.7217607124736695E-2</v>
      </c>
    </row>
    <row r="266" spans="44:94" x14ac:dyDescent="0.2">
      <c r="AR266">
        <v>258</v>
      </c>
      <c r="AS266">
        <v>258</v>
      </c>
      <c r="AT266">
        <v>1</v>
      </c>
      <c r="AU266">
        <v>-3.1148772300040646</v>
      </c>
      <c r="AV266">
        <v>4.761181412743809E-2</v>
      </c>
    </row>
    <row r="267" spans="44:94" x14ac:dyDescent="0.2">
      <c r="AR267">
        <v>259</v>
      </c>
      <c r="AS267">
        <v>259</v>
      </c>
      <c r="AT267">
        <v>1</v>
      </c>
      <c r="AU267">
        <v>-3.0839366986867178</v>
      </c>
      <c r="AV267">
        <v>4.8006834566911891E-2</v>
      </c>
    </row>
    <row r="268" spans="44:94" x14ac:dyDescent="0.2">
      <c r="AR268">
        <v>260</v>
      </c>
      <c r="AS268">
        <v>260</v>
      </c>
      <c r="AT268">
        <v>1</v>
      </c>
      <c r="AU268">
        <v>-3.052996167369372</v>
      </c>
      <c r="AV268">
        <v>4.840263424999218E-2</v>
      </c>
    </row>
    <row r="269" spans="44:94" x14ac:dyDescent="0.2">
      <c r="AR269">
        <v>261</v>
      </c>
      <c r="AS269">
        <v>261</v>
      </c>
      <c r="AT269">
        <v>1</v>
      </c>
      <c r="AU269">
        <v>-3.0220556360520252</v>
      </c>
      <c r="AV269">
        <v>4.8799178579571757E-2</v>
      </c>
    </row>
    <row r="270" spans="44:94" x14ac:dyDescent="0.2">
      <c r="AR270">
        <v>262</v>
      </c>
      <c r="AS270">
        <v>262</v>
      </c>
      <c r="AT270">
        <v>1</v>
      </c>
      <c r="AU270">
        <v>-2.9911151047346785</v>
      </c>
      <c r="AV270">
        <v>4.9196432558443137E-2</v>
      </c>
    </row>
    <row r="271" spans="44:94" x14ac:dyDescent="0.2">
      <c r="AR271">
        <v>263</v>
      </c>
      <c r="AS271">
        <v>263</v>
      </c>
      <c r="AT271">
        <v>1</v>
      </c>
      <c r="AU271">
        <v>-2.9601745734173335</v>
      </c>
      <c r="AV271">
        <v>4.9594360793274707E-2</v>
      </c>
    </row>
    <row r="272" spans="44:94" x14ac:dyDescent="0.2">
      <c r="AR272">
        <v>264</v>
      </c>
      <c r="AS272">
        <v>264</v>
      </c>
      <c r="AT272">
        <v>1</v>
      </c>
      <c r="AU272">
        <v>-2.9292340420999867</v>
      </c>
      <c r="AV272">
        <v>4.999292749872232E-2</v>
      </c>
    </row>
    <row r="273" spans="44:48" x14ac:dyDescent="0.2">
      <c r="AR273">
        <v>265</v>
      </c>
      <c r="AS273">
        <v>265</v>
      </c>
      <c r="AT273">
        <v>1</v>
      </c>
      <c r="AU273">
        <v>-2.89829351078264</v>
      </c>
      <c r="AV273">
        <v>5.0392096501675324E-2</v>
      </c>
    </row>
    <row r="274" spans="44:48" x14ac:dyDescent="0.2">
      <c r="AR274">
        <v>266</v>
      </c>
      <c r="AS274">
        <v>266</v>
      </c>
      <c r="AT274">
        <v>1</v>
      </c>
      <c r="AU274">
        <v>-2.8673529794652932</v>
      </c>
      <c r="AV274">
        <v>5.0791831245637777E-2</v>
      </c>
    </row>
    <row r="275" spans="44:48" x14ac:dyDescent="0.2">
      <c r="AR275">
        <v>267</v>
      </c>
      <c r="AS275">
        <v>267</v>
      </c>
      <c r="AT275">
        <v>1</v>
      </c>
      <c r="AU275">
        <v>-2.8364124481479482</v>
      </c>
      <c r="AV275">
        <v>5.1192094795243691E-2</v>
      </c>
    </row>
    <row r="276" spans="44:48" x14ac:dyDescent="0.2">
      <c r="AR276">
        <v>268</v>
      </c>
      <c r="AS276">
        <v>268</v>
      </c>
      <c r="AT276">
        <v>1</v>
      </c>
      <c r="AU276">
        <v>-2.8054719168306015</v>
      </c>
      <c r="AV276">
        <v>5.1592849840906695E-2</v>
      </c>
    </row>
    <row r="277" spans="44:48" x14ac:dyDescent="0.2">
      <c r="AR277">
        <v>269</v>
      </c>
      <c r="AS277">
        <v>269</v>
      </c>
      <c r="AT277">
        <v>1</v>
      </c>
      <c r="AU277">
        <v>-2.7745313855132547</v>
      </c>
      <c r="AV277">
        <v>5.1994058703603067E-2</v>
      </c>
    </row>
    <row r="278" spans="44:48" x14ac:dyDescent="0.2">
      <c r="AR278">
        <v>270</v>
      </c>
      <c r="AS278">
        <v>270</v>
      </c>
      <c r="AT278">
        <v>1</v>
      </c>
      <c r="AU278">
        <v>-2.7435908541959098</v>
      </c>
      <c r="AV278">
        <v>5.2395683339788258E-2</v>
      </c>
    </row>
    <row r="279" spans="44:48" x14ac:dyDescent="0.2">
      <c r="AR279">
        <v>271</v>
      </c>
      <c r="AS279">
        <v>271</v>
      </c>
      <c r="AT279">
        <v>1</v>
      </c>
      <c r="AU279">
        <v>-2.712650322878563</v>
      </c>
      <c r="AV279">
        <v>5.2797685346446251E-2</v>
      </c>
    </row>
    <row r="280" spans="44:48" x14ac:dyDescent="0.2">
      <c r="AR280">
        <v>272</v>
      </c>
      <c r="AS280">
        <v>272</v>
      </c>
      <c r="AT280">
        <v>1</v>
      </c>
      <c r="AU280">
        <v>-2.6817097915612162</v>
      </c>
      <c r="AV280">
        <v>5.3200025966270902E-2</v>
      </c>
    </row>
    <row r="281" spans="44:48" x14ac:dyDescent="0.2">
      <c r="AR281">
        <v>273</v>
      </c>
      <c r="AS281">
        <v>273</v>
      </c>
      <c r="AT281">
        <v>1</v>
      </c>
      <c r="AU281">
        <v>-2.6507692602438695</v>
      </c>
      <c r="AV281">
        <v>5.3602666092979187E-2</v>
      </c>
    </row>
    <row r="282" spans="44:48" x14ac:dyDescent="0.2">
      <c r="AR282">
        <v>274</v>
      </c>
      <c r="AS282">
        <v>274</v>
      </c>
      <c r="AT282">
        <v>1</v>
      </c>
      <c r="AU282">
        <v>-2.6198287289265245</v>
      </c>
      <c r="AV282">
        <v>5.4005566276755401E-2</v>
      </c>
    </row>
    <row r="283" spans="44:48" x14ac:dyDescent="0.2">
      <c r="AR283">
        <v>275</v>
      </c>
      <c r="AS283">
        <v>275</v>
      </c>
      <c r="AT283">
        <v>1</v>
      </c>
      <c r="AU283">
        <v>-2.5888881976091778</v>
      </c>
      <c r="AV283">
        <v>5.4408686729825663E-2</v>
      </c>
    </row>
    <row r="284" spans="44:48" x14ac:dyDescent="0.2">
      <c r="AR284">
        <v>276</v>
      </c>
      <c r="AS284">
        <v>276</v>
      </c>
      <c r="AT284">
        <v>1</v>
      </c>
      <c r="AU284">
        <v>-2.557947666291831</v>
      </c>
      <c r="AV284">
        <v>5.4811987332161978E-2</v>
      </c>
    </row>
    <row r="285" spans="44:48" x14ac:dyDescent="0.2">
      <c r="AR285">
        <v>277</v>
      </c>
      <c r="AS285">
        <v>277</v>
      </c>
      <c r="AT285">
        <v>1</v>
      </c>
      <c r="AU285">
        <v>-2.5270071349744843</v>
      </c>
      <c r="AV285">
        <v>5.5215427637315052E-2</v>
      </c>
    </row>
    <row r="286" spans="44:48" x14ac:dyDescent="0.2">
      <c r="AR286">
        <v>278</v>
      </c>
      <c r="AS286">
        <v>278</v>
      </c>
      <c r="AT286">
        <v>1</v>
      </c>
      <c r="AU286">
        <v>-2.4960666036571393</v>
      </c>
      <c r="AV286">
        <v>5.5618966878375177E-2</v>
      </c>
    </row>
    <row r="287" spans="44:48" x14ac:dyDescent="0.2">
      <c r="AR287">
        <v>279</v>
      </c>
      <c r="AS287">
        <v>279</v>
      </c>
      <c r="AT287">
        <v>1</v>
      </c>
      <c r="AU287">
        <v>-2.4651260723397925</v>
      </c>
      <c r="AV287">
        <v>5.602256397406008E-2</v>
      </c>
    </row>
    <row r="288" spans="44:48" x14ac:dyDescent="0.2">
      <c r="AR288">
        <v>280</v>
      </c>
      <c r="AS288">
        <v>280</v>
      </c>
      <c r="AT288">
        <v>1</v>
      </c>
      <c r="AU288">
        <v>-2.4341855410224458</v>
      </c>
      <c r="AV288">
        <v>5.64261775349287E-2</v>
      </c>
    </row>
    <row r="289" spans="44:48" x14ac:dyDescent="0.2">
      <c r="AR289">
        <v>281</v>
      </c>
      <c r="AS289">
        <v>281</v>
      </c>
      <c r="AT289">
        <v>1</v>
      </c>
      <c r="AU289">
        <v>-2.403245009705099</v>
      </c>
      <c r="AV289">
        <v>5.6829765869720113E-2</v>
      </c>
    </row>
    <row r="290" spans="44:48" x14ac:dyDescent="0.2">
      <c r="AR290">
        <v>282</v>
      </c>
      <c r="AS290">
        <v>282</v>
      </c>
      <c r="AT290">
        <v>1</v>
      </c>
      <c r="AU290">
        <v>-2.372304478387754</v>
      </c>
      <c r="AV290">
        <v>5.7233286991816623E-2</v>
      </c>
    </row>
    <row r="291" spans="44:48" x14ac:dyDescent="0.2">
      <c r="AR291">
        <v>283</v>
      </c>
      <c r="AS291">
        <v>283</v>
      </c>
      <c r="AT291">
        <v>1</v>
      </c>
      <c r="AU291">
        <v>-2.3413639470704073</v>
      </c>
      <c r="AV291">
        <v>5.7636698625829472E-2</v>
      </c>
    </row>
    <row r="292" spans="44:48" x14ac:dyDescent="0.2">
      <c r="AR292">
        <v>284</v>
      </c>
      <c r="AS292">
        <v>284</v>
      </c>
      <c r="AT292">
        <v>1</v>
      </c>
      <c r="AU292">
        <v>-2.3104234157530605</v>
      </c>
      <c r="AV292">
        <v>5.8039958214306318E-2</v>
      </c>
    </row>
    <row r="293" spans="44:48" x14ac:dyDescent="0.2">
      <c r="AR293">
        <v>285</v>
      </c>
      <c r="AS293">
        <v>285</v>
      </c>
      <c r="AT293">
        <v>1</v>
      </c>
      <c r="AU293">
        <v>-2.2794828844357156</v>
      </c>
      <c r="AV293">
        <v>5.8443022924559392E-2</v>
      </c>
    </row>
    <row r="294" spans="44:48" x14ac:dyDescent="0.2">
      <c r="AR294">
        <v>286</v>
      </c>
      <c r="AS294">
        <v>286</v>
      </c>
      <c r="AT294">
        <v>1</v>
      </c>
      <c r="AU294">
        <v>-2.2485423531183688</v>
      </c>
      <c r="AV294">
        <v>5.8845849655612646E-2</v>
      </c>
    </row>
    <row r="295" spans="44:48" x14ac:dyDescent="0.2">
      <c r="AR295">
        <v>287</v>
      </c>
      <c r="AS295">
        <v>287</v>
      </c>
      <c r="AT295">
        <v>1</v>
      </c>
      <c r="AU295">
        <v>-2.2176018218010221</v>
      </c>
      <c r="AV295">
        <v>5.924839504526689E-2</v>
      </c>
    </row>
    <row r="296" spans="44:48" x14ac:dyDescent="0.2">
      <c r="AR296">
        <v>288</v>
      </c>
      <c r="AS296">
        <v>288</v>
      </c>
      <c r="AT296">
        <v>1</v>
      </c>
      <c r="AU296">
        <v>-2.1866612904836753</v>
      </c>
      <c r="AV296">
        <v>5.9650615477281441E-2</v>
      </c>
    </row>
    <row r="297" spans="44:48" x14ac:dyDescent="0.2">
      <c r="AR297">
        <v>289</v>
      </c>
      <c r="AS297">
        <v>289</v>
      </c>
      <c r="AT297">
        <v>1</v>
      </c>
      <c r="AU297">
        <v>-2.1557207591663303</v>
      </c>
      <c r="AV297">
        <v>6.0052467088670874E-2</v>
      </c>
    </row>
    <row r="298" spans="44:48" x14ac:dyDescent="0.2">
      <c r="AR298">
        <v>290</v>
      </c>
      <c r="AS298">
        <v>290</v>
      </c>
      <c r="AT298">
        <v>1</v>
      </c>
      <c r="AU298">
        <v>-2.1247802278489836</v>
      </c>
      <c r="AV298">
        <v>6.0453905777115492E-2</v>
      </c>
    </row>
    <row r="299" spans="44:48" x14ac:dyDescent="0.2">
      <c r="AR299">
        <v>291</v>
      </c>
      <c r="AS299">
        <v>291</v>
      </c>
      <c r="AT299">
        <v>1</v>
      </c>
      <c r="AU299">
        <v>-2.0938396965316368</v>
      </c>
      <c r="AV299">
        <v>6.0854887208483491E-2</v>
      </c>
    </row>
    <row r="300" spans="44:48" x14ac:dyDescent="0.2">
      <c r="AR300">
        <v>292</v>
      </c>
      <c r="AS300">
        <v>292</v>
      </c>
      <c r="AT300">
        <v>1</v>
      </c>
      <c r="AU300">
        <v>-2.0628991652142901</v>
      </c>
      <c r="AV300">
        <v>6.1255366824464134E-2</v>
      </c>
    </row>
    <row r="301" spans="44:48" x14ac:dyDescent="0.2">
      <c r="AR301">
        <v>293</v>
      </c>
      <c r="AS301">
        <v>293</v>
      </c>
      <c r="AT301">
        <v>1</v>
      </c>
      <c r="AU301">
        <v>-2.0319586338969451</v>
      </c>
      <c r="AV301">
        <v>6.1655299850309382E-2</v>
      </c>
    </row>
    <row r="302" spans="44:48" x14ac:dyDescent="0.2">
      <c r="AR302">
        <v>294</v>
      </c>
      <c r="AS302">
        <v>294</v>
      </c>
      <c r="AT302">
        <v>1</v>
      </c>
      <c r="AU302">
        <v>-2.0010181025795983</v>
      </c>
      <c r="AV302">
        <v>6.2054641302683032E-2</v>
      </c>
    </row>
    <row r="303" spans="44:48" x14ac:dyDescent="0.2">
      <c r="AR303">
        <v>295</v>
      </c>
      <c r="AS303">
        <v>295</v>
      </c>
      <c r="AT303">
        <v>1</v>
      </c>
      <c r="AU303">
        <v>-1.9700775712622516</v>
      </c>
      <c r="AV303">
        <v>6.245334599761497E-2</v>
      </c>
    </row>
    <row r="304" spans="44:48" x14ac:dyDescent="0.2">
      <c r="AR304">
        <v>296</v>
      </c>
      <c r="AS304">
        <v>296</v>
      </c>
      <c r="AT304">
        <v>1</v>
      </c>
      <c r="AU304">
        <v>-1.9391370399449066</v>
      </c>
      <c r="AV304">
        <v>6.2851368558559259E-2</v>
      </c>
    </row>
    <row r="305" spans="44:48" x14ac:dyDescent="0.2">
      <c r="AR305">
        <v>297</v>
      </c>
      <c r="AS305">
        <v>297</v>
      </c>
      <c r="AT305">
        <v>1</v>
      </c>
      <c r="AU305">
        <v>-1.9081965086275599</v>
      </c>
      <c r="AV305">
        <v>6.3248663424554263E-2</v>
      </c>
    </row>
    <row r="306" spans="44:48" x14ac:dyDescent="0.2">
      <c r="AR306">
        <v>298</v>
      </c>
      <c r="AS306">
        <v>298</v>
      </c>
      <c r="AT306">
        <v>1</v>
      </c>
      <c r="AU306">
        <v>-1.8772559773102131</v>
      </c>
      <c r="AV306">
        <v>6.3645184858482307E-2</v>
      </c>
    </row>
    <row r="307" spans="44:48" x14ac:dyDescent="0.2">
      <c r="AR307">
        <v>299</v>
      </c>
      <c r="AS307">
        <v>299</v>
      </c>
      <c r="AT307">
        <v>1</v>
      </c>
      <c r="AU307">
        <v>-1.8463154459928663</v>
      </c>
      <c r="AV307">
        <v>6.4040886955427617E-2</v>
      </c>
    </row>
    <row r="308" spans="44:48" x14ac:dyDescent="0.2">
      <c r="AR308">
        <v>300</v>
      </c>
      <c r="AS308">
        <v>300</v>
      </c>
      <c r="AT308">
        <v>1</v>
      </c>
      <c r="AU308">
        <v>-1.8153749146755214</v>
      </c>
      <c r="AV308">
        <v>6.4435723651130344E-2</v>
      </c>
    </row>
    <row r="309" spans="44:48" x14ac:dyDescent="0.2">
      <c r="AR309">
        <v>301</v>
      </c>
      <c r="AS309">
        <v>301</v>
      </c>
      <c r="AT309">
        <v>1</v>
      </c>
      <c r="AU309">
        <v>-1.7844343833581746</v>
      </c>
      <c r="AV309">
        <v>6.482964873053447E-2</v>
      </c>
    </row>
    <row r="310" spans="44:48" x14ac:dyDescent="0.2">
      <c r="AR310">
        <v>302</v>
      </c>
      <c r="AS310">
        <v>302</v>
      </c>
      <c r="AT310">
        <v>1</v>
      </c>
      <c r="AU310">
        <v>-1.7534938520408279</v>
      </c>
      <c r="AV310">
        <v>6.5222615836427758E-2</v>
      </c>
    </row>
    <row r="311" spans="44:48" x14ac:dyDescent="0.2">
      <c r="AR311">
        <v>303</v>
      </c>
      <c r="AS311">
        <v>303</v>
      </c>
      <c r="AT311">
        <v>1</v>
      </c>
      <c r="AU311">
        <v>-1.7225533207234811</v>
      </c>
      <c r="AV311">
        <v>6.5614578478171454E-2</v>
      </c>
    </row>
    <row r="312" spans="44:48" x14ac:dyDescent="0.2">
      <c r="AR312">
        <v>304</v>
      </c>
      <c r="AS312">
        <v>304</v>
      </c>
      <c r="AT312">
        <v>1</v>
      </c>
      <c r="AU312">
        <v>-1.6916127894061361</v>
      </c>
      <c r="AV312">
        <v>6.600549004051777E-2</v>
      </c>
    </row>
    <row r="313" spans="44:48" x14ac:dyDescent="0.2">
      <c r="AR313">
        <v>305</v>
      </c>
      <c r="AS313">
        <v>305</v>
      </c>
      <c r="AT313">
        <v>1</v>
      </c>
      <c r="AU313">
        <v>-1.6606722580887894</v>
      </c>
      <c r="AV313">
        <v>6.6395303792512822E-2</v>
      </c>
    </row>
    <row r="314" spans="44:48" x14ac:dyDescent="0.2">
      <c r="AR314">
        <v>306</v>
      </c>
      <c r="AS314">
        <v>306</v>
      </c>
      <c r="AT314">
        <v>1</v>
      </c>
      <c r="AU314">
        <v>-1.6297317267714426</v>
      </c>
      <c r="AV314">
        <v>6.6783972896482705E-2</v>
      </c>
    </row>
    <row r="315" spans="44:48" x14ac:dyDescent="0.2">
      <c r="AR315">
        <v>307</v>
      </c>
      <c r="AS315">
        <v>307</v>
      </c>
      <c r="AT315">
        <v>1</v>
      </c>
      <c r="AU315">
        <v>-1.5987911954540959</v>
      </c>
      <c r="AV315">
        <v>6.7171450417100473E-2</v>
      </c>
    </row>
    <row r="316" spans="44:48" x14ac:dyDescent="0.2">
      <c r="AR316">
        <v>308</v>
      </c>
      <c r="AS316">
        <v>308</v>
      </c>
      <c r="AT316">
        <v>1</v>
      </c>
      <c r="AU316">
        <v>-1.5678506641367509</v>
      </c>
      <c r="AV316">
        <v>6.7557689330531856E-2</v>
      </c>
    </row>
    <row r="317" spans="44:48" x14ac:dyDescent="0.2">
      <c r="AR317">
        <v>309</v>
      </c>
      <c r="AS317">
        <v>309</v>
      </c>
      <c r="AT317">
        <v>1</v>
      </c>
      <c r="AU317">
        <v>-1.5369101328194041</v>
      </c>
      <c r="AV317">
        <v>6.7942642533657088E-2</v>
      </c>
    </row>
    <row r="318" spans="44:48" x14ac:dyDescent="0.2">
      <c r="AR318">
        <v>310</v>
      </c>
      <c r="AS318">
        <v>310</v>
      </c>
      <c r="AT318">
        <v>1</v>
      </c>
      <c r="AU318">
        <v>-1.5059696015020574</v>
      </c>
      <c r="AV318">
        <v>6.8326262853366473E-2</v>
      </c>
    </row>
    <row r="319" spans="44:48" x14ac:dyDescent="0.2">
      <c r="AR319">
        <v>311</v>
      </c>
      <c r="AS319">
        <v>311</v>
      </c>
      <c r="AT319">
        <v>1</v>
      </c>
      <c r="AU319">
        <v>-1.4750290701847124</v>
      </c>
      <c r="AV319">
        <v>6.8708503055927253E-2</v>
      </c>
    </row>
    <row r="320" spans="44:48" x14ac:dyDescent="0.2">
      <c r="AR320">
        <v>312</v>
      </c>
      <c r="AS320">
        <v>312</v>
      </c>
      <c r="AT320">
        <v>1</v>
      </c>
      <c r="AU320">
        <v>-1.4440885388673657</v>
      </c>
      <c r="AV320">
        <v>6.9089315856419545E-2</v>
      </c>
    </row>
    <row r="321" spans="44:48" x14ac:dyDescent="0.2">
      <c r="AR321">
        <v>313</v>
      </c>
      <c r="AS321">
        <v>313</v>
      </c>
      <c r="AT321">
        <v>1</v>
      </c>
      <c r="AU321">
        <v>-1.4131480075500189</v>
      </c>
      <c r="AV321">
        <v>6.946865392823813E-2</v>
      </c>
    </row>
    <row r="322" spans="44:48" x14ac:dyDescent="0.2">
      <c r="AR322">
        <v>314</v>
      </c>
      <c r="AS322">
        <v>314</v>
      </c>
      <c r="AT322">
        <v>1</v>
      </c>
      <c r="AU322">
        <v>-1.3822074762326721</v>
      </c>
      <c r="AV322">
        <v>6.9846469912658332E-2</v>
      </c>
    </row>
    <row r="323" spans="44:48" x14ac:dyDescent="0.2">
      <c r="AR323">
        <v>315</v>
      </c>
      <c r="AS323">
        <v>315</v>
      </c>
      <c r="AT323">
        <v>1</v>
      </c>
      <c r="AU323">
        <v>-1.3512669449153272</v>
      </c>
      <c r="AV323">
        <v>7.0222716428462728E-2</v>
      </c>
    </row>
    <row r="324" spans="44:48" x14ac:dyDescent="0.2">
      <c r="AR324">
        <v>316</v>
      </c>
      <c r="AS324">
        <v>316</v>
      </c>
      <c r="AT324">
        <v>1</v>
      </c>
      <c r="AU324">
        <v>-1.3203264135979804</v>
      </c>
      <c r="AV324">
        <v>7.0597346081626502E-2</v>
      </c>
    </row>
    <row r="325" spans="44:48" x14ac:dyDescent="0.2">
      <c r="AR325">
        <v>317</v>
      </c>
      <c r="AS325">
        <v>317</v>
      </c>
      <c r="AT325">
        <v>1</v>
      </c>
      <c r="AU325">
        <v>-1.2893858822806337</v>
      </c>
      <c r="AV325">
        <v>7.0970311475058181E-2</v>
      </c>
    </row>
    <row r="326" spans="44:48" x14ac:dyDescent="0.2">
      <c r="AR326">
        <v>318</v>
      </c>
      <c r="AS326">
        <v>318</v>
      </c>
      <c r="AT326">
        <v>1</v>
      </c>
      <c r="AU326">
        <v>-1.2584453509632869</v>
      </c>
      <c r="AV326">
        <v>7.1341565218393771E-2</v>
      </c>
    </row>
    <row r="327" spans="44:48" x14ac:dyDescent="0.2">
      <c r="AR327">
        <v>319</v>
      </c>
      <c r="AS327">
        <v>319</v>
      </c>
      <c r="AT327">
        <v>1</v>
      </c>
      <c r="AU327">
        <v>-1.2275048196459419</v>
      </c>
      <c r="AV327">
        <v>7.1711059937840951E-2</v>
      </c>
    </row>
    <row r="328" spans="44:48" x14ac:dyDescent="0.2">
      <c r="AR328">
        <v>320</v>
      </c>
      <c r="AS328">
        <v>320</v>
      </c>
      <c r="AT328">
        <v>1</v>
      </c>
      <c r="AU328">
        <v>-1.1965642883285952</v>
      </c>
      <c r="AV328">
        <v>7.2078748286070776E-2</v>
      </c>
    </row>
    <row r="329" spans="44:48" x14ac:dyDescent="0.2">
      <c r="AR329">
        <v>321</v>
      </c>
      <c r="AS329">
        <v>321</v>
      </c>
      <c r="AT329">
        <v>1</v>
      </c>
      <c r="AU329">
        <v>-1.1656237570112484</v>
      </c>
      <c r="AV329">
        <v>7.2444582952153891E-2</v>
      </c>
    </row>
    <row r="330" spans="44:48" x14ac:dyDescent="0.2">
      <c r="AR330">
        <v>322</v>
      </c>
      <c r="AS330">
        <v>322</v>
      </c>
      <c r="AT330">
        <v>1</v>
      </c>
      <c r="AU330">
        <v>-1.1346832256939035</v>
      </c>
      <c r="AV330">
        <v>7.2808516671538759E-2</v>
      </c>
    </row>
    <row r="331" spans="44:48" x14ac:dyDescent="0.2">
      <c r="AR331">
        <v>323</v>
      </c>
      <c r="AS331">
        <v>323</v>
      </c>
      <c r="AT331">
        <v>1</v>
      </c>
      <c r="AU331">
        <v>-1.1037426943765567</v>
      </c>
      <c r="AV331">
        <v>7.3170502236068719E-2</v>
      </c>
    </row>
    <row r="332" spans="44:48" x14ac:dyDescent="0.2">
      <c r="AR332">
        <v>324</v>
      </c>
      <c r="AS332">
        <v>324</v>
      </c>
      <c r="AT332">
        <v>1</v>
      </c>
      <c r="AU332">
        <v>-1.0728021630592099</v>
      </c>
      <c r="AV332">
        <v>7.3530492504034803E-2</v>
      </c>
    </row>
    <row r="333" spans="44:48" x14ac:dyDescent="0.2">
      <c r="AR333">
        <v>325</v>
      </c>
      <c r="AS333">
        <v>325</v>
      </c>
      <c r="AT333">
        <v>1</v>
      </c>
      <c r="AU333">
        <v>-1.0418616317418632</v>
      </c>
      <c r="AV333">
        <v>7.3888440410261963E-2</v>
      </c>
    </row>
    <row r="334" spans="44:48" x14ac:dyDescent="0.2">
      <c r="AR334">
        <v>326</v>
      </c>
      <c r="AS334">
        <v>326</v>
      </c>
      <c r="AT334">
        <v>1</v>
      </c>
      <c r="AU334">
        <v>-1.0109211004245182</v>
      </c>
      <c r="AV334">
        <v>7.424429897622517E-2</v>
      </c>
    </row>
    <row r="335" spans="44:48" x14ac:dyDescent="0.2">
      <c r="AR335">
        <v>327</v>
      </c>
      <c r="AS335">
        <v>327</v>
      </c>
      <c r="AT335">
        <v>1</v>
      </c>
      <c r="AU335">
        <v>-0.97998056910717146</v>
      </c>
      <c r="AV335">
        <v>7.4598021320192706E-2</v>
      </c>
    </row>
    <row r="336" spans="44:48" x14ac:dyDescent="0.2">
      <c r="AR336">
        <v>328</v>
      </c>
      <c r="AS336">
        <v>328</v>
      </c>
      <c r="AT336">
        <v>1</v>
      </c>
      <c r="AU336">
        <v>-0.94904003778982471</v>
      </c>
      <c r="AV336">
        <v>7.4949560667393333E-2</v>
      </c>
    </row>
    <row r="337" spans="44:48" x14ac:dyDescent="0.2">
      <c r="AR337">
        <v>329</v>
      </c>
      <c r="AS337">
        <v>329</v>
      </c>
      <c r="AT337">
        <v>1</v>
      </c>
      <c r="AU337">
        <v>-0.91809950647247796</v>
      </c>
      <c r="AV337">
        <v>7.5298870360204814E-2</v>
      </c>
    </row>
    <row r="338" spans="44:48" x14ac:dyDescent="0.2">
      <c r="AR338">
        <v>330</v>
      </c>
      <c r="AS338">
        <v>330</v>
      </c>
      <c r="AT338">
        <v>1</v>
      </c>
      <c r="AU338">
        <v>-0.88715897515513298</v>
      </c>
      <c r="AV338">
        <v>7.5645903868360106E-2</v>
      </c>
    </row>
    <row r="339" spans="44:48" x14ac:dyDescent="0.2">
      <c r="AR339">
        <v>331</v>
      </c>
      <c r="AS339">
        <v>331</v>
      </c>
      <c r="AT339">
        <v>1</v>
      </c>
      <c r="AU339">
        <v>-0.85621844383778623</v>
      </c>
      <c r="AV339">
        <v>7.5990614799168715E-2</v>
      </c>
    </row>
    <row r="340" spans="44:48" x14ac:dyDescent="0.2">
      <c r="AR340">
        <v>332</v>
      </c>
      <c r="AS340">
        <v>332</v>
      </c>
      <c r="AT340">
        <v>1</v>
      </c>
      <c r="AU340">
        <v>-0.82527791252043947</v>
      </c>
      <c r="AV340">
        <v>7.6332956907749591E-2</v>
      </c>
    </row>
    <row r="341" spans="44:48" x14ac:dyDescent="0.2">
      <c r="AR341">
        <v>333</v>
      </c>
      <c r="AS341">
        <v>333</v>
      </c>
      <c r="AT341">
        <v>1</v>
      </c>
      <c r="AU341">
        <v>-0.79433738120309272</v>
      </c>
      <c r="AV341">
        <v>7.6672884107272812E-2</v>
      </c>
    </row>
    <row r="342" spans="44:48" x14ac:dyDescent="0.2">
      <c r="AR342">
        <v>334</v>
      </c>
      <c r="AS342">
        <v>334</v>
      </c>
      <c r="AT342">
        <v>1</v>
      </c>
      <c r="AU342">
        <v>-0.76339684988574774</v>
      </c>
      <c r="AV342">
        <v>7.701035047920686E-2</v>
      </c>
    </row>
    <row r="343" spans="44:48" x14ac:dyDescent="0.2">
      <c r="AR343">
        <v>335</v>
      </c>
      <c r="AS343">
        <v>335</v>
      </c>
      <c r="AT343">
        <v>1</v>
      </c>
      <c r="AU343">
        <v>-0.73245631856840099</v>
      </c>
      <c r="AV343">
        <v>7.7345310283568197E-2</v>
      </c>
    </row>
    <row r="344" spans="44:48" x14ac:dyDescent="0.2">
      <c r="AR344">
        <v>336</v>
      </c>
      <c r="AS344">
        <v>336</v>
      </c>
      <c r="AT344">
        <v>1</v>
      </c>
      <c r="AU344">
        <v>-0.70151578725105423</v>
      </c>
      <c r="AV344">
        <v>7.7677717969169946E-2</v>
      </c>
    </row>
    <row r="345" spans="44:48" x14ac:dyDescent="0.2">
      <c r="AR345">
        <v>337</v>
      </c>
      <c r="AS345">
        <v>337</v>
      </c>
      <c r="AT345">
        <v>1</v>
      </c>
      <c r="AU345">
        <v>-0.67057525593370926</v>
      </c>
      <c r="AV345">
        <v>7.8007528183866748E-2</v>
      </c>
    </row>
    <row r="346" spans="44:48" x14ac:dyDescent="0.2">
      <c r="AR346">
        <v>338</v>
      </c>
      <c r="AS346">
        <v>338</v>
      </c>
      <c r="AT346">
        <v>1</v>
      </c>
      <c r="AU346">
        <v>-0.6396347246163625</v>
      </c>
      <c r="AV346">
        <v>7.8334695784792491E-2</v>
      </c>
    </row>
    <row r="347" spans="44:48" x14ac:dyDescent="0.2">
      <c r="AR347">
        <v>339</v>
      </c>
      <c r="AS347">
        <v>339</v>
      </c>
      <c r="AT347">
        <v>1</v>
      </c>
      <c r="AU347">
        <v>-0.60869419329901575</v>
      </c>
      <c r="AV347">
        <v>7.8659175848587309E-2</v>
      </c>
    </row>
    <row r="348" spans="44:48" x14ac:dyDescent="0.2">
      <c r="AR348">
        <v>340</v>
      </c>
      <c r="AS348">
        <v>340</v>
      </c>
      <c r="AT348">
        <v>1</v>
      </c>
      <c r="AU348">
        <v>-0.577753661981669</v>
      </c>
      <c r="AV348">
        <v>7.8980923681611456E-2</v>
      </c>
    </row>
    <row r="349" spans="44:48" x14ac:dyDescent="0.2">
      <c r="AR349">
        <v>341</v>
      </c>
      <c r="AS349">
        <v>341</v>
      </c>
      <c r="AT349">
        <v>1</v>
      </c>
      <c r="AU349">
        <v>-0.54681313066432402</v>
      </c>
      <c r="AV349">
        <v>7.9299894830141965E-2</v>
      </c>
    </row>
    <row r="350" spans="44:48" x14ac:dyDescent="0.2">
      <c r="AR350">
        <v>342</v>
      </c>
      <c r="AS350">
        <v>342</v>
      </c>
      <c r="AT350">
        <v>1</v>
      </c>
      <c r="AU350">
        <v>-0.51587259934697727</v>
      </c>
      <c r="AV350">
        <v>7.9616045090549495E-2</v>
      </c>
    </row>
    <row r="351" spans="44:48" x14ac:dyDescent="0.2">
      <c r="AR351">
        <v>343</v>
      </c>
      <c r="AS351">
        <v>343</v>
      </c>
      <c r="AT351">
        <v>1</v>
      </c>
      <c r="AU351">
        <v>-0.48493206802963051</v>
      </c>
      <c r="AV351">
        <v>7.9929330519451641E-2</v>
      </c>
    </row>
    <row r="352" spans="44:48" x14ac:dyDescent="0.2">
      <c r="AR352">
        <v>344</v>
      </c>
      <c r="AS352">
        <v>344</v>
      </c>
      <c r="AT352">
        <v>1</v>
      </c>
      <c r="AU352">
        <v>-0.45399153671228376</v>
      </c>
      <c r="AV352">
        <v>8.0239707443839958E-2</v>
      </c>
    </row>
    <row r="353" spans="44:48" x14ac:dyDescent="0.2">
      <c r="AR353">
        <v>345</v>
      </c>
      <c r="AS353">
        <v>345</v>
      </c>
      <c r="AT353">
        <v>1</v>
      </c>
      <c r="AU353">
        <v>-0.42305100539493878</v>
      </c>
      <c r="AV353">
        <v>8.054713247117698E-2</v>
      </c>
    </row>
    <row r="354" spans="44:48" x14ac:dyDescent="0.2">
      <c r="AR354">
        <v>346</v>
      </c>
      <c r="AS354">
        <v>346</v>
      </c>
      <c r="AT354">
        <v>1</v>
      </c>
      <c r="AU354">
        <v>-0.39211047407759203</v>
      </c>
      <c r="AV354">
        <v>8.0851562499460336E-2</v>
      </c>
    </row>
    <row r="355" spans="44:48" x14ac:dyDescent="0.2">
      <c r="AR355">
        <v>347</v>
      </c>
      <c r="AS355">
        <v>347</v>
      </c>
      <c r="AT355">
        <v>1</v>
      </c>
      <c r="AU355">
        <v>-0.36116994276024528</v>
      </c>
      <c r="AV355">
        <v>8.1152954727250481E-2</v>
      </c>
    </row>
    <row r="356" spans="44:48" x14ac:dyDescent="0.2">
      <c r="AR356">
        <v>348</v>
      </c>
      <c r="AS356">
        <v>348</v>
      </c>
      <c r="AT356">
        <v>1</v>
      </c>
      <c r="AU356">
        <v>-0.3302294114429003</v>
      </c>
      <c r="AV356">
        <v>8.1451266663658872E-2</v>
      </c>
    </row>
    <row r="357" spans="44:48" x14ac:dyDescent="0.2">
      <c r="AR357">
        <v>349</v>
      </c>
      <c r="AS357">
        <v>349</v>
      </c>
      <c r="AT357">
        <v>1</v>
      </c>
      <c r="AU357">
        <v>-0.29928888012555355</v>
      </c>
      <c r="AV357">
        <v>8.1746456138293497E-2</v>
      </c>
    </row>
    <row r="358" spans="44:48" x14ac:dyDescent="0.2">
      <c r="AR358">
        <v>350</v>
      </c>
      <c r="AS358">
        <v>350</v>
      </c>
      <c r="AT358">
        <v>1</v>
      </c>
      <c r="AU358">
        <v>-0.26834834880820679</v>
      </c>
      <c r="AV358">
        <v>8.2038481311158165E-2</v>
      </c>
    </row>
    <row r="359" spans="44:48" x14ac:dyDescent="0.2">
      <c r="AR359">
        <v>351</v>
      </c>
      <c r="AS359">
        <v>351</v>
      </c>
      <c r="AT359">
        <v>1</v>
      </c>
      <c r="AU359">
        <v>-0.23740781749086004</v>
      </c>
      <c r="AV359">
        <v>8.2327300682502672E-2</v>
      </c>
    </row>
    <row r="360" spans="44:48" x14ac:dyDescent="0.2">
      <c r="AR360">
        <v>352</v>
      </c>
      <c r="AS360">
        <v>352</v>
      </c>
      <c r="AT360">
        <v>1</v>
      </c>
      <c r="AU360">
        <v>-0.20646728617351506</v>
      </c>
      <c r="AV360">
        <v>8.2612873102620332E-2</v>
      </c>
    </row>
    <row r="361" spans="44:48" x14ac:dyDescent="0.2">
      <c r="AR361">
        <v>353</v>
      </c>
      <c r="AS361">
        <v>353</v>
      </c>
      <c r="AT361">
        <v>1</v>
      </c>
      <c r="AU361">
        <v>-0.17552675485616831</v>
      </c>
      <c r="AV361">
        <v>8.2895157781589957E-2</v>
      </c>
    </row>
    <row r="362" spans="44:48" x14ac:dyDescent="0.2">
      <c r="AR362">
        <v>354</v>
      </c>
      <c r="AS362">
        <v>354</v>
      </c>
      <c r="AT362">
        <v>1</v>
      </c>
      <c r="AU362">
        <v>-0.14458622353882156</v>
      </c>
      <c r="AV362">
        <v>8.3174114298958657E-2</v>
      </c>
    </row>
    <row r="363" spans="44:48" x14ac:dyDescent="0.2">
      <c r="AR363">
        <v>355</v>
      </c>
      <c r="AS363">
        <v>355</v>
      </c>
      <c r="AT363">
        <v>1</v>
      </c>
      <c r="AU363">
        <v>-0.1136456922214748</v>
      </c>
      <c r="AV363">
        <v>8.344970261336257E-2</v>
      </c>
    </row>
    <row r="364" spans="44:48" x14ac:dyDescent="0.2">
      <c r="AR364">
        <v>356</v>
      </c>
      <c r="AS364">
        <v>356</v>
      </c>
      <c r="AT364">
        <v>1</v>
      </c>
      <c r="AU364">
        <v>-8.2705160904129826E-2</v>
      </c>
      <c r="AV364">
        <v>8.3721883072082323E-2</v>
      </c>
    </row>
    <row r="365" spans="44:48" x14ac:dyDescent="0.2">
      <c r="AR365">
        <v>357</v>
      </c>
      <c r="AS365">
        <v>357</v>
      </c>
      <c r="AT365">
        <v>1</v>
      </c>
      <c r="AU365">
        <v>-5.1764629586783073E-2</v>
      </c>
      <c r="AV365">
        <v>8.3990616420529809E-2</v>
      </c>
    </row>
    <row r="366" spans="44:48" x14ac:dyDescent="0.2">
      <c r="AR366">
        <v>358</v>
      </c>
      <c r="AS366">
        <v>358</v>
      </c>
      <c r="AT366">
        <v>1</v>
      </c>
      <c r="AU366">
        <v>-2.082409826943632E-2</v>
      </c>
      <c r="AV366">
        <v>8.4255863811663306E-2</v>
      </c>
    </row>
    <row r="367" spans="44:48" x14ac:dyDescent="0.2">
      <c r="AR367">
        <v>359</v>
      </c>
      <c r="AS367">
        <v>359</v>
      </c>
      <c r="AT367">
        <v>1</v>
      </c>
      <c r="AU367">
        <v>1.0116433047910434E-2</v>
      </c>
      <c r="AV367">
        <v>8.45175868153277E-2</v>
      </c>
    </row>
    <row r="368" spans="44:48" x14ac:dyDescent="0.2">
      <c r="AR368">
        <v>360</v>
      </c>
      <c r="AS368">
        <v>360</v>
      </c>
      <c r="AT368">
        <v>1</v>
      </c>
      <c r="AU368">
        <v>4.1056964365255411E-2</v>
      </c>
      <c r="AV368">
        <v>8.4775747427516854E-2</v>
      </c>
    </row>
    <row r="369" spans="44:48" x14ac:dyDescent="0.2">
      <c r="AR369">
        <v>361</v>
      </c>
      <c r="AS369">
        <v>361</v>
      </c>
      <c r="AT369">
        <v>1</v>
      </c>
      <c r="AU369">
        <v>7.1997495682602164E-2</v>
      </c>
      <c r="AV369">
        <v>8.503030807955457E-2</v>
      </c>
    </row>
    <row r="370" spans="44:48" x14ac:dyDescent="0.2">
      <c r="AR370">
        <v>362</v>
      </c>
      <c r="AS370">
        <v>362</v>
      </c>
      <c r="AT370">
        <v>1</v>
      </c>
      <c r="AU370">
        <v>0.10293802699994892</v>
      </c>
      <c r="AV370">
        <v>8.5281231647191563E-2</v>
      </c>
    </row>
    <row r="371" spans="44:48" x14ac:dyDescent="0.2">
      <c r="AR371">
        <v>363</v>
      </c>
      <c r="AS371">
        <v>363</v>
      </c>
      <c r="AT371">
        <v>1</v>
      </c>
      <c r="AU371">
        <v>0.13387855831729389</v>
      </c>
      <c r="AV371">
        <v>8.5528481459615086E-2</v>
      </c>
    </row>
    <row r="372" spans="44:48" x14ac:dyDescent="0.2">
      <c r="AR372">
        <v>364</v>
      </c>
      <c r="AS372">
        <v>364</v>
      </c>
      <c r="AT372">
        <v>1</v>
      </c>
      <c r="AU372">
        <v>0.16481908963464065</v>
      </c>
      <c r="AV372">
        <v>8.5772021308368085E-2</v>
      </c>
    </row>
    <row r="373" spans="44:48" x14ac:dyDescent="0.2">
      <c r="AR373">
        <v>365</v>
      </c>
      <c r="AS373">
        <v>365</v>
      </c>
      <c r="AT373">
        <v>1</v>
      </c>
      <c r="AU373">
        <v>0.1957596209519874</v>
      </c>
      <c r="AV373">
        <v>8.6011815456175159E-2</v>
      </c>
    </row>
    <row r="374" spans="44:48" x14ac:dyDescent="0.2">
      <c r="AR374">
        <v>366</v>
      </c>
      <c r="AS374">
        <v>366</v>
      </c>
      <c r="AT374">
        <v>1</v>
      </c>
      <c r="AU374">
        <v>0.22670015226933415</v>
      </c>
      <c r="AV374">
        <v>8.624782864567189E-2</v>
      </c>
    </row>
    <row r="375" spans="44:48" x14ac:dyDescent="0.2">
      <c r="AR375">
        <v>367</v>
      </c>
      <c r="AS375">
        <v>367</v>
      </c>
      <c r="AT375">
        <v>1</v>
      </c>
      <c r="AU375">
        <v>0.25764068358667913</v>
      </c>
      <c r="AV375">
        <v>8.6480026108034999E-2</v>
      </c>
    </row>
    <row r="376" spans="44:48" x14ac:dyDescent="0.2">
      <c r="AR376">
        <v>368</v>
      </c>
      <c r="AS376">
        <v>368</v>
      </c>
      <c r="AT376">
        <v>1</v>
      </c>
      <c r="AU376">
        <v>0.28858121490402588</v>
      </c>
      <c r="AV376">
        <v>8.6708373571510053E-2</v>
      </c>
    </row>
    <row r="377" spans="44:48" x14ac:dyDescent="0.2">
      <c r="AR377">
        <v>369</v>
      </c>
      <c r="AS377">
        <v>369</v>
      </c>
      <c r="AT377">
        <v>1</v>
      </c>
      <c r="AU377">
        <v>0.31952174622137264</v>
      </c>
      <c r="AV377">
        <v>8.6932837269833932E-2</v>
      </c>
    </row>
    <row r="378" spans="44:48" x14ac:dyDescent="0.2">
      <c r="AR378">
        <v>370</v>
      </c>
      <c r="AS378">
        <v>370</v>
      </c>
      <c r="AT378">
        <v>1</v>
      </c>
      <c r="AU378">
        <v>0.35046227753871939</v>
      </c>
      <c r="AV378">
        <v>8.7153383950549224E-2</v>
      </c>
    </row>
    <row r="379" spans="44:48" x14ac:dyDescent="0.2">
      <c r="AR379">
        <v>371</v>
      </c>
      <c r="AS379">
        <v>371</v>
      </c>
      <c r="AT379">
        <v>1</v>
      </c>
      <c r="AU379">
        <v>0.38140280885606437</v>
      </c>
      <c r="AV379">
        <v>8.7369980883207451E-2</v>
      </c>
    </row>
    <row r="380" spans="44:48" x14ac:dyDescent="0.2">
      <c r="AR380">
        <v>372</v>
      </c>
      <c r="AS380">
        <v>372</v>
      </c>
      <c r="AT380">
        <v>1</v>
      </c>
      <c r="AU380">
        <v>0.41234334017341112</v>
      </c>
      <c r="AV380">
        <v>8.7582595867458549E-2</v>
      </c>
    </row>
    <row r="381" spans="44:48" x14ac:dyDescent="0.2">
      <c r="AR381">
        <v>373</v>
      </c>
      <c r="AS381">
        <v>373</v>
      </c>
      <c r="AT381">
        <v>1</v>
      </c>
      <c r="AU381">
        <v>0.44328387149075787</v>
      </c>
      <c r="AV381">
        <v>8.7791197241023772E-2</v>
      </c>
    </row>
    <row r="382" spans="44:48" x14ac:dyDescent="0.2">
      <c r="AR382">
        <v>374</v>
      </c>
      <c r="AS382">
        <v>374</v>
      </c>
      <c r="AT382">
        <v>1</v>
      </c>
      <c r="AU382">
        <v>0.47422440280810285</v>
      </c>
      <c r="AV382">
        <v>8.7995753887548989E-2</v>
      </c>
    </row>
    <row r="383" spans="44:48" x14ac:dyDescent="0.2">
      <c r="AR383">
        <v>375</v>
      </c>
      <c r="AS383">
        <v>375</v>
      </c>
      <c r="AT383">
        <v>1</v>
      </c>
      <c r="AU383">
        <v>0.50516493412544961</v>
      </c>
      <c r="AV383">
        <v>8.8196235244336077E-2</v>
      </c>
    </row>
    <row r="384" spans="44:48" x14ac:dyDescent="0.2">
      <c r="AR384">
        <v>376</v>
      </c>
      <c r="AS384">
        <v>376</v>
      </c>
      <c r="AT384">
        <v>1</v>
      </c>
      <c r="AU384">
        <v>0.53610546544279636</v>
      </c>
      <c r="AV384">
        <v>8.8392611309949312E-2</v>
      </c>
    </row>
    <row r="385" spans="44:48" x14ac:dyDescent="0.2">
      <c r="AR385">
        <v>377</v>
      </c>
      <c r="AS385">
        <v>377</v>
      </c>
      <c r="AT385">
        <v>1</v>
      </c>
      <c r="AU385">
        <v>0.56704599676014311</v>
      </c>
      <c r="AV385">
        <v>8.8584852651694371E-2</v>
      </c>
    </row>
    <row r="386" spans="44:48" x14ac:dyDescent="0.2">
      <c r="AR386">
        <v>378</v>
      </c>
      <c r="AS386">
        <v>378</v>
      </c>
      <c r="AT386">
        <v>1</v>
      </c>
      <c r="AU386">
        <v>0.59798652807748809</v>
      </c>
      <c r="AV386">
        <v>8.8772930412967355E-2</v>
      </c>
    </row>
    <row r="387" spans="44:48" x14ac:dyDescent="0.2">
      <c r="AR387">
        <v>379</v>
      </c>
      <c r="AS387">
        <v>379</v>
      </c>
      <c r="AT387">
        <v>1</v>
      </c>
      <c r="AU387">
        <v>0.62892705939483484</v>
      </c>
      <c r="AV387">
        <v>8.8956816320470908E-2</v>
      </c>
    </row>
    <row r="388" spans="44:48" x14ac:dyDescent="0.2">
      <c r="AR388">
        <v>380</v>
      </c>
      <c r="AS388">
        <v>380</v>
      </c>
      <c r="AT388">
        <v>1</v>
      </c>
      <c r="AU388">
        <v>0.6598675907121816</v>
      </c>
      <c r="AV388">
        <v>8.9136482691295496E-2</v>
      </c>
    </row>
    <row r="389" spans="44:48" x14ac:dyDescent="0.2">
      <c r="AR389">
        <v>381</v>
      </c>
      <c r="AS389">
        <v>381</v>
      </c>
      <c r="AT389">
        <v>1</v>
      </c>
      <c r="AU389">
        <v>0.69080812202952835</v>
      </c>
      <c r="AV389">
        <v>8.9311902439862728E-2</v>
      </c>
    </row>
    <row r="390" spans="44:48" x14ac:dyDescent="0.2">
      <c r="AR390">
        <v>382</v>
      </c>
      <c r="AS390">
        <v>382</v>
      </c>
      <c r="AT390">
        <v>1</v>
      </c>
      <c r="AU390">
        <v>0.72174865334687333</v>
      </c>
      <c r="AV390">
        <v>8.9483049084728816E-2</v>
      </c>
    </row>
    <row r="391" spans="44:48" x14ac:dyDescent="0.2">
      <c r="AR391">
        <v>383</v>
      </c>
      <c r="AS391">
        <v>383</v>
      </c>
      <c r="AT391">
        <v>1</v>
      </c>
      <c r="AU391">
        <v>0.75268918466422008</v>
      </c>
      <c r="AV391">
        <v>8.9649896755245428E-2</v>
      </c>
    </row>
    <row r="392" spans="44:48" x14ac:dyDescent="0.2">
      <c r="AR392">
        <v>384</v>
      </c>
      <c r="AS392">
        <v>384</v>
      </c>
      <c r="AT392">
        <v>1</v>
      </c>
      <c r="AU392">
        <v>0.78362971598156683</v>
      </c>
      <c r="AV392">
        <v>8.9812420198075796E-2</v>
      </c>
    </row>
    <row r="393" spans="44:48" x14ac:dyDescent="0.2">
      <c r="AR393">
        <v>385</v>
      </c>
      <c r="AS393">
        <v>385</v>
      </c>
      <c r="AT393">
        <v>1</v>
      </c>
      <c r="AU393">
        <v>0.81457024729891181</v>
      </c>
      <c r="AV393">
        <v>8.9970594783563548E-2</v>
      </c>
    </row>
    <row r="394" spans="44:48" x14ac:dyDescent="0.2">
      <c r="AR394">
        <v>386</v>
      </c>
      <c r="AS394">
        <v>386</v>
      </c>
      <c r="AT394">
        <v>1</v>
      </c>
      <c r="AU394">
        <v>0.84551077861625856</v>
      </c>
      <c r="AV394">
        <v>9.0124396511952476E-2</v>
      </c>
    </row>
    <row r="395" spans="44:48" x14ac:dyDescent="0.2">
      <c r="AR395">
        <v>387</v>
      </c>
      <c r="AS395">
        <v>387</v>
      </c>
      <c r="AT395">
        <v>1</v>
      </c>
      <c r="AU395">
        <v>0.87645130993360532</v>
      </c>
      <c r="AV395">
        <v>9.0273802019454383E-2</v>
      </c>
    </row>
    <row r="396" spans="44:48" x14ac:dyDescent="0.2">
      <c r="AR396">
        <v>388</v>
      </c>
      <c r="AS396">
        <v>388</v>
      </c>
      <c r="AT396">
        <v>1</v>
      </c>
      <c r="AU396">
        <v>0.90739184125095207</v>
      </c>
      <c r="AV396">
        <v>9.0418788584163398E-2</v>
      </c>
    </row>
    <row r="397" spans="44:48" x14ac:dyDescent="0.2">
      <c r="AR397">
        <v>389</v>
      </c>
      <c r="AS397">
        <v>389</v>
      </c>
      <c r="AT397">
        <v>1</v>
      </c>
      <c r="AU397">
        <v>0.93833237256829705</v>
      </c>
      <c r="AV397">
        <v>9.0559334131814509E-2</v>
      </c>
    </row>
    <row r="398" spans="44:48" x14ac:dyDescent="0.2">
      <c r="AR398">
        <v>390</v>
      </c>
      <c r="AS398">
        <v>390</v>
      </c>
      <c r="AT398">
        <v>1</v>
      </c>
      <c r="AU398">
        <v>0.9692729038856438</v>
      </c>
      <c r="AV398">
        <v>9.0695417241384191E-2</v>
      </c>
    </row>
    <row r="399" spans="44:48" x14ac:dyDescent="0.2">
      <c r="AR399">
        <v>391</v>
      </c>
      <c r="AS399">
        <v>391</v>
      </c>
      <c r="AT399">
        <v>1</v>
      </c>
      <c r="AU399">
        <v>1.0002134352029906</v>
      </c>
      <c r="AV399">
        <v>9.0827017150531084E-2</v>
      </c>
    </row>
    <row r="400" spans="44:48" x14ac:dyDescent="0.2">
      <c r="AR400">
        <v>392</v>
      </c>
      <c r="AS400">
        <v>392</v>
      </c>
      <c r="AT400">
        <v>1</v>
      </c>
      <c r="AU400">
        <v>1.0311539665203373</v>
      </c>
      <c r="AV400">
        <v>9.0954113760875102E-2</v>
      </c>
    </row>
    <row r="401" spans="44:48" x14ac:dyDescent="0.2">
      <c r="AR401">
        <v>393</v>
      </c>
      <c r="AS401">
        <v>393</v>
      </c>
      <c r="AT401">
        <v>1</v>
      </c>
      <c r="AU401">
        <v>1.0620944978376823</v>
      </c>
      <c r="AV401">
        <v>9.1076687643112761E-2</v>
      </c>
    </row>
    <row r="402" spans="44:48" x14ac:dyDescent="0.2">
      <c r="AR402">
        <v>394</v>
      </c>
      <c r="AS402">
        <v>394</v>
      </c>
      <c r="AT402">
        <v>1</v>
      </c>
      <c r="AU402">
        <v>1.093035029155029</v>
      </c>
      <c r="AV402">
        <v>9.1194720041967006E-2</v>
      </c>
    </row>
    <row r="403" spans="44:48" x14ac:dyDescent="0.2">
      <c r="AR403">
        <v>395</v>
      </c>
      <c r="AS403">
        <v>395</v>
      </c>
      <c r="AT403">
        <v>1</v>
      </c>
      <c r="AU403">
        <v>1.1239755604723758</v>
      </c>
      <c r="AV403">
        <v>9.1308192880969863E-2</v>
      </c>
    </row>
    <row r="404" spans="44:48" x14ac:dyDescent="0.2">
      <c r="AR404">
        <v>396</v>
      </c>
      <c r="AS404">
        <v>396</v>
      </c>
      <c r="AT404">
        <v>1</v>
      </c>
      <c r="AU404">
        <v>1.1549160917897225</v>
      </c>
      <c r="AV404">
        <v>9.1417088767076091E-2</v>
      </c>
    </row>
    <row r="405" spans="44:48" x14ac:dyDescent="0.2">
      <c r="AR405">
        <v>397</v>
      </c>
      <c r="AS405">
        <v>397</v>
      </c>
      <c r="AT405">
        <v>1</v>
      </c>
      <c r="AU405">
        <v>1.1858566231070675</v>
      </c>
      <c r="AV405">
        <v>9.1521390995106269E-2</v>
      </c>
    </row>
    <row r="406" spans="44:48" x14ac:dyDescent="0.2">
      <c r="AR406">
        <v>398</v>
      </c>
      <c r="AS406">
        <v>398</v>
      </c>
      <c r="AT406">
        <v>1</v>
      </c>
      <c r="AU406">
        <v>1.2167971544244143</v>
      </c>
      <c r="AV406">
        <v>9.1621083552017632E-2</v>
      </c>
    </row>
    <row r="407" spans="44:48" x14ac:dyDescent="0.2">
      <c r="AR407">
        <v>399</v>
      </c>
      <c r="AS407">
        <v>399</v>
      </c>
      <c r="AT407">
        <v>1</v>
      </c>
      <c r="AU407">
        <v>1.247737685741761</v>
      </c>
      <c r="AV407">
        <v>9.171615112100133E-2</v>
      </c>
    </row>
    <row r="408" spans="44:48" x14ac:dyDescent="0.2">
      <c r="AR408">
        <v>400</v>
      </c>
      <c r="AS408">
        <v>400</v>
      </c>
      <c r="AT408">
        <v>1</v>
      </c>
      <c r="AU408">
        <v>1.278678217059106</v>
      </c>
      <c r="AV408">
        <v>9.1806579085404266E-2</v>
      </c>
    </row>
    <row r="409" spans="44:48" x14ac:dyDescent="0.2">
      <c r="AR409">
        <v>401</v>
      </c>
      <c r="AS409">
        <v>401</v>
      </c>
      <c r="AT409">
        <v>1</v>
      </c>
      <c r="AU409">
        <v>1.3096187483764528</v>
      </c>
      <c r="AV409">
        <v>9.1892353532474602E-2</v>
      </c>
    </row>
    <row r="410" spans="44:48" x14ac:dyDescent="0.2">
      <c r="AR410">
        <v>402</v>
      </c>
      <c r="AS410">
        <v>402</v>
      </c>
      <c r="AT410">
        <v>1</v>
      </c>
      <c r="AU410">
        <v>1.3405592796937995</v>
      </c>
      <c r="AV410">
        <v>9.1973461256929123E-2</v>
      </c>
    </row>
    <row r="411" spans="44:48" x14ac:dyDescent="0.2">
      <c r="AR411">
        <v>403</v>
      </c>
      <c r="AS411">
        <v>403</v>
      </c>
      <c r="AT411">
        <v>1</v>
      </c>
      <c r="AU411">
        <v>1.3714998110111463</v>
      </c>
      <c r="AV411">
        <v>9.2049889764341516E-2</v>
      </c>
    </row>
    <row r="412" spans="44:48" x14ac:dyDescent="0.2">
      <c r="AR412">
        <v>404</v>
      </c>
      <c r="AS412">
        <v>404</v>
      </c>
      <c r="AT412">
        <v>1</v>
      </c>
      <c r="AU412">
        <v>1.4024403423284912</v>
      </c>
      <c r="AV412">
        <v>9.2121627274350165E-2</v>
      </c>
    </row>
    <row r="413" spans="44:48" x14ac:dyDescent="0.2">
      <c r="AR413">
        <v>405</v>
      </c>
      <c r="AS413">
        <v>405</v>
      </c>
      <c r="AT413">
        <v>1</v>
      </c>
      <c r="AU413">
        <v>1.433380873645838</v>
      </c>
      <c r="AV413">
        <v>9.2188662723684367E-2</v>
      </c>
    </row>
    <row r="414" spans="44:48" x14ac:dyDescent="0.2">
      <c r="AR414">
        <v>406</v>
      </c>
      <c r="AS414">
        <v>406</v>
      </c>
      <c r="AT414">
        <v>1</v>
      </c>
      <c r="AU414">
        <v>1.4643214049631847</v>
      </c>
      <c r="AV414">
        <v>9.2250985769007823E-2</v>
      </c>
    </row>
    <row r="415" spans="44:48" x14ac:dyDescent="0.2">
      <c r="AR415">
        <v>407</v>
      </c>
      <c r="AS415">
        <v>407</v>
      </c>
      <c r="AT415">
        <v>1</v>
      </c>
      <c r="AU415">
        <v>1.4952619362805315</v>
      </c>
      <c r="AV415">
        <v>9.2308586789578553E-2</v>
      </c>
    </row>
    <row r="416" spans="44:48" x14ac:dyDescent="0.2">
      <c r="AR416">
        <v>408</v>
      </c>
      <c r="AS416">
        <v>408</v>
      </c>
      <c r="AT416">
        <v>1</v>
      </c>
      <c r="AU416">
        <v>1.5262024675978765</v>
      </c>
      <c r="AV416">
        <v>9.2361456889724067E-2</v>
      </c>
    </row>
    <row r="417" spans="44:48" x14ac:dyDescent="0.2">
      <c r="AR417">
        <v>409</v>
      </c>
      <c r="AS417">
        <v>409</v>
      </c>
      <c r="AT417">
        <v>1</v>
      </c>
      <c r="AU417">
        <v>1.5571429989152232</v>
      </c>
      <c r="AV417">
        <v>9.2409587901130963E-2</v>
      </c>
    </row>
    <row r="418" spans="44:48" x14ac:dyDescent="0.2">
      <c r="AR418">
        <v>410</v>
      </c>
      <c r="AS418">
        <v>410</v>
      </c>
      <c r="AT418">
        <v>1</v>
      </c>
      <c r="AU418">
        <v>1.58808353023257</v>
      </c>
      <c r="AV418">
        <v>9.2452972384948248E-2</v>
      </c>
    </row>
    <row r="419" spans="44:48" x14ac:dyDescent="0.2">
      <c r="AR419">
        <v>411</v>
      </c>
      <c r="AS419">
        <v>411</v>
      </c>
      <c r="AT419">
        <v>1</v>
      </c>
      <c r="AU419">
        <v>1.619024061549915</v>
      </c>
      <c r="AV419">
        <v>9.2491603633703429E-2</v>
      </c>
    </row>
    <row r="420" spans="44:48" x14ac:dyDescent="0.2">
      <c r="AR420">
        <v>412</v>
      </c>
      <c r="AS420">
        <v>412</v>
      </c>
      <c r="AT420">
        <v>1</v>
      </c>
      <c r="AU420">
        <v>1.6499645928672617</v>
      </c>
      <c r="AV420">
        <v>9.2525475673030905E-2</v>
      </c>
    </row>
    <row r="421" spans="44:48" x14ac:dyDescent="0.2">
      <c r="AR421">
        <v>413</v>
      </c>
      <c r="AS421">
        <v>413</v>
      </c>
      <c r="AT421">
        <v>1</v>
      </c>
      <c r="AU421">
        <v>1.6809051241846085</v>
      </c>
      <c r="AV421">
        <v>9.2554583263211795E-2</v>
      </c>
    </row>
    <row r="422" spans="44:48" x14ac:dyDescent="0.2">
      <c r="AR422">
        <v>414</v>
      </c>
      <c r="AS422">
        <v>414</v>
      </c>
      <c r="AT422">
        <v>1</v>
      </c>
      <c r="AU422">
        <v>1.7118456555019552</v>
      </c>
      <c r="AV422">
        <v>9.257892190052476E-2</v>
      </c>
    </row>
    <row r="423" spans="44:48" x14ac:dyDescent="0.2">
      <c r="AR423">
        <v>415</v>
      </c>
      <c r="AS423">
        <v>415</v>
      </c>
      <c r="AT423">
        <v>1</v>
      </c>
      <c r="AU423">
        <v>1.7427861868193002</v>
      </c>
      <c r="AV423">
        <v>9.2598487818407557E-2</v>
      </c>
    </row>
    <row r="424" spans="44:48" x14ac:dyDescent="0.2">
      <c r="AR424">
        <v>416</v>
      </c>
      <c r="AS424">
        <v>416</v>
      </c>
      <c r="AT424">
        <v>1</v>
      </c>
      <c r="AU424">
        <v>1.773726718136647</v>
      </c>
      <c r="AV424">
        <v>9.2613277988428347E-2</v>
      </c>
    </row>
    <row r="425" spans="44:48" x14ac:dyDescent="0.2">
      <c r="AR425">
        <v>417</v>
      </c>
      <c r="AS425">
        <v>417</v>
      </c>
      <c r="AT425">
        <v>1</v>
      </c>
      <c r="AU425">
        <v>1.8046672494539937</v>
      </c>
      <c r="AV425">
        <v>9.2623290121066987E-2</v>
      </c>
    </row>
    <row r="426" spans="44:48" x14ac:dyDescent="0.2">
      <c r="AR426">
        <v>418</v>
      </c>
      <c r="AS426">
        <v>418</v>
      </c>
      <c r="AT426">
        <v>1</v>
      </c>
      <c r="AU426">
        <v>1.8356077807713405</v>
      </c>
      <c r="AV426">
        <v>9.2628522666305793E-2</v>
      </c>
    </row>
    <row r="427" spans="44:48" x14ac:dyDescent="0.2">
      <c r="AR427">
        <v>419</v>
      </c>
      <c r="AS427">
        <v>419</v>
      </c>
      <c r="AT427">
        <v>1</v>
      </c>
      <c r="AU427">
        <v>1.8665483120886854</v>
      </c>
      <c r="AV427">
        <v>9.2628974814029333E-2</v>
      </c>
    </row>
    <row r="428" spans="44:48" x14ac:dyDescent="0.2">
      <c r="AR428">
        <v>420</v>
      </c>
      <c r="AS428">
        <v>420</v>
      </c>
      <c r="AT428">
        <v>1</v>
      </c>
      <c r="AU428">
        <v>1.8974888434060322</v>
      </c>
      <c r="AV428">
        <v>9.2624646494233576E-2</v>
      </c>
    </row>
    <row r="429" spans="44:48" x14ac:dyDescent="0.2">
      <c r="AR429">
        <v>421</v>
      </c>
      <c r="AS429">
        <v>421</v>
      </c>
      <c r="AT429">
        <v>1</v>
      </c>
      <c r="AU429">
        <v>1.9284293747233789</v>
      </c>
      <c r="AV429">
        <v>9.2615538377043893E-2</v>
      </c>
    </row>
    <row r="430" spans="44:48" x14ac:dyDescent="0.2">
      <c r="AR430">
        <v>422</v>
      </c>
      <c r="AS430">
        <v>422</v>
      </c>
      <c r="AT430">
        <v>1</v>
      </c>
      <c r="AU430">
        <v>1.9593699060407257</v>
      </c>
      <c r="AV430">
        <v>9.2601651872542184E-2</v>
      </c>
    </row>
    <row r="431" spans="44:48" x14ac:dyDescent="0.2">
      <c r="AR431">
        <v>423</v>
      </c>
      <c r="AS431">
        <v>423</v>
      </c>
      <c r="AT431">
        <v>1</v>
      </c>
      <c r="AU431">
        <v>1.9903104373580707</v>
      </c>
      <c r="AV431">
        <v>9.2582989130402985E-2</v>
      </c>
    </row>
    <row r="432" spans="44:48" x14ac:dyDescent="0.2">
      <c r="AR432">
        <v>424</v>
      </c>
      <c r="AS432">
        <v>424</v>
      </c>
      <c r="AT432">
        <v>1</v>
      </c>
      <c r="AU432">
        <v>2.0212509686754174</v>
      </c>
      <c r="AV432">
        <v>9.2559553039338952E-2</v>
      </c>
    </row>
    <row r="433" spans="44:48" x14ac:dyDescent="0.2">
      <c r="AR433">
        <v>425</v>
      </c>
      <c r="AS433">
        <v>425</v>
      </c>
      <c r="AT433">
        <v>1</v>
      </c>
      <c r="AU433">
        <v>2.0521914999927642</v>
      </c>
      <c r="AV433">
        <v>9.2531347226355531E-2</v>
      </c>
    </row>
    <row r="434" spans="44:48" x14ac:dyDescent="0.2">
      <c r="AR434">
        <v>426</v>
      </c>
      <c r="AS434">
        <v>426</v>
      </c>
      <c r="AT434">
        <v>1</v>
      </c>
      <c r="AU434">
        <v>2.0831320313101092</v>
      </c>
      <c r="AV434">
        <v>9.249837605581554E-2</v>
      </c>
    </row>
    <row r="435" spans="44:48" x14ac:dyDescent="0.2">
      <c r="AR435">
        <v>427</v>
      </c>
      <c r="AS435">
        <v>427</v>
      </c>
      <c r="AT435">
        <v>1</v>
      </c>
      <c r="AU435">
        <v>2.1140725626274559</v>
      </c>
      <c r="AV435">
        <v>9.2460644628313618E-2</v>
      </c>
    </row>
    <row r="436" spans="44:48" x14ac:dyDescent="0.2">
      <c r="AR436">
        <v>428</v>
      </c>
      <c r="AS436">
        <v>428</v>
      </c>
      <c r="AT436">
        <v>1</v>
      </c>
      <c r="AU436">
        <v>2.1450130939448027</v>
      </c>
      <c r="AV436">
        <v>9.2418158779361201E-2</v>
      </c>
    </row>
    <row r="437" spans="44:48" x14ac:dyDescent="0.2">
      <c r="AR437">
        <v>429</v>
      </c>
      <c r="AS437">
        <v>429</v>
      </c>
      <c r="AT437">
        <v>1</v>
      </c>
      <c r="AU437">
        <v>2.1759536252621494</v>
      </c>
      <c r="AV437">
        <v>9.2370925077882318E-2</v>
      </c>
    </row>
    <row r="438" spans="44:48" x14ac:dyDescent="0.2">
      <c r="AR438">
        <v>430</v>
      </c>
      <c r="AS438">
        <v>430</v>
      </c>
      <c r="AT438">
        <v>1</v>
      </c>
      <c r="AU438">
        <v>2.2068941565794944</v>
      </c>
      <c r="AV438">
        <v>9.2318950824520879E-2</v>
      </c>
    </row>
    <row r="439" spans="44:48" x14ac:dyDescent="0.2">
      <c r="AR439">
        <v>431</v>
      </c>
      <c r="AS439">
        <v>431</v>
      </c>
      <c r="AT439">
        <v>1</v>
      </c>
      <c r="AU439">
        <v>2.2378346878968411</v>
      </c>
      <c r="AV439">
        <v>9.2262244049759967E-2</v>
      </c>
    </row>
    <row r="440" spans="44:48" x14ac:dyDescent="0.2">
      <c r="AR440">
        <v>432</v>
      </c>
      <c r="AS440">
        <v>432</v>
      </c>
      <c r="AT440">
        <v>1</v>
      </c>
      <c r="AU440">
        <v>2.2687752192141879</v>
      </c>
      <c r="AV440">
        <v>9.2200813511854066E-2</v>
      </c>
    </row>
    <row r="441" spans="44:48" x14ac:dyDescent="0.2">
      <c r="AR441">
        <v>433</v>
      </c>
      <c r="AS441">
        <v>433</v>
      </c>
      <c r="AT441">
        <v>1</v>
      </c>
      <c r="AU441">
        <v>2.2997157505315347</v>
      </c>
      <c r="AV441">
        <v>9.2134668694574401E-2</v>
      </c>
    </row>
    <row r="442" spans="44:48" x14ac:dyDescent="0.2">
      <c r="AR442">
        <v>434</v>
      </c>
      <c r="AS442">
        <v>434</v>
      </c>
      <c r="AT442">
        <v>1</v>
      </c>
      <c r="AU442">
        <v>2.3306562818488796</v>
      </c>
      <c r="AV442">
        <v>9.2063819804768951E-2</v>
      </c>
    </row>
    <row r="443" spans="44:48" x14ac:dyDescent="0.2">
      <c r="AR443">
        <v>435</v>
      </c>
      <c r="AS443">
        <v>435</v>
      </c>
      <c r="AT443">
        <v>1</v>
      </c>
      <c r="AU443">
        <v>2.3615968131662264</v>
      </c>
      <c r="AV443">
        <v>9.198827776973735E-2</v>
      </c>
    </row>
    <row r="444" spans="44:48" x14ac:dyDescent="0.2">
      <c r="AR444">
        <v>436</v>
      </c>
      <c r="AS444">
        <v>436</v>
      </c>
      <c r="AT444">
        <v>1</v>
      </c>
      <c r="AU444">
        <v>2.3925373444835731</v>
      </c>
      <c r="AV444">
        <v>9.1908054234422082E-2</v>
      </c>
    </row>
    <row r="445" spans="44:48" x14ac:dyDescent="0.2">
      <c r="AR445">
        <v>437</v>
      </c>
      <c r="AS445">
        <v>437</v>
      </c>
      <c r="AT445">
        <v>1</v>
      </c>
      <c r="AU445">
        <v>2.4234778758009181</v>
      </c>
      <c r="AV445">
        <v>9.1823161558416716E-2</v>
      </c>
    </row>
    <row r="446" spans="44:48" x14ac:dyDescent="0.2">
      <c r="AR446">
        <v>438</v>
      </c>
      <c r="AS446">
        <v>438</v>
      </c>
      <c r="AT446">
        <v>1</v>
      </c>
      <c r="AU446">
        <v>2.4544184071182649</v>
      </c>
      <c r="AV446">
        <v>9.1733612812792409E-2</v>
      </c>
    </row>
    <row r="447" spans="44:48" x14ac:dyDescent="0.2">
      <c r="AR447">
        <v>439</v>
      </c>
      <c r="AS447">
        <v>439</v>
      </c>
      <c r="AT447">
        <v>1</v>
      </c>
      <c r="AU447">
        <v>2.4853589384356116</v>
      </c>
      <c r="AV447">
        <v>9.1639421776743626E-2</v>
      </c>
    </row>
    <row r="448" spans="44:48" x14ac:dyDescent="0.2">
      <c r="AR448">
        <v>440</v>
      </c>
      <c r="AS448">
        <v>440</v>
      </c>
      <c r="AT448">
        <v>1</v>
      </c>
      <c r="AU448">
        <v>2.5162994697529584</v>
      </c>
      <c r="AV448">
        <v>9.1540602934054596E-2</v>
      </c>
    </row>
    <row r="449" spans="44:48" x14ac:dyDescent="0.2">
      <c r="AR449">
        <v>441</v>
      </c>
      <c r="AS449">
        <v>441</v>
      </c>
      <c r="AT449">
        <v>1</v>
      </c>
      <c r="AU449">
        <v>2.5472400010703034</v>
      </c>
      <c r="AV449">
        <v>9.1437171469387374E-2</v>
      </c>
    </row>
    <row r="450" spans="44:48" x14ac:dyDescent="0.2">
      <c r="AR450">
        <v>442</v>
      </c>
      <c r="AS450">
        <v>442</v>
      </c>
      <c r="AT450">
        <v>1</v>
      </c>
      <c r="AU450">
        <v>2.5781805323876501</v>
      </c>
      <c r="AV450">
        <v>9.1329143264393328E-2</v>
      </c>
    </row>
    <row r="451" spans="44:48" x14ac:dyDescent="0.2">
      <c r="AR451">
        <v>443</v>
      </c>
      <c r="AS451">
        <v>443</v>
      </c>
      <c r="AT451">
        <v>1</v>
      </c>
      <c r="AU451">
        <v>2.6091210637049969</v>
      </c>
      <c r="AV451">
        <v>9.1216534893648796E-2</v>
      </c>
    </row>
    <row r="452" spans="44:48" x14ac:dyDescent="0.2">
      <c r="AR452">
        <v>444</v>
      </c>
      <c r="AS452">
        <v>444</v>
      </c>
      <c r="AT452">
        <v>1</v>
      </c>
      <c r="AU452">
        <v>2.6400615950223436</v>
      </c>
      <c r="AV452">
        <v>9.1099363620417151E-2</v>
      </c>
    </row>
    <row r="453" spans="44:48" x14ac:dyDescent="0.2">
      <c r="AR453">
        <v>445</v>
      </c>
      <c r="AS453">
        <v>445</v>
      </c>
      <c r="AT453">
        <v>1</v>
      </c>
      <c r="AU453">
        <v>2.6710021263396886</v>
      </c>
      <c r="AV453">
        <v>9.0977647392238029E-2</v>
      </c>
    </row>
    <row r="454" spans="44:48" x14ac:dyDescent="0.2">
      <c r="AR454">
        <v>446</v>
      </c>
      <c r="AS454">
        <v>446</v>
      </c>
      <c r="AT454">
        <v>1</v>
      </c>
      <c r="AU454">
        <v>2.7019426576570353</v>
      </c>
      <c r="AV454">
        <v>9.0851404836345892E-2</v>
      </c>
    </row>
    <row r="455" spans="44:48" x14ac:dyDescent="0.2">
      <c r="AR455">
        <v>447</v>
      </c>
      <c r="AS455">
        <v>447</v>
      </c>
      <c r="AT455">
        <v>1</v>
      </c>
      <c r="AU455">
        <v>2.7328831889743821</v>
      </c>
      <c r="AV455">
        <v>9.072065525491925E-2</v>
      </c>
    </row>
    <row r="456" spans="44:48" x14ac:dyDescent="0.2">
      <c r="AR456">
        <v>448</v>
      </c>
      <c r="AS456">
        <v>448</v>
      </c>
      <c r="AT456">
        <v>1</v>
      </c>
      <c r="AU456">
        <v>2.7638237202917288</v>
      </c>
      <c r="AV456">
        <v>9.0585418620162228E-2</v>
      </c>
    </row>
    <row r="457" spans="44:48" x14ac:dyDescent="0.2">
      <c r="AR457">
        <v>449</v>
      </c>
      <c r="AS457">
        <v>449</v>
      </c>
      <c r="AT457">
        <v>1</v>
      </c>
      <c r="AU457">
        <v>2.7947642516090738</v>
      </c>
      <c r="AV457">
        <v>9.0445715569220417E-2</v>
      </c>
    </row>
    <row r="458" spans="44:48" x14ac:dyDescent="0.2">
      <c r="AR458">
        <v>450</v>
      </c>
      <c r="AS458">
        <v>450</v>
      </c>
      <c r="AT458">
        <v>1</v>
      </c>
      <c r="AU458">
        <v>2.8257047829264206</v>
      </c>
      <c r="AV458">
        <v>9.0301567398932733E-2</v>
      </c>
    </row>
    <row r="459" spans="44:48" x14ac:dyDescent="0.2">
      <c r="AR459">
        <v>451</v>
      </c>
      <c r="AS459">
        <v>451</v>
      </c>
      <c r="AT459">
        <v>1</v>
      </c>
      <c r="AU459">
        <v>2.8566453142437673</v>
      </c>
      <c r="AV459">
        <v>9.0152996060420987E-2</v>
      </c>
    </row>
    <row r="460" spans="44:48" x14ac:dyDescent="0.2">
      <c r="AR460">
        <v>452</v>
      </c>
      <c r="AS460">
        <v>452</v>
      </c>
      <c r="AT460">
        <v>1</v>
      </c>
      <c r="AU460">
        <v>2.8875858455611123</v>
      </c>
      <c r="AV460">
        <v>9.0000024153519459E-2</v>
      </c>
    </row>
    <row r="461" spans="44:48" x14ac:dyDescent="0.2">
      <c r="AR461">
        <v>453</v>
      </c>
      <c r="AS461">
        <v>453</v>
      </c>
      <c r="AT461">
        <v>1</v>
      </c>
      <c r="AU461">
        <v>2.9185263768784591</v>
      </c>
      <c r="AV461">
        <v>8.9842674921046056E-2</v>
      </c>
    </row>
    <row r="462" spans="44:48" x14ac:dyDescent="0.2">
      <c r="AR462">
        <v>454</v>
      </c>
      <c r="AS462">
        <v>454</v>
      </c>
      <c r="AT462">
        <v>1</v>
      </c>
      <c r="AU462">
        <v>2.9494669081958058</v>
      </c>
      <c r="AV462">
        <v>8.9680972242917351E-2</v>
      </c>
    </row>
    <row r="463" spans="44:48" x14ac:dyDescent="0.2">
      <c r="AR463">
        <v>455</v>
      </c>
      <c r="AS463">
        <v>455</v>
      </c>
      <c r="AT463">
        <v>1</v>
      </c>
      <c r="AU463">
        <v>2.9804074395131526</v>
      </c>
      <c r="AV463">
        <v>8.951494063010948E-2</v>
      </c>
    </row>
    <row r="464" spans="44:48" x14ac:dyDescent="0.2">
      <c r="AR464">
        <v>456</v>
      </c>
      <c r="AS464">
        <v>456</v>
      </c>
      <c r="AT464">
        <v>1</v>
      </c>
      <c r="AU464">
        <v>3.0113479708304975</v>
      </c>
      <c r="AV464">
        <v>8.9344605218467127E-2</v>
      </c>
    </row>
    <row r="465" spans="44:48" x14ac:dyDescent="0.2">
      <c r="AR465">
        <v>457</v>
      </c>
      <c r="AS465">
        <v>457</v>
      </c>
      <c r="AT465">
        <v>1</v>
      </c>
      <c r="AU465">
        <v>3.0422885021478443</v>
      </c>
      <c r="AV465">
        <v>8.9169991762362566E-2</v>
      </c>
    </row>
    <row r="466" spans="44:48" x14ac:dyDescent="0.2">
      <c r="AR466">
        <v>458</v>
      </c>
      <c r="AS466">
        <v>458</v>
      </c>
      <c r="AT466">
        <v>1</v>
      </c>
      <c r="AU466">
        <v>3.0732290334651911</v>
      </c>
      <c r="AV466">
        <v>8.8991126628207309E-2</v>
      </c>
    </row>
    <row r="467" spans="44:48" x14ac:dyDescent="0.2">
      <c r="AR467">
        <v>459</v>
      </c>
      <c r="AS467">
        <v>459</v>
      </c>
      <c r="AT467">
        <v>1</v>
      </c>
      <c r="AU467">
        <v>3.1041695647825378</v>
      </c>
      <c r="AV467">
        <v>8.8808036787818456E-2</v>
      </c>
    </row>
    <row r="468" spans="44:48" x14ac:dyDescent="0.2">
      <c r="AR468">
        <v>460</v>
      </c>
      <c r="AS468">
        <v>460</v>
      </c>
      <c r="AT468">
        <v>1</v>
      </c>
      <c r="AU468">
        <v>3.1351100960998828</v>
      </c>
      <c r="AV468">
        <v>8.8620749811642044E-2</v>
      </c>
    </row>
    <row r="469" spans="44:48" x14ac:dyDescent="0.2">
      <c r="AR469">
        <v>461</v>
      </c>
      <c r="AS469">
        <v>461</v>
      </c>
      <c r="AT469">
        <v>1</v>
      </c>
      <c r="AU469">
        <v>3.1660506274172295</v>
      </c>
      <c r="AV469">
        <v>8.8429293861835886E-2</v>
      </c>
    </row>
    <row r="470" spans="44:48" x14ac:dyDescent="0.2">
      <c r="AR470">
        <v>462</v>
      </c>
      <c r="AS470">
        <v>462</v>
      </c>
      <c r="AT470">
        <v>1</v>
      </c>
      <c r="AU470">
        <v>3.1969911587345763</v>
      </c>
      <c r="AV470">
        <v>8.8233697685214385E-2</v>
      </c>
    </row>
    <row r="471" spans="44:48" x14ac:dyDescent="0.2">
      <c r="AR471">
        <v>463</v>
      </c>
      <c r="AS471">
        <v>463</v>
      </c>
      <c r="AT471">
        <v>1</v>
      </c>
      <c r="AU471">
        <v>3.2279316900519213</v>
      </c>
      <c r="AV471">
        <v>8.8033990606057558E-2</v>
      </c>
    </row>
    <row r="472" spans="44:48" x14ac:dyDescent="0.2">
      <c r="AR472">
        <v>464</v>
      </c>
      <c r="AS472">
        <v>464</v>
      </c>
      <c r="AT472">
        <v>1</v>
      </c>
      <c r="AU472">
        <v>3.258872221369268</v>
      </c>
      <c r="AV472">
        <v>8.7830202518787023E-2</v>
      </c>
    </row>
    <row r="473" spans="44:48" x14ac:dyDescent="0.2">
      <c r="AR473">
        <v>465</v>
      </c>
      <c r="AS473">
        <v>465</v>
      </c>
      <c r="AT473">
        <v>1</v>
      </c>
      <c r="AU473">
        <v>3.2898127526866148</v>
      </c>
      <c r="AV473">
        <v>8.7622363880511422E-2</v>
      </c>
    </row>
    <row r="474" spans="44:48" x14ac:dyDescent="0.2">
      <c r="AR474">
        <v>466</v>
      </c>
      <c r="AS474">
        <v>466</v>
      </c>
      <c r="AT474">
        <v>1</v>
      </c>
      <c r="AU474">
        <v>3.3207532840039615</v>
      </c>
      <c r="AV474">
        <v>8.7410505703443886E-2</v>
      </c>
    </row>
    <row r="475" spans="44:48" x14ac:dyDescent="0.2">
      <c r="AR475">
        <v>467</v>
      </c>
      <c r="AS475">
        <v>467</v>
      </c>
      <c r="AT475">
        <v>1</v>
      </c>
      <c r="AU475">
        <v>3.3516938153213065</v>
      </c>
      <c r="AV475">
        <v>8.7194659547194103E-2</v>
      </c>
    </row>
    <row r="476" spans="44:48" x14ac:dyDescent="0.2">
      <c r="AR476">
        <v>468</v>
      </c>
      <c r="AS476">
        <v>468</v>
      </c>
      <c r="AT476">
        <v>1</v>
      </c>
      <c r="AU476">
        <v>3.3826343466386533</v>
      </c>
      <c r="AV476">
        <v>8.6974857510937795E-2</v>
      </c>
    </row>
    <row r="477" spans="44:48" x14ac:dyDescent="0.2">
      <c r="AR477">
        <v>469</v>
      </c>
      <c r="AS477">
        <v>469</v>
      </c>
      <c r="AT477">
        <v>1</v>
      </c>
      <c r="AU477">
        <v>3.413574877956</v>
      </c>
      <c r="AV477">
        <v>8.6751132225466321E-2</v>
      </c>
    </row>
    <row r="478" spans="44:48" x14ac:dyDescent="0.2">
      <c r="AR478">
        <v>470</v>
      </c>
      <c r="AS478">
        <v>470</v>
      </c>
      <c r="AT478">
        <v>1</v>
      </c>
      <c r="AU478">
        <v>3.4445154092733468</v>
      </c>
      <c r="AV478">
        <v>8.6523516845119053E-2</v>
      </c>
    </row>
    <row r="479" spans="44:48" x14ac:dyDescent="0.2">
      <c r="AR479">
        <v>471</v>
      </c>
      <c r="AS479">
        <v>471</v>
      </c>
      <c r="AT479">
        <v>1</v>
      </c>
      <c r="AU479">
        <v>3.4754559405906917</v>
      </c>
      <c r="AV479">
        <v>8.6292045039601362E-2</v>
      </c>
    </row>
    <row r="480" spans="44:48" x14ac:dyDescent="0.2">
      <c r="AR480">
        <v>472</v>
      </c>
      <c r="AS480">
        <v>472</v>
      </c>
      <c r="AT480">
        <v>1</v>
      </c>
      <c r="AU480">
        <v>3.5063964719080385</v>
      </c>
      <c r="AV480">
        <v>8.6056750985691058E-2</v>
      </c>
    </row>
    <row r="481" spans="44:48" x14ac:dyDescent="0.2">
      <c r="AR481">
        <v>473</v>
      </c>
      <c r="AS481">
        <v>473</v>
      </c>
      <c r="AT481">
        <v>1</v>
      </c>
      <c r="AU481">
        <v>3.5373370032253852</v>
      </c>
      <c r="AV481">
        <v>8.5817669358836182E-2</v>
      </c>
    </row>
    <row r="482" spans="44:48" x14ac:dyDescent="0.2">
      <c r="AR482">
        <v>474</v>
      </c>
      <c r="AS482">
        <v>474</v>
      </c>
      <c r="AT482">
        <v>1</v>
      </c>
      <c r="AU482">
        <v>3.568277534542732</v>
      </c>
      <c r="AV482">
        <v>8.5574835324646964E-2</v>
      </c>
    </row>
    <row r="483" spans="44:48" x14ac:dyDescent="0.2">
      <c r="AR483">
        <v>475</v>
      </c>
      <c r="AS483">
        <v>475</v>
      </c>
      <c r="AT483">
        <v>1</v>
      </c>
      <c r="AU483">
        <v>3.599218065860077</v>
      </c>
      <c r="AV483">
        <v>8.5328284530284806E-2</v>
      </c>
    </row>
    <row r="484" spans="44:48" x14ac:dyDescent="0.2">
      <c r="AR484">
        <v>476</v>
      </c>
      <c r="AS484">
        <v>476</v>
      </c>
      <c r="AT484">
        <v>1</v>
      </c>
      <c r="AU484">
        <v>3.6301585971774237</v>
      </c>
      <c r="AV484">
        <v>8.5078053095751491E-2</v>
      </c>
    </row>
    <row r="485" spans="44:48" x14ac:dyDescent="0.2">
      <c r="AR485">
        <v>477</v>
      </c>
      <c r="AS485">
        <v>477</v>
      </c>
      <c r="AT485">
        <v>1</v>
      </c>
      <c r="AU485">
        <v>3.6610991284947705</v>
      </c>
      <c r="AV485">
        <v>8.4824177605081305E-2</v>
      </c>
    </row>
    <row r="486" spans="44:48" x14ac:dyDescent="0.2">
      <c r="AR486">
        <v>478</v>
      </c>
      <c r="AS486">
        <v>478</v>
      </c>
      <c r="AT486">
        <v>1</v>
      </c>
      <c r="AU486">
        <v>3.6920396598121155</v>
      </c>
      <c r="AV486">
        <v>8.4566695097439221E-2</v>
      </c>
    </row>
    <row r="487" spans="44:48" x14ac:dyDescent="0.2">
      <c r="AR487">
        <v>479</v>
      </c>
      <c r="AS487">
        <v>479</v>
      </c>
      <c r="AT487">
        <v>1</v>
      </c>
      <c r="AU487">
        <v>3.7229801911294622</v>
      </c>
      <c r="AV487">
        <v>8.4305643058128182E-2</v>
      </c>
    </row>
    <row r="488" spans="44:48" x14ac:dyDescent="0.2">
      <c r="AR488">
        <v>480</v>
      </c>
      <c r="AS488">
        <v>480</v>
      </c>
      <c r="AT488">
        <v>1</v>
      </c>
      <c r="AU488">
        <v>3.753920722446809</v>
      </c>
      <c r="AV488">
        <v>8.4041059409508484E-2</v>
      </c>
    </row>
    <row r="489" spans="44:48" x14ac:dyDescent="0.2">
      <c r="AR489">
        <v>481</v>
      </c>
      <c r="AS489">
        <v>481</v>
      </c>
      <c r="AT489">
        <v>1</v>
      </c>
      <c r="AU489">
        <v>3.7848612537641557</v>
      </c>
      <c r="AV489">
        <v>8.3772982501832294E-2</v>
      </c>
    </row>
    <row r="490" spans="44:48" x14ac:dyDescent="0.2">
      <c r="AR490">
        <v>482</v>
      </c>
      <c r="AS490">
        <v>482</v>
      </c>
      <c r="AT490">
        <v>1</v>
      </c>
      <c r="AU490">
        <v>3.8158017850815007</v>
      </c>
      <c r="AV490">
        <v>8.3501451103996593E-2</v>
      </c>
    </row>
    <row r="491" spans="44:48" x14ac:dyDescent="0.2">
      <c r="AR491">
        <v>483</v>
      </c>
      <c r="AS491">
        <v>483</v>
      </c>
      <c r="AT491">
        <v>1</v>
      </c>
      <c r="AU491">
        <v>3.8467423163988474</v>
      </c>
      <c r="AV491">
        <v>8.3226504394217402E-2</v>
      </c>
    </row>
    <row r="492" spans="44:48" x14ac:dyDescent="0.2">
      <c r="AR492">
        <v>484</v>
      </c>
      <c r="AS492">
        <v>484</v>
      </c>
      <c r="AT492">
        <v>1</v>
      </c>
      <c r="AU492">
        <v>3.8776828477161942</v>
      </c>
      <c r="AV492">
        <v>8.2948181950628558E-2</v>
      </c>
    </row>
    <row r="493" spans="44:48" x14ac:dyDescent="0.2">
      <c r="AR493">
        <v>485</v>
      </c>
      <c r="AS493">
        <v>485</v>
      </c>
      <c r="AT493">
        <v>1</v>
      </c>
      <c r="AU493">
        <v>3.908623379033541</v>
      </c>
      <c r="AV493">
        <v>8.2666523741808301E-2</v>
      </c>
    </row>
    <row r="494" spans="44:48" x14ac:dyDescent="0.2">
      <c r="AR494">
        <v>486</v>
      </c>
      <c r="AS494">
        <v>486</v>
      </c>
      <c r="AT494">
        <v>1</v>
      </c>
      <c r="AU494">
        <v>3.9395639103508859</v>
      </c>
      <c r="AV494">
        <v>8.2381570117236472E-2</v>
      </c>
    </row>
    <row r="495" spans="44:48" x14ac:dyDescent="0.2">
      <c r="AR495">
        <v>487</v>
      </c>
      <c r="AS495">
        <v>487</v>
      </c>
      <c r="AT495">
        <v>1</v>
      </c>
      <c r="AU495">
        <v>3.9705044416682327</v>
      </c>
      <c r="AV495">
        <v>8.209336179768599E-2</v>
      </c>
    </row>
    <row r="496" spans="44:48" x14ac:dyDescent="0.2">
      <c r="AR496">
        <v>488</v>
      </c>
      <c r="AS496">
        <v>488</v>
      </c>
      <c r="AT496">
        <v>1</v>
      </c>
      <c r="AU496">
        <v>4.0014449729855794</v>
      </c>
      <c r="AV496">
        <v>8.1801939865551482E-2</v>
      </c>
    </row>
    <row r="497" spans="44:48" x14ac:dyDescent="0.2">
      <c r="AR497">
        <v>489</v>
      </c>
      <c r="AS497">
        <v>489</v>
      </c>
      <c r="AT497">
        <v>1</v>
      </c>
      <c r="AU497">
        <v>4.0323855043029244</v>
      </c>
      <c r="AV497">
        <v>8.1507345755118296E-2</v>
      </c>
    </row>
    <row r="498" spans="44:48" x14ac:dyDescent="0.2">
      <c r="AR498">
        <v>490</v>
      </c>
      <c r="AS498">
        <v>490</v>
      </c>
      <c r="AT498">
        <v>1</v>
      </c>
      <c r="AU498">
        <v>4.0633260356202712</v>
      </c>
      <c r="AV498">
        <v>8.1209621242775129E-2</v>
      </c>
    </row>
    <row r="499" spans="44:48" x14ac:dyDescent="0.2">
      <c r="AR499">
        <v>491</v>
      </c>
      <c r="AS499">
        <v>491</v>
      </c>
      <c r="AT499">
        <v>1</v>
      </c>
      <c r="AU499">
        <v>4.0942665669376179</v>
      </c>
      <c r="AV499">
        <v>8.090880843717374E-2</v>
      </c>
    </row>
    <row r="500" spans="44:48" x14ac:dyDescent="0.2">
      <c r="AR500">
        <v>492</v>
      </c>
      <c r="AS500">
        <v>492</v>
      </c>
      <c r="AT500">
        <v>1</v>
      </c>
      <c r="AU500">
        <v>4.1252070982549647</v>
      </c>
      <c r="AV500">
        <v>8.0604949769338533E-2</v>
      </c>
    </row>
    <row r="501" spans="44:48" x14ac:dyDescent="0.2">
      <c r="AR501">
        <v>493</v>
      </c>
      <c r="AS501">
        <v>493</v>
      </c>
      <c r="AT501">
        <v>1</v>
      </c>
      <c r="AU501">
        <v>4.1561476295723097</v>
      </c>
      <c r="AV501">
        <v>8.0298087982729652E-2</v>
      </c>
    </row>
    <row r="502" spans="44:48" x14ac:dyDescent="0.2">
      <c r="AR502">
        <v>494</v>
      </c>
      <c r="AS502">
        <v>494</v>
      </c>
      <c r="AT502">
        <v>1</v>
      </c>
      <c r="AU502">
        <v>4.1870881608896564</v>
      </c>
      <c r="AV502">
        <v>7.9988266123262541E-2</v>
      </c>
    </row>
    <row r="503" spans="44:48" x14ac:dyDescent="0.2">
      <c r="AR503">
        <v>495</v>
      </c>
      <c r="AS503">
        <v>495</v>
      </c>
      <c r="AT503">
        <v>1</v>
      </c>
      <c r="AU503">
        <v>4.2180286922070032</v>
      </c>
      <c r="AV503">
        <v>7.9675527529287485E-2</v>
      </c>
    </row>
    <row r="504" spans="44:48" x14ac:dyDescent="0.2">
      <c r="AR504">
        <v>496</v>
      </c>
      <c r="AS504">
        <v>496</v>
      </c>
      <c r="AT504">
        <v>1</v>
      </c>
      <c r="AU504">
        <v>4.2489692235243499</v>
      </c>
      <c r="AV504">
        <v>7.9359915821532151E-2</v>
      </c>
    </row>
    <row r="505" spans="44:48" x14ac:dyDescent="0.2">
      <c r="AR505">
        <v>497</v>
      </c>
      <c r="AS505">
        <v>497</v>
      </c>
      <c r="AT505">
        <v>1</v>
      </c>
      <c r="AU505">
        <v>4.2799097548416949</v>
      </c>
      <c r="AV505">
        <v>7.9041474893010458E-2</v>
      </c>
    </row>
    <row r="506" spans="44:48" x14ac:dyDescent="0.2">
      <c r="AR506">
        <v>498</v>
      </c>
      <c r="AS506">
        <v>498</v>
      </c>
      <c r="AT506">
        <v>1</v>
      </c>
      <c r="AU506">
        <v>4.3108502861590416</v>
      </c>
      <c r="AV506">
        <v>7.8720248898901043E-2</v>
      </c>
    </row>
    <row r="507" spans="44:48" x14ac:dyDescent="0.2">
      <c r="AR507">
        <v>499</v>
      </c>
      <c r="AS507">
        <v>499</v>
      </c>
      <c r="AT507">
        <v>1</v>
      </c>
      <c r="AU507">
        <v>4.3417908174763884</v>
      </c>
      <c r="AV507">
        <v>7.8396282246398719E-2</v>
      </c>
    </row>
    <row r="508" spans="44:48" x14ac:dyDescent="0.2">
      <c r="AR508">
        <v>500</v>
      </c>
      <c r="AS508">
        <v>500</v>
      </c>
      <c r="AT508">
        <v>1</v>
      </c>
      <c r="AU508">
        <v>4.3727313487937352</v>
      </c>
      <c r="AV508">
        <v>7.8069619584541755E-2</v>
      </c>
    </row>
    <row r="509" spans="44:48" x14ac:dyDescent="0.2">
      <c r="AR509">
        <v>501</v>
      </c>
      <c r="AS509">
        <v>501</v>
      </c>
      <c r="AT509">
        <v>1</v>
      </c>
      <c r="AU509">
        <v>4.4036718801110801</v>
      </c>
      <c r="AV509">
        <v>7.774030579401868E-2</v>
      </c>
    </row>
    <row r="510" spans="44:48" x14ac:dyDescent="0.2">
      <c r="AR510">
        <v>502</v>
      </c>
      <c r="AS510">
        <v>502</v>
      </c>
      <c r="AT510">
        <v>1</v>
      </c>
      <c r="AU510">
        <v>4.4346124114284269</v>
      </c>
      <c r="AV510">
        <v>7.7408385976957553E-2</v>
      </c>
    </row>
    <row r="511" spans="44:48" x14ac:dyDescent="0.2">
      <c r="AR511">
        <v>503</v>
      </c>
      <c r="AS511">
        <v>503</v>
      </c>
      <c r="AT511">
        <v>1</v>
      </c>
      <c r="AU511">
        <v>4.4655529427457736</v>
      </c>
      <c r="AV511">
        <v>7.7073905446701091E-2</v>
      </c>
    </row>
    <row r="512" spans="44:48" x14ac:dyDescent="0.2">
      <c r="AR512">
        <v>504</v>
      </c>
      <c r="AS512">
        <v>504</v>
      </c>
      <c r="AT512">
        <v>1</v>
      </c>
      <c r="AU512">
        <v>4.4964934740631186</v>
      </c>
      <c r="AV512">
        <v>7.6736909717570773E-2</v>
      </c>
    </row>
    <row r="513" spans="44:48" x14ac:dyDescent="0.2">
      <c r="AR513">
        <v>505</v>
      </c>
      <c r="AS513">
        <v>505</v>
      </c>
      <c r="AT513">
        <v>1</v>
      </c>
      <c r="AU513">
        <v>4.5274340053804654</v>
      </c>
      <c r="AV513">
        <v>7.6397444494623004E-2</v>
      </c>
    </row>
    <row r="514" spans="44:48" x14ac:dyDescent="0.2">
      <c r="AR514">
        <v>506</v>
      </c>
      <c r="AS514">
        <v>506</v>
      </c>
      <c r="AT514">
        <v>1</v>
      </c>
      <c r="AU514">
        <v>4.5583745366978121</v>
      </c>
      <c r="AV514">
        <v>7.6055555663401123E-2</v>
      </c>
    </row>
    <row r="515" spans="44:48" x14ac:dyDescent="0.2">
      <c r="AR515">
        <v>507</v>
      </c>
      <c r="AS515">
        <v>507</v>
      </c>
      <c r="AT515">
        <v>1</v>
      </c>
      <c r="AU515">
        <v>4.5893150680151589</v>
      </c>
      <c r="AV515">
        <v>7.5711289279685429E-2</v>
      </c>
    </row>
    <row r="516" spans="44:48" x14ac:dyDescent="0.2">
      <c r="AR516">
        <v>508</v>
      </c>
      <c r="AS516">
        <v>508</v>
      </c>
      <c r="AT516">
        <v>1</v>
      </c>
      <c r="AU516">
        <v>4.6202555993325038</v>
      </c>
      <c r="AV516">
        <v>7.5364691559245564E-2</v>
      </c>
    </row>
    <row r="517" spans="44:48" x14ac:dyDescent="0.2">
      <c r="AR517">
        <v>509</v>
      </c>
      <c r="AS517">
        <v>509</v>
      </c>
      <c r="AT517">
        <v>1</v>
      </c>
      <c r="AU517">
        <v>4.6511961306498506</v>
      </c>
      <c r="AV517">
        <v>7.5015808867597233E-2</v>
      </c>
    </row>
    <row r="518" spans="44:48" x14ac:dyDescent="0.2">
      <c r="AR518">
        <v>510</v>
      </c>
      <c r="AS518">
        <v>510</v>
      </c>
      <c r="AT518">
        <v>1</v>
      </c>
      <c r="AU518">
        <v>4.6821366619671974</v>
      </c>
      <c r="AV518">
        <v>7.4664687709767683E-2</v>
      </c>
    </row>
    <row r="519" spans="44:48" x14ac:dyDescent="0.2">
      <c r="AR519">
        <v>511</v>
      </c>
      <c r="AS519">
        <v>511</v>
      </c>
      <c r="AT519">
        <v>1</v>
      </c>
      <c r="AU519">
        <v>4.7130771932845441</v>
      </c>
      <c r="AV519">
        <v>7.4311374720071668E-2</v>
      </c>
    </row>
    <row r="520" spans="44:48" x14ac:dyDescent="0.2">
      <c r="AR520">
        <v>512</v>
      </c>
      <c r="AS520">
        <v>512</v>
      </c>
      <c r="AT520">
        <v>1</v>
      </c>
      <c r="AU520">
        <v>4.7440177246018891</v>
      </c>
      <c r="AV520">
        <v>7.3955916651902376E-2</v>
      </c>
    </row>
    <row r="521" spans="44:48" x14ac:dyDescent="0.2">
      <c r="AR521">
        <v>513</v>
      </c>
      <c r="AS521">
        <v>513</v>
      </c>
      <c r="AT521">
        <v>1</v>
      </c>
      <c r="AU521">
        <v>4.7749582559192358</v>
      </c>
      <c r="AV521">
        <v>7.3598360367539098E-2</v>
      </c>
    </row>
    <row r="522" spans="44:48" x14ac:dyDescent="0.2">
      <c r="AR522">
        <v>514</v>
      </c>
      <c r="AS522">
        <v>514</v>
      </c>
      <c r="AT522">
        <v>1</v>
      </c>
      <c r="AU522">
        <v>4.8058987872365826</v>
      </c>
      <c r="AV522">
        <v>7.3238752827976081E-2</v>
      </c>
    </row>
    <row r="523" spans="44:48" x14ac:dyDescent="0.2">
      <c r="AR523">
        <v>515</v>
      </c>
      <c r="AS523">
        <v>515</v>
      </c>
      <c r="AT523">
        <v>1</v>
      </c>
      <c r="AU523">
        <v>4.8368393185539276</v>
      </c>
      <c r="AV523">
        <v>7.2877141082774224E-2</v>
      </c>
    </row>
    <row r="524" spans="44:48" x14ac:dyDescent="0.2">
      <c r="AR524">
        <v>516</v>
      </c>
      <c r="AS524">
        <v>516</v>
      </c>
      <c r="AT524">
        <v>1</v>
      </c>
      <c r="AU524">
        <v>4.8677798498712743</v>
      </c>
      <c r="AV524">
        <v>7.251357225993961E-2</v>
      </c>
    </row>
    <row r="525" spans="44:48" x14ac:dyDescent="0.2">
      <c r="AR525">
        <v>517</v>
      </c>
      <c r="AS525">
        <v>517</v>
      </c>
      <c r="AT525">
        <v>1</v>
      </c>
      <c r="AU525">
        <v>4.8987203811886211</v>
      </c>
      <c r="AV525">
        <v>7.2148093555831669E-2</v>
      </c>
    </row>
    <row r="526" spans="44:48" x14ac:dyDescent="0.2">
      <c r="AR526">
        <v>518</v>
      </c>
      <c r="AS526">
        <v>518</v>
      </c>
      <c r="AT526">
        <v>1</v>
      </c>
      <c r="AU526">
        <v>4.9296609125059678</v>
      </c>
      <c r="AV526">
        <v>7.1780752225103564E-2</v>
      </c>
    </row>
    <row r="527" spans="44:48" x14ac:dyDescent="0.2">
      <c r="AR527">
        <v>519</v>
      </c>
      <c r="AS527">
        <v>519</v>
      </c>
      <c r="AT527">
        <v>1</v>
      </c>
      <c r="AU527">
        <v>4.9606014438233128</v>
      </c>
      <c r="AV527">
        <v>7.1411595570678194E-2</v>
      </c>
    </row>
    <row r="528" spans="44:48" x14ac:dyDescent="0.2">
      <c r="AR528">
        <v>520</v>
      </c>
      <c r="AS528">
        <v>520</v>
      </c>
      <c r="AT528">
        <v>1</v>
      </c>
      <c r="AU528">
        <v>4.9915419751406613</v>
      </c>
      <c r="AV528">
        <v>7.1040670933762401E-2</v>
      </c>
    </row>
    <row r="529" spans="44:48" x14ac:dyDescent="0.2">
      <c r="AR529">
        <v>521</v>
      </c>
      <c r="AS529">
        <v>521</v>
      </c>
      <c r="AT529">
        <v>1</v>
      </c>
      <c r="AU529">
        <v>5.0224825064580063</v>
      </c>
      <c r="AV529">
        <v>7.0668025683902735E-2</v>
      </c>
    </row>
    <row r="530" spans="44:48" x14ac:dyDescent="0.2">
      <c r="AR530">
        <v>522</v>
      </c>
      <c r="AS530">
        <v>522</v>
      </c>
      <c r="AT530">
        <v>1</v>
      </c>
      <c r="AU530">
        <v>5.0534230377753513</v>
      </c>
      <c r="AV530">
        <v>7.0293707209084885E-2</v>
      </c>
    </row>
    <row r="531" spans="44:48" x14ac:dyDescent="0.2">
      <c r="AR531">
        <v>523</v>
      </c>
      <c r="AS531">
        <v>523</v>
      </c>
      <c r="AT531">
        <v>1</v>
      </c>
      <c r="AU531">
        <v>5.0843635690926998</v>
      </c>
      <c r="AV531">
        <v>6.991776290588031E-2</v>
      </c>
    </row>
    <row r="532" spans="44:48" x14ac:dyDescent="0.2">
      <c r="AR532">
        <v>524</v>
      </c>
      <c r="AS532">
        <v>524</v>
      </c>
      <c r="AT532">
        <v>1</v>
      </c>
      <c r="AU532">
        <v>5.1153041004100448</v>
      </c>
      <c r="AV532">
        <v>6.954024016964272E-2</v>
      </c>
    </row>
    <row r="533" spans="44:48" x14ac:dyDescent="0.2">
      <c r="AR533">
        <v>525</v>
      </c>
      <c r="AS533">
        <v>525</v>
      </c>
      <c r="AT533">
        <v>1</v>
      </c>
      <c r="AU533">
        <v>5.1462446317273898</v>
      </c>
      <c r="AV533">
        <v>6.9161186384756643E-2</v>
      </c>
    </row>
    <row r="534" spans="44:48" x14ac:dyDescent="0.2">
      <c r="AR534">
        <v>526</v>
      </c>
      <c r="AS534">
        <v>526</v>
      </c>
      <c r="AT534">
        <v>1</v>
      </c>
      <c r="AU534">
        <v>5.1771851630447383</v>
      </c>
      <c r="AV534">
        <v>6.8780648914941567E-2</v>
      </c>
    </row>
    <row r="535" spans="44:48" x14ac:dyDescent="0.2">
      <c r="AR535">
        <v>527</v>
      </c>
      <c r="AS535">
        <v>527</v>
      </c>
      <c r="AT535">
        <v>1</v>
      </c>
      <c r="AU535">
        <v>5.2081256943620833</v>
      </c>
      <c r="AV535">
        <v>6.8398675093613984E-2</v>
      </c>
    </row>
    <row r="536" spans="44:48" x14ac:dyDescent="0.2">
      <c r="AR536">
        <v>528</v>
      </c>
      <c r="AS536">
        <v>528</v>
      </c>
      <c r="AT536">
        <v>1</v>
      </c>
      <c r="AU536">
        <v>5.2390662256794283</v>
      </c>
      <c r="AV536">
        <v>6.8015312214309689E-2</v>
      </c>
    </row>
    <row r="537" spans="44:48" x14ac:dyDescent="0.2">
      <c r="AR537">
        <v>529</v>
      </c>
      <c r="AS537">
        <v>529</v>
      </c>
      <c r="AT537">
        <v>1</v>
      </c>
      <c r="AU537">
        <v>5.2700067569967768</v>
      </c>
      <c r="AV537">
        <v>6.7630607521169672E-2</v>
      </c>
    </row>
    <row r="538" spans="44:48" x14ac:dyDescent="0.2">
      <c r="AR538">
        <v>530</v>
      </c>
      <c r="AS538">
        <v>530</v>
      </c>
      <c r="AT538">
        <v>1</v>
      </c>
      <c r="AU538">
        <v>5.3009472883141218</v>
      </c>
      <c r="AV538">
        <v>6.7244608199491698E-2</v>
      </c>
    </row>
    <row r="539" spans="44:48" x14ac:dyDescent="0.2">
      <c r="AR539">
        <v>531</v>
      </c>
      <c r="AS539">
        <v>531</v>
      </c>
      <c r="AT539">
        <v>1</v>
      </c>
      <c r="AU539">
        <v>5.3318878196314703</v>
      </c>
      <c r="AV539">
        <v>6.6857361366349927E-2</v>
      </c>
    </row>
    <row r="540" spans="44:48" x14ac:dyDescent="0.2">
      <c r="AR540">
        <v>532</v>
      </c>
      <c r="AS540">
        <v>532</v>
      </c>
      <c r="AT540">
        <v>1</v>
      </c>
      <c r="AU540">
        <v>5.3628283509488153</v>
      </c>
      <c r="AV540">
        <v>6.6468914061285925E-2</v>
      </c>
    </row>
    <row r="541" spans="44:48" x14ac:dyDescent="0.2">
      <c r="AR541">
        <v>533</v>
      </c>
      <c r="AS541">
        <v>533</v>
      </c>
      <c r="AT541">
        <v>1</v>
      </c>
      <c r="AU541">
        <v>5.3937688822661602</v>
      </c>
      <c r="AV541">
        <v>6.6079313237072446E-2</v>
      </c>
    </row>
    <row r="542" spans="44:48" x14ac:dyDescent="0.2">
      <c r="AR542">
        <v>534</v>
      </c>
      <c r="AS542">
        <v>534</v>
      </c>
      <c r="AT542">
        <v>1</v>
      </c>
      <c r="AU542">
        <v>5.4247094135835088</v>
      </c>
      <c r="AV542">
        <v>6.5688605750553256E-2</v>
      </c>
    </row>
    <row r="543" spans="44:48" x14ac:dyDescent="0.2">
      <c r="AR543">
        <v>535</v>
      </c>
      <c r="AS543">
        <v>535</v>
      </c>
      <c r="AT543">
        <v>1</v>
      </c>
      <c r="AU543">
        <v>5.4556499449008538</v>
      </c>
      <c r="AV543">
        <v>6.5296838353561273E-2</v>
      </c>
    </row>
    <row r="544" spans="44:48" x14ac:dyDescent="0.2">
      <c r="AR544">
        <v>536</v>
      </c>
      <c r="AS544">
        <v>536</v>
      </c>
      <c r="AT544">
        <v>1</v>
      </c>
      <c r="AU544">
        <v>5.4865904762181987</v>
      </c>
      <c r="AV544">
        <v>6.4904057683916647E-2</v>
      </c>
    </row>
    <row r="545" spans="44:48" x14ac:dyDescent="0.2">
      <c r="AR545">
        <v>537</v>
      </c>
      <c r="AS545">
        <v>537</v>
      </c>
      <c r="AT545">
        <v>1</v>
      </c>
      <c r="AU545">
        <v>5.5175310075355473</v>
      </c>
      <c r="AV545">
        <v>6.4510310256508066E-2</v>
      </c>
    </row>
    <row r="546" spans="44:48" x14ac:dyDescent="0.2">
      <c r="AR546">
        <v>538</v>
      </c>
      <c r="AS546">
        <v>538</v>
      </c>
      <c r="AT546">
        <v>1</v>
      </c>
      <c r="AU546">
        <v>5.5484715388528922</v>
      </c>
      <c r="AV546">
        <v>6.4115642454459137E-2</v>
      </c>
    </row>
    <row r="547" spans="44:48" x14ac:dyDescent="0.2">
      <c r="AR547">
        <v>539</v>
      </c>
      <c r="AS547">
        <v>539</v>
      </c>
      <c r="AT547">
        <v>1</v>
      </c>
      <c r="AU547">
        <v>5.5794120701702372</v>
      </c>
      <c r="AV547">
        <v>6.3720100520381656E-2</v>
      </c>
    </row>
    <row r="548" spans="44:48" x14ac:dyDescent="0.2">
      <c r="AR548">
        <v>540</v>
      </c>
      <c r="AS548">
        <v>540</v>
      </c>
      <c r="AT548">
        <v>1</v>
      </c>
      <c r="AU548">
        <v>5.6103526014875857</v>
      </c>
      <c r="AV548">
        <v>6.3323730547718504E-2</v>
      </c>
    </row>
    <row r="549" spans="44:48" x14ac:dyDescent="0.2">
      <c r="AR549">
        <v>541</v>
      </c>
      <c r="AS549">
        <v>541</v>
      </c>
      <c r="AT549">
        <v>1</v>
      </c>
      <c r="AU549">
        <v>5.6412931328049307</v>
      </c>
      <c r="AV549">
        <v>6.2926578472178488E-2</v>
      </c>
    </row>
    <row r="550" spans="44:48" x14ac:dyDescent="0.2">
      <c r="AR550">
        <v>542</v>
      </c>
      <c r="AS550">
        <v>542</v>
      </c>
      <c r="AT550">
        <v>1</v>
      </c>
      <c r="AU550">
        <v>5.6722336641222793</v>
      </c>
      <c r="AV550">
        <v>6.252869006326392E-2</v>
      </c>
    </row>
    <row r="551" spans="44:48" x14ac:dyDescent="0.2">
      <c r="AR551">
        <v>543</v>
      </c>
      <c r="AS551">
        <v>543</v>
      </c>
      <c r="AT551">
        <v>1</v>
      </c>
      <c r="AU551">
        <v>5.7031741954396242</v>
      </c>
      <c r="AV551">
        <v>6.2130110915894918E-2</v>
      </c>
    </row>
    <row r="552" spans="44:48" x14ac:dyDescent="0.2">
      <c r="AR552">
        <v>544</v>
      </c>
      <c r="AS552">
        <v>544</v>
      </c>
      <c r="AT552">
        <v>1</v>
      </c>
      <c r="AU552">
        <v>5.7341147267569692</v>
      </c>
      <c r="AV552">
        <v>6.1730886442130449E-2</v>
      </c>
    </row>
    <row r="553" spans="44:48" x14ac:dyDescent="0.2">
      <c r="AR553">
        <v>545</v>
      </c>
      <c r="AS553">
        <v>545</v>
      </c>
      <c r="AT553">
        <v>1</v>
      </c>
      <c r="AU553">
        <v>5.7650552580743177</v>
      </c>
      <c r="AV553">
        <v>6.1331061862989492E-2</v>
      </c>
    </row>
    <row r="554" spans="44:48" x14ac:dyDescent="0.2">
      <c r="AR554">
        <v>546</v>
      </c>
      <c r="AS554">
        <v>546</v>
      </c>
      <c r="AT554">
        <v>1</v>
      </c>
      <c r="AU554">
        <v>5.7959957893916627</v>
      </c>
      <c r="AV554">
        <v>6.0930682200373704E-2</v>
      </c>
    </row>
    <row r="555" spans="44:48" x14ac:dyDescent="0.2">
      <c r="AR555">
        <v>547</v>
      </c>
      <c r="AS555">
        <v>547</v>
      </c>
      <c r="AT555">
        <v>1</v>
      </c>
      <c r="AU555">
        <v>5.8269363207090077</v>
      </c>
      <c r="AV555">
        <v>6.0529792269092983E-2</v>
      </c>
    </row>
    <row r="556" spans="44:48" x14ac:dyDescent="0.2">
      <c r="AR556">
        <v>548</v>
      </c>
      <c r="AS556">
        <v>548</v>
      </c>
      <c r="AT556">
        <v>1</v>
      </c>
      <c r="AU556">
        <v>5.8578768520263562</v>
      </c>
      <c r="AV556">
        <v>6.0128436668996553E-2</v>
      </c>
    </row>
    <row r="557" spans="44:48" x14ac:dyDescent="0.2">
      <c r="AR557">
        <v>549</v>
      </c>
      <c r="AS557">
        <v>549</v>
      </c>
      <c r="AT557">
        <v>1</v>
      </c>
      <c r="AU557">
        <v>5.8888173833437012</v>
      </c>
      <c r="AV557">
        <v>5.9726659777210873E-2</v>
      </c>
    </row>
    <row r="558" spans="44:48" x14ac:dyDescent="0.2">
      <c r="AR558">
        <v>550</v>
      </c>
      <c r="AS558">
        <v>550</v>
      </c>
      <c r="AT558">
        <v>1</v>
      </c>
      <c r="AU558">
        <v>5.9197579146610497</v>
      </c>
      <c r="AV558">
        <v>5.9324505740485714E-2</v>
      </c>
    </row>
    <row r="559" spans="44:48" x14ac:dyDescent="0.2">
      <c r="AR559">
        <v>551</v>
      </c>
      <c r="AS559">
        <v>551</v>
      </c>
      <c r="AT559">
        <v>1</v>
      </c>
      <c r="AU559">
        <v>5.9506984459783947</v>
      </c>
      <c r="AV559">
        <v>5.8922018467651022E-2</v>
      </c>
    </row>
    <row r="560" spans="44:48" x14ac:dyDescent="0.2">
      <c r="AR560">
        <v>552</v>
      </c>
      <c r="AS560">
        <v>552</v>
      </c>
      <c r="AT560">
        <v>1</v>
      </c>
      <c r="AU560">
        <v>5.9816389772957397</v>
      </c>
      <c r="AV560">
        <v>5.8519241622184984E-2</v>
      </c>
    </row>
    <row r="561" spans="44:48" x14ac:dyDescent="0.2">
      <c r="AR561">
        <v>553</v>
      </c>
      <c r="AS561">
        <v>553</v>
      </c>
      <c r="AT561">
        <v>1</v>
      </c>
      <c r="AU561">
        <v>6.0125795086130882</v>
      </c>
      <c r="AV561">
        <v>5.811621861489575E-2</v>
      </c>
    </row>
    <row r="562" spans="44:48" x14ac:dyDescent="0.2">
      <c r="AR562">
        <v>554</v>
      </c>
      <c r="AS562">
        <v>554</v>
      </c>
      <c r="AT562">
        <v>1</v>
      </c>
      <c r="AU562">
        <v>6.0435200399304332</v>
      </c>
      <c r="AV562">
        <v>5.7712992596718138E-2</v>
      </c>
    </row>
    <row r="563" spans="44:48" x14ac:dyDescent="0.2">
      <c r="AR563">
        <v>555</v>
      </c>
      <c r="AS563">
        <v>555</v>
      </c>
      <c r="AT563">
        <v>1</v>
      </c>
      <c r="AU563">
        <v>6.0744605712477782</v>
      </c>
      <c r="AV563">
        <v>5.7309606451625923E-2</v>
      </c>
    </row>
    <row r="564" spans="44:48" x14ac:dyDescent="0.2">
      <c r="AR564">
        <v>556</v>
      </c>
      <c r="AS564">
        <v>556</v>
      </c>
      <c r="AT564">
        <v>1</v>
      </c>
      <c r="AU564">
        <v>6.1054011025651267</v>
      </c>
      <c r="AV564">
        <v>5.6906102789662509E-2</v>
      </c>
    </row>
    <row r="565" spans="44:48" x14ac:dyDescent="0.2">
      <c r="AR565">
        <v>557</v>
      </c>
      <c r="AS565">
        <v>557</v>
      </c>
      <c r="AT565">
        <v>1</v>
      </c>
      <c r="AU565">
        <v>6.1363416338824717</v>
      </c>
      <c r="AV565">
        <v>5.6502523940090275E-2</v>
      </c>
    </row>
    <row r="566" spans="44:48" x14ac:dyDescent="0.2">
      <c r="AR566">
        <v>558</v>
      </c>
      <c r="AS566">
        <v>558</v>
      </c>
      <c r="AT566">
        <v>1</v>
      </c>
      <c r="AU566">
        <v>6.1672821651998166</v>
      </c>
      <c r="AV566">
        <v>5.6098911944659907E-2</v>
      </c>
    </row>
    <row r="567" spans="44:48" x14ac:dyDescent="0.2">
      <c r="AR567">
        <v>559</v>
      </c>
      <c r="AS567">
        <v>559</v>
      </c>
      <c r="AT567">
        <v>1</v>
      </c>
      <c r="AU567">
        <v>6.1982226965171652</v>
      </c>
      <c r="AV567">
        <v>5.5695308551001646E-2</v>
      </c>
    </row>
    <row r="568" spans="44:48" x14ac:dyDescent="0.2">
      <c r="AR568">
        <v>560</v>
      </c>
      <c r="AS568">
        <v>560</v>
      </c>
      <c r="AT568">
        <v>1</v>
      </c>
      <c r="AU568">
        <v>6.2291632278345102</v>
      </c>
      <c r="AV568">
        <v>5.5291755206139125E-2</v>
      </c>
    </row>
    <row r="569" spans="44:48" x14ac:dyDescent="0.2">
      <c r="AR569">
        <v>561</v>
      </c>
      <c r="AS569">
        <v>561</v>
      </c>
      <c r="AT569">
        <v>1</v>
      </c>
      <c r="AU569">
        <v>6.2601037591518587</v>
      </c>
      <c r="AV569">
        <v>5.4888293050126567E-2</v>
      </c>
    </row>
    <row r="570" spans="44:48" x14ac:dyDescent="0.2">
      <c r="AR570">
        <v>562</v>
      </c>
      <c r="AS570">
        <v>562</v>
      </c>
      <c r="AT570">
        <v>1</v>
      </c>
      <c r="AU570">
        <v>6.2910442904692037</v>
      </c>
      <c r="AV570">
        <v>5.4484962909811502E-2</v>
      </c>
    </row>
    <row r="571" spans="44:48" x14ac:dyDescent="0.2">
      <c r="AR571">
        <v>563</v>
      </c>
      <c r="AS571">
        <v>563</v>
      </c>
      <c r="AT571">
        <v>1</v>
      </c>
      <c r="AU571">
        <v>6.3219848217865486</v>
      </c>
      <c r="AV571">
        <v>5.4081805292722829E-2</v>
      </c>
    </row>
    <row r="572" spans="44:48" x14ac:dyDescent="0.2">
      <c r="AR572">
        <v>564</v>
      </c>
      <c r="AS572">
        <v>564</v>
      </c>
      <c r="AT572">
        <v>1</v>
      </c>
      <c r="AU572">
        <v>6.3529253531038972</v>
      </c>
      <c r="AV572">
        <v>5.3678860381085887E-2</v>
      </c>
    </row>
    <row r="573" spans="44:48" x14ac:dyDescent="0.2">
      <c r="AR573">
        <v>565</v>
      </c>
      <c r="AS573">
        <v>565</v>
      </c>
      <c r="AT573">
        <v>1</v>
      </c>
      <c r="AU573">
        <v>6.3838658844212421</v>
      </c>
      <c r="AV573">
        <v>5.3276168025965596E-2</v>
      </c>
    </row>
    <row r="574" spans="44:48" x14ac:dyDescent="0.2">
      <c r="AR574">
        <v>566</v>
      </c>
      <c r="AS574">
        <v>566</v>
      </c>
      <c r="AT574">
        <v>1</v>
      </c>
      <c r="AU574">
        <v>6.4148064157385871</v>
      </c>
      <c r="AV574">
        <v>5.2873767741537618E-2</v>
      </c>
    </row>
    <row r="575" spans="44:48" x14ac:dyDescent="0.2">
      <c r="AR575">
        <v>567</v>
      </c>
      <c r="AS575">
        <v>567</v>
      </c>
      <c r="AT575">
        <v>1</v>
      </c>
      <c r="AU575">
        <v>6.4457469470559356</v>
      </c>
      <c r="AV575">
        <v>5.2471698699489373E-2</v>
      </c>
    </row>
    <row r="576" spans="44:48" x14ac:dyDescent="0.2">
      <c r="AR576">
        <v>568</v>
      </c>
      <c r="AS576">
        <v>568</v>
      </c>
      <c r="AT576">
        <v>1</v>
      </c>
      <c r="AU576">
        <v>6.4766874783732806</v>
      </c>
      <c r="AV576">
        <v>5.2069999723551391E-2</v>
      </c>
    </row>
    <row r="577" spans="44:48" x14ac:dyDescent="0.2">
      <c r="AR577">
        <v>569</v>
      </c>
      <c r="AS577">
        <v>569</v>
      </c>
      <c r="AT577">
        <v>1</v>
      </c>
      <c r="AU577">
        <v>6.5076280096906256</v>
      </c>
      <c r="AV577">
        <v>5.166870928415896E-2</v>
      </c>
    </row>
    <row r="578" spans="44:48" x14ac:dyDescent="0.2">
      <c r="AR578">
        <v>570</v>
      </c>
      <c r="AS578">
        <v>570</v>
      </c>
      <c r="AT578">
        <v>1</v>
      </c>
      <c r="AU578">
        <v>6.5385685410079741</v>
      </c>
      <c r="AV578">
        <v>5.1267865493245822E-2</v>
      </c>
    </row>
    <row r="579" spans="44:48" x14ac:dyDescent="0.2">
      <c r="AR579">
        <v>571</v>
      </c>
      <c r="AS579">
        <v>571</v>
      </c>
      <c r="AT579">
        <v>1</v>
      </c>
      <c r="AU579">
        <v>6.5695090723253191</v>
      </c>
      <c r="AV579">
        <v>5.0867506099169991E-2</v>
      </c>
    </row>
    <row r="580" spans="44:48" x14ac:dyDescent="0.2">
      <c r="AR580">
        <v>572</v>
      </c>
      <c r="AS580">
        <v>572</v>
      </c>
      <c r="AT580">
        <v>1</v>
      </c>
      <c r="AU580">
        <v>6.6004496036426676</v>
      </c>
      <c r="AV580">
        <v>5.0467668481771838E-2</v>
      </c>
    </row>
    <row r="581" spans="44:48" x14ac:dyDescent="0.2">
      <c r="AR581">
        <v>573</v>
      </c>
      <c r="AS581">
        <v>573</v>
      </c>
      <c r="AT581">
        <v>1</v>
      </c>
      <c r="AU581">
        <v>6.6313901349600126</v>
      </c>
      <c r="AV581">
        <v>5.0068389647565985E-2</v>
      </c>
    </row>
    <row r="582" spans="44:48" x14ac:dyDescent="0.2">
      <c r="AR582">
        <v>574</v>
      </c>
      <c r="AS582">
        <v>574</v>
      </c>
      <c r="AT582">
        <v>1</v>
      </c>
      <c r="AU582">
        <v>6.6623306662773576</v>
      </c>
      <c r="AV582">
        <v>4.9669706225066161E-2</v>
      </c>
    </row>
    <row r="583" spans="44:48" x14ac:dyDescent="0.2">
      <c r="AR583">
        <v>575</v>
      </c>
      <c r="AS583">
        <v>575</v>
      </c>
      <c r="AT583">
        <v>1</v>
      </c>
      <c r="AU583">
        <v>6.6932711975947061</v>
      </c>
      <c r="AV583">
        <v>4.9271654460244591E-2</v>
      </c>
    </row>
    <row r="584" spans="44:48" x14ac:dyDescent="0.2">
      <c r="AR584">
        <v>576</v>
      </c>
      <c r="AS584">
        <v>576</v>
      </c>
      <c r="AT584">
        <v>1</v>
      </c>
      <c r="AU584">
        <v>6.7242117289120511</v>
      </c>
      <c r="AV584">
        <v>4.8874270212125592E-2</v>
      </c>
    </row>
    <row r="585" spans="44:48" x14ac:dyDescent="0.2">
      <c r="AR585">
        <v>577</v>
      </c>
      <c r="AS585">
        <v>577</v>
      </c>
      <c r="AT585">
        <v>1</v>
      </c>
      <c r="AU585">
        <v>6.7551522602293961</v>
      </c>
      <c r="AV585">
        <v>4.8477588948513624E-2</v>
      </c>
    </row>
    <row r="586" spans="44:48" x14ac:dyDescent="0.2">
      <c r="AR586">
        <v>578</v>
      </c>
      <c r="AS586">
        <v>578</v>
      </c>
      <c r="AT586">
        <v>1</v>
      </c>
      <c r="AU586">
        <v>6.7860927915467446</v>
      </c>
      <c r="AV586">
        <v>4.8081645741856464E-2</v>
      </c>
    </row>
    <row r="587" spans="44:48" x14ac:dyDescent="0.2">
      <c r="AR587">
        <v>579</v>
      </c>
      <c r="AS587">
        <v>579</v>
      </c>
      <c r="AT587">
        <v>1</v>
      </c>
      <c r="AU587">
        <v>6.8170333228640896</v>
      </c>
      <c r="AV587">
        <v>4.7686475265243486E-2</v>
      </c>
    </row>
    <row r="588" spans="44:48" x14ac:dyDescent="0.2">
      <c r="AR588">
        <v>580</v>
      </c>
      <c r="AS588">
        <v>580</v>
      </c>
      <c r="AT588">
        <v>1</v>
      </c>
      <c r="AU588">
        <v>6.8479738541814346</v>
      </c>
      <c r="AV588">
        <v>4.7292111788538788E-2</v>
      </c>
    </row>
    <row r="589" spans="44:48" x14ac:dyDescent="0.2">
      <c r="AR589">
        <v>581</v>
      </c>
      <c r="AS589">
        <v>581</v>
      </c>
      <c r="AT589">
        <v>1</v>
      </c>
      <c r="AU589">
        <v>6.8789143854987831</v>
      </c>
      <c r="AV589">
        <v>4.6898589174650007E-2</v>
      </c>
    </row>
    <row r="590" spans="44:48" x14ac:dyDescent="0.2">
      <c r="AR590">
        <v>582</v>
      </c>
      <c r="AS590">
        <v>582</v>
      </c>
      <c r="AT590">
        <v>1</v>
      </c>
      <c r="AU590">
        <v>6.9098549168161281</v>
      </c>
      <c r="AV590">
        <v>4.6505940875932496E-2</v>
      </c>
    </row>
    <row r="591" spans="44:48" x14ac:dyDescent="0.2">
      <c r="AR591">
        <v>583</v>
      </c>
      <c r="AS591">
        <v>583</v>
      </c>
      <c r="AT591">
        <v>1</v>
      </c>
      <c r="AU591">
        <v>6.9407954481334766</v>
      </c>
      <c r="AV591">
        <v>4.6114199930728274E-2</v>
      </c>
    </row>
    <row r="592" spans="44:48" x14ac:dyDescent="0.2">
      <c r="AR592">
        <v>584</v>
      </c>
      <c r="AS592">
        <v>584</v>
      </c>
      <c r="AT592">
        <v>1</v>
      </c>
      <c r="AU592">
        <v>6.9717359794508216</v>
      </c>
      <c r="AV592">
        <v>4.5723398960041066E-2</v>
      </c>
    </row>
    <row r="593" spans="44:48" x14ac:dyDescent="0.2">
      <c r="AR593">
        <v>585</v>
      </c>
      <c r="AS593">
        <v>585</v>
      </c>
      <c r="AT593">
        <v>1</v>
      </c>
      <c r="AU593">
        <v>7.0026765107681666</v>
      </c>
      <c r="AV593">
        <v>4.5333570164345735E-2</v>
      </c>
    </row>
    <row r="594" spans="44:48" x14ac:dyDescent="0.2">
      <c r="AR594">
        <v>586</v>
      </c>
      <c r="AS594">
        <v>586</v>
      </c>
      <c r="AT594">
        <v>1</v>
      </c>
      <c r="AU594">
        <v>7.0336170420855151</v>
      </c>
      <c r="AV594">
        <v>4.4944745320533198E-2</v>
      </c>
    </row>
    <row r="595" spans="44:48" x14ac:dyDescent="0.2">
      <c r="AR595">
        <v>587</v>
      </c>
      <c r="AS595">
        <v>587</v>
      </c>
      <c r="AT595">
        <v>1</v>
      </c>
      <c r="AU595">
        <v>7.0645575734028601</v>
      </c>
      <c r="AV595">
        <v>4.4556955778990166E-2</v>
      </c>
    </row>
    <row r="596" spans="44:48" x14ac:dyDescent="0.2">
      <c r="AR596">
        <v>588</v>
      </c>
      <c r="AS596">
        <v>588</v>
      </c>
      <c r="AT596">
        <v>1</v>
      </c>
      <c r="AU596">
        <v>7.095498104720205</v>
      </c>
      <c r="AV596">
        <v>4.4170232460812954E-2</v>
      </c>
    </row>
    <row r="597" spans="44:48" x14ac:dyDescent="0.2">
      <c r="AR597">
        <v>589</v>
      </c>
      <c r="AS597">
        <v>589</v>
      </c>
      <c r="AT597">
        <v>1</v>
      </c>
      <c r="AU597">
        <v>7.1264386360375536</v>
      </c>
      <c r="AV597">
        <v>4.3784605855156068E-2</v>
      </c>
    </row>
    <row r="598" spans="44:48" x14ac:dyDescent="0.2">
      <c r="AR598">
        <v>590</v>
      </c>
      <c r="AS598">
        <v>590</v>
      </c>
      <c r="AT598">
        <v>1</v>
      </c>
      <c r="AU598">
        <v>7.1573791673548985</v>
      </c>
      <c r="AV598">
        <v>4.3400106016714686E-2</v>
      </c>
    </row>
    <row r="599" spans="44:48" x14ac:dyDescent="0.2">
      <c r="AR599">
        <v>591</v>
      </c>
      <c r="AS599">
        <v>591</v>
      </c>
      <c r="AT599">
        <v>1</v>
      </c>
      <c r="AU599">
        <v>7.1883196986722435</v>
      </c>
      <c r="AV599">
        <v>4.3016762563340152E-2</v>
      </c>
    </row>
    <row r="600" spans="44:48" x14ac:dyDescent="0.2">
      <c r="AR600">
        <v>592</v>
      </c>
      <c r="AS600">
        <v>592</v>
      </c>
      <c r="AT600">
        <v>1</v>
      </c>
      <c r="AU600">
        <v>7.219260229989592</v>
      </c>
      <c r="AV600">
        <v>4.263460467378917E-2</v>
      </c>
    </row>
    <row r="601" spans="44:48" x14ac:dyDescent="0.2">
      <c r="AR601">
        <v>593</v>
      </c>
      <c r="AS601">
        <v>593</v>
      </c>
      <c r="AT601">
        <v>1</v>
      </c>
      <c r="AU601">
        <v>7.250200761306937</v>
      </c>
      <c r="AV601">
        <v>4.225366108560541E-2</v>
      </c>
    </row>
    <row r="602" spans="44:48" x14ac:dyDescent="0.2">
      <c r="AR602">
        <v>594</v>
      </c>
      <c r="AS602">
        <v>594</v>
      </c>
      <c r="AT602">
        <v>1</v>
      </c>
      <c r="AU602">
        <v>7.2811412926242856</v>
      </c>
      <c r="AV602">
        <v>4.1873960093133017E-2</v>
      </c>
    </row>
    <row r="603" spans="44:48" x14ac:dyDescent="0.2">
      <c r="AR603">
        <v>595</v>
      </c>
      <c r="AS603">
        <v>595</v>
      </c>
      <c r="AT603">
        <v>1</v>
      </c>
      <c r="AU603">
        <v>7.3120818239416305</v>
      </c>
      <c r="AV603">
        <v>4.1495529545662109E-2</v>
      </c>
    </row>
    <row r="604" spans="44:48" x14ac:dyDescent="0.2">
      <c r="AR604">
        <v>596</v>
      </c>
      <c r="AS604">
        <v>596</v>
      </c>
      <c r="AT604">
        <v>1</v>
      </c>
      <c r="AU604">
        <v>7.3430223552589755</v>
      </c>
      <c r="AV604">
        <v>4.1118396845704695E-2</v>
      </c>
    </row>
    <row r="605" spans="44:48" x14ac:dyDescent="0.2">
      <c r="AR605">
        <v>597</v>
      </c>
      <c r="AS605">
        <v>597</v>
      </c>
      <c r="AT605">
        <v>1</v>
      </c>
      <c r="AU605">
        <v>7.373962886576324</v>
      </c>
      <c r="AV605">
        <v>4.0742588947401286E-2</v>
      </c>
    </row>
    <row r="606" spans="44:48" x14ac:dyDescent="0.2">
      <c r="AR606">
        <v>598</v>
      </c>
      <c r="AS606">
        <v>598</v>
      </c>
      <c r="AT606">
        <v>1</v>
      </c>
      <c r="AU606">
        <v>7.404903417893669</v>
      </c>
      <c r="AV606">
        <v>4.0368132355057158E-2</v>
      </c>
    </row>
    <row r="607" spans="44:48" x14ac:dyDescent="0.2">
      <c r="AR607">
        <v>599</v>
      </c>
      <c r="AS607">
        <v>599</v>
      </c>
      <c r="AT607">
        <v>1</v>
      </c>
      <c r="AU607">
        <v>7.435843949211014</v>
      </c>
      <c r="AV607">
        <v>3.9995053121807025E-2</v>
      </c>
    </row>
    <row r="608" spans="44:48" x14ac:dyDescent="0.2">
      <c r="AR608">
        <v>600</v>
      </c>
      <c r="AS608">
        <v>600</v>
      </c>
      <c r="AT608">
        <v>1</v>
      </c>
      <c r="AU608">
        <v>7.4667844805283625</v>
      </c>
      <c r="AV608">
        <v>3.9623376848408338E-2</v>
      </c>
    </row>
    <row r="609" spans="44:48" x14ac:dyDescent="0.2">
      <c r="AR609">
        <v>601</v>
      </c>
      <c r="AS609">
        <v>601</v>
      </c>
      <c r="AT609">
        <v>1</v>
      </c>
      <c r="AU609">
        <v>7.4977250118457075</v>
      </c>
      <c r="AV609">
        <v>3.9253128682161721E-2</v>
      </c>
    </row>
    <row r="610" spans="44:48" x14ac:dyDescent="0.2">
      <c r="AR610">
        <v>602</v>
      </c>
      <c r="AS610">
        <v>602</v>
      </c>
      <c r="AT610">
        <v>1</v>
      </c>
      <c r="AU610">
        <v>7.528665543163056</v>
      </c>
      <c r="AV610">
        <v>3.8884333315957705E-2</v>
      </c>
    </row>
    <row r="611" spans="44:48" x14ac:dyDescent="0.2">
      <c r="AR611">
        <v>603</v>
      </c>
      <c r="AS611">
        <v>603</v>
      </c>
      <c r="AT611">
        <v>1</v>
      </c>
      <c r="AU611">
        <v>7.559606074480401</v>
      </c>
      <c r="AV611">
        <v>3.8517014987449472E-2</v>
      </c>
    </row>
    <row r="612" spans="44:48" x14ac:dyDescent="0.2">
      <c r="AR612">
        <v>604</v>
      </c>
      <c r="AS612">
        <v>604</v>
      </c>
      <c r="AT612">
        <v>1</v>
      </c>
      <c r="AU612">
        <v>7.590546605797746</v>
      </c>
      <c r="AV612">
        <v>3.8151197478349698E-2</v>
      </c>
    </row>
    <row r="613" spans="44:48" x14ac:dyDescent="0.2">
      <c r="AR613">
        <v>605</v>
      </c>
      <c r="AS613">
        <v>605</v>
      </c>
      <c r="AT613">
        <v>1</v>
      </c>
      <c r="AU613">
        <v>7.6214871371150945</v>
      </c>
      <c r="AV613">
        <v>3.778690411385157E-2</v>
      </c>
    </row>
    <row r="614" spans="44:48" x14ac:dyDescent="0.2">
      <c r="AR614">
        <v>606</v>
      </c>
      <c r="AS614">
        <v>606</v>
      </c>
      <c r="AT614">
        <v>1</v>
      </c>
      <c r="AU614">
        <v>7.6524276684324395</v>
      </c>
      <c r="AV614">
        <v>3.7424157762172533E-2</v>
      </c>
    </row>
    <row r="615" spans="44:48" x14ac:dyDescent="0.2">
      <c r="AR615">
        <v>607</v>
      </c>
      <c r="AS615">
        <v>607</v>
      </c>
      <c r="AT615">
        <v>1</v>
      </c>
      <c r="AU615">
        <v>7.6833681997497845</v>
      </c>
      <c r="AV615">
        <v>3.7062980834219258E-2</v>
      </c>
    </row>
    <row r="616" spans="44:48" x14ac:dyDescent="0.2">
      <c r="AR616">
        <v>608</v>
      </c>
      <c r="AS616">
        <v>608</v>
      </c>
      <c r="AT616">
        <v>1</v>
      </c>
      <c r="AU616">
        <v>7.714308731067133</v>
      </c>
      <c r="AV616">
        <v>3.6703395283373762E-2</v>
      </c>
    </row>
    <row r="617" spans="44:48" x14ac:dyDescent="0.2">
      <c r="AR617">
        <v>609</v>
      </c>
      <c r="AS617">
        <v>609</v>
      </c>
      <c r="AT617">
        <v>1</v>
      </c>
      <c r="AU617">
        <v>7.745249262384478</v>
      </c>
      <c r="AV617">
        <v>3.6345422605398997E-2</v>
      </c>
    </row>
    <row r="618" spans="44:48" x14ac:dyDescent="0.2">
      <c r="AR618">
        <v>610</v>
      </c>
      <c r="AS618">
        <v>610</v>
      </c>
      <c r="AT618">
        <v>1</v>
      </c>
      <c r="AU618">
        <v>7.7761897937018229</v>
      </c>
      <c r="AV618">
        <v>3.5989083838462527E-2</v>
      </c>
    </row>
    <row r="619" spans="44:48" x14ac:dyDescent="0.2">
      <c r="AR619">
        <v>611</v>
      </c>
      <c r="AS619">
        <v>611</v>
      </c>
      <c r="AT619">
        <v>1</v>
      </c>
      <c r="AU619">
        <v>7.8071303250191715</v>
      </c>
      <c r="AV619">
        <v>3.5634399563277776E-2</v>
      </c>
    </row>
    <row r="620" spans="44:48" x14ac:dyDescent="0.2">
      <c r="AR620">
        <v>612</v>
      </c>
      <c r="AS620">
        <v>612</v>
      </c>
      <c r="AT620">
        <v>1</v>
      </c>
      <c r="AU620">
        <v>7.8380708563365165</v>
      </c>
      <c r="AV620">
        <v>3.5281389903361507E-2</v>
      </c>
    </row>
    <row r="621" spans="44:48" x14ac:dyDescent="0.2">
      <c r="AR621">
        <v>613</v>
      </c>
      <c r="AS621">
        <v>613</v>
      </c>
      <c r="AT621">
        <v>1</v>
      </c>
      <c r="AU621">
        <v>7.869011387653865</v>
      </c>
      <c r="AV621">
        <v>3.4930074525405572E-2</v>
      </c>
    </row>
    <row r="622" spans="44:48" x14ac:dyDescent="0.2">
      <c r="AR622">
        <v>614</v>
      </c>
      <c r="AS622">
        <v>614</v>
      </c>
      <c r="AT622">
        <v>1</v>
      </c>
      <c r="AU622">
        <v>7.89995191897121</v>
      </c>
      <c r="AV622">
        <v>3.458047263976298E-2</v>
      </c>
    </row>
    <row r="623" spans="44:48" x14ac:dyDescent="0.2">
      <c r="AR623">
        <v>615</v>
      </c>
      <c r="AS623">
        <v>615</v>
      </c>
      <c r="AT623">
        <v>1</v>
      </c>
      <c r="AU623">
        <v>7.9308924502885549</v>
      </c>
      <c r="AV623">
        <v>3.4232603001045782E-2</v>
      </c>
    </row>
    <row r="624" spans="44:48" x14ac:dyDescent="0.2">
      <c r="AR624">
        <v>616</v>
      </c>
      <c r="AS624">
        <v>616</v>
      </c>
      <c r="AT624">
        <v>1</v>
      </c>
      <c r="AU624">
        <v>7.9618329816059035</v>
      </c>
      <c r="AV624">
        <v>3.3886483908834246E-2</v>
      </c>
    </row>
    <row r="625" spans="44:48" x14ac:dyDescent="0.2">
      <c r="AR625">
        <v>617</v>
      </c>
      <c r="AS625">
        <v>617</v>
      </c>
      <c r="AT625">
        <v>1</v>
      </c>
      <c r="AU625">
        <v>7.9927735129232484</v>
      </c>
      <c r="AV625">
        <v>3.3542133208495799E-2</v>
      </c>
    </row>
    <row r="626" spans="44:48" x14ac:dyDescent="0.2">
      <c r="AR626">
        <v>618</v>
      </c>
      <c r="AS626">
        <v>618</v>
      </c>
      <c r="AT626">
        <v>1</v>
      </c>
      <c r="AU626">
        <v>8.0237140442405934</v>
      </c>
      <c r="AV626">
        <v>3.3199568292112021E-2</v>
      </c>
    </row>
    <row r="627" spans="44:48" x14ac:dyDescent="0.2">
      <c r="AR627">
        <v>619</v>
      </c>
      <c r="AS627">
        <v>619</v>
      </c>
      <c r="AT627">
        <v>1</v>
      </c>
      <c r="AU627">
        <v>8.054654575557942</v>
      </c>
      <c r="AV627">
        <v>3.2858806099512923E-2</v>
      </c>
    </row>
    <row r="628" spans="44:48" x14ac:dyDescent="0.2">
      <c r="AR628">
        <v>620</v>
      </c>
      <c r="AS628">
        <v>620</v>
      </c>
      <c r="AT628">
        <v>1</v>
      </c>
      <c r="AU628">
        <v>8.0855951068752869</v>
      </c>
      <c r="AV628">
        <v>3.251986311941675E-2</v>
      </c>
    </row>
    <row r="629" spans="44:48" x14ac:dyDescent="0.2">
      <c r="AR629">
        <v>621</v>
      </c>
      <c r="AS629">
        <v>621</v>
      </c>
      <c r="AT629">
        <v>1</v>
      </c>
      <c r="AU629">
        <v>8.1165356381926319</v>
      </c>
      <c r="AV629">
        <v>3.2182755390673654E-2</v>
      </c>
    </row>
    <row r="630" spans="44:48" x14ac:dyDescent="0.2">
      <c r="AR630">
        <v>622</v>
      </c>
      <c r="AS630">
        <v>622</v>
      </c>
      <c r="AT630">
        <v>1</v>
      </c>
      <c r="AU630">
        <v>8.1474761695099804</v>
      </c>
      <c r="AV630">
        <v>3.1847498503612293E-2</v>
      </c>
    </row>
    <row r="631" spans="44:48" x14ac:dyDescent="0.2">
      <c r="AR631">
        <v>623</v>
      </c>
      <c r="AS631">
        <v>623</v>
      </c>
      <c r="AT631">
        <v>1</v>
      </c>
      <c r="AU631">
        <v>8.1784167008273254</v>
      </c>
      <c r="AV631">
        <v>3.1514107601487838E-2</v>
      </c>
    </row>
    <row r="632" spans="44:48" x14ac:dyDescent="0.2">
      <c r="AR632">
        <v>624</v>
      </c>
      <c r="AS632">
        <v>624</v>
      </c>
      <c r="AT632">
        <v>1</v>
      </c>
      <c r="AU632">
        <v>8.2093572321446739</v>
      </c>
      <c r="AV632">
        <v>3.118259738202905E-2</v>
      </c>
    </row>
    <row r="633" spans="44:48" x14ac:dyDescent="0.2">
      <c r="AR633">
        <v>625</v>
      </c>
      <c r="AS633">
        <v>625</v>
      </c>
      <c r="AT633">
        <v>1</v>
      </c>
      <c r="AU633">
        <v>8.2402977634620189</v>
      </c>
      <c r="AV633">
        <v>3.0852982099084332E-2</v>
      </c>
    </row>
    <row r="634" spans="44:48" x14ac:dyDescent="0.2">
      <c r="AR634">
        <v>626</v>
      </c>
      <c r="AS634">
        <v>626</v>
      </c>
      <c r="AT634">
        <v>1</v>
      </c>
      <c r="AU634">
        <v>8.2712382947793639</v>
      </c>
      <c r="AV634">
        <v>3.0525275564363779E-2</v>
      </c>
    </row>
    <row r="635" spans="44:48" x14ac:dyDescent="0.2">
      <c r="AR635">
        <v>627</v>
      </c>
      <c r="AS635">
        <v>627</v>
      </c>
      <c r="AT635">
        <v>1</v>
      </c>
      <c r="AU635">
        <v>8.3021788260967124</v>
      </c>
      <c r="AV635">
        <v>3.0199491149276812E-2</v>
      </c>
    </row>
    <row r="636" spans="44:48" x14ac:dyDescent="0.2">
      <c r="AR636">
        <v>628</v>
      </c>
      <c r="AS636">
        <v>628</v>
      </c>
      <c r="AT636">
        <v>1</v>
      </c>
      <c r="AU636">
        <v>8.3331193574140574</v>
      </c>
      <c r="AV636">
        <v>2.9875641786863225E-2</v>
      </c>
    </row>
    <row r="637" spans="44:48" x14ac:dyDescent="0.2">
      <c r="AR637">
        <v>629</v>
      </c>
      <c r="AS637">
        <v>629</v>
      </c>
      <c r="AT637">
        <v>1</v>
      </c>
      <c r="AU637">
        <v>8.3640598887314024</v>
      </c>
      <c r="AV637">
        <v>2.955373997381594E-2</v>
      </c>
    </row>
    <row r="638" spans="44:48" x14ac:dyDescent="0.2">
      <c r="AR638">
        <v>630</v>
      </c>
      <c r="AS638">
        <v>630</v>
      </c>
      <c r="AT638">
        <v>1</v>
      </c>
      <c r="AU638">
        <v>8.3950004200487509</v>
      </c>
      <c r="AV638">
        <v>2.9233797772594439E-2</v>
      </c>
    </row>
    <row r="639" spans="44:48" x14ac:dyDescent="0.2">
      <c r="AR639">
        <v>631</v>
      </c>
      <c r="AS639">
        <v>631</v>
      </c>
      <c r="AT639">
        <v>1</v>
      </c>
      <c r="AU639">
        <v>8.4259409513660959</v>
      </c>
      <c r="AV639">
        <v>2.8915826813626876E-2</v>
      </c>
    </row>
    <row r="640" spans="44:48" x14ac:dyDescent="0.2">
      <c r="AR640">
        <v>632</v>
      </c>
      <c r="AS640">
        <v>632</v>
      </c>
      <c r="AT640">
        <v>1</v>
      </c>
      <c r="AU640">
        <v>8.4568814826834409</v>
      </c>
      <c r="AV640">
        <v>2.8599838297599007E-2</v>
      </c>
    </row>
    <row r="641" spans="44:48" x14ac:dyDescent="0.2">
      <c r="AR641">
        <v>633</v>
      </c>
      <c r="AS641">
        <v>633</v>
      </c>
      <c r="AT641">
        <v>1</v>
      </c>
      <c r="AU641">
        <v>8.4878220140007894</v>
      </c>
      <c r="AV641">
        <v>2.8285842997828877E-2</v>
      </c>
    </row>
    <row r="642" spans="44:48" x14ac:dyDescent="0.2">
      <c r="AR642">
        <v>634</v>
      </c>
      <c r="AS642">
        <v>634</v>
      </c>
      <c r="AT642">
        <v>1</v>
      </c>
      <c r="AU642">
        <v>8.5187625453181344</v>
      </c>
      <c r="AV642">
        <v>2.7973851262725263E-2</v>
      </c>
    </row>
    <row r="643" spans="44:48" x14ac:dyDescent="0.2">
      <c r="AR643">
        <v>635</v>
      </c>
      <c r="AS643">
        <v>635</v>
      </c>
      <c r="AT643">
        <v>1</v>
      </c>
      <c r="AU643">
        <v>8.5497030766354829</v>
      </c>
      <c r="AV643">
        <v>2.7663873018327935E-2</v>
      </c>
    </row>
    <row r="644" spans="44:48" x14ac:dyDescent="0.2">
      <c r="AR644">
        <v>636</v>
      </c>
      <c r="AS644">
        <v>636</v>
      </c>
      <c r="AT644">
        <v>1</v>
      </c>
      <c r="AU644">
        <v>8.5806436079528279</v>
      </c>
      <c r="AV644">
        <v>2.7355917770928832E-2</v>
      </c>
    </row>
    <row r="645" spans="44:48" x14ac:dyDescent="0.2">
      <c r="AR645">
        <v>637</v>
      </c>
      <c r="AS645">
        <v>637</v>
      </c>
      <c r="AT645">
        <v>1</v>
      </c>
      <c r="AU645">
        <v>8.6115841392701729</v>
      </c>
      <c r="AV645">
        <v>2.704999460977146E-2</v>
      </c>
    </row>
    <row r="646" spans="44:48" x14ac:dyDescent="0.2">
      <c r="AR646">
        <v>638</v>
      </c>
      <c r="AS646">
        <v>638</v>
      </c>
      <c r="AT646">
        <v>1</v>
      </c>
      <c r="AU646">
        <v>8.6425246705875214</v>
      </c>
      <c r="AV646">
        <v>2.674611220982764E-2</v>
      </c>
    </row>
    <row r="647" spans="44:48" x14ac:dyDescent="0.2">
      <c r="AR647">
        <v>639</v>
      </c>
      <c r="AS647">
        <v>639</v>
      </c>
      <c r="AT647">
        <v>1</v>
      </c>
      <c r="AU647">
        <v>8.6734652019048664</v>
      </c>
      <c r="AV647">
        <v>2.6444278834649664E-2</v>
      </c>
    </row>
    <row r="648" spans="44:48" x14ac:dyDescent="0.2">
      <c r="AR648">
        <v>640</v>
      </c>
      <c r="AS648">
        <v>640</v>
      </c>
      <c r="AT648">
        <v>1</v>
      </c>
      <c r="AU648">
        <v>8.7044057332222113</v>
      </c>
      <c r="AV648">
        <v>2.6144502339295623E-2</v>
      </c>
    </row>
    <row r="649" spans="44:48" x14ac:dyDescent="0.2">
      <c r="AR649">
        <v>641</v>
      </c>
      <c r="AS649">
        <v>641</v>
      </c>
      <c r="AT649">
        <v>1</v>
      </c>
      <c r="AU649">
        <v>8.7353462645395599</v>
      </c>
      <c r="AV649">
        <v>2.5846790173327038E-2</v>
      </c>
    </row>
    <row r="650" spans="44:48" x14ac:dyDescent="0.2">
      <c r="AR650">
        <v>642</v>
      </c>
      <c r="AS650">
        <v>642</v>
      </c>
      <c r="AT650">
        <v>1</v>
      </c>
      <c r="AU650">
        <v>8.7662867958569048</v>
      </c>
      <c r="AV650">
        <v>2.5551149383876513E-2</v>
      </c>
    </row>
    <row r="651" spans="44:48" x14ac:dyDescent="0.2">
      <c r="AR651">
        <v>643</v>
      </c>
      <c r="AS651">
        <v>643</v>
      </c>
      <c r="AT651">
        <v>1</v>
      </c>
      <c r="AU651">
        <v>8.7972273271742498</v>
      </c>
      <c r="AV651">
        <v>2.5257586618783533E-2</v>
      </c>
    </row>
    <row r="652" spans="44:48" x14ac:dyDescent="0.2">
      <c r="AR652">
        <v>644</v>
      </c>
      <c r="AS652">
        <v>644</v>
      </c>
      <c r="AT652">
        <v>1</v>
      </c>
      <c r="AU652">
        <v>8.8281678584915984</v>
      </c>
      <c r="AV652">
        <v>2.4966108129797267E-2</v>
      </c>
    </row>
    <row r="653" spans="44:48" x14ac:dyDescent="0.2">
      <c r="AR653">
        <v>645</v>
      </c>
      <c r="AS653">
        <v>645</v>
      </c>
      <c r="AT653">
        <v>1</v>
      </c>
      <c r="AU653">
        <v>8.8591083898089433</v>
      </c>
      <c r="AV653">
        <v>2.4676719775844194E-2</v>
      </c>
    </row>
    <row r="654" spans="44:48" x14ac:dyDescent="0.2">
      <c r="AR654">
        <v>646</v>
      </c>
      <c r="AS654">
        <v>646</v>
      </c>
      <c r="AT654">
        <v>1</v>
      </c>
      <c r="AU654">
        <v>8.8900489211262919</v>
      </c>
      <c r="AV654">
        <v>2.4389427026358594E-2</v>
      </c>
    </row>
    <row r="655" spans="44:48" x14ac:dyDescent="0.2">
      <c r="AR655">
        <v>647</v>
      </c>
      <c r="AS655">
        <v>647</v>
      </c>
      <c r="AT655">
        <v>1</v>
      </c>
      <c r="AU655">
        <v>8.9209894524436368</v>
      </c>
      <c r="AV655">
        <v>2.4104234964674912E-2</v>
      </c>
    </row>
    <row r="656" spans="44:48" x14ac:dyDescent="0.2">
      <c r="AR656">
        <v>648</v>
      </c>
      <c r="AS656">
        <v>648</v>
      </c>
      <c r="AT656">
        <v>1</v>
      </c>
      <c r="AU656">
        <v>8.9519299837609818</v>
      </c>
      <c r="AV656">
        <v>2.382114829147931E-2</v>
      </c>
    </row>
    <row r="657" spans="44:48" x14ac:dyDescent="0.2">
      <c r="AR657">
        <v>649</v>
      </c>
      <c r="AS657">
        <v>649</v>
      </c>
      <c r="AT657">
        <v>1</v>
      </c>
      <c r="AU657">
        <v>8.9828705150783303</v>
      </c>
      <c r="AV657">
        <v>2.3540171328319391E-2</v>
      </c>
    </row>
    <row r="658" spans="44:48" x14ac:dyDescent="0.2">
      <c r="AR658">
        <v>650</v>
      </c>
      <c r="AS658">
        <v>650</v>
      </c>
      <c r="AT658">
        <v>1</v>
      </c>
      <c r="AU658">
        <v>9.0138110463956753</v>
      </c>
      <c r="AV658">
        <v>2.3261308021170109E-2</v>
      </c>
    </row>
    <row r="659" spans="44:48" x14ac:dyDescent="0.2">
      <c r="AR659">
        <v>651</v>
      </c>
      <c r="AS659">
        <v>651</v>
      </c>
      <c r="AT659">
        <v>1</v>
      </c>
      <c r="AU659">
        <v>9.0447515777130203</v>
      </c>
      <c r="AV659">
        <v>2.2984561944053659E-2</v>
      </c>
    </row>
    <row r="660" spans="44:48" x14ac:dyDescent="0.2">
      <c r="AR660">
        <v>652</v>
      </c>
      <c r="AS660">
        <v>652</v>
      </c>
      <c r="AT660">
        <v>1</v>
      </c>
      <c r="AU660">
        <v>9.0756921090303688</v>
      </c>
      <c r="AV660">
        <v>2.2709936302712379E-2</v>
      </c>
    </row>
    <row r="661" spans="44:48" x14ac:dyDescent="0.2">
      <c r="AR661">
        <v>653</v>
      </c>
      <c r="AS661">
        <v>653</v>
      </c>
      <c r="AT661">
        <v>1</v>
      </c>
      <c r="AU661">
        <v>9.1066326403477138</v>
      </c>
      <c r="AV661">
        <v>2.2437433938332509E-2</v>
      </c>
    </row>
    <row r="662" spans="44:48" x14ac:dyDescent="0.2">
      <c r="AR662">
        <v>654</v>
      </c>
      <c r="AS662">
        <v>654</v>
      </c>
      <c r="AT662">
        <v>1</v>
      </c>
      <c r="AU662">
        <v>9.1375731716650588</v>
      </c>
      <c r="AV662">
        <v>2.2167057331316641E-2</v>
      </c>
    </row>
    <row r="663" spans="44:48" x14ac:dyDescent="0.2">
      <c r="AR663">
        <v>655</v>
      </c>
      <c r="AS663">
        <v>655</v>
      </c>
      <c r="AT663">
        <v>1</v>
      </c>
      <c r="AU663">
        <v>9.1685137029824073</v>
      </c>
      <c r="AV663">
        <v>2.1898808605104035E-2</v>
      </c>
    </row>
    <row r="664" spans="44:48" x14ac:dyDescent="0.2">
      <c r="AR664">
        <v>656</v>
      </c>
      <c r="AS664">
        <v>656</v>
      </c>
      <c r="AT664">
        <v>1</v>
      </c>
      <c r="AU664">
        <v>9.1994542342997523</v>
      </c>
      <c r="AV664">
        <v>2.1632689530036338E-2</v>
      </c>
    </row>
    <row r="665" spans="44:48" x14ac:dyDescent="0.2">
      <c r="AR665">
        <v>657</v>
      </c>
      <c r="AS665">
        <v>657</v>
      </c>
      <c r="AT665">
        <v>1</v>
      </c>
      <c r="AU665">
        <v>9.2303947656171008</v>
      </c>
      <c r="AV665">
        <v>2.1368701527267036E-2</v>
      </c>
    </row>
    <row r="666" spans="44:48" x14ac:dyDescent="0.2">
      <c r="AR666">
        <v>658</v>
      </c>
      <c r="AS666">
        <v>658</v>
      </c>
      <c r="AT666">
        <v>1</v>
      </c>
      <c r="AU666">
        <v>9.2613352969344458</v>
      </c>
      <c r="AV666">
        <v>2.110684567271344E-2</v>
      </c>
    </row>
    <row r="667" spans="44:48" x14ac:dyDescent="0.2">
      <c r="AR667">
        <v>659</v>
      </c>
      <c r="AS667">
        <v>659</v>
      </c>
      <c r="AT667">
        <v>1</v>
      </c>
      <c r="AU667">
        <v>9.2922758282517908</v>
      </c>
      <c r="AV667">
        <v>2.0847122701048618E-2</v>
      </c>
    </row>
    <row r="668" spans="44:48" x14ac:dyDescent="0.2">
      <c r="AR668">
        <v>660</v>
      </c>
      <c r="AS668">
        <v>660</v>
      </c>
      <c r="AT668">
        <v>1</v>
      </c>
      <c r="AU668">
        <v>9.3232163595691393</v>
      </c>
      <c r="AV668">
        <v>2.0589533009732361E-2</v>
      </c>
    </row>
    <row r="669" spans="44:48" x14ac:dyDescent="0.2">
      <c r="AR669">
        <v>661</v>
      </c>
      <c r="AS669">
        <v>661</v>
      </c>
      <c r="AT669">
        <v>1</v>
      </c>
      <c r="AU669">
        <v>9.3541568908864843</v>
      </c>
      <c r="AV669">
        <v>2.0334076663079154E-2</v>
      </c>
    </row>
    <row r="670" spans="44:48" x14ac:dyDescent="0.2">
      <c r="AR670">
        <v>662</v>
      </c>
      <c r="AS670">
        <v>662</v>
      </c>
      <c r="AT670">
        <v>1</v>
      </c>
      <c r="AU670">
        <v>9.3850974222038293</v>
      </c>
      <c r="AV670">
        <v>2.0080753396361065E-2</v>
      </c>
    </row>
    <row r="671" spans="44:48" x14ac:dyDescent="0.2">
      <c r="AR671">
        <v>663</v>
      </c>
      <c r="AS671">
        <v>663</v>
      </c>
      <c r="AT671">
        <v>1</v>
      </c>
      <c r="AU671">
        <v>9.4160379535211778</v>
      </c>
      <c r="AV671">
        <v>1.9829562619944591E-2</v>
      </c>
    </row>
    <row r="672" spans="44:48" x14ac:dyDescent="0.2">
      <c r="AR672">
        <v>664</v>
      </c>
      <c r="AS672">
        <v>664</v>
      </c>
      <c r="AT672">
        <v>1</v>
      </c>
      <c r="AU672">
        <v>9.4469784848385228</v>
      </c>
      <c r="AV672">
        <v>1.9580503423459263E-2</v>
      </c>
    </row>
    <row r="673" spans="44:48" x14ac:dyDescent="0.2">
      <c r="AR673">
        <v>665</v>
      </c>
      <c r="AS673">
        <v>665</v>
      </c>
      <c r="AT673">
        <v>1</v>
      </c>
      <c r="AU673">
        <v>9.4779190161558713</v>
      </c>
      <c r="AV673">
        <v>1.9333574579996304E-2</v>
      </c>
    </row>
    <row r="674" spans="44:48" x14ac:dyDescent="0.2">
      <c r="AR674">
        <v>666</v>
      </c>
      <c r="AS674">
        <v>666</v>
      </c>
      <c r="AT674">
        <v>1</v>
      </c>
      <c r="AU674">
        <v>9.5088595474732163</v>
      </c>
      <c r="AV674">
        <v>1.9088774550336141E-2</v>
      </c>
    </row>
    <row r="675" spans="44:48" x14ac:dyDescent="0.2">
      <c r="AR675">
        <v>667</v>
      </c>
      <c r="AS675">
        <v>667</v>
      </c>
      <c r="AT675">
        <v>1</v>
      </c>
      <c r="AU675">
        <v>9.5398000787905612</v>
      </c>
      <c r="AV675">
        <v>1.8846101487202435E-2</v>
      </c>
    </row>
    <row r="676" spans="44:48" x14ac:dyDescent="0.2">
      <c r="AR676">
        <v>668</v>
      </c>
      <c r="AS676">
        <v>668</v>
      </c>
      <c r="AT676">
        <v>1</v>
      </c>
      <c r="AU676">
        <v>9.5707406101079098</v>
      </c>
      <c r="AV676">
        <v>1.8605553239541592E-2</v>
      </c>
    </row>
    <row r="677" spans="44:48" x14ac:dyDescent="0.2">
      <c r="AR677">
        <v>669</v>
      </c>
      <c r="AS677">
        <v>669</v>
      </c>
      <c r="AT677">
        <v>1</v>
      </c>
      <c r="AU677">
        <v>9.6016811414252548</v>
      </c>
      <c r="AV677">
        <v>1.8367127356825885E-2</v>
      </c>
    </row>
    <row r="678" spans="44:48" x14ac:dyDescent="0.2">
      <c r="AR678">
        <v>670</v>
      </c>
      <c r="AS678">
        <v>670</v>
      </c>
      <c r="AT678">
        <v>1</v>
      </c>
      <c r="AU678">
        <v>9.6326216727425997</v>
      </c>
      <c r="AV678">
        <v>1.8130821093378272E-2</v>
      </c>
    </row>
    <row r="679" spans="44:48" x14ac:dyDescent="0.2">
      <c r="AR679">
        <v>671</v>
      </c>
      <c r="AS679">
        <v>671</v>
      </c>
      <c r="AT679">
        <v>1</v>
      </c>
      <c r="AU679">
        <v>9.6635622040599483</v>
      </c>
      <c r="AV679">
        <v>1.789663141271787E-2</v>
      </c>
    </row>
    <row r="680" spans="44:48" x14ac:dyDescent="0.2">
      <c r="AR680">
        <v>672</v>
      </c>
      <c r="AS680">
        <v>672</v>
      </c>
      <c r="AT680">
        <v>1</v>
      </c>
      <c r="AU680">
        <v>9.6945027353772932</v>
      </c>
      <c r="AV680">
        <v>1.7664554991924125E-2</v>
      </c>
    </row>
    <row r="681" spans="44:48" x14ac:dyDescent="0.2">
      <c r="AR681">
        <v>673</v>
      </c>
      <c r="AS681">
        <v>673</v>
      </c>
      <c r="AT681">
        <v>1</v>
      </c>
      <c r="AU681">
        <v>9.7254432666946382</v>
      </c>
      <c r="AV681">
        <v>1.7434588226017962E-2</v>
      </c>
    </row>
    <row r="682" spans="44:48" x14ac:dyDescent="0.2">
      <c r="AR682">
        <v>674</v>
      </c>
      <c r="AS682">
        <v>674</v>
      </c>
      <c r="AT682">
        <v>1</v>
      </c>
      <c r="AU682">
        <v>9.7563837980119867</v>
      </c>
      <c r="AV682">
        <v>1.7206727232358769E-2</v>
      </c>
    </row>
    <row r="683" spans="44:48" x14ac:dyDescent="0.2">
      <c r="AR683">
        <v>675</v>
      </c>
      <c r="AS683">
        <v>675</v>
      </c>
      <c r="AT683">
        <v>1</v>
      </c>
      <c r="AU683">
        <v>9.7873243293293317</v>
      </c>
      <c r="AV683">
        <v>1.6980967855055446E-2</v>
      </c>
    </row>
    <row r="684" spans="44:48" x14ac:dyDescent="0.2">
      <c r="AR684">
        <v>676</v>
      </c>
      <c r="AS684">
        <v>676</v>
      </c>
      <c r="AT684">
        <v>1</v>
      </c>
      <c r="AU684">
        <v>9.8182648606466802</v>
      </c>
      <c r="AV684">
        <v>1.6757305669389669E-2</v>
      </c>
    </row>
    <row r="685" spans="44:48" x14ac:dyDescent="0.2">
      <c r="AR685">
        <v>677</v>
      </c>
      <c r="AS685">
        <v>677</v>
      </c>
      <c r="AT685">
        <v>1</v>
      </c>
      <c r="AU685">
        <v>9.8492053919640252</v>
      </c>
      <c r="AV685">
        <v>1.653573598625056E-2</v>
      </c>
    </row>
    <row r="686" spans="44:48" x14ac:dyDescent="0.2">
      <c r="AR686">
        <v>678</v>
      </c>
      <c r="AS686">
        <v>678</v>
      </c>
      <c r="AT686">
        <v>1</v>
      </c>
      <c r="AU686">
        <v>9.8801459232813702</v>
      </c>
      <c r="AV686">
        <v>1.6316253856578467E-2</v>
      </c>
    </row>
    <row r="687" spans="44:48" x14ac:dyDescent="0.2">
      <c r="AR687">
        <v>679</v>
      </c>
      <c r="AS687">
        <v>679</v>
      </c>
      <c r="AT687">
        <v>1</v>
      </c>
      <c r="AU687">
        <v>9.9110864545987187</v>
      </c>
      <c r="AV687">
        <v>1.6098854075816949E-2</v>
      </c>
    </row>
    <row r="688" spans="44:48" x14ac:dyDescent="0.2">
      <c r="AR688">
        <v>680</v>
      </c>
      <c r="AS688">
        <v>680</v>
      </c>
      <c r="AT688">
        <v>1</v>
      </c>
      <c r="AU688">
        <v>9.9420269859160637</v>
      </c>
      <c r="AV688">
        <v>1.5883531188371307E-2</v>
      </c>
    </row>
    <row r="689" spans="44:48" x14ac:dyDescent="0.2">
      <c r="AR689">
        <v>681</v>
      </c>
      <c r="AS689">
        <v>681</v>
      </c>
      <c r="AT689">
        <v>1</v>
      </c>
      <c r="AU689">
        <v>9.9729675172334087</v>
      </c>
      <c r="AV689">
        <v>1.5670279492071896E-2</v>
      </c>
    </row>
    <row r="690" spans="44:48" x14ac:dyDescent="0.2">
      <c r="AR690">
        <v>682</v>
      </c>
      <c r="AS690">
        <v>682</v>
      </c>
      <c r="AT690">
        <v>1</v>
      </c>
      <c r="AU690">
        <v>10.003908048550757</v>
      </c>
      <c r="AV690">
        <v>1.5459093042641342E-2</v>
      </c>
    </row>
    <row r="691" spans="44:48" x14ac:dyDescent="0.2">
      <c r="AR691">
        <v>683</v>
      </c>
      <c r="AS691">
        <v>683</v>
      </c>
      <c r="AT691">
        <v>1</v>
      </c>
      <c r="AU691">
        <v>10.034848579868102</v>
      </c>
      <c r="AV691">
        <v>1.5249965658163932E-2</v>
      </c>
    </row>
    <row r="692" spans="44:48" x14ac:dyDescent="0.2">
      <c r="AR692">
        <v>684</v>
      </c>
      <c r="AS692">
        <v>684</v>
      </c>
      <c r="AT692">
        <v>1</v>
      </c>
      <c r="AU692">
        <v>10.065789111185447</v>
      </c>
      <c r="AV692">
        <v>1.5042890923555523E-2</v>
      </c>
    </row>
    <row r="693" spans="44:48" x14ac:dyDescent="0.2">
      <c r="AR693">
        <v>685</v>
      </c>
      <c r="AS693">
        <v>685</v>
      </c>
      <c r="AT693">
        <v>1</v>
      </c>
      <c r="AU693">
        <v>10.096729642502796</v>
      </c>
      <c r="AV693">
        <v>1.4837862195033132E-2</v>
      </c>
    </row>
    <row r="694" spans="44:48" x14ac:dyDescent="0.2">
      <c r="AR694">
        <v>686</v>
      </c>
      <c r="AS694">
        <v>686</v>
      </c>
      <c r="AT694">
        <v>1</v>
      </c>
      <c r="AU694">
        <v>10.127670173820141</v>
      </c>
      <c r="AV694">
        <v>1.4634872604582534E-2</v>
      </c>
    </row>
    <row r="695" spans="44:48" x14ac:dyDescent="0.2">
      <c r="AR695">
        <v>687</v>
      </c>
      <c r="AS695">
        <v>687</v>
      </c>
      <c r="AT695">
        <v>1</v>
      </c>
      <c r="AU695">
        <v>10.158610705137489</v>
      </c>
      <c r="AV695">
        <v>1.4433915064422336E-2</v>
      </c>
    </row>
    <row r="696" spans="44:48" x14ac:dyDescent="0.2">
      <c r="AR696">
        <v>688</v>
      </c>
      <c r="AS696">
        <v>688</v>
      </c>
      <c r="AT696">
        <v>1</v>
      </c>
      <c r="AU696">
        <v>10.189551236454834</v>
      </c>
      <c r="AV696">
        <v>1.4234982271463734E-2</v>
      </c>
    </row>
    <row r="697" spans="44:48" x14ac:dyDescent="0.2">
      <c r="AR697">
        <v>689</v>
      </c>
      <c r="AS697">
        <v>689</v>
      </c>
      <c r="AT697">
        <v>1</v>
      </c>
      <c r="AU697">
        <v>10.220491767772179</v>
      </c>
      <c r="AV697">
        <v>1.4038066711763992E-2</v>
      </c>
    </row>
    <row r="698" spans="44:48" x14ac:dyDescent="0.2">
      <c r="AR698">
        <v>690</v>
      </c>
      <c r="AS698">
        <v>690</v>
      </c>
      <c r="AT698">
        <v>1</v>
      </c>
      <c r="AU698">
        <v>10.251432299089528</v>
      </c>
      <c r="AV698">
        <v>1.3843160664972921E-2</v>
      </c>
    </row>
    <row r="699" spans="44:48" x14ac:dyDescent="0.2">
      <c r="AR699">
        <v>691</v>
      </c>
      <c r="AS699">
        <v>691</v>
      </c>
      <c r="AT699">
        <v>1</v>
      </c>
      <c r="AU699">
        <v>10.282372830406873</v>
      </c>
      <c r="AV699">
        <v>1.3650256208770851E-2</v>
      </c>
    </row>
    <row r="700" spans="44:48" x14ac:dyDescent="0.2">
      <c r="AR700">
        <v>692</v>
      </c>
      <c r="AS700">
        <v>692</v>
      </c>
      <c r="AT700">
        <v>1</v>
      </c>
      <c r="AU700">
        <v>10.313313361724218</v>
      </c>
      <c r="AV700">
        <v>1.3459345223296663E-2</v>
      </c>
    </row>
    <row r="701" spans="44:48" x14ac:dyDescent="0.2">
      <c r="AR701">
        <v>693</v>
      </c>
      <c r="AS701">
        <v>693</v>
      </c>
      <c r="AT701">
        <v>1</v>
      </c>
      <c r="AU701">
        <v>10.344253893041566</v>
      </c>
      <c r="AV701">
        <v>1.3270419395565027E-2</v>
      </c>
    </row>
    <row r="702" spans="44:48" x14ac:dyDescent="0.2">
      <c r="AR702">
        <v>694</v>
      </c>
      <c r="AS702">
        <v>694</v>
      </c>
      <c r="AT702">
        <v>1</v>
      </c>
      <c r="AU702">
        <v>10.375194424358911</v>
      </c>
      <c r="AV702">
        <v>1.3083470223871447E-2</v>
      </c>
    </row>
    <row r="703" spans="44:48" x14ac:dyDescent="0.2">
      <c r="AR703">
        <v>695</v>
      </c>
      <c r="AS703">
        <v>695</v>
      </c>
      <c r="AT703">
        <v>1</v>
      </c>
      <c r="AU703">
        <v>10.406134955676256</v>
      </c>
      <c r="AV703">
        <v>1.2898489022183808E-2</v>
      </c>
    </row>
    <row r="704" spans="44:48" x14ac:dyDescent="0.2">
      <c r="AR704">
        <v>696</v>
      </c>
      <c r="AS704">
        <v>696</v>
      </c>
      <c r="AT704">
        <v>1</v>
      </c>
      <c r="AU704">
        <v>10.437075486993605</v>
      </c>
      <c r="AV704">
        <v>1.2715466924519537E-2</v>
      </c>
    </row>
    <row r="705" spans="44:48" x14ac:dyDescent="0.2">
      <c r="AR705">
        <v>697</v>
      </c>
      <c r="AS705">
        <v>697</v>
      </c>
      <c r="AT705">
        <v>1</v>
      </c>
      <c r="AU705">
        <v>10.46801601831095</v>
      </c>
      <c r="AV705">
        <v>1.2534394889307115E-2</v>
      </c>
    </row>
    <row r="706" spans="44:48" x14ac:dyDescent="0.2">
      <c r="AR706">
        <v>698</v>
      </c>
      <c r="AS706">
        <v>698</v>
      </c>
      <c r="AT706">
        <v>1</v>
      </c>
      <c r="AU706">
        <v>10.498956549628298</v>
      </c>
      <c r="AV706">
        <v>1.2355263703730541E-2</v>
      </c>
    </row>
    <row r="707" spans="44:48" x14ac:dyDescent="0.2">
      <c r="AR707">
        <v>699</v>
      </c>
      <c r="AS707">
        <v>699</v>
      </c>
      <c r="AT707">
        <v>1</v>
      </c>
      <c r="AU707">
        <v>10.529897080945643</v>
      </c>
      <c r="AV707">
        <v>1.2178063988056348E-2</v>
      </c>
    </row>
    <row r="708" spans="44:48" x14ac:dyDescent="0.2">
      <c r="AR708">
        <v>700</v>
      </c>
      <c r="AS708">
        <v>700</v>
      </c>
      <c r="AT708">
        <v>1</v>
      </c>
      <c r="AU708">
        <v>10.560837612262988</v>
      </c>
      <c r="AV708">
        <v>1.2002786199941211E-2</v>
      </c>
    </row>
    <row r="709" spans="44:48" x14ac:dyDescent="0.2">
      <c r="AR709">
        <v>701</v>
      </c>
      <c r="AS709">
        <v>701</v>
      </c>
      <c r="AT709">
        <v>1</v>
      </c>
      <c r="AU709">
        <v>10.591778143580337</v>
      </c>
      <c r="AV709">
        <v>1.1829420638719817E-2</v>
      </c>
    </row>
    <row r="710" spans="44:48" x14ac:dyDescent="0.2">
      <c r="AR710">
        <v>702</v>
      </c>
      <c r="AS710">
        <v>702</v>
      </c>
      <c r="AT710">
        <v>1</v>
      </c>
      <c r="AU710">
        <v>10.622718674897682</v>
      </c>
      <c r="AV710">
        <v>1.1657957449671703E-2</v>
      </c>
    </row>
    <row r="711" spans="44:48" x14ac:dyDescent="0.2">
      <c r="AR711">
        <v>703</v>
      </c>
      <c r="AS711">
        <v>703</v>
      </c>
      <c r="AT711">
        <v>1</v>
      </c>
      <c r="AU711">
        <v>10.653659206215027</v>
      </c>
      <c r="AV711">
        <v>1.1488386628265797E-2</v>
      </c>
    </row>
    <row r="712" spans="44:48" x14ac:dyDescent="0.2">
      <c r="AR712">
        <v>704</v>
      </c>
      <c r="AS712">
        <v>704</v>
      </c>
      <c r="AT712">
        <v>1</v>
      </c>
      <c r="AU712">
        <v>10.684599737532375</v>
      </c>
      <c r="AV712">
        <v>1.1320698024382169E-2</v>
      </c>
    </row>
    <row r="713" spans="44:48" x14ac:dyDescent="0.2">
      <c r="AR713">
        <v>705</v>
      </c>
      <c r="AS713">
        <v>705</v>
      </c>
      <c r="AT713">
        <v>1</v>
      </c>
      <c r="AU713">
        <v>10.71554026884972</v>
      </c>
      <c r="AV713">
        <v>1.1154881346509719E-2</v>
      </c>
    </row>
    <row r="714" spans="44:48" x14ac:dyDescent="0.2">
      <c r="AR714">
        <v>706</v>
      </c>
      <c r="AS714">
        <v>706</v>
      </c>
      <c r="AT714">
        <v>1</v>
      </c>
      <c r="AU714">
        <v>10.746480800167065</v>
      </c>
      <c r="AV714">
        <v>1.0990926165918787E-2</v>
      </c>
    </row>
    <row r="715" spans="44:48" x14ac:dyDescent="0.2">
      <c r="AR715">
        <v>707</v>
      </c>
      <c r="AS715">
        <v>707</v>
      </c>
      <c r="AT715">
        <v>1</v>
      </c>
      <c r="AU715">
        <v>10.777421331484414</v>
      </c>
      <c r="AV715">
        <v>1.0828821920808073E-2</v>
      </c>
    </row>
    <row r="716" spans="44:48" x14ac:dyDescent="0.2">
      <c r="AR716">
        <v>708</v>
      </c>
      <c r="AS716">
        <v>708</v>
      </c>
      <c r="AT716">
        <v>1</v>
      </c>
      <c r="AU716">
        <v>10.808361862801759</v>
      </c>
      <c r="AV716">
        <v>1.0668557920424752E-2</v>
      </c>
    </row>
    <row r="717" spans="44:48" x14ac:dyDescent="0.2">
      <c r="AR717">
        <v>709</v>
      </c>
      <c r="AS717">
        <v>709</v>
      </c>
      <c r="AT717">
        <v>1</v>
      </c>
      <c r="AU717">
        <v>10.839302394119107</v>
      </c>
      <c r="AV717">
        <v>1.0510123349156819E-2</v>
      </c>
    </row>
    <row r="718" spans="44:48" x14ac:dyDescent="0.2">
      <c r="AR718">
        <v>710</v>
      </c>
      <c r="AS718">
        <v>710</v>
      </c>
      <c r="AT718">
        <v>1</v>
      </c>
      <c r="AU718">
        <v>10.870242925436452</v>
      </c>
      <c r="AV718">
        <v>1.0353507270597202E-2</v>
      </c>
    </row>
    <row r="719" spans="44:48" x14ac:dyDescent="0.2">
      <c r="AR719">
        <v>711</v>
      </c>
      <c r="AS719">
        <v>711</v>
      </c>
      <c r="AT719">
        <v>1</v>
      </c>
      <c r="AU719">
        <v>10.901183456753797</v>
      </c>
      <c r="AV719">
        <v>1.0198698631578306E-2</v>
      </c>
    </row>
    <row r="720" spans="44:48" x14ac:dyDescent="0.2">
      <c r="AR720">
        <v>712</v>
      </c>
      <c r="AS720">
        <v>712</v>
      </c>
      <c r="AT720">
        <v>1</v>
      </c>
      <c r="AU720">
        <v>10.932123988071146</v>
      </c>
      <c r="AV720">
        <v>1.0045686266176622E-2</v>
      </c>
    </row>
    <row r="721" spans="44:48" x14ac:dyDescent="0.2">
      <c r="AR721">
        <v>713</v>
      </c>
      <c r="AS721">
        <v>713</v>
      </c>
      <c r="AT721">
        <v>1</v>
      </c>
      <c r="AU721">
        <v>10.963064519388491</v>
      </c>
      <c r="AV721">
        <v>9.8944588996863984E-3</v>
      </c>
    </row>
    <row r="722" spans="44:48" x14ac:dyDescent="0.2">
      <c r="AR722">
        <v>714</v>
      </c>
      <c r="AS722">
        <v>714</v>
      </c>
      <c r="AT722">
        <v>1</v>
      </c>
      <c r="AU722">
        <v>10.994005050705836</v>
      </c>
      <c r="AV722">
        <v>9.7450051525615825E-3</v>
      </c>
    </row>
    <row r="723" spans="44:48" x14ac:dyDescent="0.2">
      <c r="AR723">
        <v>715</v>
      </c>
      <c r="AS723">
        <v>715</v>
      </c>
      <c r="AT723">
        <v>1</v>
      </c>
      <c r="AU723">
        <v>11.024945582023184</v>
      </c>
      <c r="AV723">
        <v>9.5973135443254594E-3</v>
      </c>
    </row>
    <row r="724" spans="44:48" x14ac:dyDescent="0.2">
      <c r="AR724">
        <v>716</v>
      </c>
      <c r="AS724">
        <v>716</v>
      </c>
      <c r="AT724">
        <v>1</v>
      </c>
      <c r="AU724">
        <v>11.055886113340529</v>
      </c>
      <c r="AV724">
        <v>9.4513724974471958E-3</v>
      </c>
    </row>
    <row r="725" spans="44:48" x14ac:dyDescent="0.2">
      <c r="AR725">
        <v>717</v>
      </c>
      <c r="AS725">
        <v>717</v>
      </c>
      <c r="AT725">
        <v>1</v>
      </c>
      <c r="AU725">
        <v>11.086826644657878</v>
      </c>
      <c r="AV725">
        <v>9.3071703411844106E-3</v>
      </c>
    </row>
    <row r="726" spans="44:48" x14ac:dyDescent="0.2">
      <c r="AR726">
        <v>718</v>
      </c>
      <c r="AS726">
        <v>718</v>
      </c>
      <c r="AT726">
        <v>1</v>
      </c>
      <c r="AU726">
        <v>11.117767175975223</v>
      </c>
      <c r="AV726">
        <v>9.1646953153915762E-3</v>
      </c>
    </row>
    <row r="727" spans="44:48" x14ac:dyDescent="0.2">
      <c r="AR727">
        <v>719</v>
      </c>
      <c r="AS727">
        <v>719</v>
      </c>
      <c r="AT727">
        <v>1</v>
      </c>
      <c r="AU727">
        <v>11.148707707292568</v>
      </c>
      <c r="AV727">
        <v>9.0239355742930058E-3</v>
      </c>
    </row>
    <row r="728" spans="44:48" x14ac:dyDescent="0.2">
      <c r="AR728">
        <v>720</v>
      </c>
      <c r="AS728">
        <v>720</v>
      </c>
      <c r="AT728">
        <v>1</v>
      </c>
      <c r="AU728">
        <v>11.179648238609916</v>
      </c>
      <c r="AV728">
        <v>8.8848791902203014E-3</v>
      </c>
    </row>
    <row r="729" spans="44:48" x14ac:dyDescent="0.2">
      <c r="AR729">
        <v>721</v>
      </c>
      <c r="AS729">
        <v>721</v>
      </c>
      <c r="AT729">
        <v>1</v>
      </c>
      <c r="AU729">
        <v>11.210588769927261</v>
      </c>
      <c r="AV729">
        <v>8.7475141573134293E-3</v>
      </c>
    </row>
    <row r="730" spans="44:48" x14ac:dyDescent="0.2">
      <c r="AR730">
        <v>722</v>
      </c>
      <c r="AS730">
        <v>722</v>
      </c>
      <c r="AT730">
        <v>1</v>
      </c>
      <c r="AU730">
        <v>11.241529301244606</v>
      </c>
      <c r="AV730">
        <v>8.6118283951847879E-3</v>
      </c>
    </row>
    <row r="731" spans="44:48" x14ac:dyDescent="0.2">
      <c r="AR731">
        <v>723</v>
      </c>
      <c r="AS731">
        <v>723</v>
      </c>
      <c r="AT731">
        <v>1</v>
      </c>
      <c r="AU731">
        <v>11.272469832561955</v>
      </c>
      <c r="AV731">
        <v>8.4778097525459051E-3</v>
      </c>
    </row>
    <row r="732" spans="44:48" x14ac:dyDescent="0.2">
      <c r="AR732">
        <v>724</v>
      </c>
      <c r="AS732">
        <v>724</v>
      </c>
      <c r="AT732">
        <v>1</v>
      </c>
      <c r="AU732">
        <v>11.3034103638793</v>
      </c>
      <c r="AV732">
        <v>8.3454460107961446E-3</v>
      </c>
    </row>
    <row r="733" spans="44:48" x14ac:dyDescent="0.2">
      <c r="AR733">
        <v>725</v>
      </c>
      <c r="AS733">
        <v>725</v>
      </c>
      <c r="AT733">
        <v>1</v>
      </c>
      <c r="AU733">
        <v>11.334350895196645</v>
      </c>
      <c r="AV733">
        <v>8.2147248875727285E-3</v>
      </c>
    </row>
    <row r="734" spans="44:48" x14ac:dyDescent="0.2">
      <c r="AR734">
        <v>726</v>
      </c>
      <c r="AS734">
        <v>726</v>
      </c>
      <c r="AT734">
        <v>1</v>
      </c>
      <c r="AU734">
        <v>11.365291426513993</v>
      </c>
      <c r="AV734">
        <v>8.0856340402619218E-3</v>
      </c>
    </row>
    <row r="735" spans="44:48" x14ac:dyDescent="0.2">
      <c r="AR735">
        <v>727</v>
      </c>
      <c r="AS735">
        <v>727</v>
      </c>
      <c r="AT735">
        <v>1</v>
      </c>
      <c r="AU735">
        <v>11.396231957831338</v>
      </c>
      <c r="AV735">
        <v>7.9581610694707018E-3</v>
      </c>
    </row>
    <row r="736" spans="44:48" x14ac:dyDescent="0.2">
      <c r="AR736">
        <v>728</v>
      </c>
      <c r="AS736">
        <v>728</v>
      </c>
      <c r="AT736">
        <v>1</v>
      </c>
      <c r="AU736">
        <v>11.427172489148687</v>
      </c>
      <c r="AV736">
        <v>7.8322935224583879E-3</v>
      </c>
    </row>
    <row r="737" spans="44:48" x14ac:dyDescent="0.2">
      <c r="AR737">
        <v>729</v>
      </c>
      <c r="AS737">
        <v>729</v>
      </c>
      <c r="AT737">
        <v>1</v>
      </c>
      <c r="AU737">
        <v>11.458113020466032</v>
      </c>
      <c r="AV737">
        <v>7.708018896528058E-3</v>
      </c>
    </row>
    <row r="738" spans="44:48" x14ac:dyDescent="0.2">
      <c r="AR738">
        <v>730</v>
      </c>
      <c r="AS738">
        <v>730</v>
      </c>
      <c r="AT738">
        <v>1</v>
      </c>
      <c r="AU738">
        <v>11.489053551783377</v>
      </c>
      <c r="AV738">
        <v>7.5853246423771047E-3</v>
      </c>
    </row>
    <row r="739" spans="44:48" x14ac:dyDescent="0.2">
      <c r="AR739">
        <v>731</v>
      </c>
      <c r="AS739">
        <v>731</v>
      </c>
      <c r="AT739">
        <v>1</v>
      </c>
      <c r="AU739">
        <v>11.519994083100725</v>
      </c>
      <c r="AV739">
        <v>7.4641981674066589E-3</v>
      </c>
    </row>
    <row r="740" spans="44:48" x14ac:dyDescent="0.2">
      <c r="AR740">
        <v>732</v>
      </c>
      <c r="AS740">
        <v>732</v>
      </c>
      <c r="AT740">
        <v>1</v>
      </c>
      <c r="AU740">
        <v>11.55093461441807</v>
      </c>
      <c r="AV740">
        <v>7.3446268389896138E-3</v>
      </c>
    </row>
    <row r="741" spans="44:48" x14ac:dyDescent="0.2">
      <c r="AR741">
        <v>733</v>
      </c>
      <c r="AS741">
        <v>733</v>
      </c>
      <c r="AT741">
        <v>1</v>
      </c>
      <c r="AU741">
        <v>11.581875145735415</v>
      </c>
      <c r="AV741">
        <v>7.2265979876965777E-3</v>
      </c>
    </row>
    <row r="742" spans="44:48" x14ac:dyDescent="0.2">
      <c r="AR742">
        <v>734</v>
      </c>
      <c r="AS742">
        <v>734</v>
      </c>
      <c r="AT742">
        <v>1</v>
      </c>
      <c r="AU742">
        <v>11.612815677052764</v>
      </c>
      <c r="AV742">
        <v>7.1100989104798404E-3</v>
      </c>
    </row>
    <row r="743" spans="44:48" x14ac:dyDescent="0.2">
      <c r="AR743">
        <v>735</v>
      </c>
      <c r="AS743">
        <v>735</v>
      </c>
      <c r="AT743">
        <v>1</v>
      </c>
      <c r="AU743">
        <v>11.643756208370108</v>
      </c>
      <c r="AV743">
        <v>6.9951168738148391E-3</v>
      </c>
    </row>
    <row r="744" spans="44:48" x14ac:dyDescent="0.2">
      <c r="AR744">
        <v>736</v>
      </c>
      <c r="AS744">
        <v>736</v>
      </c>
      <c r="AT744">
        <v>1</v>
      </c>
      <c r="AU744">
        <v>11.674696739687453</v>
      </c>
      <c r="AV744">
        <v>6.8816391167987167E-3</v>
      </c>
    </row>
    <row r="745" spans="44:48" x14ac:dyDescent="0.2">
      <c r="AR745">
        <v>737</v>
      </c>
      <c r="AS745">
        <v>737</v>
      </c>
      <c r="AT745">
        <v>1</v>
      </c>
      <c r="AU745">
        <v>11.705637271004802</v>
      </c>
      <c r="AV745">
        <v>6.7696528542060368E-3</v>
      </c>
    </row>
    <row r="746" spans="44:48" x14ac:dyDescent="0.2">
      <c r="AR746">
        <v>738</v>
      </c>
      <c r="AS746">
        <v>738</v>
      </c>
      <c r="AT746">
        <v>1</v>
      </c>
      <c r="AU746">
        <v>11.736577802322147</v>
      </c>
      <c r="AV746">
        <v>6.6591452795011488E-3</v>
      </c>
    </row>
    <row r="747" spans="44:48" x14ac:dyDescent="0.2">
      <c r="AR747">
        <v>739</v>
      </c>
      <c r="AS747">
        <v>739</v>
      </c>
      <c r="AT747">
        <v>1</v>
      </c>
      <c r="AU747">
        <v>11.767518333639496</v>
      </c>
      <c r="AV747">
        <v>6.550103567807013E-3</v>
      </c>
    </row>
    <row r="748" spans="44:48" x14ac:dyDescent="0.2">
      <c r="AR748">
        <v>740</v>
      </c>
      <c r="AS748">
        <v>740</v>
      </c>
      <c r="AT748">
        <v>1</v>
      </c>
      <c r="AU748">
        <v>11.79845886495684</v>
      </c>
      <c r="AV748">
        <v>6.4425148788305056E-3</v>
      </c>
    </row>
    <row r="749" spans="44:48" x14ac:dyDescent="0.2">
      <c r="AR749">
        <v>741</v>
      </c>
      <c r="AS749">
        <v>741</v>
      </c>
      <c r="AT749">
        <v>1</v>
      </c>
      <c r="AU749">
        <v>11.829399396274185</v>
      </c>
      <c r="AV749">
        <v>6.3363663597435929E-3</v>
      </c>
    </row>
    <row r="750" spans="44:48" x14ac:dyDescent="0.2">
      <c r="AR750">
        <v>742</v>
      </c>
      <c r="AS750">
        <v>742</v>
      </c>
      <c r="AT750">
        <v>1</v>
      </c>
      <c r="AU750">
        <v>11.860339927591534</v>
      </c>
      <c r="AV750">
        <v>6.2316451480206765E-3</v>
      </c>
    </row>
    <row r="751" spans="44:48" x14ac:dyDescent="0.2">
      <c r="AR751">
        <v>743</v>
      </c>
      <c r="AS751">
        <v>743</v>
      </c>
      <c r="AT751">
        <v>1</v>
      </c>
      <c r="AU751">
        <v>11.891280458908879</v>
      </c>
      <c r="AV751">
        <v>6.1283383742316913E-3</v>
      </c>
    </row>
    <row r="752" spans="44:48" x14ac:dyDescent="0.2">
      <c r="AR752">
        <v>744</v>
      </c>
      <c r="AS752">
        <v>744</v>
      </c>
      <c r="AT752">
        <v>1</v>
      </c>
      <c r="AU752">
        <v>11.922220990226224</v>
      </c>
      <c r="AV752">
        <v>6.0264331647907794E-3</v>
      </c>
    </row>
    <row r="753" spans="44:48" x14ac:dyDescent="0.2">
      <c r="AR753">
        <v>745</v>
      </c>
      <c r="AS753">
        <v>745</v>
      </c>
      <c r="AT753">
        <v>1</v>
      </c>
      <c r="AU753">
        <v>11.953161521543572</v>
      </c>
      <c r="AV753">
        <v>5.925916644660645E-3</v>
      </c>
    </row>
    <row r="754" spans="44:48" x14ac:dyDescent="0.2">
      <c r="AR754">
        <v>746</v>
      </c>
      <c r="AS754">
        <v>746</v>
      </c>
      <c r="AT754">
        <v>1</v>
      </c>
      <c r="AU754">
        <v>11.984102052860917</v>
      </c>
      <c r="AV754">
        <v>5.8267759400123745E-3</v>
      </c>
    </row>
    <row r="755" spans="44:48" x14ac:dyDescent="0.2">
      <c r="AR755">
        <v>747</v>
      </c>
      <c r="AS755">
        <v>747</v>
      </c>
      <c r="AT755">
        <v>1</v>
      </c>
      <c r="AU755">
        <v>12.015042584178262</v>
      </c>
      <c r="AV755">
        <v>5.7289981808405603E-3</v>
      </c>
    </row>
    <row r="756" spans="44:48" x14ac:dyDescent="0.2">
      <c r="AR756">
        <v>748</v>
      </c>
      <c r="AS756">
        <v>748</v>
      </c>
      <c r="AT756">
        <v>1</v>
      </c>
      <c r="AU756">
        <v>12.045983115495611</v>
      </c>
      <c r="AV756">
        <v>5.6325705035338578E-3</v>
      </c>
    </row>
    <row r="757" spans="44:48" x14ac:dyDescent="0.2">
      <c r="AR757">
        <v>749</v>
      </c>
      <c r="AS757">
        <v>749</v>
      </c>
      <c r="AT757">
        <v>1</v>
      </c>
      <c r="AU757">
        <v>12.076923646812956</v>
      </c>
      <c r="AV757">
        <v>5.5374800534008254E-3</v>
      </c>
    </row>
    <row r="758" spans="44:48" x14ac:dyDescent="0.2">
      <c r="AR758">
        <v>750</v>
      </c>
      <c r="AS758">
        <v>750</v>
      </c>
      <c r="AT758">
        <v>1</v>
      </c>
      <c r="AU758">
        <v>12.107864178130304</v>
      </c>
      <c r="AV758">
        <v>5.4437139871509428E-3</v>
      </c>
    </row>
    <row r="759" spans="44:48" x14ac:dyDescent="0.2">
      <c r="AR759">
        <v>751</v>
      </c>
      <c r="AS759">
        <v>751</v>
      </c>
      <c r="AT759">
        <v>1</v>
      </c>
      <c r="AU759">
        <v>12.138804709447649</v>
      </c>
      <c r="AV759">
        <v>5.3512594753310347E-3</v>
      </c>
    </row>
    <row r="760" spans="44:48" x14ac:dyDescent="0.2">
      <c r="AR760">
        <v>752</v>
      </c>
      <c r="AS760">
        <v>752</v>
      </c>
      <c r="AT760">
        <v>1</v>
      </c>
      <c r="AU760">
        <v>12.169745240764994</v>
      </c>
      <c r="AV760">
        <v>5.2601037047168208E-3</v>
      </c>
    </row>
    <row r="761" spans="44:48" x14ac:dyDescent="0.2">
      <c r="AR761">
        <v>753</v>
      </c>
      <c r="AS761">
        <v>753</v>
      </c>
      <c r="AT761">
        <v>1</v>
      </c>
      <c r="AU761">
        <v>12.200685772082343</v>
      </c>
      <c r="AV761">
        <v>5.170233880659846E-3</v>
      </c>
    </row>
    <row r="762" spans="44:48" x14ac:dyDescent="0.2">
      <c r="AR762">
        <v>754</v>
      </c>
      <c r="AS762">
        <v>754</v>
      </c>
      <c r="AT762">
        <v>1</v>
      </c>
      <c r="AU762">
        <v>12.231626303399688</v>
      </c>
      <c r="AV762">
        <v>5.0816372293897563E-3</v>
      </c>
    </row>
    <row r="763" spans="44:48" x14ac:dyDescent="0.2">
      <c r="AR763">
        <v>755</v>
      </c>
      <c r="AS763">
        <v>755</v>
      </c>
      <c r="AT763">
        <v>1</v>
      </c>
      <c r="AU763">
        <v>12.262566834717033</v>
      </c>
      <c r="AV763">
        <v>4.9943010002718238E-3</v>
      </c>
    </row>
    <row r="764" spans="44:48" x14ac:dyDescent="0.2">
      <c r="AR764">
        <v>756</v>
      </c>
      <c r="AS764">
        <v>756</v>
      </c>
      <c r="AT764">
        <v>1</v>
      </c>
      <c r="AU764">
        <v>12.293507366034381</v>
      </c>
      <c r="AV764">
        <v>4.9082124680201022E-3</v>
      </c>
    </row>
    <row r="765" spans="44:48" x14ac:dyDescent="0.2">
      <c r="AR765">
        <v>757</v>
      </c>
      <c r="AS765">
        <v>757</v>
      </c>
      <c r="AT765">
        <v>1</v>
      </c>
      <c r="AU765">
        <v>12.324447897351726</v>
      </c>
      <c r="AV765">
        <v>4.8233589348660238E-3</v>
      </c>
    </row>
    <row r="766" spans="44:48" x14ac:dyDescent="0.2">
      <c r="AR766">
        <v>758</v>
      </c>
      <c r="AS766">
        <v>758</v>
      </c>
      <c r="AT766">
        <v>1</v>
      </c>
      <c r="AU766">
        <v>12.355388428669071</v>
      </c>
      <c r="AV766">
        <v>4.7397277326825978E-3</v>
      </c>
    </row>
    <row r="767" spans="44:48" x14ac:dyDescent="0.2">
      <c r="AR767">
        <v>759</v>
      </c>
      <c r="AS767">
        <v>759</v>
      </c>
      <c r="AT767">
        <v>1</v>
      </c>
      <c r="AU767">
        <v>12.38632895998642</v>
      </c>
      <c r="AV767">
        <v>4.6573062250644393E-3</v>
      </c>
    </row>
    <row r="768" spans="44:48" x14ac:dyDescent="0.2">
      <c r="AR768">
        <v>760</v>
      </c>
      <c r="AS768">
        <v>760</v>
      </c>
      <c r="AT768">
        <v>1</v>
      </c>
      <c r="AU768">
        <v>12.417269491303765</v>
      </c>
      <c r="AV768">
        <v>4.5760818093636508E-3</v>
      </c>
    </row>
    <row r="769" spans="44:48" x14ac:dyDescent="0.2">
      <c r="AR769">
        <v>761</v>
      </c>
      <c r="AS769">
        <v>761</v>
      </c>
      <c r="AT769">
        <v>1</v>
      </c>
      <c r="AU769">
        <v>12.448210022621113</v>
      </c>
      <c r="AV769">
        <v>4.4960419186816543E-3</v>
      </c>
    </row>
    <row r="770" spans="44:48" x14ac:dyDescent="0.2">
      <c r="AR770">
        <v>762</v>
      </c>
      <c r="AS770">
        <v>762</v>
      </c>
      <c r="AT770">
        <v>1</v>
      </c>
      <c r="AU770">
        <v>12.479150553938458</v>
      </c>
      <c r="AV770">
        <v>4.417174023817306E-3</v>
      </c>
    </row>
    <row r="771" spans="44:48" x14ac:dyDescent="0.2">
      <c r="AR771">
        <v>763</v>
      </c>
      <c r="AS771">
        <v>763</v>
      </c>
      <c r="AT771">
        <v>1</v>
      </c>
      <c r="AU771">
        <v>12.510091085255803</v>
      </c>
      <c r="AV771">
        <v>4.3394656351712106E-3</v>
      </c>
    </row>
    <row r="772" spans="44:48" x14ac:dyDescent="0.2">
      <c r="AR772">
        <v>764</v>
      </c>
      <c r="AS772">
        <v>764</v>
      </c>
      <c r="AT772">
        <v>1</v>
      </c>
      <c r="AU772">
        <v>12.541031616573152</v>
      </c>
      <c r="AV772">
        <v>4.2629043046066668E-3</v>
      </c>
    </row>
    <row r="773" spans="44:48" x14ac:dyDescent="0.2">
      <c r="AR773">
        <v>765</v>
      </c>
      <c r="AS773">
        <v>765</v>
      </c>
      <c r="AT773">
        <v>1</v>
      </c>
      <c r="AU773">
        <v>12.571972147890497</v>
      </c>
      <c r="AV773">
        <v>4.1874776272672887E-3</v>
      </c>
    </row>
    <row r="774" spans="44:48" x14ac:dyDescent="0.2">
      <c r="AR774">
        <v>766</v>
      </c>
      <c r="AS774">
        <v>766</v>
      </c>
      <c r="AT774">
        <v>1</v>
      </c>
      <c r="AU774">
        <v>12.602912679207842</v>
      </c>
      <c r="AV774">
        <v>4.1131732433514635E-3</v>
      </c>
    </row>
    <row r="775" spans="44:48" x14ac:dyDescent="0.2">
      <c r="AR775">
        <v>767</v>
      </c>
      <c r="AS775">
        <v>767</v>
      </c>
      <c r="AT775">
        <v>1</v>
      </c>
      <c r="AU775">
        <v>12.63385321052519</v>
      </c>
      <c r="AV775">
        <v>4.0399788398440203E-3</v>
      </c>
    </row>
    <row r="776" spans="44:48" x14ac:dyDescent="0.2">
      <c r="AR776">
        <v>768</v>
      </c>
      <c r="AS776">
        <v>768</v>
      </c>
      <c r="AT776">
        <v>1</v>
      </c>
      <c r="AU776">
        <v>12.664793741842535</v>
      </c>
      <c r="AV776">
        <v>3.9678821522052552E-3</v>
      </c>
    </row>
    <row r="777" spans="44:48" x14ac:dyDescent="0.2">
      <c r="AR777">
        <v>769</v>
      </c>
      <c r="AS777">
        <v>769</v>
      </c>
      <c r="AT777">
        <v>1</v>
      </c>
      <c r="AU777">
        <v>12.69573427315988</v>
      </c>
      <c r="AV777">
        <v>3.8968709660174485E-3</v>
      </c>
    </row>
    <row r="778" spans="44:48" x14ac:dyDescent="0.2">
      <c r="AR778">
        <v>770</v>
      </c>
      <c r="AS778">
        <v>770</v>
      </c>
      <c r="AT778">
        <v>1</v>
      </c>
      <c r="AU778">
        <v>12.726674804477229</v>
      </c>
      <c r="AV778">
        <v>3.82693311858932E-3</v>
      </c>
    </row>
    <row r="779" spans="44:48" x14ac:dyDescent="0.2">
      <c r="AR779">
        <v>771</v>
      </c>
      <c r="AS779">
        <v>771</v>
      </c>
      <c r="AT779">
        <v>1</v>
      </c>
      <c r="AU779">
        <v>12.757615335794574</v>
      </c>
      <c r="AV779">
        <v>3.7580565005185832E-3</v>
      </c>
    </row>
    <row r="780" spans="44:48" x14ac:dyDescent="0.2">
      <c r="AR780">
        <v>772</v>
      </c>
      <c r="AS780">
        <v>772</v>
      </c>
      <c r="AT780">
        <v>1</v>
      </c>
      <c r="AU780">
        <v>12.788555867111922</v>
      </c>
      <c r="AV780">
        <v>3.6902290572127594E-3</v>
      </c>
    </row>
    <row r="781" spans="44:48" x14ac:dyDescent="0.2">
      <c r="AR781">
        <v>773</v>
      </c>
      <c r="AS781">
        <v>773</v>
      </c>
      <c r="AT781">
        <v>1</v>
      </c>
      <c r="AU781">
        <v>12.819496398429267</v>
      </c>
      <c r="AV781">
        <v>3.62343879036881E-3</v>
      </c>
    </row>
    <row r="782" spans="44:48" x14ac:dyDescent="0.2">
      <c r="AR782">
        <v>774</v>
      </c>
      <c r="AS782">
        <v>774</v>
      </c>
      <c r="AT782">
        <v>1</v>
      </c>
      <c r="AU782">
        <v>12.850436929746612</v>
      </c>
      <c r="AV782">
        <v>3.5576737594115527E-3</v>
      </c>
    </row>
    <row r="783" spans="44:48" x14ac:dyDescent="0.2">
      <c r="AR783">
        <v>775</v>
      </c>
      <c r="AS783">
        <v>775</v>
      </c>
      <c r="AT783">
        <v>1</v>
      </c>
      <c r="AU783">
        <v>12.881377461063961</v>
      </c>
      <c r="AV783">
        <v>3.4929220828914102E-3</v>
      </c>
    </row>
    <row r="784" spans="44:48" x14ac:dyDescent="0.2">
      <c r="AR784">
        <v>776</v>
      </c>
      <c r="AS784">
        <v>776</v>
      </c>
      <c r="AT784">
        <v>1</v>
      </c>
      <c r="AU784">
        <v>12.912317992381306</v>
      </c>
      <c r="AV784">
        <v>3.4291719398417118E-3</v>
      </c>
    </row>
    <row r="785" spans="44:48" x14ac:dyDescent="0.2">
      <c r="AR785">
        <v>777</v>
      </c>
      <c r="AS785">
        <v>777</v>
      </c>
      <c r="AT785">
        <v>1</v>
      </c>
      <c r="AU785">
        <v>12.943258523698651</v>
      </c>
      <c r="AV785">
        <v>3.3664115710957854E-3</v>
      </c>
    </row>
    <row r="786" spans="44:48" x14ac:dyDescent="0.2">
      <c r="AR786">
        <v>778</v>
      </c>
      <c r="AS786">
        <v>778</v>
      </c>
      <c r="AT786">
        <v>1</v>
      </c>
      <c r="AU786">
        <v>12.974199055015999</v>
      </c>
      <c r="AV786">
        <v>3.3046292805643195E-3</v>
      </c>
    </row>
    <row r="787" spans="44:48" x14ac:dyDescent="0.2">
      <c r="AR787">
        <v>779</v>
      </c>
      <c r="AS787">
        <v>779</v>
      </c>
      <c r="AT787">
        <v>1</v>
      </c>
      <c r="AU787">
        <v>13.005139586333344</v>
      </c>
      <c r="AV787">
        <v>3.243813436473245E-3</v>
      </c>
    </row>
    <row r="788" spans="44:48" x14ac:dyDescent="0.2">
      <c r="AR788">
        <v>780</v>
      </c>
      <c r="AS788">
        <v>780</v>
      </c>
      <c r="AT788">
        <v>1</v>
      </c>
      <c r="AU788">
        <v>13.036080117650693</v>
      </c>
      <c r="AV788">
        <v>3.1839524725624244E-3</v>
      </c>
    </row>
    <row r="789" spans="44:48" x14ac:dyDescent="0.2">
      <c r="AR789">
        <v>781</v>
      </c>
      <c r="AS789">
        <v>781</v>
      </c>
      <c r="AT789">
        <v>1</v>
      </c>
      <c r="AU789">
        <v>13.067020648968038</v>
      </c>
      <c r="AV789">
        <v>3.125034889245649E-3</v>
      </c>
    </row>
    <row r="790" spans="44:48" x14ac:dyDescent="0.2">
      <c r="AR790">
        <v>782</v>
      </c>
      <c r="AS790">
        <v>782</v>
      </c>
      <c r="AT790">
        <v>1</v>
      </c>
      <c r="AU790">
        <v>13.097961180285383</v>
      </c>
      <c r="AV790">
        <v>3.0670492547321421E-3</v>
      </c>
    </row>
    <row r="791" spans="44:48" x14ac:dyDescent="0.2">
      <c r="AR791">
        <v>783</v>
      </c>
      <c r="AS791">
        <v>783</v>
      </c>
      <c r="AT791">
        <v>1</v>
      </c>
      <c r="AU791">
        <v>13.128901711602731</v>
      </c>
      <c r="AV791">
        <v>3.0099842061100486E-3</v>
      </c>
    </row>
    <row r="792" spans="44:48" x14ac:dyDescent="0.2">
      <c r="AR792">
        <v>784</v>
      </c>
      <c r="AS792">
        <v>784</v>
      </c>
      <c r="AT792">
        <v>1</v>
      </c>
      <c r="AU792">
        <v>13.159842242920076</v>
      </c>
      <c r="AV792">
        <v>2.9538284503922495E-3</v>
      </c>
    </row>
    <row r="793" spans="44:48" x14ac:dyDescent="0.2">
      <c r="AR793">
        <v>785</v>
      </c>
      <c r="AS793">
        <v>785</v>
      </c>
      <c r="AT793">
        <v>1</v>
      </c>
      <c r="AU793">
        <v>13.190782774237421</v>
      </c>
      <c r="AV793">
        <v>2.8985707655248068E-3</v>
      </c>
    </row>
    <row r="794" spans="44:48" x14ac:dyDescent="0.2">
      <c r="AR794">
        <v>786</v>
      </c>
      <c r="AS794">
        <v>786</v>
      </c>
      <c r="AT794">
        <v>1</v>
      </c>
      <c r="AU794">
        <v>13.22172330555477</v>
      </c>
      <c r="AV794">
        <v>2.8442000013585529E-3</v>
      </c>
    </row>
    <row r="795" spans="44:48" x14ac:dyDescent="0.2">
      <c r="AR795">
        <v>787</v>
      </c>
      <c r="AS795">
        <v>787</v>
      </c>
      <c r="AT795">
        <v>1</v>
      </c>
      <c r="AU795">
        <v>13.252663836872115</v>
      </c>
      <c r="AV795">
        <v>2.7907050805841419E-3</v>
      </c>
    </row>
    <row r="796" spans="44:48" x14ac:dyDescent="0.2">
      <c r="AR796">
        <v>788</v>
      </c>
      <c r="AS796">
        <v>788</v>
      </c>
      <c r="AT796">
        <v>1</v>
      </c>
      <c r="AU796">
        <v>13.28360436818946</v>
      </c>
      <c r="AV796">
        <v>2.7380749996309219E-3</v>
      </c>
    </row>
    <row r="797" spans="44:48" x14ac:dyDescent="0.2">
      <c r="AR797">
        <v>789</v>
      </c>
      <c r="AS797">
        <v>789</v>
      </c>
      <c r="AT797">
        <v>1</v>
      </c>
      <c r="AU797">
        <v>13.314544899506808</v>
      </c>
      <c r="AV797">
        <v>2.6862988295301019E-3</v>
      </c>
    </row>
    <row r="798" spans="44:48" x14ac:dyDescent="0.2">
      <c r="AR798">
        <v>790</v>
      </c>
      <c r="AS798">
        <v>790</v>
      </c>
      <c r="AT798">
        <v>1</v>
      </c>
      <c r="AU798">
        <v>13.345485430824153</v>
      </c>
      <c r="AV798">
        <v>2.6353657167426442E-3</v>
      </c>
    </row>
    <row r="799" spans="44:48" x14ac:dyDescent="0.2">
      <c r="AR799">
        <v>791</v>
      </c>
      <c r="AS799">
        <v>791</v>
      </c>
      <c r="AT799">
        <v>1</v>
      </c>
      <c r="AU799">
        <v>13.376425962141502</v>
      </c>
      <c r="AV799">
        <v>2.5852648839521332E-3</v>
      </c>
    </row>
    <row r="800" spans="44:48" x14ac:dyDescent="0.2">
      <c r="AR800">
        <v>792</v>
      </c>
      <c r="AS800">
        <v>792</v>
      </c>
      <c r="AT800">
        <v>1</v>
      </c>
      <c r="AU800">
        <v>13.407366493458847</v>
      </c>
      <c r="AV800">
        <v>2.5359856308232705E-3</v>
      </c>
    </row>
    <row r="801" spans="44:48" x14ac:dyDescent="0.2">
      <c r="AR801">
        <v>793</v>
      </c>
      <c r="AS801">
        <v>793</v>
      </c>
      <c r="AT801">
        <v>1</v>
      </c>
      <c r="AU801">
        <v>13.438307024776192</v>
      </c>
      <c r="AV801">
        <v>2.4875173347261941E-3</v>
      </c>
    </row>
    <row r="802" spans="44:48" x14ac:dyDescent="0.2">
      <c r="AR802">
        <v>794</v>
      </c>
      <c r="AS802">
        <v>794</v>
      </c>
      <c r="AT802">
        <v>1</v>
      </c>
      <c r="AU802">
        <v>13.46924755609354</v>
      </c>
      <c r="AV802">
        <v>2.4398494514272116E-3</v>
      </c>
    </row>
    <row r="803" spans="44:48" x14ac:dyDescent="0.2">
      <c r="AR803">
        <v>795</v>
      </c>
      <c r="AS803">
        <v>795</v>
      </c>
      <c r="AT803">
        <v>1</v>
      </c>
      <c r="AU803">
        <v>13.500188087410885</v>
      </c>
      <c r="AV803">
        <v>2.3929715157463122E-3</v>
      </c>
    </row>
    <row r="804" spans="44:48" x14ac:dyDescent="0.2">
      <c r="AR804">
        <v>796</v>
      </c>
      <c r="AS804">
        <v>796</v>
      </c>
      <c r="AT804">
        <v>1</v>
      </c>
      <c r="AU804">
        <v>13.53112861872823</v>
      </c>
      <c r="AV804">
        <v>2.3468731421818468E-3</v>
      </c>
    </row>
    <row r="805" spans="44:48" x14ac:dyDescent="0.2">
      <c r="AR805">
        <v>797</v>
      </c>
      <c r="AS805">
        <v>797</v>
      </c>
      <c r="AT805">
        <v>1</v>
      </c>
      <c r="AU805">
        <v>13.562069150045579</v>
      </c>
      <c r="AV805">
        <v>2.3015440255029058E-3</v>
      </c>
    </row>
    <row r="806" spans="44:48" x14ac:dyDescent="0.2">
      <c r="AR806">
        <v>798</v>
      </c>
      <c r="AS806">
        <v>798</v>
      </c>
      <c r="AT806">
        <v>1</v>
      </c>
      <c r="AU806">
        <v>13.593009681362924</v>
      </c>
      <c r="AV806">
        <v>2.2569739413097816E-3</v>
      </c>
    </row>
    <row r="807" spans="44:48" x14ac:dyDescent="0.2">
      <c r="AR807">
        <v>799</v>
      </c>
      <c r="AS807">
        <v>799</v>
      </c>
      <c r="AT807">
        <v>1</v>
      </c>
      <c r="AU807">
        <v>13.623950212680269</v>
      </c>
      <c r="AV807">
        <v>2.2131527465629355E-3</v>
      </c>
    </row>
    <row r="808" spans="44:48" x14ac:dyDescent="0.2">
      <c r="AR808">
        <v>800</v>
      </c>
      <c r="AS808">
        <v>800</v>
      </c>
      <c r="AT808">
        <v>1</v>
      </c>
      <c r="AU808">
        <v>13.654890743997617</v>
      </c>
      <c r="AV808">
        <v>2.1700703800809707E-3</v>
      </c>
    </row>
    <row r="809" spans="44:48" x14ac:dyDescent="0.2">
      <c r="AR809">
        <v>801</v>
      </c>
      <c r="AS809">
        <v>801</v>
      </c>
      <c r="AT809">
        <v>1</v>
      </c>
      <c r="AU809">
        <v>13.685831275314962</v>
      </c>
      <c r="AV809">
        <v>2.1277168630080426E-3</v>
      </c>
    </row>
    <row r="810" spans="44:48" x14ac:dyDescent="0.2">
      <c r="AR810">
        <v>802</v>
      </c>
      <c r="AS810">
        <v>802</v>
      </c>
      <c r="AT810">
        <v>1</v>
      </c>
      <c r="AU810">
        <v>13.716771806632311</v>
      </c>
      <c r="AV810">
        <v>2.0860822992510987E-3</v>
      </c>
    </row>
    <row r="811" spans="44:48" x14ac:dyDescent="0.2">
      <c r="AR811">
        <v>803</v>
      </c>
      <c r="AS811">
        <v>803</v>
      </c>
      <c r="AT811">
        <v>1</v>
      </c>
      <c r="AU811">
        <v>13.747712337949656</v>
      </c>
      <c r="AV811">
        <v>2.0451568758875125E-3</v>
      </c>
    </row>
    <row r="812" spans="44:48" x14ac:dyDescent="0.2">
      <c r="AR812">
        <v>804</v>
      </c>
      <c r="AS812">
        <v>804</v>
      </c>
      <c r="AT812">
        <v>1</v>
      </c>
      <c r="AU812">
        <v>13.778652869267001</v>
      </c>
      <c r="AV812">
        <v>2.0049308635434388E-3</v>
      </c>
    </row>
    <row r="813" spans="44:48" x14ac:dyDescent="0.2">
      <c r="AR813">
        <v>805</v>
      </c>
      <c r="AS813">
        <v>805</v>
      </c>
      <c r="AT813">
        <v>1</v>
      </c>
      <c r="AU813">
        <v>13.809593400584349</v>
      </c>
      <c r="AV813">
        <v>1.9653946167434541E-3</v>
      </c>
    </row>
    <row r="814" spans="44:48" x14ac:dyDescent="0.2">
      <c r="AR814">
        <v>806</v>
      </c>
      <c r="AS814">
        <v>806</v>
      </c>
      <c r="AT814">
        <v>1</v>
      </c>
      <c r="AU814">
        <v>13.840533931901694</v>
      </c>
      <c r="AV814">
        <v>1.9265385742318825E-3</v>
      </c>
    </row>
    <row r="815" spans="44:48" x14ac:dyDescent="0.2">
      <c r="AR815">
        <v>807</v>
      </c>
      <c r="AS815">
        <v>807</v>
      </c>
      <c r="AT815">
        <v>1</v>
      </c>
      <c r="AU815">
        <v>13.871474463219039</v>
      </c>
      <c r="AV815">
        <v>1.8883532592662586E-3</v>
      </c>
    </row>
    <row r="816" spans="44:48" x14ac:dyDescent="0.2">
      <c r="AR816">
        <v>808</v>
      </c>
      <c r="AS816">
        <v>808</v>
      </c>
      <c r="AT816">
        <v>1</v>
      </c>
      <c r="AU816">
        <v>13.902414994536388</v>
      </c>
      <c r="AV816">
        <v>1.8508292798834198E-3</v>
      </c>
    </row>
    <row r="817" spans="44:48" x14ac:dyDescent="0.2">
      <c r="AR817">
        <v>809</v>
      </c>
      <c r="AS817">
        <v>809</v>
      </c>
      <c r="AT817">
        <v>1</v>
      </c>
      <c r="AU817">
        <v>13.933355525853733</v>
      </c>
      <c r="AV817">
        <v>1.81395732913869E-3</v>
      </c>
    </row>
    <row r="818" spans="44:48" x14ac:dyDescent="0.2">
      <c r="AR818">
        <v>810</v>
      </c>
      <c r="AS818">
        <v>810</v>
      </c>
      <c r="AT818">
        <v>1</v>
      </c>
      <c r="AU818">
        <v>13.964296057171078</v>
      </c>
      <c r="AV818">
        <v>1.7777281853185451E-3</v>
      </c>
    </row>
    <row r="819" spans="44:48" x14ac:dyDescent="0.2">
      <c r="AR819">
        <v>811</v>
      </c>
      <c r="AS819">
        <v>811</v>
      </c>
      <c r="AT819">
        <v>1</v>
      </c>
      <c r="AU819">
        <v>13.995236588488426</v>
      </c>
      <c r="AV819">
        <v>1.7421327121273245E-3</v>
      </c>
    </row>
    <row r="820" spans="44:48" x14ac:dyDescent="0.2">
      <c r="AR820">
        <v>812</v>
      </c>
      <c r="AS820">
        <v>812</v>
      </c>
      <c r="AT820">
        <v>1</v>
      </c>
      <c r="AU820">
        <v>14.026177119805771</v>
      </c>
      <c r="AV820">
        <v>1.7071618588483902E-3</v>
      </c>
    </row>
    <row r="821" spans="44:48" x14ac:dyDescent="0.2">
      <c r="AR821">
        <v>813</v>
      </c>
      <c r="AS821">
        <v>813</v>
      </c>
      <c r="AT821">
        <v>1</v>
      </c>
      <c r="AU821">
        <v>14.05711765112312</v>
      </c>
      <c r="AV821">
        <v>1.6728066604801632E-3</v>
      </c>
    </row>
    <row r="822" spans="44:48" x14ac:dyDescent="0.2">
      <c r="AR822">
        <v>814</v>
      </c>
      <c r="AS822">
        <v>814</v>
      </c>
      <c r="AT822">
        <v>1</v>
      </c>
      <c r="AU822">
        <v>14.088058182440465</v>
      </c>
      <c r="AV822">
        <v>1.6390582378475941E-3</v>
      </c>
    </row>
    <row r="823" spans="44:48" x14ac:dyDescent="0.2">
      <c r="AR823">
        <v>815</v>
      </c>
      <c r="AS823">
        <v>815</v>
      </c>
      <c r="AT823">
        <v>1</v>
      </c>
      <c r="AU823">
        <v>14.11899871375781</v>
      </c>
      <c r="AV823">
        <v>1.6059077976894199E-3</v>
      </c>
    </row>
    <row r="824" spans="44:48" x14ac:dyDescent="0.2">
      <c r="AR824">
        <v>816</v>
      </c>
      <c r="AS824">
        <v>816</v>
      </c>
      <c r="AT824">
        <v>1</v>
      </c>
      <c r="AU824">
        <v>14.149939245075158</v>
      </c>
      <c r="AV824">
        <v>1.5733466327217463E-3</v>
      </c>
    </row>
    <row r="825" spans="44:48" x14ac:dyDescent="0.2">
      <c r="AR825">
        <v>817</v>
      </c>
      <c r="AS825">
        <v>817</v>
      </c>
      <c r="AT825">
        <v>1</v>
      </c>
      <c r="AU825">
        <v>14.180879776392503</v>
      </c>
      <c r="AV825">
        <v>1.5413661216783984E-3</v>
      </c>
    </row>
    <row r="826" spans="44:48" x14ac:dyDescent="0.2">
      <c r="AR826">
        <v>818</v>
      </c>
      <c r="AS826">
        <v>818</v>
      </c>
      <c r="AT826">
        <v>1</v>
      </c>
      <c r="AU826">
        <v>14.211820307709848</v>
      </c>
      <c r="AV826">
        <v>1.5099577293284283E-3</v>
      </c>
    </row>
    <row r="827" spans="44:48" x14ac:dyDescent="0.2">
      <c r="AR827">
        <v>819</v>
      </c>
      <c r="AS827">
        <v>819</v>
      </c>
      <c r="AT827">
        <v>1</v>
      </c>
      <c r="AU827">
        <v>14.242760839027197</v>
      </c>
      <c r="AV827">
        <v>1.4791130064713536E-3</v>
      </c>
    </row>
    <row r="828" spans="44:48" x14ac:dyDescent="0.2">
      <c r="AR828">
        <v>820</v>
      </c>
      <c r="AS828">
        <v>820</v>
      </c>
      <c r="AT828">
        <v>1</v>
      </c>
      <c r="AU828">
        <v>14.273701370344542</v>
      </c>
      <c r="AV828">
        <v>1.448823589910496E-3</v>
      </c>
    </row>
    <row r="829" spans="44:48" x14ac:dyDescent="0.2">
      <c r="AR829">
        <v>821</v>
      </c>
      <c r="AS829">
        <v>821</v>
      </c>
      <c r="AT829">
        <v>1</v>
      </c>
      <c r="AU829">
        <v>14.304641901661887</v>
      </c>
      <c r="AV829">
        <v>1.4190812024048845E-3</v>
      </c>
    </row>
    <row r="830" spans="44:48" x14ac:dyDescent="0.2">
      <c r="AR830">
        <v>822</v>
      </c>
      <c r="AS830">
        <v>822</v>
      </c>
      <c r="AT830">
        <v>1</v>
      </c>
      <c r="AU830">
        <v>14.335582432979235</v>
      </c>
      <c r="AV830">
        <v>1.389877652600214E-3</v>
      </c>
    </row>
    <row r="831" spans="44:48" x14ac:dyDescent="0.2">
      <c r="AR831">
        <v>823</v>
      </c>
      <c r="AS831">
        <v>823</v>
      </c>
      <c r="AT831">
        <v>1</v>
      </c>
      <c r="AU831">
        <v>14.36652296429658</v>
      </c>
      <c r="AV831">
        <v>1.361204834939277E-3</v>
      </c>
    </row>
    <row r="832" spans="44:48" x14ac:dyDescent="0.2">
      <c r="AR832">
        <v>824</v>
      </c>
      <c r="AS832">
        <v>824</v>
      </c>
      <c r="AT832">
        <v>1</v>
      </c>
      <c r="AU832">
        <v>14.397463495613929</v>
      </c>
      <c r="AV832">
        <v>1.3330547295523152E-3</v>
      </c>
    </row>
    <row r="833" spans="44:48" x14ac:dyDescent="0.2">
      <c r="AR833">
        <v>825</v>
      </c>
      <c r="AS833">
        <v>825</v>
      </c>
      <c r="AT833">
        <v>1</v>
      </c>
      <c r="AU833">
        <v>14.428404026931274</v>
      </c>
      <c r="AV833">
        <v>1.3054194021277724E-3</v>
      </c>
    </row>
    <row r="834" spans="44:48" x14ac:dyDescent="0.2">
      <c r="AR834">
        <v>826</v>
      </c>
      <c r="AS834">
        <v>826</v>
      </c>
      <c r="AT834">
        <v>1</v>
      </c>
      <c r="AU834">
        <v>14.459344558248619</v>
      </c>
      <c r="AV834">
        <v>1.2782910037638377E-3</v>
      </c>
    </row>
    <row r="835" spans="44:48" x14ac:dyDescent="0.2">
      <c r="AR835">
        <v>827</v>
      </c>
      <c r="AS835">
        <v>827</v>
      </c>
      <c r="AT835">
        <v>1</v>
      </c>
      <c r="AU835">
        <v>14.490285089565967</v>
      </c>
      <c r="AV835">
        <v>1.2516617708012746E-3</v>
      </c>
    </row>
    <row r="836" spans="44:48" x14ac:dyDescent="0.2">
      <c r="AR836">
        <v>828</v>
      </c>
      <c r="AS836">
        <v>828</v>
      </c>
      <c r="AT836">
        <v>1</v>
      </c>
      <c r="AU836">
        <v>14.521225620883312</v>
      </c>
      <c r="AV836">
        <v>1.2255240246379583E-3</v>
      </c>
    </row>
    <row r="837" spans="44:48" x14ac:dyDescent="0.2">
      <c r="AR837">
        <v>829</v>
      </c>
      <c r="AS837">
        <v>829</v>
      </c>
      <c r="AT837">
        <v>1</v>
      </c>
      <c r="AU837">
        <v>14.552166152200657</v>
      </c>
      <c r="AV837">
        <v>1.1998701715255223E-3</v>
      </c>
    </row>
    <row r="838" spans="44:48" x14ac:dyDescent="0.2">
      <c r="AR838">
        <v>830</v>
      </c>
      <c r="AS838">
        <v>830</v>
      </c>
      <c r="AT838">
        <v>1</v>
      </c>
      <c r="AU838">
        <v>14.583106683518006</v>
      </c>
      <c r="AV838">
        <v>1.1746927023486094E-3</v>
      </c>
    </row>
    <row r="839" spans="44:48" x14ac:dyDescent="0.2">
      <c r="AR839">
        <v>831</v>
      </c>
      <c r="AS839">
        <v>831</v>
      </c>
      <c r="AT839">
        <v>1</v>
      </c>
      <c r="AU839">
        <v>14.614047214835351</v>
      </c>
      <c r="AV839">
        <v>1.1499841923871253E-3</v>
      </c>
    </row>
    <row r="840" spans="44:48" x14ac:dyDescent="0.2">
      <c r="AR840">
        <v>832</v>
      </c>
      <c r="AS840">
        <v>832</v>
      </c>
      <c r="AT840">
        <v>1</v>
      </c>
      <c r="AU840">
        <v>14.644987746152699</v>
      </c>
      <c r="AV840">
        <v>1.1257373010619038E-3</v>
      </c>
    </row>
    <row r="841" spans="44:48" x14ac:dyDescent="0.2">
      <c r="AR841">
        <v>833</v>
      </c>
      <c r="AS841">
        <v>833</v>
      </c>
      <c r="AT841">
        <v>1</v>
      </c>
      <c r="AU841">
        <v>14.675928277470044</v>
      </c>
      <c r="AV841">
        <v>1.1019447716642697E-3</v>
      </c>
    </row>
    <row r="842" spans="44:48" x14ac:dyDescent="0.2">
      <c r="AR842">
        <v>834</v>
      </c>
      <c r="AS842">
        <v>834</v>
      </c>
      <c r="AT842">
        <v>1</v>
      </c>
      <c r="AU842">
        <v>14.706868808787389</v>
      </c>
      <c r="AV842">
        <v>1.0785994310698417E-3</v>
      </c>
    </row>
    <row r="843" spans="44:48" x14ac:dyDescent="0.2">
      <c r="AR843">
        <v>835</v>
      </c>
      <c r="AS843">
        <v>835</v>
      </c>
      <c r="AT843">
        <v>1</v>
      </c>
      <c r="AU843">
        <v>14.737809340104738</v>
      </c>
      <c r="AV843">
        <v>1.0556941894370683E-3</v>
      </c>
    </row>
    <row r="844" spans="44:48" x14ac:dyDescent="0.2">
      <c r="AR844">
        <v>836</v>
      </c>
      <c r="AS844">
        <v>836</v>
      </c>
      <c r="AT844">
        <v>1</v>
      </c>
      <c r="AU844">
        <v>14.768749871422083</v>
      </c>
      <c r="AV844">
        <v>1.0332220398908824E-3</v>
      </c>
    </row>
    <row r="845" spans="44:48" x14ac:dyDescent="0.2">
      <c r="AR845">
        <v>837</v>
      </c>
      <c r="AS845">
        <v>837</v>
      </c>
      <c r="AT845">
        <v>1</v>
      </c>
      <c r="AU845">
        <v>14.799690402739428</v>
      </c>
      <c r="AV845">
        <v>1.0111760581918493E-3</v>
      </c>
    </row>
    <row r="846" spans="44:48" x14ac:dyDescent="0.2">
      <c r="AR846">
        <v>838</v>
      </c>
      <c r="AS846">
        <v>838</v>
      </c>
      <c r="AT846">
        <v>1</v>
      </c>
      <c r="AU846">
        <v>14.830630934056776</v>
      </c>
      <c r="AV846">
        <v>9.8954940239129774E-4</v>
      </c>
    </row>
    <row r="847" spans="44:48" x14ac:dyDescent="0.2">
      <c r="AR847">
        <v>839</v>
      </c>
      <c r="AS847">
        <v>839</v>
      </c>
      <c r="AT847">
        <v>1</v>
      </c>
      <c r="AU847">
        <v>14.861571465374121</v>
      </c>
      <c r="AV847">
        <v>9.6833531247276573E-4</v>
      </c>
    </row>
    <row r="848" spans="44:48" x14ac:dyDescent="0.2">
      <c r="AR848">
        <v>840</v>
      </c>
      <c r="AS848">
        <v>840</v>
      </c>
      <c r="AT848">
        <v>1</v>
      </c>
      <c r="AU848">
        <v>14.892511996691466</v>
      </c>
      <c r="AV848">
        <v>9.4752710998019887E-4</v>
      </c>
    </row>
    <row r="849" spans="44:48" x14ac:dyDescent="0.2">
      <c r="AR849">
        <v>841</v>
      </c>
      <c r="AS849">
        <v>841</v>
      </c>
      <c r="AT849">
        <v>1</v>
      </c>
      <c r="AU849">
        <v>14.923452528008815</v>
      </c>
      <c r="AV849">
        <v>9.271181976332907E-4</v>
      </c>
    </row>
    <row r="850" spans="44:48" x14ac:dyDescent="0.2">
      <c r="AR850">
        <v>842</v>
      </c>
      <c r="AS850">
        <v>842</v>
      </c>
      <c r="AT850">
        <v>1</v>
      </c>
      <c r="AU850">
        <v>14.95439305932616</v>
      </c>
      <c r="AV850">
        <v>9.0710205893036223E-4</v>
      </c>
    </row>
    <row r="851" spans="44:48" x14ac:dyDescent="0.2">
      <c r="AR851">
        <v>843</v>
      </c>
      <c r="AS851">
        <v>843</v>
      </c>
      <c r="AT851">
        <v>1</v>
      </c>
      <c r="AU851">
        <v>14.985333590643508</v>
      </c>
      <c r="AV851">
        <v>8.8747225773915092E-4</v>
      </c>
    </row>
    <row r="852" spans="44:48" x14ac:dyDescent="0.2">
      <c r="AR852">
        <v>844</v>
      </c>
      <c r="AS852">
        <v>844</v>
      </c>
      <c r="AT852">
        <v>1</v>
      </c>
      <c r="AU852">
        <v>15.016274121960853</v>
      </c>
      <c r="AV852">
        <v>8.6822243787593677E-4</v>
      </c>
    </row>
    <row r="853" spans="44:48" x14ac:dyDescent="0.2">
      <c r="AR853">
        <v>845</v>
      </c>
      <c r="AS853">
        <v>845</v>
      </c>
      <c r="AT853">
        <v>1</v>
      </c>
      <c r="AU853">
        <v>15.047214653278198</v>
      </c>
      <c r="AV853">
        <v>8.4934632267332378E-4</v>
      </c>
    </row>
    <row r="854" spans="44:48" x14ac:dyDescent="0.2">
      <c r="AR854">
        <v>846</v>
      </c>
      <c r="AS854">
        <v>846</v>
      </c>
      <c r="AT854">
        <v>1</v>
      </c>
      <c r="AU854">
        <v>15.078155184595547</v>
      </c>
      <c r="AV854">
        <v>8.3083771453712246E-4</v>
      </c>
    </row>
    <row r="855" spans="44:48" x14ac:dyDescent="0.2">
      <c r="AR855">
        <v>847</v>
      </c>
      <c r="AS855">
        <v>847</v>
      </c>
      <c r="AT855">
        <v>1</v>
      </c>
      <c r="AU855">
        <v>15.109095715912892</v>
      </c>
      <c r="AV855">
        <v>8.1269049449266516E-4</v>
      </c>
    </row>
    <row r="856" spans="44:48" x14ac:dyDescent="0.2">
      <c r="AR856">
        <v>848</v>
      </c>
      <c r="AS856">
        <v>848</v>
      </c>
      <c r="AT856">
        <v>1</v>
      </c>
      <c r="AU856">
        <v>15.140036247230237</v>
      </c>
      <c r="AV856">
        <v>7.9489862172090863E-4</v>
      </c>
    </row>
    <row r="857" spans="44:48" x14ac:dyDescent="0.2">
      <c r="AR857">
        <v>849</v>
      </c>
      <c r="AS857">
        <v>849</v>
      </c>
      <c r="AT857">
        <v>1</v>
      </c>
      <c r="AU857">
        <v>15.170976778547585</v>
      </c>
      <c r="AV857">
        <v>7.7745613308474347E-4</v>
      </c>
    </row>
    <row r="858" spans="44:48" x14ac:dyDescent="0.2">
      <c r="AR858">
        <v>850</v>
      </c>
      <c r="AS858">
        <v>850</v>
      </c>
      <c r="AT858">
        <v>1</v>
      </c>
      <c r="AU858">
        <v>15.20191730986493</v>
      </c>
      <c r="AV858">
        <v>7.6035714264582237E-4</v>
      </c>
    </row>
    <row r="859" spans="44:48" x14ac:dyDescent="0.2">
      <c r="AR859">
        <v>851</v>
      </c>
      <c r="AS859">
        <v>851</v>
      </c>
      <c r="AT859">
        <v>1</v>
      </c>
      <c r="AU859">
        <v>15.232857841182275</v>
      </c>
      <c r="AV859">
        <v>7.4359584117226877E-4</v>
      </c>
    </row>
    <row r="860" spans="44:48" x14ac:dyDescent="0.2">
      <c r="AR860">
        <v>852</v>
      </c>
      <c r="AS860">
        <v>852</v>
      </c>
      <c r="AT860">
        <v>1</v>
      </c>
      <c r="AU860">
        <v>15.263798372499624</v>
      </c>
      <c r="AV860">
        <v>7.2716649563763511E-4</v>
      </c>
    </row>
    <row r="861" spans="44:48" x14ac:dyDescent="0.2">
      <c r="AR861">
        <v>853</v>
      </c>
      <c r="AS861">
        <v>853</v>
      </c>
      <c r="AT861">
        <v>1</v>
      </c>
      <c r="AU861">
        <v>15.294738903816969</v>
      </c>
      <c r="AV861">
        <v>7.1106344871145358E-4</v>
      </c>
    </row>
    <row r="862" spans="44:48" x14ac:dyDescent="0.2">
      <c r="AR862">
        <v>854</v>
      </c>
      <c r="AS862">
        <v>854</v>
      </c>
      <c r="AT862">
        <v>1</v>
      </c>
      <c r="AU862">
        <v>15.325679435134317</v>
      </c>
      <c r="AV862">
        <v>6.9528111824169103E-4</v>
      </c>
    </row>
    <row r="863" spans="44:48" x14ac:dyDescent="0.2">
      <c r="AR863">
        <v>855</v>
      </c>
      <c r="AS863">
        <v>855</v>
      </c>
      <c r="AT863">
        <v>1</v>
      </c>
      <c r="AU863">
        <v>15.356619966451662</v>
      </c>
      <c r="AV863">
        <v>6.7981399672949736E-4</v>
      </c>
    </row>
    <row r="864" spans="44:48" x14ac:dyDescent="0.2">
      <c r="AR864">
        <v>856</v>
      </c>
      <c r="AS864">
        <v>856</v>
      </c>
      <c r="AT864">
        <v>1</v>
      </c>
      <c r="AU864">
        <v>15.387560497769007</v>
      </c>
      <c r="AV864">
        <v>6.6465665079651901E-4</v>
      </c>
    </row>
    <row r="865" spans="44:48" x14ac:dyDescent="0.2">
      <c r="AR865">
        <v>857</v>
      </c>
      <c r="AS865">
        <v>857</v>
      </c>
      <c r="AT865">
        <v>1</v>
      </c>
      <c r="AU865">
        <v>15.418501029086356</v>
      </c>
      <c r="AV865">
        <v>6.4980372064516053E-4</v>
      </c>
    </row>
    <row r="866" spans="44:48" x14ac:dyDescent="0.2">
      <c r="AR866">
        <v>858</v>
      </c>
      <c r="AS866">
        <v>858</v>
      </c>
      <c r="AT866">
        <v>1</v>
      </c>
      <c r="AU866">
        <v>15.449441560403701</v>
      </c>
      <c r="AV866">
        <v>6.3524991951208795E-4</v>
      </c>
    </row>
    <row r="867" spans="44:48" x14ac:dyDescent="0.2">
      <c r="AR867">
        <v>859</v>
      </c>
      <c r="AS867">
        <v>859</v>
      </c>
      <c r="AT867">
        <v>1</v>
      </c>
      <c r="AU867">
        <v>15.480382091721046</v>
      </c>
      <c r="AV867">
        <v>6.2099003311527699E-4</v>
      </c>
    </row>
    <row r="868" spans="44:48" x14ac:dyDescent="0.2">
      <c r="AR868">
        <v>860</v>
      </c>
      <c r="AS868">
        <v>860</v>
      </c>
      <c r="AT868">
        <v>1</v>
      </c>
      <c r="AU868">
        <v>15.511322623038394</v>
      </c>
      <c r="AV868">
        <v>6.0701891909496373E-4</v>
      </c>
    </row>
    <row r="869" spans="44:48" x14ac:dyDescent="0.2">
      <c r="AR869">
        <v>861</v>
      </c>
      <c r="AS869">
        <v>861</v>
      </c>
      <c r="AT869">
        <v>1</v>
      </c>
      <c r="AU869">
        <v>15.542263154355739</v>
      </c>
      <c r="AV869">
        <v>5.9333150644876953E-4</v>
      </c>
    </row>
    <row r="870" spans="44:48" x14ac:dyDescent="0.2">
      <c r="AR870">
        <v>862</v>
      </c>
      <c r="AS870">
        <v>862</v>
      </c>
      <c r="AT870">
        <v>1</v>
      </c>
      <c r="AU870">
        <v>15.573203685673084</v>
      </c>
      <c r="AV870">
        <v>5.7992279496130964E-4</v>
      </c>
    </row>
    <row r="871" spans="44:48" x14ac:dyDescent="0.2">
      <c r="AR871">
        <v>863</v>
      </c>
      <c r="AS871">
        <v>863</v>
      </c>
      <c r="AT871">
        <v>1</v>
      </c>
      <c r="AU871">
        <v>15.604144216990433</v>
      </c>
      <c r="AV871">
        <v>5.6678785462859795E-4</v>
      </c>
    </row>
    <row r="872" spans="44:48" x14ac:dyDescent="0.2">
      <c r="AR872">
        <v>864</v>
      </c>
      <c r="AS872">
        <v>864</v>
      </c>
      <c r="AT872">
        <v>1</v>
      </c>
      <c r="AU872">
        <v>15.635084748307778</v>
      </c>
      <c r="AV872">
        <v>5.5392182507753437E-4</v>
      </c>
    </row>
    <row r="873" spans="44:48" x14ac:dyDescent="0.2">
      <c r="AR873">
        <v>865</v>
      </c>
      <c r="AS873">
        <v>865</v>
      </c>
      <c r="AT873">
        <v>1</v>
      </c>
      <c r="AU873">
        <v>15.666025279625126</v>
      </c>
      <c r="AV873">
        <v>5.4131991498074586E-4</v>
      </c>
    </row>
    <row r="874" spans="44:48" x14ac:dyDescent="0.2">
      <c r="AR874">
        <v>866</v>
      </c>
      <c r="AS874">
        <v>866</v>
      </c>
      <c r="AT874">
        <v>1</v>
      </c>
      <c r="AU874">
        <v>15.696965810942471</v>
      </c>
      <c r="AV874">
        <v>5.2897740146711034E-4</v>
      </c>
    </row>
    <row r="875" spans="44:48" x14ac:dyDescent="0.2">
      <c r="AR875">
        <v>867</v>
      </c>
      <c r="AS875">
        <v>867</v>
      </c>
      <c r="AT875">
        <v>1</v>
      </c>
      <c r="AU875">
        <v>15.727906342259816</v>
      </c>
      <c r="AV875">
        <v>5.1688962952818281E-4</v>
      </c>
    </row>
    <row r="876" spans="44:48" x14ac:dyDescent="0.2">
      <c r="AR876">
        <v>868</v>
      </c>
      <c r="AS876">
        <v>868</v>
      </c>
      <c r="AT876">
        <v>1</v>
      </c>
      <c r="AU876">
        <v>15.758846873577165</v>
      </c>
      <c r="AV876">
        <v>5.0505201142084916E-4</v>
      </c>
    </row>
    <row r="877" spans="44:48" x14ac:dyDescent="0.2">
      <c r="AR877">
        <v>869</v>
      </c>
      <c r="AS877">
        <v>869</v>
      </c>
      <c r="AT877">
        <v>1</v>
      </c>
      <c r="AU877">
        <v>15.789787404894509</v>
      </c>
      <c r="AV877">
        <v>4.9346002606645469E-4</v>
      </c>
    </row>
    <row r="878" spans="44:48" x14ac:dyDescent="0.2">
      <c r="AR878">
        <v>870</v>
      </c>
      <c r="AS878">
        <v>870</v>
      </c>
      <c r="AT878">
        <v>1</v>
      </c>
      <c r="AU878">
        <v>15.820727936211854</v>
      </c>
      <c r="AV878">
        <v>4.8210921844666168E-4</v>
      </c>
    </row>
    <row r="879" spans="44:48" x14ac:dyDescent="0.2">
      <c r="AR879">
        <v>871</v>
      </c>
      <c r="AS879">
        <v>871</v>
      </c>
      <c r="AT879">
        <v>1</v>
      </c>
      <c r="AU879">
        <v>15.851668467529203</v>
      </c>
      <c r="AV879">
        <v>4.7099519899632071E-4</v>
      </c>
    </row>
    <row r="880" spans="44:48" x14ac:dyDescent="0.2">
      <c r="AR880">
        <v>872</v>
      </c>
      <c r="AS880">
        <v>872</v>
      </c>
      <c r="AT880">
        <v>1</v>
      </c>
      <c r="AU880">
        <v>15.882608998846548</v>
      </c>
      <c r="AV880">
        <v>4.6011364299359598E-4</v>
      </c>
    </row>
    <row r="881" spans="44:48" x14ac:dyDescent="0.2">
      <c r="AR881">
        <v>873</v>
      </c>
      <c r="AS881">
        <v>873</v>
      </c>
      <c r="AT881">
        <v>1</v>
      </c>
      <c r="AU881">
        <v>15.913549530163893</v>
      </c>
      <c r="AV881">
        <v>4.4946028994758552E-4</v>
      </c>
    </row>
    <row r="882" spans="44:48" x14ac:dyDescent="0.2">
      <c r="AR882">
        <v>874</v>
      </c>
      <c r="AS882">
        <v>874</v>
      </c>
      <c r="AT882">
        <v>1</v>
      </c>
      <c r="AU882">
        <v>15.944490061481241</v>
      </c>
      <c r="AV882">
        <v>4.390309429837007E-4</v>
      </c>
    </row>
    <row r="883" spans="44:48" x14ac:dyDescent="0.2">
      <c r="AR883">
        <v>875</v>
      </c>
      <c r="AS883">
        <v>875</v>
      </c>
      <c r="AT883">
        <v>1</v>
      </c>
      <c r="AU883">
        <v>15.975430592798586</v>
      </c>
      <c r="AV883">
        <v>4.2882146822703995E-4</v>
      </c>
    </row>
    <row r="884" spans="44:48" x14ac:dyDescent="0.2">
      <c r="AR884">
        <v>876</v>
      </c>
      <c r="AS884">
        <v>876</v>
      </c>
      <c r="AT884">
        <v>1</v>
      </c>
      <c r="AU884">
        <v>16.006371124115937</v>
      </c>
      <c r="AV884">
        <v>4.1882779418397068E-4</v>
      </c>
    </row>
    <row r="885" spans="44:48" x14ac:dyDescent="0.2">
      <c r="AR885">
        <v>877</v>
      </c>
      <c r="AS885">
        <v>877</v>
      </c>
      <c r="AT885">
        <v>1</v>
      </c>
      <c r="AU885">
        <v>16.037311655433278</v>
      </c>
      <c r="AV885">
        <v>4.0904591112219313E-4</v>
      </c>
    </row>
    <row r="886" spans="44:48" x14ac:dyDescent="0.2">
      <c r="AR886">
        <v>878</v>
      </c>
      <c r="AS886">
        <v>878</v>
      </c>
      <c r="AT886">
        <v>1</v>
      </c>
      <c r="AU886">
        <v>16.068252186750627</v>
      </c>
      <c r="AV886">
        <v>3.9947187044945127E-4</v>
      </c>
    </row>
    <row r="887" spans="44:48" x14ac:dyDescent="0.2">
      <c r="AR887">
        <v>879</v>
      </c>
      <c r="AS887">
        <v>879</v>
      </c>
      <c r="AT887">
        <v>1</v>
      </c>
      <c r="AU887">
        <v>16.099192718067975</v>
      </c>
      <c r="AV887">
        <v>3.9010178409118397E-4</v>
      </c>
    </row>
    <row r="888" spans="44:48" x14ac:dyDescent="0.2">
      <c r="AR888">
        <v>880</v>
      </c>
      <c r="AS888">
        <v>880</v>
      </c>
      <c r="AT888">
        <v>1</v>
      </c>
      <c r="AU888">
        <v>16.130133249385317</v>
      </c>
      <c r="AV888">
        <v>3.8093182386726943E-4</v>
      </c>
    </row>
    <row r="889" spans="44:48" x14ac:dyDescent="0.2">
      <c r="AR889">
        <v>881</v>
      </c>
      <c r="AS889">
        <v>881</v>
      </c>
      <c r="AT889">
        <v>1</v>
      </c>
      <c r="AU889">
        <v>16.161073780702665</v>
      </c>
      <c r="AV889">
        <v>3.7195822086809902E-4</v>
      </c>
    </row>
    <row r="890" spans="44:48" x14ac:dyDescent="0.2">
      <c r="AR890">
        <v>882</v>
      </c>
      <c r="AS890">
        <v>882</v>
      </c>
      <c r="AT890">
        <v>1</v>
      </c>
      <c r="AU890">
        <v>16.192014312020014</v>
      </c>
      <c r="AV890">
        <v>3.6317726483020622E-4</v>
      </c>
    </row>
    <row r="891" spans="44:48" x14ac:dyDescent="0.2">
      <c r="AR891">
        <v>883</v>
      </c>
      <c r="AS891">
        <v>883</v>
      </c>
      <c r="AT891">
        <v>1</v>
      </c>
      <c r="AU891">
        <v>16.222954843337355</v>
      </c>
      <c r="AV891">
        <v>3.5458530351162006E-4</v>
      </c>
    </row>
    <row r="892" spans="44:48" x14ac:dyDescent="0.2">
      <c r="AR892">
        <v>884</v>
      </c>
      <c r="AS892">
        <v>884</v>
      </c>
      <c r="AT892">
        <v>1</v>
      </c>
      <c r="AU892">
        <v>16.253895374654704</v>
      </c>
      <c r="AV892">
        <v>3.4617874206714665E-4</v>
      </c>
    </row>
    <row r="893" spans="44:48" x14ac:dyDescent="0.2">
      <c r="AR893">
        <v>885</v>
      </c>
      <c r="AS893">
        <v>885</v>
      </c>
      <c r="AT893">
        <v>1</v>
      </c>
      <c r="AU893">
        <v>16.284835905972052</v>
      </c>
      <c r="AV893">
        <v>3.3795404242380385E-4</v>
      </c>
    </row>
    <row r="894" spans="44:48" x14ac:dyDescent="0.2">
      <c r="AR894">
        <v>886</v>
      </c>
      <c r="AS894">
        <v>886</v>
      </c>
      <c r="AT894">
        <v>1</v>
      </c>
      <c r="AU894">
        <v>16.315776437289394</v>
      </c>
      <c r="AV894">
        <v>3.2990772265655E-4</v>
      </c>
    </row>
    <row r="895" spans="44:48" x14ac:dyDescent="0.2">
      <c r="AR895">
        <v>887</v>
      </c>
      <c r="AS895">
        <v>887</v>
      </c>
      <c r="AT895">
        <v>1</v>
      </c>
      <c r="AU895">
        <v>16.346716968606742</v>
      </c>
      <c r="AV895">
        <v>3.2203635636451563E-4</v>
      </c>
    </row>
    <row r="896" spans="44:48" x14ac:dyDescent="0.2">
      <c r="AR896">
        <v>888</v>
      </c>
      <c r="AS896">
        <v>888</v>
      </c>
      <c r="AT896">
        <v>1</v>
      </c>
      <c r="AU896">
        <v>16.377657499924091</v>
      </c>
      <c r="AV896">
        <v>3.1433657204792923E-4</v>
      </c>
    </row>
    <row r="897" spans="44:48" x14ac:dyDescent="0.2">
      <c r="AR897">
        <v>889</v>
      </c>
      <c r="AS897">
        <v>889</v>
      </c>
      <c r="AT897">
        <v>1</v>
      </c>
      <c r="AU897">
        <v>16.408598031241432</v>
      </c>
      <c r="AV897">
        <v>3.0680505248588012E-4</v>
      </c>
    </row>
    <row r="898" spans="44:48" x14ac:dyDescent="0.2">
      <c r="AR898">
        <v>890</v>
      </c>
      <c r="AS898">
        <v>890</v>
      </c>
      <c r="AT898">
        <v>1</v>
      </c>
      <c r="AU898">
        <v>16.439538562558781</v>
      </c>
      <c r="AV898">
        <v>2.9943853411510519E-4</v>
      </c>
    </row>
    <row r="899" spans="44:48" x14ac:dyDescent="0.2">
      <c r="AR899">
        <v>891</v>
      </c>
      <c r="AS899">
        <v>891</v>
      </c>
      <c r="AT899">
        <v>1</v>
      </c>
      <c r="AU899">
        <v>16.470479093876129</v>
      </c>
      <c r="AV899">
        <v>2.9223380640997968E-4</v>
      </c>
    </row>
    <row r="900" spans="44:48" x14ac:dyDescent="0.2">
      <c r="AR900">
        <v>892</v>
      </c>
      <c r="AS900">
        <v>892</v>
      </c>
      <c r="AT900">
        <v>1</v>
      </c>
      <c r="AU900">
        <v>16.501419625193471</v>
      </c>
      <c r="AV900">
        <v>2.8518771126384373E-4</v>
      </c>
    </row>
    <row r="901" spans="44:48" x14ac:dyDescent="0.2">
      <c r="AR901">
        <v>893</v>
      </c>
      <c r="AS901">
        <v>893</v>
      </c>
      <c r="AT901">
        <v>1</v>
      </c>
      <c r="AU901">
        <v>16.532360156510819</v>
      </c>
      <c r="AV901">
        <v>2.7829714237183426E-4</v>
      </c>
    </row>
    <row r="902" spans="44:48" x14ac:dyDescent="0.2">
      <c r="AR902">
        <v>894</v>
      </c>
      <c r="AS902">
        <v>894</v>
      </c>
      <c r="AT902">
        <v>1</v>
      </c>
      <c r="AU902">
        <v>16.563300687828168</v>
      </c>
      <c r="AV902">
        <v>2.7155904461539227E-4</v>
      </c>
    </row>
    <row r="903" spans="44:48" x14ac:dyDescent="0.2">
      <c r="AR903">
        <v>895</v>
      </c>
      <c r="AS903">
        <v>895</v>
      </c>
      <c r="AT903">
        <v>1</v>
      </c>
      <c r="AU903">
        <v>16.594241219145516</v>
      </c>
      <c r="AV903">
        <v>2.6497041344856191E-4</v>
      </c>
    </row>
    <row r="904" spans="44:48" x14ac:dyDescent="0.2">
      <c r="AR904">
        <v>896</v>
      </c>
      <c r="AS904">
        <v>896</v>
      </c>
      <c r="AT904">
        <v>1</v>
      </c>
      <c r="AU904">
        <v>16.625181750462858</v>
      </c>
      <c r="AV904">
        <v>2.5852829428624891E-4</v>
      </c>
    </row>
    <row r="905" spans="44:48" x14ac:dyDescent="0.2">
      <c r="AR905">
        <v>897</v>
      </c>
      <c r="AS905">
        <v>897</v>
      </c>
      <c r="AT905">
        <v>1</v>
      </c>
      <c r="AU905">
        <v>16.656122281780206</v>
      </c>
      <c r="AV905">
        <v>2.5222978189456464E-4</v>
      </c>
    </row>
    <row r="906" spans="44:48" x14ac:dyDescent="0.2">
      <c r="AR906">
        <v>898</v>
      </c>
      <c r="AS906">
        <v>898</v>
      </c>
      <c r="AT906">
        <v>1</v>
      </c>
      <c r="AU906">
        <v>16.687062813097555</v>
      </c>
      <c r="AV906">
        <v>2.4607201978341016E-4</v>
      </c>
    </row>
    <row r="907" spans="44:48" x14ac:dyDescent="0.2">
      <c r="AR907">
        <v>899</v>
      </c>
      <c r="AS907">
        <v>899</v>
      </c>
      <c r="AT907">
        <v>1</v>
      </c>
      <c r="AU907">
        <v>16.718003344414896</v>
      </c>
      <c r="AV907">
        <v>2.4005219960140548E-4</v>
      </c>
    </row>
    <row r="908" spans="44:48" x14ac:dyDescent="0.2">
      <c r="AR908">
        <v>900</v>
      </c>
      <c r="AS908">
        <v>900</v>
      </c>
      <c r="AT908">
        <v>1</v>
      </c>
      <c r="AU908">
        <v>16.748943875732245</v>
      </c>
      <c r="AV908">
        <v>2.3416756053330881E-4</v>
      </c>
    </row>
    <row r="909" spans="44:48" x14ac:dyDescent="0.2">
      <c r="AR909">
        <v>901</v>
      </c>
      <c r="AS909">
        <v>901</v>
      </c>
      <c r="AT909">
        <v>1</v>
      </c>
      <c r="AU909">
        <v>16.779884407049593</v>
      </c>
      <c r="AV909">
        <v>2.2841538870005472E-4</v>
      </c>
    </row>
    <row r="910" spans="44:48" x14ac:dyDescent="0.2">
      <c r="AR910">
        <v>902</v>
      </c>
      <c r="AS910">
        <v>902</v>
      </c>
      <c r="AT910">
        <v>1</v>
      </c>
      <c r="AU910">
        <v>16.810824938366935</v>
      </c>
      <c r="AV910">
        <v>2.2279301656151273E-4</v>
      </c>
    </row>
    <row r="911" spans="44:48" x14ac:dyDescent="0.2">
      <c r="AR911">
        <v>903</v>
      </c>
      <c r="AS911">
        <v>903</v>
      </c>
      <c r="AT911">
        <v>1</v>
      </c>
      <c r="AU911">
        <v>16.841765469684283</v>
      </c>
      <c r="AV911">
        <v>2.1729782232208944E-4</v>
      </c>
    </row>
    <row r="912" spans="44:48" x14ac:dyDescent="0.2">
      <c r="AR912">
        <v>904</v>
      </c>
      <c r="AS912">
        <v>904</v>
      </c>
      <c r="AT912">
        <v>1</v>
      </c>
      <c r="AU912">
        <v>16.872706001001632</v>
      </c>
      <c r="AV912">
        <v>2.1192722933930129E-4</v>
      </c>
    </row>
    <row r="913" spans="44:48" x14ac:dyDescent="0.2">
      <c r="AR913">
        <v>905</v>
      </c>
      <c r="AS913">
        <v>905</v>
      </c>
      <c r="AT913">
        <v>1</v>
      </c>
      <c r="AU913">
        <v>16.903646532318973</v>
      </c>
      <c r="AV913">
        <v>2.0667870553540049E-4</v>
      </c>
    </row>
    <row r="914" spans="44:48" x14ac:dyDescent="0.2">
      <c r="AR914">
        <v>906</v>
      </c>
      <c r="AS914">
        <v>906</v>
      </c>
      <c r="AT914">
        <v>1</v>
      </c>
      <c r="AU914">
        <v>16.934587063636322</v>
      </c>
      <c r="AV914">
        <v>2.0154976281217142E-4</v>
      </c>
    </row>
    <row r="915" spans="44:48" x14ac:dyDescent="0.2">
      <c r="AR915">
        <v>907</v>
      </c>
      <c r="AS915">
        <v>907</v>
      </c>
      <c r="AT915">
        <v>1</v>
      </c>
      <c r="AU915">
        <v>16.96552759495367</v>
      </c>
      <c r="AV915">
        <v>1.9653795646900764E-4</v>
      </c>
    </row>
    <row r="916" spans="44:48" x14ac:dyDescent="0.2">
      <c r="AR916">
        <v>908</v>
      </c>
      <c r="AS916">
        <v>908</v>
      </c>
      <c r="AT916">
        <v>1</v>
      </c>
      <c r="AU916">
        <v>16.996468126271012</v>
      </c>
      <c r="AV916">
        <v>1.9164088462434687E-4</v>
      </c>
    </row>
    <row r="917" spans="44:48" x14ac:dyDescent="0.2">
      <c r="AR917">
        <v>909</v>
      </c>
      <c r="AS917" t="e">
        <v>#N/A</v>
      </c>
      <c r="AT917" t="e">
        <v>#N/A</v>
      </c>
      <c r="AU917" t="e">
        <v>#N/A</v>
      </c>
      <c r="AV917" t="e">
        <v>#N/A</v>
      </c>
    </row>
    <row r="918" spans="44:48" x14ac:dyDescent="0.2">
      <c r="AR918">
        <v>910</v>
      </c>
      <c r="AS918">
        <v>1</v>
      </c>
      <c r="AT918">
        <v>2</v>
      </c>
      <c r="AU918">
        <v>-11.066593778562057</v>
      </c>
      <c r="AV918">
        <v>1.7101452972453682E-4</v>
      </c>
    </row>
    <row r="919" spans="44:48" x14ac:dyDescent="0.2">
      <c r="AR919">
        <v>911</v>
      </c>
      <c r="AS919">
        <v>2</v>
      </c>
      <c r="AT919">
        <v>2</v>
      </c>
      <c r="AU919">
        <v>-11.03565324724471</v>
      </c>
      <c r="AV919">
        <v>1.7545007399451246E-4</v>
      </c>
    </row>
    <row r="920" spans="44:48" x14ac:dyDescent="0.2">
      <c r="AR920">
        <v>912</v>
      </c>
      <c r="AS920">
        <v>3</v>
      </c>
      <c r="AT920">
        <v>2</v>
      </c>
      <c r="AU920">
        <v>-11.004712715927365</v>
      </c>
      <c r="AV920">
        <v>1.7999127553895863E-4</v>
      </c>
    </row>
    <row r="921" spans="44:48" x14ac:dyDescent="0.2">
      <c r="AR921">
        <v>913</v>
      </c>
      <c r="AS921">
        <v>4</v>
      </c>
      <c r="AT921">
        <v>2</v>
      </c>
      <c r="AU921">
        <v>-10.973772184610018</v>
      </c>
      <c r="AV921">
        <v>1.8464038938287948E-4</v>
      </c>
    </row>
    <row r="922" spans="44:48" x14ac:dyDescent="0.2">
      <c r="AR922">
        <v>914</v>
      </c>
      <c r="AS922">
        <v>5</v>
      </c>
      <c r="AT922">
        <v>2</v>
      </c>
      <c r="AU922">
        <v>-10.942831653292671</v>
      </c>
      <c r="AV922">
        <v>1.8939971175929956E-4</v>
      </c>
    </row>
    <row r="923" spans="44:48" x14ac:dyDescent="0.2">
      <c r="AR923">
        <v>915</v>
      </c>
      <c r="AS923">
        <v>6</v>
      </c>
      <c r="AT923">
        <v>2</v>
      </c>
      <c r="AU923">
        <v>-10.911891121975325</v>
      </c>
      <c r="AV923">
        <v>1.9427158068854657E-4</v>
      </c>
    </row>
    <row r="924" spans="44:48" x14ac:dyDescent="0.2">
      <c r="AR924">
        <v>916</v>
      </c>
      <c r="AS924">
        <v>7</v>
      </c>
      <c r="AT924">
        <v>2</v>
      </c>
      <c r="AU924">
        <v>-10.88095059065798</v>
      </c>
      <c r="AV924">
        <v>1.9925837656144458E-4</v>
      </c>
    </row>
    <row r="925" spans="44:48" x14ac:dyDescent="0.2">
      <c r="AR925">
        <v>917</v>
      </c>
      <c r="AS925">
        <v>8</v>
      </c>
      <c r="AT925">
        <v>2</v>
      </c>
      <c r="AU925">
        <v>-10.850010059340633</v>
      </c>
      <c r="AV925">
        <v>2.0436252272633848E-4</v>
      </c>
    </row>
    <row r="926" spans="44:48" x14ac:dyDescent="0.2">
      <c r="AR926">
        <v>918</v>
      </c>
      <c r="AS926">
        <v>9</v>
      </c>
      <c r="AT926">
        <v>2</v>
      </c>
      <c r="AU926">
        <v>-10.819069528023286</v>
      </c>
      <c r="AV926">
        <v>2.0958648607985586E-4</v>
      </c>
    </row>
    <row r="927" spans="44:48" x14ac:dyDescent="0.2">
      <c r="AR927">
        <v>919</v>
      </c>
      <c r="AS927">
        <v>10</v>
      </c>
      <c r="AT927">
        <v>2</v>
      </c>
      <c r="AU927">
        <v>-10.788128996705939</v>
      </c>
      <c r="AV927">
        <v>2.1493277766132171E-4</v>
      </c>
    </row>
    <row r="928" spans="44:48" x14ac:dyDescent="0.2">
      <c r="AR928">
        <v>920</v>
      </c>
      <c r="AS928">
        <v>11</v>
      </c>
      <c r="AT928">
        <v>2</v>
      </c>
      <c r="AU928">
        <v>-10.757188465388595</v>
      </c>
      <c r="AV928">
        <v>2.2040395325072685E-4</v>
      </c>
    </row>
    <row r="929" spans="44:48" x14ac:dyDescent="0.2">
      <c r="AR929">
        <v>921</v>
      </c>
      <c r="AS929">
        <v>12</v>
      </c>
      <c r="AT929">
        <v>2</v>
      </c>
      <c r="AU929">
        <v>-10.726247934071248</v>
      </c>
      <c r="AV929">
        <v>2.2600261397015252E-4</v>
      </c>
    </row>
    <row r="930" spans="44:48" x14ac:dyDescent="0.2">
      <c r="AR930">
        <v>922</v>
      </c>
      <c r="AS930">
        <v>13</v>
      </c>
      <c r="AT930">
        <v>2</v>
      </c>
      <c r="AU930">
        <v>-10.695307402753901</v>
      </c>
      <c r="AV930">
        <v>2.3173140688854865E-4</v>
      </c>
    </row>
    <row r="931" spans="44:48" x14ac:dyDescent="0.2">
      <c r="AR931">
        <v>923</v>
      </c>
      <c r="AS931">
        <v>14</v>
      </c>
      <c r="AT931">
        <v>2</v>
      </c>
      <c r="AU931">
        <v>-10.664366871436556</v>
      </c>
      <c r="AV931">
        <v>2.3759302562976063E-4</v>
      </c>
    </row>
    <row r="932" spans="44:48" x14ac:dyDescent="0.2">
      <c r="AR932">
        <v>924</v>
      </c>
      <c r="AS932">
        <v>15</v>
      </c>
      <c r="AT932">
        <v>2</v>
      </c>
      <c r="AU932">
        <v>-10.633426340119209</v>
      </c>
      <c r="AV932">
        <v>2.4359021098369364E-4</v>
      </c>
    </row>
    <row r="933" spans="44:48" x14ac:dyDescent="0.2">
      <c r="AR933">
        <v>925</v>
      </c>
      <c r="AS933">
        <v>16</v>
      </c>
      <c r="AT933">
        <v>2</v>
      </c>
      <c r="AU933">
        <v>-10.602485808801863</v>
      </c>
      <c r="AV933">
        <v>2.4972575152049954E-4</v>
      </c>
    </row>
    <row r="934" spans="44:48" x14ac:dyDescent="0.2">
      <c r="AR934">
        <v>926</v>
      </c>
      <c r="AS934">
        <v>17</v>
      </c>
      <c r="AT934">
        <v>2</v>
      </c>
      <c r="AU934">
        <v>-10.571545277484516</v>
      </c>
      <c r="AV934">
        <v>2.5600248420767072E-4</v>
      </c>
    </row>
    <row r="935" spans="44:48" x14ac:dyDescent="0.2">
      <c r="AR935">
        <v>927</v>
      </c>
      <c r="AS935">
        <v>18</v>
      </c>
      <c r="AT935">
        <v>2</v>
      </c>
      <c r="AU935">
        <v>-10.540604746167171</v>
      </c>
      <c r="AV935">
        <v>2.6242329502991474E-4</v>
      </c>
    </row>
    <row r="936" spans="44:48" x14ac:dyDescent="0.2">
      <c r="AR936">
        <v>928</v>
      </c>
      <c r="AS936">
        <v>19</v>
      </c>
      <c r="AT936">
        <v>2</v>
      </c>
      <c r="AU936">
        <v>-10.509664214849824</v>
      </c>
      <c r="AV936">
        <v>2.6899111961168931E-4</v>
      </c>
    </row>
    <row r="937" spans="44:48" x14ac:dyDescent="0.2">
      <c r="AR937">
        <v>929</v>
      </c>
      <c r="AS937">
        <v>20</v>
      </c>
      <c r="AT937">
        <v>2</v>
      </c>
      <c r="AU937">
        <v>-10.478723683532477</v>
      </c>
      <c r="AV937">
        <v>2.7570894384226091E-4</v>
      </c>
    </row>
    <row r="938" spans="44:48" x14ac:dyDescent="0.2">
      <c r="AR938">
        <v>930</v>
      </c>
      <c r="AS938">
        <v>21</v>
      </c>
      <c r="AT938">
        <v>2</v>
      </c>
      <c r="AU938">
        <v>-10.447783152215131</v>
      </c>
      <c r="AV938">
        <v>2.825798045031557E-4</v>
      </c>
    </row>
    <row r="939" spans="44:48" x14ac:dyDescent="0.2">
      <c r="AR939">
        <v>931</v>
      </c>
      <c r="AS939">
        <v>22</v>
      </c>
      <c r="AT939">
        <v>2</v>
      </c>
      <c r="AU939">
        <v>-10.416842620897786</v>
      </c>
      <c r="AV939">
        <v>2.8960678989786709E-4</v>
      </c>
    </row>
    <row r="940" spans="44:48" x14ac:dyDescent="0.2">
      <c r="AR940">
        <v>932</v>
      </c>
      <c r="AS940">
        <v>23</v>
      </c>
      <c r="AT940">
        <v>2</v>
      </c>
      <c r="AU940">
        <v>-10.385902089580439</v>
      </c>
      <c r="AV940">
        <v>2.9679304048366818E-4</v>
      </c>
    </row>
    <row r="941" spans="44:48" x14ac:dyDescent="0.2">
      <c r="AR941">
        <v>933</v>
      </c>
      <c r="AS941">
        <v>24</v>
      </c>
      <c r="AT941">
        <v>2</v>
      </c>
      <c r="AU941">
        <v>-10.354961558263092</v>
      </c>
      <c r="AV941">
        <v>3.0414174950538811E-4</v>
      </c>
    </row>
    <row r="942" spans="44:48" x14ac:dyDescent="0.2">
      <c r="AR942">
        <v>934</v>
      </c>
      <c r="AS942">
        <v>25</v>
      </c>
      <c r="AT942">
        <v>2</v>
      </c>
      <c r="AU942">
        <v>-10.324021026945747</v>
      </c>
      <c r="AV942">
        <v>3.1165616363100105E-4</v>
      </c>
    </row>
    <row r="943" spans="44:48" x14ac:dyDescent="0.2">
      <c r="AR943">
        <v>935</v>
      </c>
      <c r="AS943">
        <v>26</v>
      </c>
      <c r="AT943">
        <v>2</v>
      </c>
      <c r="AU943">
        <v>-10.2930804956284</v>
      </c>
      <c r="AV943">
        <v>3.1933958358886855E-4</v>
      </c>
    </row>
    <row r="944" spans="44:48" x14ac:dyDescent="0.2">
      <c r="AR944">
        <v>936</v>
      </c>
      <c r="AS944">
        <v>27</v>
      </c>
      <c r="AT944">
        <v>2</v>
      </c>
      <c r="AU944">
        <v>-10.262139964311054</v>
      </c>
      <c r="AV944">
        <v>3.2719536480647031E-4</v>
      </c>
    </row>
    <row r="945" spans="44:48" x14ac:dyDescent="0.2">
      <c r="AR945">
        <v>937</v>
      </c>
      <c r="AS945">
        <v>28</v>
      </c>
      <c r="AT945">
        <v>2</v>
      </c>
      <c r="AU945">
        <v>-10.231199432993707</v>
      </c>
      <c r="AV945">
        <v>3.3522691805047108E-4</v>
      </c>
    </row>
    <row r="946" spans="44:48" x14ac:dyDescent="0.2">
      <c r="AR946">
        <v>938</v>
      </c>
      <c r="AS946">
        <v>29</v>
      </c>
      <c r="AT946">
        <v>2</v>
      </c>
      <c r="AU946">
        <v>-10.200258901676362</v>
      </c>
      <c r="AV946">
        <v>3.4343771006793678E-4</v>
      </c>
    </row>
    <row r="947" spans="44:48" x14ac:dyDescent="0.2">
      <c r="AR947">
        <v>939</v>
      </c>
      <c r="AS947">
        <v>30</v>
      </c>
      <c r="AT947">
        <v>2</v>
      </c>
      <c r="AU947">
        <v>-10.169318370359015</v>
      </c>
      <c r="AV947">
        <v>3.5183126422854186E-4</v>
      </c>
    </row>
    <row r="948" spans="44:48" x14ac:dyDescent="0.2">
      <c r="AR948">
        <v>940</v>
      </c>
      <c r="AS948">
        <v>31</v>
      </c>
      <c r="AT948">
        <v>2</v>
      </c>
      <c r="AU948">
        <v>-10.138377839041668</v>
      </c>
      <c r="AV948">
        <v>3.6041116116757228E-4</v>
      </c>
    </row>
    <row r="949" spans="44:48" x14ac:dyDescent="0.2">
      <c r="AR949">
        <v>941</v>
      </c>
      <c r="AS949">
        <v>32</v>
      </c>
      <c r="AT949">
        <v>2</v>
      </c>
      <c r="AU949">
        <v>-10.107437307724322</v>
      </c>
      <c r="AV949">
        <v>3.6918103942955592E-4</v>
      </c>
    </row>
    <row r="950" spans="44:48" x14ac:dyDescent="0.2">
      <c r="AR950">
        <v>942</v>
      </c>
      <c r="AS950">
        <v>33</v>
      </c>
      <c r="AT950">
        <v>2</v>
      </c>
      <c r="AU950">
        <v>-10.076496776406977</v>
      </c>
      <c r="AV950">
        <v>3.7814459611232044E-4</v>
      </c>
    </row>
    <row r="951" spans="44:48" x14ac:dyDescent="0.2">
      <c r="AR951">
        <v>943</v>
      </c>
      <c r="AS951">
        <v>34</v>
      </c>
      <c r="AT951">
        <v>2</v>
      </c>
      <c r="AU951">
        <v>-10.04555624508963</v>
      </c>
      <c r="AV951">
        <v>3.8730558751129071E-4</v>
      </c>
    </row>
    <row r="952" spans="44:48" x14ac:dyDescent="0.2">
      <c r="AR952">
        <v>944</v>
      </c>
      <c r="AS952">
        <v>35</v>
      </c>
      <c r="AT952">
        <v>2</v>
      </c>
      <c r="AU952">
        <v>-10.014615713772283</v>
      </c>
      <c r="AV952">
        <v>3.9666782976382358E-4</v>
      </c>
    </row>
    <row r="953" spans="44:48" x14ac:dyDescent="0.2">
      <c r="AR953">
        <v>945</v>
      </c>
      <c r="AS953">
        <v>36</v>
      </c>
      <c r="AT953">
        <v>2</v>
      </c>
      <c r="AU953">
        <v>-9.9836751824549363</v>
      </c>
      <c r="AV953">
        <v>4.0623519949338152E-4</v>
      </c>
    </row>
    <row r="954" spans="44:48" x14ac:dyDescent="0.2">
      <c r="AR954">
        <v>946</v>
      </c>
      <c r="AS954">
        <v>37</v>
      </c>
      <c r="AT954">
        <v>2</v>
      </c>
      <c r="AU954">
        <v>-9.9527346511375914</v>
      </c>
      <c r="AV954">
        <v>4.1601163445333501E-4</v>
      </c>
    </row>
    <row r="955" spans="44:48" x14ac:dyDescent="0.2">
      <c r="AR955">
        <v>947</v>
      </c>
      <c r="AS955">
        <v>38</v>
      </c>
      <c r="AT955">
        <v>2</v>
      </c>
      <c r="AU955">
        <v>-9.9217941198202446</v>
      </c>
      <c r="AV955">
        <v>4.2600113417018122E-4</v>
      </c>
    </row>
    <row r="956" spans="44:48" x14ac:dyDescent="0.2">
      <c r="AR956">
        <v>948</v>
      </c>
      <c r="AS956">
        <v>39</v>
      </c>
      <c r="AT956">
        <v>2</v>
      </c>
      <c r="AU956">
        <v>-9.8908535885028979</v>
      </c>
      <c r="AV956">
        <v>4.3620776058595899E-4</v>
      </c>
    </row>
    <row r="957" spans="44:48" x14ac:dyDescent="0.2">
      <c r="AR957">
        <v>949</v>
      </c>
      <c r="AS957">
        <v>40</v>
      </c>
      <c r="AT957">
        <v>2</v>
      </c>
      <c r="AU957">
        <v>-9.8599130571855511</v>
      </c>
      <c r="AV957">
        <v>4.4663563869963964E-4</v>
      </c>
    </row>
    <row r="958" spans="44:48" x14ac:dyDescent="0.2">
      <c r="AR958">
        <v>950</v>
      </c>
      <c r="AS958">
        <v>41</v>
      </c>
      <c r="AT958">
        <v>2</v>
      </c>
      <c r="AU958">
        <v>-9.8289725258682061</v>
      </c>
      <c r="AV958">
        <v>4.5728895720726671E-4</v>
      </c>
    </row>
    <row r="959" spans="44:48" x14ac:dyDescent="0.2">
      <c r="AR959">
        <v>951</v>
      </c>
      <c r="AS959">
        <v>42</v>
      </c>
      <c r="AT959">
        <v>2</v>
      </c>
      <c r="AU959">
        <v>-9.7980319945508594</v>
      </c>
      <c r="AV959">
        <v>4.6817196914061327E-4</v>
      </c>
    </row>
    <row r="960" spans="44:48" x14ac:dyDescent="0.2">
      <c r="AR960">
        <v>952</v>
      </c>
      <c r="AS960">
        <v>43</v>
      </c>
      <c r="AT960">
        <v>2</v>
      </c>
      <c r="AU960">
        <v>-9.7670914632335126</v>
      </c>
      <c r="AV960">
        <v>4.7928899250411017E-4</v>
      </c>
    </row>
    <row r="961" spans="44:48" x14ac:dyDescent="0.2">
      <c r="AR961">
        <v>953</v>
      </c>
      <c r="AS961">
        <v>44</v>
      </c>
      <c r="AT961">
        <v>2</v>
      </c>
      <c r="AU961">
        <v>-9.7361509319161677</v>
      </c>
      <c r="AV961">
        <v>4.9064441090981555E-4</v>
      </c>
    </row>
    <row r="962" spans="44:48" x14ac:dyDescent="0.2">
      <c r="AR962">
        <v>954</v>
      </c>
      <c r="AS962">
        <v>45</v>
      </c>
      <c r="AT962">
        <v>2</v>
      </c>
      <c r="AU962">
        <v>-9.7052104005988209</v>
      </c>
      <c r="AV962">
        <v>5.02242674210169E-4</v>
      </c>
    </row>
    <row r="963" spans="44:48" x14ac:dyDescent="0.2">
      <c r="AR963">
        <v>955</v>
      </c>
      <c r="AS963">
        <v>46</v>
      </c>
      <c r="AT963">
        <v>2</v>
      </c>
      <c r="AU963">
        <v>-9.6742698692814741</v>
      </c>
      <c r="AV963">
        <v>5.1408829912827857E-4</v>
      </c>
    </row>
    <row r="964" spans="44:48" x14ac:dyDescent="0.2">
      <c r="AR964">
        <v>956</v>
      </c>
      <c r="AS964">
        <v>47</v>
      </c>
      <c r="AT964">
        <v>2</v>
      </c>
      <c r="AU964">
        <v>-9.6433293379641274</v>
      </c>
      <c r="AV964">
        <v>5.2618586988548459E-4</v>
      </c>
    </row>
    <row r="965" spans="44:48" x14ac:dyDescent="0.2">
      <c r="AR965">
        <v>957</v>
      </c>
      <c r="AS965">
        <v>48</v>
      </c>
      <c r="AT965">
        <v>2</v>
      </c>
      <c r="AU965">
        <v>-9.6123888066467824</v>
      </c>
      <c r="AV965">
        <v>5.3854003882593835E-4</v>
      </c>
    </row>
    <row r="966" spans="44:48" x14ac:dyDescent="0.2">
      <c r="AR966">
        <v>958</v>
      </c>
      <c r="AS966">
        <v>49</v>
      </c>
      <c r="AT966">
        <v>2</v>
      </c>
      <c r="AU966">
        <v>-9.5814482753294357</v>
      </c>
      <c r="AV966">
        <v>5.5115552703793012E-4</v>
      </c>
    </row>
    <row r="967" spans="44:48" x14ac:dyDescent="0.2">
      <c r="AR967">
        <v>959</v>
      </c>
      <c r="AS967">
        <v>50</v>
      </c>
      <c r="AT967">
        <v>2</v>
      </c>
      <c r="AU967">
        <v>-9.5505077440120889</v>
      </c>
      <c r="AV967">
        <v>5.6403712497167307E-4</v>
      </c>
    </row>
    <row r="968" spans="44:48" x14ac:dyDescent="0.2">
      <c r="AR968">
        <v>960</v>
      </c>
      <c r="AS968">
        <v>51</v>
      </c>
      <c r="AT968">
        <v>2</v>
      </c>
      <c r="AU968">
        <v>-9.5195672126947422</v>
      </c>
      <c r="AV968">
        <v>5.7718969305330038E-4</v>
      </c>
    </row>
    <row r="969" spans="44:48" x14ac:dyDescent="0.2">
      <c r="AR969">
        <v>961</v>
      </c>
      <c r="AS969">
        <v>52</v>
      </c>
      <c r="AT969">
        <v>2</v>
      </c>
      <c r="AU969">
        <v>-9.4886266813773972</v>
      </c>
      <c r="AV969">
        <v>5.9061816229475815E-4</v>
      </c>
    </row>
    <row r="970" spans="44:48" x14ac:dyDescent="0.2">
      <c r="AR970">
        <v>962</v>
      </c>
      <c r="AS970">
        <v>53</v>
      </c>
      <c r="AT970">
        <v>2</v>
      </c>
      <c r="AU970">
        <v>-9.4576861500600504</v>
      </c>
      <c r="AV970">
        <v>6.0432753489933055E-4</v>
      </c>
    </row>
    <row r="971" spans="44:48" x14ac:dyDescent="0.2">
      <c r="AR971">
        <v>963</v>
      </c>
      <c r="AS971">
        <v>54</v>
      </c>
      <c r="AT971">
        <v>2</v>
      </c>
      <c r="AU971">
        <v>-9.4267456187427037</v>
      </c>
      <c r="AV971">
        <v>6.1832288486248009E-4</v>
      </c>
    </row>
    <row r="972" spans="44:48" x14ac:dyDescent="0.2">
      <c r="AR972">
        <v>964</v>
      </c>
      <c r="AS972">
        <v>55</v>
      </c>
      <c r="AT972">
        <v>2</v>
      </c>
      <c r="AU972">
        <v>-9.3958050874253587</v>
      </c>
      <c r="AV972">
        <v>6.3260935856772837E-4</v>
      </c>
    </row>
    <row r="973" spans="44:48" x14ac:dyDescent="0.2">
      <c r="AR973">
        <v>965</v>
      </c>
      <c r="AS973">
        <v>56</v>
      </c>
      <c r="AT973">
        <v>2</v>
      </c>
      <c r="AU973">
        <v>-9.3648645561080119</v>
      </c>
      <c r="AV973">
        <v>6.4719217537725698E-4</v>
      </c>
    </row>
    <row r="974" spans="44:48" x14ac:dyDescent="0.2">
      <c r="AR974">
        <v>966</v>
      </c>
      <c r="AS974">
        <v>57</v>
      </c>
      <c r="AT974">
        <v>2</v>
      </c>
      <c r="AU974">
        <v>-9.3339240247906652</v>
      </c>
      <c r="AV974">
        <v>6.6207662821691864E-4</v>
      </c>
    </row>
    <row r="975" spans="44:48" x14ac:dyDescent="0.2">
      <c r="AR975">
        <v>967</v>
      </c>
      <c r="AS975">
        <v>58</v>
      </c>
      <c r="AT975">
        <v>2</v>
      </c>
      <c r="AU975">
        <v>-9.3029834934733184</v>
      </c>
      <c r="AV975">
        <v>6.7726808415536114E-4</v>
      </c>
    </row>
    <row r="976" spans="44:48" x14ac:dyDescent="0.2">
      <c r="AR976">
        <v>968</v>
      </c>
      <c r="AS976">
        <v>59</v>
      </c>
      <c r="AT976">
        <v>2</v>
      </c>
      <c r="AU976">
        <v>-9.2720429621559735</v>
      </c>
      <c r="AV976">
        <v>6.9277198497692187E-4</v>
      </c>
    </row>
    <row r="977" spans="44:48" x14ac:dyDescent="0.2">
      <c r="AR977">
        <v>969</v>
      </c>
      <c r="AS977">
        <v>60</v>
      </c>
      <c r="AT977">
        <v>2</v>
      </c>
      <c r="AU977">
        <v>-9.2411024308386267</v>
      </c>
      <c r="AV977">
        <v>7.0859384774799754E-4</v>
      </c>
    </row>
    <row r="978" spans="44:48" x14ac:dyDescent="0.2">
      <c r="AR978">
        <v>970</v>
      </c>
      <c r="AS978">
        <v>61</v>
      </c>
      <c r="AT978">
        <v>2</v>
      </c>
      <c r="AU978">
        <v>-9.2101618995212799</v>
      </c>
      <c r="AV978">
        <v>7.2473926537651521E-4</v>
      </c>
    </row>
    <row r="979" spans="44:48" x14ac:dyDescent="0.2">
      <c r="AR979">
        <v>971</v>
      </c>
      <c r="AS979">
        <v>62</v>
      </c>
      <c r="AT979">
        <v>2</v>
      </c>
      <c r="AU979">
        <v>-9.1792213682039332</v>
      </c>
      <c r="AV979">
        <v>7.412139071642258E-4</v>
      </c>
    </row>
    <row r="980" spans="44:48" x14ac:dyDescent="0.2">
      <c r="AR980">
        <v>972</v>
      </c>
      <c r="AS980">
        <v>63</v>
      </c>
      <c r="AT980">
        <v>2</v>
      </c>
      <c r="AU980">
        <v>-9.1482808368865882</v>
      </c>
      <c r="AV980">
        <v>7.5802351935143493E-4</v>
      </c>
    </row>
    <row r="981" spans="44:48" x14ac:dyDescent="0.2">
      <c r="AR981">
        <v>973</v>
      </c>
      <c r="AS981">
        <v>64</v>
      </c>
      <c r="AT981">
        <v>2</v>
      </c>
      <c r="AU981">
        <v>-9.1173403055692415</v>
      </c>
      <c r="AV981">
        <v>7.7517392565385607E-4</v>
      </c>
    </row>
    <row r="982" spans="44:48" x14ac:dyDescent="0.2">
      <c r="AR982">
        <v>974</v>
      </c>
      <c r="AS982">
        <v>65</v>
      </c>
      <c r="AT982">
        <v>2</v>
      </c>
      <c r="AU982">
        <v>-9.0863997742518947</v>
      </c>
      <c r="AV982">
        <v>7.9267102779121497E-4</v>
      </c>
    </row>
    <row r="983" spans="44:48" x14ac:dyDescent="0.2">
      <c r="AR983">
        <v>975</v>
      </c>
      <c r="AS983">
        <v>66</v>
      </c>
      <c r="AT983">
        <v>2</v>
      </c>
      <c r="AU983">
        <v>-9.0554592429345497</v>
      </c>
      <c r="AV983">
        <v>8.1052080600726583E-4</v>
      </c>
    </row>
    <row r="984" spans="44:48" x14ac:dyDescent="0.2">
      <c r="AR984">
        <v>976</v>
      </c>
      <c r="AS984">
        <v>67</v>
      </c>
      <c r="AT984">
        <v>2</v>
      </c>
      <c r="AU984">
        <v>-9.024518711617203</v>
      </c>
      <c r="AV984">
        <v>8.2872931958086432E-4</v>
      </c>
    </row>
    <row r="985" spans="44:48" x14ac:dyDescent="0.2">
      <c r="AR985">
        <v>977</v>
      </c>
      <c r="AS985">
        <v>68</v>
      </c>
      <c r="AT985">
        <v>2</v>
      </c>
      <c r="AU985">
        <v>-8.9935781802998562</v>
      </c>
      <c r="AV985">
        <v>8.4730270732770701E-4</v>
      </c>
    </row>
    <row r="986" spans="44:48" x14ac:dyDescent="0.2">
      <c r="AR986">
        <v>978</v>
      </c>
      <c r="AS986">
        <v>69</v>
      </c>
      <c r="AT986">
        <v>2</v>
      </c>
      <c r="AU986">
        <v>-8.9626376489825095</v>
      </c>
      <c r="AV986">
        <v>8.6624718809240786E-4</v>
      </c>
    </row>
    <row r="987" spans="44:48" x14ac:dyDescent="0.2">
      <c r="AR987">
        <v>979</v>
      </c>
      <c r="AS987">
        <v>70</v>
      </c>
      <c r="AT987">
        <v>2</v>
      </c>
      <c r="AU987">
        <v>-8.9316971176651627</v>
      </c>
      <c r="AV987">
        <v>8.8556906123050309E-4</v>
      </c>
    </row>
    <row r="988" spans="44:48" x14ac:dyDescent="0.2">
      <c r="AR988">
        <v>980</v>
      </c>
      <c r="AS988">
        <v>71</v>
      </c>
      <c r="AT988">
        <v>2</v>
      </c>
      <c r="AU988">
        <v>-8.9007565863478177</v>
      </c>
      <c r="AV988">
        <v>9.0527470708002969E-4</v>
      </c>
    </row>
    <row r="989" spans="44:48" x14ac:dyDescent="0.2">
      <c r="AR989">
        <v>981</v>
      </c>
      <c r="AS989">
        <v>72</v>
      </c>
      <c r="AT989">
        <v>2</v>
      </c>
      <c r="AU989">
        <v>-8.869816055030471</v>
      </c>
      <c r="AV989">
        <v>9.2537058742228422E-4</v>
      </c>
    </row>
    <row r="990" spans="44:48" x14ac:dyDescent="0.2">
      <c r="AR990">
        <v>982</v>
      </c>
      <c r="AS990">
        <v>73</v>
      </c>
      <c r="AT990">
        <v>2</v>
      </c>
      <c r="AU990">
        <v>-8.8388755237131242</v>
      </c>
      <c r="AV990">
        <v>9.4586324593137381E-4</v>
      </c>
    </row>
    <row r="991" spans="44:48" x14ac:dyDescent="0.2">
      <c r="AR991">
        <v>983</v>
      </c>
      <c r="AS991">
        <v>74</v>
      </c>
      <c r="AT991">
        <v>2</v>
      </c>
      <c r="AU991">
        <v>-8.8079349923957793</v>
      </c>
      <c r="AV991">
        <v>9.6675930861217626E-4</v>
      </c>
    </row>
    <row r="992" spans="44:48" x14ac:dyDescent="0.2">
      <c r="AR992">
        <v>984</v>
      </c>
      <c r="AS992">
        <v>75</v>
      </c>
      <c r="AT992">
        <v>2</v>
      </c>
      <c r="AU992">
        <v>-8.7769944610784325</v>
      </c>
      <c r="AV992">
        <v>9.8806548422631204E-4</v>
      </c>
    </row>
    <row r="993" spans="44:48" x14ac:dyDescent="0.2">
      <c r="AR993">
        <v>985</v>
      </c>
      <c r="AS993">
        <v>76</v>
      </c>
      <c r="AT993">
        <v>2</v>
      </c>
      <c r="AU993">
        <v>-8.7460539297610858</v>
      </c>
      <c r="AV993">
        <v>1.0097885647057151E-3</v>
      </c>
    </row>
    <row r="994" spans="44:48" x14ac:dyDescent="0.2">
      <c r="AR994">
        <v>986</v>
      </c>
      <c r="AS994">
        <v>77</v>
      </c>
      <c r="AT994">
        <v>2</v>
      </c>
      <c r="AU994">
        <v>-8.7151133984437408</v>
      </c>
      <c r="AV994">
        <v>1.0319354255534101E-3</v>
      </c>
    </row>
    <row r="995" spans="44:48" x14ac:dyDescent="0.2">
      <c r="AR995">
        <v>987</v>
      </c>
      <c r="AS995">
        <v>78</v>
      </c>
      <c r="AT995">
        <v>2</v>
      </c>
      <c r="AU995">
        <v>-8.684172867126394</v>
      </c>
      <c r="AV995">
        <v>1.0545130262310945E-3</v>
      </c>
    </row>
    <row r="996" spans="44:48" x14ac:dyDescent="0.2">
      <c r="AR996">
        <v>988</v>
      </c>
      <c r="AS996">
        <v>79</v>
      </c>
      <c r="AT996">
        <v>2</v>
      </c>
      <c r="AU996">
        <v>-8.6532323358090473</v>
      </c>
      <c r="AV996">
        <v>1.0775284105330844E-3</v>
      </c>
    </row>
    <row r="997" spans="44:48" x14ac:dyDescent="0.2">
      <c r="AR997">
        <v>989</v>
      </c>
      <c r="AS997">
        <v>80</v>
      </c>
      <c r="AT997">
        <v>2</v>
      </c>
      <c r="AU997">
        <v>-8.6222918044917005</v>
      </c>
      <c r="AV997">
        <v>1.1009887069462431E-3</v>
      </c>
    </row>
    <row r="998" spans="44:48" x14ac:dyDescent="0.2">
      <c r="AR998">
        <v>990</v>
      </c>
      <c r="AS998">
        <v>81</v>
      </c>
      <c r="AT998">
        <v>2</v>
      </c>
      <c r="AU998">
        <v>-8.5913512731743538</v>
      </c>
      <c r="AV998">
        <v>1.124901128995441E-3</v>
      </c>
    </row>
    <row r="999" spans="44:48" x14ac:dyDescent="0.2">
      <c r="AR999">
        <v>991</v>
      </c>
      <c r="AS999">
        <v>82</v>
      </c>
      <c r="AT999">
        <v>2</v>
      </c>
      <c r="AU999">
        <v>-8.5604107418570088</v>
      </c>
      <c r="AV999">
        <v>1.1492729755741464E-3</v>
      </c>
    </row>
    <row r="1000" spans="44:48" x14ac:dyDescent="0.2">
      <c r="AR1000">
        <v>992</v>
      </c>
      <c r="AS1000">
        <v>83</v>
      </c>
      <c r="AT1000">
        <v>2</v>
      </c>
      <c r="AU1000">
        <v>-8.529470210539662</v>
      </c>
      <c r="AV1000">
        <v>1.1741116312596965E-3</v>
      </c>
    </row>
    <row r="1001" spans="44:48" x14ac:dyDescent="0.2">
      <c r="AR1001">
        <v>993</v>
      </c>
      <c r="AS1001">
        <v>84</v>
      </c>
      <c r="AT1001">
        <v>2</v>
      </c>
      <c r="AU1001">
        <v>-8.4985296792223153</v>
      </c>
      <c r="AV1001">
        <v>1.1994245666128269E-3</v>
      </c>
    </row>
    <row r="1002" spans="44:48" x14ac:dyDescent="0.2">
      <c r="AR1002">
        <v>994</v>
      </c>
      <c r="AS1002">
        <v>85</v>
      </c>
      <c r="AT1002">
        <v>2</v>
      </c>
      <c r="AU1002">
        <v>-8.4675891479049703</v>
      </c>
      <c r="AV1002">
        <v>1.2252193384610349E-3</v>
      </c>
    </row>
    <row r="1003" spans="44:48" x14ac:dyDescent="0.2">
      <c r="AR1003">
        <v>995</v>
      </c>
      <c r="AS1003">
        <v>86</v>
      </c>
      <c r="AT1003">
        <v>2</v>
      </c>
      <c r="AU1003">
        <v>-8.4366486165876236</v>
      </c>
      <c r="AV1003">
        <v>1.2515035901653213E-3</v>
      </c>
    </row>
    <row r="1004" spans="44:48" x14ac:dyDescent="0.2">
      <c r="AR1004">
        <v>996</v>
      </c>
      <c r="AS1004">
        <v>87</v>
      </c>
      <c r="AT1004">
        <v>2</v>
      </c>
      <c r="AU1004">
        <v>-8.4057080852702768</v>
      </c>
      <c r="AV1004">
        <v>1.2782850518698679E-3</v>
      </c>
    </row>
    <row r="1005" spans="44:48" x14ac:dyDescent="0.2">
      <c r="AR1005">
        <v>997</v>
      </c>
      <c r="AS1005">
        <v>88</v>
      </c>
      <c r="AT1005">
        <v>2</v>
      </c>
      <c r="AU1005">
        <v>-8.3747675539529318</v>
      </c>
      <c r="AV1005">
        <v>1.3055715407342102E-3</v>
      </c>
    </row>
    <row r="1006" spans="44:48" x14ac:dyDescent="0.2">
      <c r="AR1006">
        <v>998</v>
      </c>
      <c r="AS1006">
        <v>89</v>
      </c>
      <c r="AT1006">
        <v>2</v>
      </c>
      <c r="AU1006">
        <v>-8.3438270226355851</v>
      </c>
      <c r="AV1006">
        <v>1.3333709611474738E-3</v>
      </c>
    </row>
    <row r="1007" spans="44:48" x14ac:dyDescent="0.2">
      <c r="AR1007">
        <v>999</v>
      </c>
      <c r="AS1007">
        <v>90</v>
      </c>
      <c r="AT1007">
        <v>2</v>
      </c>
      <c r="AU1007">
        <v>-8.3128864913182383</v>
      </c>
      <c r="AV1007">
        <v>1.3616913049241757E-3</v>
      </c>
    </row>
    <row r="1008" spans="44:48" x14ac:dyDescent="0.2">
      <c r="AR1008">
        <v>1000</v>
      </c>
      <c r="AS1008">
        <v>91</v>
      </c>
      <c r="AT1008">
        <v>2</v>
      </c>
      <c r="AU1008">
        <v>-8.2819459600008916</v>
      </c>
      <c r="AV1008">
        <v>1.3905406514811928E-3</v>
      </c>
    </row>
    <row r="1009" spans="44:48" x14ac:dyDescent="0.2">
      <c r="AR1009">
        <v>1001</v>
      </c>
      <c r="AS1009">
        <v>92</v>
      </c>
      <c r="AT1009">
        <v>2</v>
      </c>
      <c r="AU1009">
        <v>-8.2510054286835448</v>
      </c>
      <c r="AV1009">
        <v>1.4199271679953985E-3</v>
      </c>
    </row>
    <row r="1010" spans="44:48" x14ac:dyDescent="0.2">
      <c r="AR1010">
        <v>1002</v>
      </c>
      <c r="AS1010">
        <v>93</v>
      </c>
      <c r="AT1010">
        <v>2</v>
      </c>
      <c r="AU1010">
        <v>-8.2200648973661998</v>
      </c>
      <c r="AV1010">
        <v>1.4498591095415221E-3</v>
      </c>
    </row>
    <row r="1011" spans="44:48" x14ac:dyDescent="0.2">
      <c r="AR1011">
        <v>1003</v>
      </c>
      <c r="AS1011">
        <v>94</v>
      </c>
      <c r="AT1011">
        <v>2</v>
      </c>
      <c r="AU1011">
        <v>-8.1891243660488531</v>
      </c>
      <c r="AV1011">
        <v>1.4803448192097755E-3</v>
      </c>
    </row>
    <row r="1012" spans="44:48" x14ac:dyDescent="0.2">
      <c r="AR1012">
        <v>1004</v>
      </c>
      <c r="AS1012">
        <v>95</v>
      </c>
      <c r="AT1012">
        <v>2</v>
      </c>
      <c r="AU1012">
        <v>-8.1581838347315063</v>
      </c>
      <c r="AV1012">
        <v>1.5113927282027551E-3</v>
      </c>
    </row>
    <row r="1013" spans="44:48" x14ac:dyDescent="0.2">
      <c r="AR1013">
        <v>1005</v>
      </c>
      <c r="AS1013">
        <v>96</v>
      </c>
      <c r="AT1013">
        <v>2</v>
      </c>
      <c r="AU1013">
        <v>-8.1272433034141613</v>
      </c>
      <c r="AV1013">
        <v>1.5430113559111969E-3</v>
      </c>
    </row>
    <row r="1014" spans="44:48" x14ac:dyDescent="0.2">
      <c r="AR1014">
        <v>1006</v>
      </c>
      <c r="AS1014">
        <v>97</v>
      </c>
      <c r="AT1014">
        <v>2</v>
      </c>
      <c r="AU1014">
        <v>-8.0963027720968146</v>
      </c>
      <c r="AV1014">
        <v>1.5752093099680763E-3</v>
      </c>
    </row>
    <row r="1015" spans="44:48" x14ac:dyDescent="0.2">
      <c r="AR1015">
        <v>1007</v>
      </c>
      <c r="AS1015">
        <v>98</v>
      </c>
      <c r="AT1015">
        <v>2</v>
      </c>
      <c r="AU1015">
        <v>-8.0653622407794678</v>
      </c>
      <c r="AV1015">
        <v>1.6079952862805909E-3</v>
      </c>
    </row>
    <row r="1016" spans="44:48" x14ac:dyDescent="0.2">
      <c r="AR1016">
        <v>1008</v>
      </c>
      <c r="AS1016">
        <v>99</v>
      </c>
      <c r="AT1016">
        <v>2</v>
      </c>
      <c r="AU1016">
        <v>-8.0344217094621229</v>
      </c>
      <c r="AV1016">
        <v>1.6413780690395605E-3</v>
      </c>
    </row>
    <row r="1017" spans="44:48" x14ac:dyDescent="0.2">
      <c r="AR1017">
        <v>1009</v>
      </c>
      <c r="AS1017">
        <v>100</v>
      </c>
      <c r="AT1017">
        <v>2</v>
      </c>
      <c r="AU1017">
        <v>-8.0034811781447761</v>
      </c>
      <c r="AV1017">
        <v>1.675366530705784E-3</v>
      </c>
    </row>
    <row r="1018" spans="44:48" x14ac:dyDescent="0.2">
      <c r="AR1018">
        <v>1010</v>
      </c>
      <c r="AS1018">
        <v>101</v>
      </c>
      <c r="AT1018">
        <v>2</v>
      </c>
      <c r="AU1018">
        <v>-7.9725406468274294</v>
      </c>
      <c r="AV1018">
        <v>1.7099696319728287E-3</v>
      </c>
    </row>
    <row r="1019" spans="44:48" x14ac:dyDescent="0.2">
      <c r="AR1019">
        <v>1011</v>
      </c>
      <c r="AS1019">
        <v>102</v>
      </c>
      <c r="AT1019">
        <v>2</v>
      </c>
      <c r="AU1019">
        <v>-7.9416001155100826</v>
      </c>
      <c r="AV1019">
        <v>1.7451964217058333E-3</v>
      </c>
    </row>
    <row r="1020" spans="44:48" x14ac:dyDescent="0.2">
      <c r="AR1020">
        <v>1012</v>
      </c>
      <c r="AS1020">
        <v>103</v>
      </c>
      <c r="AT1020">
        <v>2</v>
      </c>
      <c r="AU1020">
        <v>-7.9106595841927367</v>
      </c>
      <c r="AV1020">
        <v>1.7810560368558227E-3</v>
      </c>
    </row>
    <row r="1021" spans="44:48" x14ac:dyDescent="0.2">
      <c r="AR1021">
        <v>1013</v>
      </c>
      <c r="AS1021">
        <v>104</v>
      </c>
      <c r="AT1021">
        <v>2</v>
      </c>
      <c r="AU1021">
        <v>-7.8797190528753909</v>
      </c>
      <c r="AV1021">
        <v>1.8175577023490273E-3</v>
      </c>
    </row>
    <row r="1022" spans="44:48" x14ac:dyDescent="0.2">
      <c r="AR1022">
        <v>1014</v>
      </c>
      <c r="AS1022">
        <v>105</v>
      </c>
      <c r="AT1022">
        <v>2</v>
      </c>
      <c r="AU1022">
        <v>-7.8487785215580441</v>
      </c>
      <c r="AV1022">
        <v>1.854710730950785E-3</v>
      </c>
    </row>
    <row r="1023" spans="44:48" x14ac:dyDescent="0.2">
      <c r="AR1023">
        <v>1015</v>
      </c>
      <c r="AS1023">
        <v>106</v>
      </c>
      <c r="AT1023">
        <v>2</v>
      </c>
      <c r="AU1023">
        <v>-7.8178379902406974</v>
      </c>
      <c r="AV1023">
        <v>1.8925245231034933E-3</v>
      </c>
    </row>
    <row r="1024" spans="44:48" x14ac:dyDescent="0.2">
      <c r="AR1024">
        <v>1016</v>
      </c>
      <c r="AS1024">
        <v>107</v>
      </c>
      <c r="AT1024">
        <v>2</v>
      </c>
      <c r="AU1024">
        <v>-7.7868974589233515</v>
      </c>
      <c r="AV1024">
        <v>1.9310085667381617E-3</v>
      </c>
    </row>
    <row r="1025" spans="44:48" x14ac:dyDescent="0.2">
      <c r="AR1025">
        <v>1017</v>
      </c>
      <c r="AS1025">
        <v>108</v>
      </c>
      <c r="AT1025">
        <v>2</v>
      </c>
      <c r="AU1025">
        <v>-7.7559569276060056</v>
      </c>
      <c r="AV1025">
        <v>1.9701724370590826E-3</v>
      </c>
    </row>
    <row r="1026" spans="44:48" x14ac:dyDescent="0.2">
      <c r="AR1026">
        <v>1018</v>
      </c>
      <c r="AS1026">
        <v>109</v>
      </c>
      <c r="AT1026">
        <v>2</v>
      </c>
      <c r="AU1026">
        <v>-7.7250163962886589</v>
      </c>
      <c r="AV1026">
        <v>2.0100257963011231E-3</v>
      </c>
    </row>
    <row r="1027" spans="44:48" x14ac:dyDescent="0.2">
      <c r="AR1027">
        <v>1019</v>
      </c>
      <c r="AS1027">
        <v>110</v>
      </c>
      <c r="AT1027">
        <v>2</v>
      </c>
      <c r="AU1027">
        <v>-7.694075864971313</v>
      </c>
      <c r="AV1027">
        <v>2.0505783934591619E-3</v>
      </c>
    </row>
    <row r="1028" spans="44:48" x14ac:dyDescent="0.2">
      <c r="AR1028">
        <v>1020</v>
      </c>
      <c r="AS1028">
        <v>111</v>
      </c>
      <c r="AT1028">
        <v>2</v>
      </c>
      <c r="AU1028">
        <v>-7.6631353336539672</v>
      </c>
      <c r="AV1028">
        <v>2.0918400639892277E-3</v>
      </c>
    </row>
    <row r="1029" spans="44:48" x14ac:dyDescent="0.2">
      <c r="AR1029">
        <v>1021</v>
      </c>
      <c r="AS1029">
        <v>112</v>
      </c>
      <c r="AT1029">
        <v>2</v>
      </c>
      <c r="AU1029">
        <v>-7.6321948023366204</v>
      </c>
      <c r="AV1029">
        <v>2.1338207294807933E-3</v>
      </c>
    </row>
    <row r="1030" spans="44:48" x14ac:dyDescent="0.2">
      <c r="AR1030">
        <v>1022</v>
      </c>
      <c r="AS1030">
        <v>113</v>
      </c>
      <c r="AT1030">
        <v>2</v>
      </c>
      <c r="AU1030">
        <v>-7.6012542710192736</v>
      </c>
      <c r="AV1030">
        <v>2.1765303972998114E-3</v>
      </c>
    </row>
    <row r="1031" spans="44:48" x14ac:dyDescent="0.2">
      <c r="AR1031">
        <v>1023</v>
      </c>
      <c r="AS1031">
        <v>114</v>
      </c>
      <c r="AT1031">
        <v>2</v>
      </c>
      <c r="AU1031">
        <v>-7.5703137397019278</v>
      </c>
      <c r="AV1031">
        <v>2.2199791602019953E-3</v>
      </c>
    </row>
    <row r="1032" spans="44:48" x14ac:dyDescent="0.2">
      <c r="AR1032">
        <v>1024</v>
      </c>
      <c r="AS1032">
        <v>115</v>
      </c>
      <c r="AT1032">
        <v>2</v>
      </c>
      <c r="AU1032">
        <v>-7.5393732083845819</v>
      </c>
      <c r="AV1032">
        <v>2.264177195915827E-3</v>
      </c>
    </row>
    <row r="1033" spans="44:48" x14ac:dyDescent="0.2">
      <c r="AR1033">
        <v>1025</v>
      </c>
      <c r="AS1033">
        <v>116</v>
      </c>
      <c r="AT1033">
        <v>2</v>
      </c>
      <c r="AU1033">
        <v>-7.5084326770672352</v>
      </c>
      <c r="AV1033">
        <v>2.3091347666949098E-3</v>
      </c>
    </row>
    <row r="1034" spans="44:48" x14ac:dyDescent="0.2">
      <c r="AR1034">
        <v>1026</v>
      </c>
      <c r="AS1034">
        <v>117</v>
      </c>
      <c r="AT1034">
        <v>2</v>
      </c>
      <c r="AU1034">
        <v>-7.4774921457498884</v>
      </c>
      <c r="AV1034">
        <v>2.3548622188390936E-3</v>
      </c>
    </row>
    <row r="1035" spans="44:48" x14ac:dyDescent="0.2">
      <c r="AR1035">
        <v>1027</v>
      </c>
      <c r="AS1035">
        <v>118</v>
      </c>
      <c r="AT1035">
        <v>2</v>
      </c>
      <c r="AU1035">
        <v>-7.4465516144325425</v>
      </c>
      <c r="AV1035">
        <v>2.4013699821839722E-3</v>
      </c>
    </row>
    <row r="1036" spans="44:48" x14ac:dyDescent="0.2">
      <c r="AR1036">
        <v>1028</v>
      </c>
      <c r="AS1036">
        <v>119</v>
      </c>
      <c r="AT1036">
        <v>2</v>
      </c>
      <c r="AU1036">
        <v>-7.4156110831151967</v>
      </c>
      <c r="AV1036">
        <v>2.448668569558271E-3</v>
      </c>
    </row>
    <row r="1037" spans="44:48" x14ac:dyDescent="0.2">
      <c r="AR1037">
        <v>1029</v>
      </c>
      <c r="AS1037">
        <v>120</v>
      </c>
      <c r="AT1037">
        <v>2</v>
      </c>
      <c r="AU1037">
        <v>-7.3846705517978499</v>
      </c>
      <c r="AV1037">
        <v>2.4967685762086393E-3</v>
      </c>
    </row>
    <row r="1038" spans="44:48" x14ac:dyDescent="0.2">
      <c r="AR1038">
        <v>1030</v>
      </c>
      <c r="AS1038">
        <v>121</v>
      </c>
      <c r="AT1038">
        <v>2</v>
      </c>
      <c r="AU1038">
        <v>-7.3537300204805032</v>
      </c>
      <c r="AV1038">
        <v>2.5456806791913944E-3</v>
      </c>
    </row>
    <row r="1039" spans="44:48" x14ac:dyDescent="0.2">
      <c r="AR1039">
        <v>1031</v>
      </c>
      <c r="AS1039">
        <v>122</v>
      </c>
      <c r="AT1039">
        <v>2</v>
      </c>
      <c r="AU1039">
        <v>-7.3227894891631573</v>
      </c>
      <c r="AV1039">
        <v>2.5954156367307842E-3</v>
      </c>
    </row>
    <row r="1040" spans="44:48" x14ac:dyDescent="0.2">
      <c r="AR1040">
        <v>1032</v>
      </c>
      <c r="AS1040">
        <v>123</v>
      </c>
      <c r="AT1040">
        <v>2</v>
      </c>
      <c r="AU1040">
        <v>-7.2918489578458114</v>
      </c>
      <c r="AV1040">
        <v>2.6459842875432749E-3</v>
      </c>
    </row>
    <row r="1041" spans="44:48" x14ac:dyDescent="0.2">
      <c r="AR1041">
        <v>1033</v>
      </c>
      <c r="AS1041">
        <v>124</v>
      </c>
      <c r="AT1041">
        <v>2</v>
      </c>
      <c r="AU1041">
        <v>-7.2609084265284647</v>
      </c>
      <c r="AV1041">
        <v>2.697397550127446E-3</v>
      </c>
    </row>
    <row r="1042" spans="44:48" x14ac:dyDescent="0.2">
      <c r="AR1042">
        <v>1034</v>
      </c>
      <c r="AS1042">
        <v>125</v>
      </c>
      <c r="AT1042">
        <v>2</v>
      </c>
      <c r="AU1042">
        <v>-7.2299678952111188</v>
      </c>
      <c r="AV1042">
        <v>2.7496664220190118E-3</v>
      </c>
    </row>
    <row r="1043" spans="44:48" x14ac:dyDescent="0.2">
      <c r="AR1043">
        <v>1035</v>
      </c>
      <c r="AS1043">
        <v>126</v>
      </c>
      <c r="AT1043">
        <v>2</v>
      </c>
      <c r="AU1043">
        <v>-7.199027363893773</v>
      </c>
      <c r="AV1043">
        <v>2.8028019790105442E-3</v>
      </c>
    </row>
    <row r="1044" spans="44:48" x14ac:dyDescent="0.2">
      <c r="AR1044">
        <v>1036</v>
      </c>
      <c r="AS1044">
        <v>127</v>
      </c>
      <c r="AT1044">
        <v>2</v>
      </c>
      <c r="AU1044">
        <v>-7.1680868325764262</v>
      </c>
      <c r="AV1044">
        <v>2.8568153743354771E-3</v>
      </c>
    </row>
    <row r="1045" spans="44:48" x14ac:dyDescent="0.2">
      <c r="AR1045">
        <v>1037</v>
      </c>
      <c r="AS1045">
        <v>128</v>
      </c>
      <c r="AT1045">
        <v>2</v>
      </c>
      <c r="AU1045">
        <v>-7.1371463012590795</v>
      </c>
      <c r="AV1045">
        <v>2.9117178378159038E-3</v>
      </c>
    </row>
    <row r="1046" spans="44:48" x14ac:dyDescent="0.2">
      <c r="AR1046">
        <v>1038</v>
      </c>
      <c r="AS1046">
        <v>129</v>
      </c>
      <c r="AT1046">
        <v>2</v>
      </c>
      <c r="AU1046">
        <v>-7.1062057699417336</v>
      </c>
      <c r="AV1046">
        <v>2.9675206749737904E-3</v>
      </c>
    </row>
    <row r="1047" spans="44:48" x14ac:dyDescent="0.2">
      <c r="AR1047">
        <v>1039</v>
      </c>
      <c r="AS1047">
        <v>130</v>
      </c>
      <c r="AT1047">
        <v>2</v>
      </c>
      <c r="AU1047">
        <v>-7.0752652386243877</v>
      </c>
      <c r="AV1047">
        <v>3.0242352661051649E-3</v>
      </c>
    </row>
    <row r="1048" spans="44:48" x14ac:dyDescent="0.2">
      <c r="AR1048">
        <v>1040</v>
      </c>
      <c r="AS1048">
        <v>131</v>
      </c>
      <c r="AT1048">
        <v>2</v>
      </c>
      <c r="AU1048">
        <v>-7.044324707307041</v>
      </c>
      <c r="AV1048">
        <v>3.0818730653168398E-3</v>
      </c>
    </row>
    <row r="1049" spans="44:48" x14ac:dyDescent="0.2">
      <c r="AR1049">
        <v>1041</v>
      </c>
      <c r="AS1049">
        <v>132</v>
      </c>
      <c r="AT1049">
        <v>2</v>
      </c>
      <c r="AU1049">
        <v>-7.0133841759896951</v>
      </c>
      <c r="AV1049">
        <v>3.1404455995252757E-3</v>
      </c>
    </row>
    <row r="1050" spans="44:48" x14ac:dyDescent="0.2">
      <c r="AR1050">
        <v>1042</v>
      </c>
      <c r="AS1050">
        <v>133</v>
      </c>
      <c r="AT1050">
        <v>2</v>
      </c>
      <c r="AU1050">
        <v>-6.9824436446723483</v>
      </c>
      <c r="AV1050">
        <v>3.1999644674171996E-3</v>
      </c>
    </row>
    <row r="1051" spans="44:48" x14ac:dyDescent="0.2">
      <c r="AR1051">
        <v>1043</v>
      </c>
      <c r="AS1051">
        <v>134</v>
      </c>
      <c r="AT1051">
        <v>2</v>
      </c>
      <c r="AU1051">
        <v>-6.9515031133550025</v>
      </c>
      <c r="AV1051">
        <v>3.2604413383715025E-3</v>
      </c>
    </row>
    <row r="1052" spans="44:48" x14ac:dyDescent="0.2">
      <c r="AR1052">
        <v>1044</v>
      </c>
      <c r="AS1052">
        <v>135</v>
      </c>
      <c r="AT1052">
        <v>2</v>
      </c>
      <c r="AU1052">
        <v>-6.9205625820376557</v>
      </c>
      <c r="AV1052">
        <v>3.3218879513421447E-3</v>
      </c>
    </row>
    <row r="1053" spans="44:48" x14ac:dyDescent="0.2">
      <c r="AR1053">
        <v>1045</v>
      </c>
      <c r="AS1053">
        <v>136</v>
      </c>
      <c r="AT1053">
        <v>2</v>
      </c>
      <c r="AU1053">
        <v>-6.8896220507203099</v>
      </c>
      <c r="AV1053">
        <v>3.3843161137015409E-3</v>
      </c>
    </row>
    <row r="1054" spans="44:48" x14ac:dyDescent="0.2">
      <c r="AR1054">
        <v>1046</v>
      </c>
      <c r="AS1054">
        <v>137</v>
      </c>
      <c r="AT1054">
        <v>2</v>
      </c>
      <c r="AU1054">
        <v>-6.8586815194029631</v>
      </c>
      <c r="AV1054">
        <v>3.4477377000441357E-3</v>
      </c>
    </row>
    <row r="1055" spans="44:48" x14ac:dyDescent="0.2">
      <c r="AR1055">
        <v>1047</v>
      </c>
      <c r="AS1055">
        <v>138</v>
      </c>
      <c r="AT1055">
        <v>2</v>
      </c>
      <c r="AU1055">
        <v>-6.8277409880856172</v>
      </c>
      <c r="AV1055">
        <v>3.5121646509498053E-3</v>
      </c>
    </row>
    <row r="1056" spans="44:48" x14ac:dyDescent="0.2">
      <c r="AR1056">
        <v>1048</v>
      </c>
      <c r="AS1056">
        <v>139</v>
      </c>
      <c r="AT1056">
        <v>2</v>
      </c>
      <c r="AU1056">
        <v>-6.7968004567682705</v>
      </c>
      <c r="AV1056">
        <v>3.57760897170663E-3</v>
      </c>
    </row>
    <row r="1057" spans="44:48" x14ac:dyDescent="0.2">
      <c r="AR1057">
        <v>1049</v>
      </c>
      <c r="AS1057">
        <v>140</v>
      </c>
      <c r="AT1057">
        <v>2</v>
      </c>
      <c r="AU1057">
        <v>-6.7658599254509246</v>
      </c>
      <c r="AV1057">
        <v>3.6440827309927775E-3</v>
      </c>
    </row>
    <row r="1058" spans="44:48" x14ac:dyDescent="0.2">
      <c r="AR1058">
        <v>1050</v>
      </c>
      <c r="AS1058">
        <v>141</v>
      </c>
      <c r="AT1058">
        <v>2</v>
      </c>
      <c r="AU1058">
        <v>-6.7349193941335779</v>
      </c>
      <c r="AV1058">
        <v>3.7115980595171351E-3</v>
      </c>
    </row>
    <row r="1059" spans="44:48" x14ac:dyDescent="0.2">
      <c r="AR1059">
        <v>1051</v>
      </c>
      <c r="AS1059">
        <v>142</v>
      </c>
      <c r="AT1059">
        <v>2</v>
      </c>
      <c r="AU1059">
        <v>-6.703978862816232</v>
      </c>
      <c r="AV1059">
        <v>3.7801671486182259E-3</v>
      </c>
    </row>
    <row r="1060" spans="44:48" x14ac:dyDescent="0.2">
      <c r="AR1060">
        <v>1052</v>
      </c>
      <c r="AS1060">
        <v>143</v>
      </c>
      <c r="AT1060">
        <v>2</v>
      </c>
      <c r="AU1060">
        <v>-6.6730383314988861</v>
      </c>
      <c r="AV1060">
        <v>3.8498022488213106E-3</v>
      </c>
    </row>
    <row r="1061" spans="44:48" x14ac:dyDescent="0.2">
      <c r="AR1061">
        <v>1053</v>
      </c>
      <c r="AS1061">
        <v>144</v>
      </c>
      <c r="AT1061">
        <v>2</v>
      </c>
      <c r="AU1061">
        <v>-6.6420978001815394</v>
      </c>
      <c r="AV1061">
        <v>3.9205156683531327E-3</v>
      </c>
    </row>
    <row r="1062" spans="44:48" x14ac:dyDescent="0.2">
      <c r="AR1062">
        <v>1054</v>
      </c>
      <c r="AS1062">
        <v>145</v>
      </c>
      <c r="AT1062">
        <v>2</v>
      </c>
      <c r="AU1062">
        <v>-6.6111572688641935</v>
      </c>
      <c r="AV1062">
        <v>3.9923197716140706E-3</v>
      </c>
    </row>
    <row r="1063" spans="44:48" x14ac:dyDescent="0.2">
      <c r="AR1063">
        <v>1055</v>
      </c>
      <c r="AS1063">
        <v>146</v>
      </c>
      <c r="AT1063">
        <v>2</v>
      </c>
      <c r="AU1063">
        <v>-6.5802167375468468</v>
      </c>
      <c r="AV1063">
        <v>4.0652269776075079E-3</v>
      </c>
    </row>
    <row r="1064" spans="44:48" x14ac:dyDescent="0.2">
      <c r="AR1064">
        <v>1056</v>
      </c>
      <c r="AS1064">
        <v>147</v>
      </c>
      <c r="AT1064">
        <v>2</v>
      </c>
      <c r="AU1064">
        <v>-6.5492762062295009</v>
      </c>
      <c r="AV1064">
        <v>4.1392497583259162E-3</v>
      </c>
    </row>
    <row r="1065" spans="44:48" x14ac:dyDescent="0.2">
      <c r="AR1065">
        <v>1057</v>
      </c>
      <c r="AS1065">
        <v>148</v>
      </c>
      <c r="AT1065">
        <v>2</v>
      </c>
      <c r="AU1065">
        <v>-6.5183356749121542</v>
      </c>
      <c r="AV1065">
        <v>4.2144006370935403E-3</v>
      </c>
    </row>
    <row r="1066" spans="44:48" x14ac:dyDescent="0.2">
      <c r="AR1066">
        <v>1058</v>
      </c>
      <c r="AS1066">
        <v>149</v>
      </c>
      <c r="AT1066">
        <v>2</v>
      </c>
      <c r="AU1066">
        <v>-6.4873951435948083</v>
      </c>
      <c r="AV1066">
        <v>4.2906921868653648E-3</v>
      </c>
    </row>
    <row r="1067" spans="44:48" x14ac:dyDescent="0.2">
      <c r="AR1067">
        <v>1059</v>
      </c>
      <c r="AS1067">
        <v>150</v>
      </c>
      <c r="AT1067">
        <v>2</v>
      </c>
      <c r="AU1067">
        <v>-6.4564546122774615</v>
      </c>
      <c r="AV1067">
        <v>4.3681370284820572E-3</v>
      </c>
    </row>
    <row r="1068" spans="44:48" x14ac:dyDescent="0.2">
      <c r="AR1068">
        <v>1060</v>
      </c>
      <c r="AS1068">
        <v>151</v>
      </c>
      <c r="AT1068">
        <v>2</v>
      </c>
      <c r="AU1068">
        <v>-6.4255140809601157</v>
      </c>
      <c r="AV1068">
        <v>4.4467478288807046E-3</v>
      </c>
    </row>
    <row r="1069" spans="44:48" x14ac:dyDescent="0.2">
      <c r="AR1069">
        <v>1061</v>
      </c>
      <c r="AS1069">
        <v>152</v>
      </c>
      <c r="AT1069">
        <v>2</v>
      </c>
      <c r="AU1069">
        <v>-6.3945735496427689</v>
      </c>
      <c r="AV1069">
        <v>4.5265372992611139E-3</v>
      </c>
    </row>
    <row r="1070" spans="44:48" x14ac:dyDescent="0.2">
      <c r="AR1070">
        <v>1062</v>
      </c>
      <c r="AS1070">
        <v>153</v>
      </c>
      <c r="AT1070">
        <v>2</v>
      </c>
      <c r="AU1070">
        <v>-6.3636330183254231</v>
      </c>
      <c r="AV1070">
        <v>4.6075181932073092E-3</v>
      </c>
    </row>
    <row r="1071" spans="44:48" x14ac:dyDescent="0.2">
      <c r="AR1071">
        <v>1063</v>
      </c>
      <c r="AS1071">
        <v>154</v>
      </c>
      <c r="AT1071">
        <v>2</v>
      </c>
      <c r="AU1071">
        <v>-6.3326924870080763</v>
      </c>
      <c r="AV1071">
        <v>4.6897033047642823E-3</v>
      </c>
    </row>
    <row r="1072" spans="44:48" x14ac:dyDescent="0.2">
      <c r="AR1072">
        <v>1064</v>
      </c>
      <c r="AS1072">
        <v>155</v>
      </c>
      <c r="AT1072">
        <v>2</v>
      </c>
      <c r="AU1072">
        <v>-6.3017519556907304</v>
      </c>
      <c r="AV1072">
        <v>4.7731054664695016E-3</v>
      </c>
    </row>
    <row r="1073" spans="44:48" x14ac:dyDescent="0.2">
      <c r="AR1073">
        <v>1065</v>
      </c>
      <c r="AS1073">
        <v>156</v>
      </c>
      <c r="AT1073">
        <v>2</v>
      </c>
      <c r="AU1073">
        <v>-6.2708114243733846</v>
      </c>
      <c r="AV1073">
        <v>4.8577375473392113E-3</v>
      </c>
    </row>
    <row r="1074" spans="44:48" x14ac:dyDescent="0.2">
      <c r="AR1074">
        <v>1066</v>
      </c>
      <c r="AS1074">
        <v>157</v>
      </c>
      <c r="AT1074">
        <v>2</v>
      </c>
      <c r="AU1074">
        <v>-6.2398708930560378</v>
      </c>
      <c r="AV1074">
        <v>4.9436124508092615E-3</v>
      </c>
    </row>
    <row r="1075" spans="44:48" x14ac:dyDescent="0.2">
      <c r="AR1075">
        <v>1067</v>
      </c>
      <c r="AS1075">
        <v>158</v>
      </c>
      <c r="AT1075">
        <v>2</v>
      </c>
      <c r="AU1075">
        <v>-6.2089303617386919</v>
      </c>
      <c r="AV1075">
        <v>5.0307431126302956E-3</v>
      </c>
    </row>
    <row r="1076" spans="44:48" x14ac:dyDescent="0.2">
      <c r="AR1076">
        <v>1068</v>
      </c>
      <c r="AS1076">
        <v>159</v>
      </c>
      <c r="AT1076">
        <v>2</v>
      </c>
      <c r="AU1076">
        <v>-6.1779898304213452</v>
      </c>
      <c r="AV1076">
        <v>5.1191424987171788E-3</v>
      </c>
    </row>
    <row r="1077" spans="44:48" x14ac:dyDescent="0.2">
      <c r="AR1077">
        <v>1069</v>
      </c>
      <c r="AS1077">
        <v>160</v>
      </c>
      <c r="AT1077">
        <v>2</v>
      </c>
      <c r="AU1077">
        <v>-6.1470492991039993</v>
      </c>
      <c r="AV1077">
        <v>5.2088236029525729E-3</v>
      </c>
    </row>
    <row r="1078" spans="44:48" x14ac:dyDescent="0.2">
      <c r="AR1078">
        <v>1070</v>
      </c>
      <c r="AS1078">
        <v>161</v>
      </c>
      <c r="AT1078">
        <v>2</v>
      </c>
      <c r="AU1078">
        <v>-6.1161087677866526</v>
      </c>
      <c r="AV1078">
        <v>5.2997994449444389E-3</v>
      </c>
    </row>
    <row r="1079" spans="44:48" x14ac:dyDescent="0.2">
      <c r="AR1079">
        <v>1071</v>
      </c>
      <c r="AS1079">
        <v>162</v>
      </c>
      <c r="AT1079">
        <v>2</v>
      </c>
      <c r="AU1079">
        <v>-6.0851682364693067</v>
      </c>
      <c r="AV1079">
        <v>5.3920830677374717E-3</v>
      </c>
    </row>
    <row r="1080" spans="44:48" x14ac:dyDescent="0.2">
      <c r="AR1080">
        <v>1072</v>
      </c>
      <c r="AS1080">
        <v>163</v>
      </c>
      <c r="AT1080">
        <v>2</v>
      </c>
      <c r="AU1080">
        <v>-6.05422770515196</v>
      </c>
      <c r="AV1080">
        <v>5.4856875354783842E-3</v>
      </c>
    </row>
    <row r="1081" spans="44:48" x14ac:dyDescent="0.2">
      <c r="AR1081">
        <v>1073</v>
      </c>
      <c r="AS1081">
        <v>164</v>
      </c>
      <c r="AT1081">
        <v>2</v>
      </c>
      <c r="AU1081">
        <v>-6.0232871738346141</v>
      </c>
      <c r="AV1081">
        <v>5.5806259310347698E-3</v>
      </c>
    </row>
    <row r="1082" spans="44:48" x14ac:dyDescent="0.2">
      <c r="AR1082">
        <v>1074</v>
      </c>
      <c r="AS1082">
        <v>165</v>
      </c>
      <c r="AT1082">
        <v>2</v>
      </c>
      <c r="AU1082">
        <v>-5.9923466425172673</v>
      </c>
      <c r="AV1082">
        <v>5.676911353567857E-3</v>
      </c>
    </row>
    <row r="1083" spans="44:48" x14ac:dyDescent="0.2">
      <c r="AR1083">
        <v>1075</v>
      </c>
      <c r="AS1083">
        <v>166</v>
      </c>
      <c r="AT1083">
        <v>2</v>
      </c>
      <c r="AU1083">
        <v>-5.9614061111999215</v>
      </c>
      <c r="AV1083">
        <v>5.7745569160587273E-3</v>
      </c>
    </row>
    <row r="1084" spans="44:48" x14ac:dyDescent="0.2">
      <c r="AR1084">
        <v>1076</v>
      </c>
      <c r="AS1084">
        <v>167</v>
      </c>
      <c r="AT1084">
        <v>2</v>
      </c>
      <c r="AU1084">
        <v>-5.9304655798825747</v>
      </c>
      <c r="AV1084">
        <v>5.8735757427882491E-3</v>
      </c>
    </row>
    <row r="1085" spans="44:48" x14ac:dyDescent="0.2">
      <c r="AR1085">
        <v>1077</v>
      </c>
      <c r="AS1085">
        <v>168</v>
      </c>
      <c r="AT1085">
        <v>2</v>
      </c>
      <c r="AU1085">
        <v>-5.8995250485652289</v>
      </c>
      <c r="AV1085">
        <v>5.973980966770649E-3</v>
      </c>
    </row>
    <row r="1086" spans="44:48" x14ac:dyDescent="0.2">
      <c r="AR1086">
        <v>1078</v>
      </c>
      <c r="AS1086">
        <v>169</v>
      </c>
      <c r="AT1086">
        <v>2</v>
      </c>
      <c r="AU1086">
        <v>-5.868584517247883</v>
      </c>
      <c r="AV1086">
        <v>6.0757857271405763E-3</v>
      </c>
    </row>
    <row r="1087" spans="44:48" x14ac:dyDescent="0.2">
      <c r="AR1087">
        <v>1079</v>
      </c>
      <c r="AS1087">
        <v>170</v>
      </c>
      <c r="AT1087">
        <v>2</v>
      </c>
      <c r="AU1087">
        <v>-5.8376439859305362</v>
      </c>
      <c r="AV1087">
        <v>6.1790031664939911E-3</v>
      </c>
    </row>
    <row r="1088" spans="44:48" x14ac:dyDescent="0.2">
      <c r="AR1088">
        <v>1080</v>
      </c>
      <c r="AS1088">
        <v>171</v>
      </c>
      <c r="AT1088">
        <v>2</v>
      </c>
      <c r="AU1088">
        <v>-5.8067034546131904</v>
      </c>
      <c r="AV1088">
        <v>6.2836464281826676E-3</v>
      </c>
    </row>
    <row r="1089" spans="44:48" x14ac:dyDescent="0.2">
      <c r="AR1089">
        <v>1081</v>
      </c>
      <c r="AS1089">
        <v>172</v>
      </c>
      <c r="AT1089">
        <v>2</v>
      </c>
      <c r="AU1089">
        <v>-5.7757629232958436</v>
      </c>
      <c r="AV1089">
        <v>6.3897286535624541E-3</v>
      </c>
    </row>
    <row r="1090" spans="44:48" x14ac:dyDescent="0.2">
      <c r="AR1090">
        <v>1082</v>
      </c>
      <c r="AS1090">
        <v>173</v>
      </c>
      <c r="AT1090">
        <v>2</v>
      </c>
      <c r="AU1090">
        <v>-5.7448223919784978</v>
      </c>
      <c r="AV1090">
        <v>6.4972629791954194E-3</v>
      </c>
    </row>
    <row r="1091" spans="44:48" x14ac:dyDescent="0.2">
      <c r="AR1091">
        <v>1083</v>
      </c>
      <c r="AS1091">
        <v>174</v>
      </c>
      <c r="AT1091">
        <v>2</v>
      </c>
      <c r="AU1091">
        <v>-5.713881860661151</v>
      </c>
      <c r="AV1091">
        <v>6.6062625340060034E-3</v>
      </c>
    </row>
    <row r="1092" spans="44:48" x14ac:dyDescent="0.2">
      <c r="AR1092">
        <v>1084</v>
      </c>
      <c r="AS1092">
        <v>175</v>
      </c>
      <c r="AT1092">
        <v>2</v>
      </c>
      <c r="AU1092">
        <v>-5.6829413293438051</v>
      </c>
      <c r="AV1092">
        <v>6.7167404363910601E-3</v>
      </c>
    </row>
    <row r="1093" spans="44:48" x14ac:dyDescent="0.2">
      <c r="AR1093">
        <v>1085</v>
      </c>
      <c r="AS1093">
        <v>176</v>
      </c>
      <c r="AT1093">
        <v>2</v>
      </c>
      <c r="AU1093">
        <v>-5.6520007980264584</v>
      </c>
      <c r="AV1093">
        <v>6.8287097912843511E-3</v>
      </c>
    </row>
    <row r="1094" spans="44:48" x14ac:dyDescent="0.2">
      <c r="AR1094">
        <v>1086</v>
      </c>
      <c r="AS1094">
        <v>177</v>
      </c>
      <c r="AT1094">
        <v>2</v>
      </c>
      <c r="AU1094">
        <v>-5.6210602667091125</v>
      </c>
      <c r="AV1094">
        <v>6.9421836871752319E-3</v>
      </c>
    </row>
    <row r="1095" spans="44:48" x14ac:dyDescent="0.2">
      <c r="AR1095">
        <v>1087</v>
      </c>
      <c r="AS1095">
        <v>178</v>
      </c>
      <c r="AT1095">
        <v>2</v>
      </c>
      <c r="AU1095">
        <v>-5.5901197353917658</v>
      </c>
      <c r="AV1095">
        <v>7.0571751930819243E-3</v>
      </c>
    </row>
    <row r="1096" spans="44:48" x14ac:dyDescent="0.2">
      <c r="AR1096">
        <v>1088</v>
      </c>
      <c r="AS1096">
        <v>179</v>
      </c>
      <c r="AT1096">
        <v>2</v>
      </c>
      <c r="AU1096">
        <v>-5.5591792040744199</v>
      </c>
      <c r="AV1096">
        <v>7.1736973554796428E-3</v>
      </c>
    </row>
    <row r="1097" spans="44:48" x14ac:dyDescent="0.2">
      <c r="AR1097">
        <v>1089</v>
      </c>
      <c r="AS1097">
        <v>180</v>
      </c>
      <c r="AT1097">
        <v>2</v>
      </c>
      <c r="AU1097">
        <v>-5.5282386727570731</v>
      </c>
      <c r="AV1097">
        <v>7.2917631951834828E-3</v>
      </c>
    </row>
    <row r="1098" spans="44:48" x14ac:dyDescent="0.2">
      <c r="AR1098">
        <v>1090</v>
      </c>
      <c r="AS1098">
        <v>181</v>
      </c>
      <c r="AT1098">
        <v>2</v>
      </c>
      <c r="AU1098">
        <v>-5.4972981414397273</v>
      </c>
      <c r="AV1098">
        <v>7.4113857041866625E-3</v>
      </c>
    </row>
    <row r="1099" spans="44:48" x14ac:dyDescent="0.2">
      <c r="AR1099">
        <v>1091</v>
      </c>
      <c r="AS1099">
        <v>182</v>
      </c>
      <c r="AT1099">
        <v>2</v>
      </c>
      <c r="AU1099">
        <v>-5.4663576101223814</v>
      </c>
      <c r="AV1099">
        <v>7.5325778424542144E-3</v>
      </c>
    </row>
    <row r="1100" spans="44:48" x14ac:dyDescent="0.2">
      <c r="AR1100">
        <v>1092</v>
      </c>
      <c r="AS1100">
        <v>183</v>
      </c>
      <c r="AT1100">
        <v>2</v>
      </c>
      <c r="AU1100">
        <v>-5.4354170788050347</v>
      </c>
      <c r="AV1100">
        <v>7.6553525346722846E-3</v>
      </c>
    </row>
    <row r="1101" spans="44:48" x14ac:dyDescent="0.2">
      <c r="AR1101">
        <v>1093</v>
      </c>
      <c r="AS1101">
        <v>184</v>
      </c>
      <c r="AT1101">
        <v>2</v>
      </c>
      <c r="AU1101">
        <v>-5.4044765474876888</v>
      </c>
      <c r="AV1101">
        <v>7.7797226669536262E-3</v>
      </c>
    </row>
    <row r="1102" spans="44:48" x14ac:dyDescent="0.2">
      <c r="AR1102">
        <v>1094</v>
      </c>
      <c r="AS1102">
        <v>185</v>
      </c>
      <c r="AT1102">
        <v>2</v>
      </c>
      <c r="AU1102">
        <v>-5.373536016170342</v>
      </c>
      <c r="AV1102">
        <v>7.9057010834993544E-3</v>
      </c>
    </row>
    <row r="1103" spans="44:48" x14ac:dyDescent="0.2">
      <c r="AR1103">
        <v>1095</v>
      </c>
      <c r="AS1103">
        <v>186</v>
      </c>
      <c r="AT1103">
        <v>2</v>
      </c>
      <c r="AU1103">
        <v>-5.3425954848529962</v>
      </c>
      <c r="AV1103">
        <v>8.0333005832173478E-3</v>
      </c>
    </row>
    <row r="1104" spans="44:48" x14ac:dyDescent="0.2">
      <c r="AR1104">
        <v>1096</v>
      </c>
      <c r="AS1104">
        <v>187</v>
      </c>
      <c r="AT1104">
        <v>2</v>
      </c>
      <c r="AU1104">
        <v>-5.3116549535356494</v>
      </c>
      <c r="AV1104">
        <v>8.1625339162978879E-3</v>
      </c>
    </row>
    <row r="1105" spans="44:48" x14ac:dyDescent="0.2">
      <c r="AR1105">
        <v>1097</v>
      </c>
      <c r="AS1105">
        <v>188</v>
      </c>
      <c r="AT1105">
        <v>2</v>
      </c>
      <c r="AU1105">
        <v>-5.2807144222183036</v>
      </c>
      <c r="AV1105">
        <v>8.2934137807465259E-3</v>
      </c>
    </row>
    <row r="1106" spans="44:48" x14ac:dyDescent="0.2">
      <c r="AR1106">
        <v>1098</v>
      </c>
      <c r="AS1106">
        <v>189</v>
      </c>
      <c r="AT1106">
        <v>2</v>
      </c>
      <c r="AU1106">
        <v>-5.2497738909009568</v>
      </c>
      <c r="AV1106">
        <v>8.4259528188749318E-3</v>
      </c>
    </row>
    <row r="1107" spans="44:48" x14ac:dyDescent="0.2">
      <c r="AR1107">
        <v>1099</v>
      </c>
      <c r="AS1107">
        <v>190</v>
      </c>
      <c r="AT1107">
        <v>2</v>
      </c>
      <c r="AU1107">
        <v>-5.2188333595836109</v>
      </c>
      <c r="AV1107">
        <v>8.5601636137500516E-3</v>
      </c>
    </row>
    <row r="1108" spans="44:48" x14ac:dyDescent="0.2">
      <c r="AR1108">
        <v>1100</v>
      </c>
      <c r="AS1108">
        <v>191</v>
      </c>
      <c r="AT1108">
        <v>2</v>
      </c>
      <c r="AU1108">
        <v>-5.1878928282662642</v>
      </c>
      <c r="AV1108">
        <v>8.6960586856017989E-3</v>
      </c>
    </row>
    <row r="1109" spans="44:48" x14ac:dyDescent="0.2">
      <c r="AR1109">
        <v>1101</v>
      </c>
      <c r="AS1109">
        <v>192</v>
      </c>
      <c r="AT1109">
        <v>2</v>
      </c>
      <c r="AU1109">
        <v>-5.1569522969489183</v>
      </c>
      <c r="AV1109">
        <v>8.8336504881901829E-3</v>
      </c>
    </row>
    <row r="1110" spans="44:48" x14ac:dyDescent="0.2">
      <c r="AR1110">
        <v>1102</v>
      </c>
      <c r="AS1110">
        <v>193</v>
      </c>
      <c r="AT1110">
        <v>2</v>
      </c>
      <c r="AU1110">
        <v>-5.1260117656315725</v>
      </c>
      <c r="AV1110">
        <v>8.9729514051320129E-3</v>
      </c>
    </row>
    <row r="1111" spans="44:48" x14ac:dyDescent="0.2">
      <c r="AR1111">
        <v>1103</v>
      </c>
      <c r="AS1111">
        <v>194</v>
      </c>
      <c r="AT1111">
        <v>2</v>
      </c>
      <c r="AU1111">
        <v>-5.0950712343142257</v>
      </c>
      <c r="AV1111">
        <v>9.1139737461877826E-3</v>
      </c>
    </row>
    <row r="1112" spans="44:48" x14ac:dyDescent="0.2">
      <c r="AR1112">
        <v>1104</v>
      </c>
      <c r="AS1112">
        <v>195</v>
      </c>
      <c r="AT1112">
        <v>2</v>
      </c>
      <c r="AU1112">
        <v>-5.0641307029968798</v>
      </c>
      <c r="AV1112">
        <v>9.2567297435094346E-3</v>
      </c>
    </row>
    <row r="1113" spans="44:48" x14ac:dyDescent="0.2">
      <c r="AR1113">
        <v>1105</v>
      </c>
      <c r="AS1113">
        <v>196</v>
      </c>
      <c r="AT1113">
        <v>2</v>
      </c>
      <c r="AU1113">
        <v>-5.0331901716795331</v>
      </c>
      <c r="AV1113">
        <v>9.4012315478493487E-3</v>
      </c>
    </row>
    <row r="1114" spans="44:48" x14ac:dyDescent="0.2">
      <c r="AR1114">
        <v>1106</v>
      </c>
      <c r="AS1114">
        <v>197</v>
      </c>
      <c r="AT1114">
        <v>2</v>
      </c>
      <c r="AU1114">
        <v>-5.0022496403621872</v>
      </c>
      <c r="AV1114">
        <v>9.5474912247312145E-3</v>
      </c>
    </row>
    <row r="1115" spans="44:48" x14ac:dyDescent="0.2">
      <c r="AR1115">
        <v>1107</v>
      </c>
      <c r="AS1115">
        <v>198</v>
      </c>
      <c r="AT1115">
        <v>2</v>
      </c>
      <c r="AU1115">
        <v>-4.9713091090448405</v>
      </c>
      <c r="AV1115">
        <v>9.695520750583584E-3</v>
      </c>
    </row>
    <row r="1116" spans="44:48" x14ac:dyDescent="0.2">
      <c r="AR1116">
        <v>1108</v>
      </c>
      <c r="AS1116">
        <v>199</v>
      </c>
      <c r="AT1116">
        <v>2</v>
      </c>
      <c r="AU1116">
        <v>-4.9403685777274946</v>
      </c>
      <c r="AV1116">
        <v>9.8453320088363709E-3</v>
      </c>
    </row>
    <row r="1117" spans="44:48" x14ac:dyDescent="0.2">
      <c r="AR1117">
        <v>1109</v>
      </c>
      <c r="AS1117">
        <v>200</v>
      </c>
      <c r="AT1117">
        <v>2</v>
      </c>
      <c r="AU1117">
        <v>-4.9094280464101479</v>
      </c>
      <c r="AV1117">
        <v>9.9969367859813023E-3</v>
      </c>
    </row>
    <row r="1118" spans="44:48" x14ac:dyDescent="0.2">
      <c r="AR1118">
        <v>1110</v>
      </c>
      <c r="AS1118">
        <v>201</v>
      </c>
      <c r="AT1118">
        <v>2</v>
      </c>
      <c r="AU1118">
        <v>-4.878487515092802</v>
      </c>
      <c r="AV1118">
        <v>1.0150346767596855E-2</v>
      </c>
    </row>
    <row r="1119" spans="44:48" x14ac:dyDescent="0.2">
      <c r="AR1119">
        <v>1111</v>
      </c>
      <c r="AS1119">
        <v>202</v>
      </c>
      <c r="AT1119">
        <v>2</v>
      </c>
      <c r="AU1119">
        <v>-4.8475469837754552</v>
      </c>
      <c r="AV1119">
        <v>1.0305573534338286E-2</v>
      </c>
    </row>
    <row r="1120" spans="44:48" x14ac:dyDescent="0.2">
      <c r="AR1120">
        <v>1112</v>
      </c>
      <c r="AS1120">
        <v>203</v>
      </c>
      <c r="AT1120">
        <v>2</v>
      </c>
      <c r="AU1120">
        <v>-4.8166064524581094</v>
      </c>
      <c r="AV1120">
        <v>1.0462628557893679E-2</v>
      </c>
    </row>
    <row r="1121" spans="44:48" x14ac:dyDescent="0.2">
      <c r="AR1121">
        <v>1113</v>
      </c>
      <c r="AS1121">
        <v>204</v>
      </c>
      <c r="AT1121">
        <v>2</v>
      </c>
      <c r="AU1121">
        <v>-4.7856659211407626</v>
      </c>
      <c r="AV1121">
        <v>1.0621523196906697E-2</v>
      </c>
    </row>
    <row r="1122" spans="44:48" x14ac:dyDescent="0.2">
      <c r="AR1122">
        <v>1114</v>
      </c>
      <c r="AS1122">
        <v>205</v>
      </c>
      <c r="AT1122">
        <v>2</v>
      </c>
      <c r="AU1122">
        <v>-4.7547253898234167</v>
      </c>
      <c r="AV1122">
        <v>1.0782268692866628E-2</v>
      </c>
    </row>
    <row r="1123" spans="44:48" x14ac:dyDescent="0.2">
      <c r="AR1123">
        <v>1115</v>
      </c>
      <c r="AS1123">
        <v>206</v>
      </c>
      <c r="AT1123">
        <v>2</v>
      </c>
      <c r="AU1123">
        <v>-4.7237848585060709</v>
      </c>
      <c r="AV1123">
        <v>1.0944876165966934E-2</v>
      </c>
    </row>
    <row r="1124" spans="44:48" x14ac:dyDescent="0.2">
      <c r="AR1124">
        <v>1116</v>
      </c>
      <c r="AS1124">
        <v>207</v>
      </c>
      <c r="AT1124">
        <v>2</v>
      </c>
      <c r="AU1124">
        <v>-4.6928443271887241</v>
      </c>
      <c r="AV1124">
        <v>1.1109356610932618E-2</v>
      </c>
    </row>
    <row r="1125" spans="44:48" x14ac:dyDescent="0.2">
      <c r="AR1125">
        <v>1117</v>
      </c>
      <c r="AS1125">
        <v>208</v>
      </c>
      <c r="AT1125">
        <v>2</v>
      </c>
      <c r="AU1125">
        <v>-4.6619037958713783</v>
      </c>
      <c r="AV1125">
        <v>1.1275720892817623E-2</v>
      </c>
    </row>
    <row r="1126" spans="44:48" x14ac:dyDescent="0.2">
      <c r="AR1126">
        <v>1118</v>
      </c>
      <c r="AS1126">
        <v>209</v>
      </c>
      <c r="AT1126">
        <v>2</v>
      </c>
      <c r="AU1126">
        <v>-4.6309632645540315</v>
      </c>
      <c r="AV1126">
        <v>1.1443979742773147E-2</v>
      </c>
    </row>
    <row r="1127" spans="44:48" x14ac:dyDescent="0.2">
      <c r="AR1127">
        <v>1119</v>
      </c>
      <c r="AS1127">
        <v>210</v>
      </c>
      <c r="AT1127">
        <v>2</v>
      </c>
      <c r="AU1127">
        <v>-4.6000227332366856</v>
      </c>
      <c r="AV1127">
        <v>1.1614143753787387E-2</v>
      </c>
    </row>
    <row r="1128" spans="44:48" x14ac:dyDescent="0.2">
      <c r="AR1128">
        <v>1120</v>
      </c>
      <c r="AS1128">
        <v>211</v>
      </c>
      <c r="AT1128">
        <v>2</v>
      </c>
      <c r="AU1128">
        <v>-4.5690822019193389</v>
      </c>
      <c r="AV1128">
        <v>1.1786223376398151E-2</v>
      </c>
    </row>
    <row r="1129" spans="44:48" x14ac:dyDescent="0.2">
      <c r="AR1129">
        <v>1121</v>
      </c>
      <c r="AS1129">
        <v>212</v>
      </c>
      <c r="AT1129">
        <v>2</v>
      </c>
      <c r="AU1129">
        <v>-4.538141670601993</v>
      </c>
      <c r="AV1129">
        <v>1.1960228914378831E-2</v>
      </c>
    </row>
    <row r="1130" spans="44:48" x14ac:dyDescent="0.2">
      <c r="AR1130">
        <v>1122</v>
      </c>
      <c r="AS1130">
        <v>213</v>
      </c>
      <c r="AT1130">
        <v>2</v>
      </c>
      <c r="AU1130">
        <v>-4.5072011392846463</v>
      </c>
      <c r="AV1130">
        <v>1.2136170520398979E-2</v>
      </c>
    </row>
    <row r="1131" spans="44:48" x14ac:dyDescent="0.2">
      <c r="AR1131">
        <v>1123</v>
      </c>
      <c r="AS1131">
        <v>214</v>
      </c>
      <c r="AT1131">
        <v>2</v>
      </c>
      <c r="AU1131">
        <v>-4.4762606079673004</v>
      </c>
      <c r="AV1131">
        <v>1.2314058191660386E-2</v>
      </c>
    </row>
    <row r="1132" spans="44:48" x14ac:dyDescent="0.2">
      <c r="AR1132">
        <v>1124</v>
      </c>
      <c r="AS1132">
        <v>215</v>
      </c>
      <c r="AT1132">
        <v>2</v>
      </c>
      <c r="AU1132">
        <v>-4.4453200766499537</v>
      </c>
      <c r="AV1132">
        <v>1.2493901765509689E-2</v>
      </c>
    </row>
    <row r="1133" spans="44:48" x14ac:dyDescent="0.2">
      <c r="AR1133">
        <v>1125</v>
      </c>
      <c r="AS1133">
        <v>216</v>
      </c>
      <c r="AT1133">
        <v>2</v>
      </c>
      <c r="AU1133">
        <v>-4.4143795453326078</v>
      </c>
      <c r="AV1133">
        <v>1.2675710915028436E-2</v>
      </c>
    </row>
    <row r="1134" spans="44:48" x14ac:dyDescent="0.2">
      <c r="AR1134">
        <v>1126</v>
      </c>
      <c r="AS1134">
        <v>217</v>
      </c>
      <c r="AT1134">
        <v>2</v>
      </c>
      <c r="AU1134">
        <v>-4.383439014015261</v>
      </c>
      <c r="AV1134">
        <v>1.2859495144601978E-2</v>
      </c>
    </row>
    <row r="1135" spans="44:48" x14ac:dyDescent="0.2">
      <c r="AR1135">
        <v>1127</v>
      </c>
      <c r="AS1135">
        <v>218</v>
      </c>
      <c r="AT1135">
        <v>2</v>
      </c>
      <c r="AU1135">
        <v>-4.3524984826979152</v>
      </c>
      <c r="AV1135">
        <v>1.3045263785467835E-2</v>
      </c>
    </row>
    <row r="1136" spans="44:48" x14ac:dyDescent="0.2">
      <c r="AR1136">
        <v>1128</v>
      </c>
      <c r="AS1136">
        <v>219</v>
      </c>
      <c r="AT1136">
        <v>2</v>
      </c>
      <c r="AU1136">
        <v>-4.3215579513805693</v>
      </c>
      <c r="AV1136">
        <v>1.3233025991244991E-2</v>
      </c>
    </row>
    <row r="1137" spans="44:48" x14ac:dyDescent="0.2">
      <c r="AR1137">
        <v>1129</v>
      </c>
      <c r="AS1137">
        <v>220</v>
      </c>
      <c r="AT1137">
        <v>2</v>
      </c>
      <c r="AU1137">
        <v>-4.2906174200632226</v>
      </c>
      <c r="AV1137">
        <v>1.3422790733445164E-2</v>
      </c>
    </row>
    <row r="1138" spans="44:48" x14ac:dyDescent="0.2">
      <c r="AR1138">
        <v>1130</v>
      </c>
      <c r="AS1138">
        <v>221</v>
      </c>
      <c r="AT1138">
        <v>2</v>
      </c>
      <c r="AU1138">
        <v>-4.2596768887458767</v>
      </c>
      <c r="AV1138">
        <v>1.3614566796967055E-2</v>
      </c>
    </row>
    <row r="1139" spans="44:48" x14ac:dyDescent="0.2">
      <c r="AR1139">
        <v>1131</v>
      </c>
      <c r="AS1139">
        <v>222</v>
      </c>
      <c r="AT1139">
        <v>2</v>
      </c>
      <c r="AU1139">
        <v>-4.2287363574285299</v>
      </c>
      <c r="AV1139">
        <v>1.3808362775574951E-2</v>
      </c>
    </row>
    <row r="1140" spans="44:48" x14ac:dyDescent="0.2">
      <c r="AR1140">
        <v>1132</v>
      </c>
      <c r="AS1140">
        <v>223</v>
      </c>
      <c r="AT1140">
        <v>2</v>
      </c>
      <c r="AU1140">
        <v>-4.1977958261111841</v>
      </c>
      <c r="AV1140">
        <v>1.4004187067362818E-2</v>
      </c>
    </row>
    <row r="1141" spans="44:48" x14ac:dyDescent="0.2">
      <c r="AR1141">
        <v>1133</v>
      </c>
      <c r="AS1141">
        <v>224</v>
      </c>
      <c r="AT1141">
        <v>2</v>
      </c>
      <c r="AU1141">
        <v>-4.1668552947938373</v>
      </c>
      <c r="AV1141">
        <v>1.4202047870204989E-2</v>
      </c>
    </row>
    <row r="1142" spans="44:48" x14ac:dyDescent="0.2">
      <c r="AR1142">
        <v>1134</v>
      </c>
      <c r="AS1142">
        <v>225</v>
      </c>
      <c r="AT1142">
        <v>2</v>
      </c>
      <c r="AU1142">
        <v>-4.1359147634764915</v>
      </c>
      <c r="AV1142">
        <v>1.4401953177194844E-2</v>
      </c>
    </row>
    <row r="1143" spans="44:48" x14ac:dyDescent="0.2">
      <c r="AR1143">
        <v>1135</v>
      </c>
      <c r="AS1143">
        <v>226</v>
      </c>
      <c r="AT1143">
        <v>2</v>
      </c>
      <c r="AU1143">
        <v>-4.1049742321591447</v>
      </c>
      <c r="AV1143">
        <v>1.4603910772072773E-2</v>
      </c>
    </row>
    <row r="1144" spans="44:48" x14ac:dyDescent="0.2">
      <c r="AR1144">
        <v>1136</v>
      </c>
      <c r="AS1144">
        <v>227</v>
      </c>
      <c r="AT1144">
        <v>2</v>
      </c>
      <c r="AU1144">
        <v>-4.0740337008417988</v>
      </c>
      <c r="AV1144">
        <v>1.4807928224644409E-2</v>
      </c>
    </row>
    <row r="1145" spans="44:48" x14ac:dyDescent="0.2">
      <c r="AR1145">
        <v>1137</v>
      </c>
      <c r="AS1145">
        <v>228</v>
      </c>
      <c r="AT1145">
        <v>2</v>
      </c>
      <c r="AU1145">
        <v>-4.0430931695244521</v>
      </c>
      <c r="AV1145">
        <v>1.5014012886190937E-2</v>
      </c>
    </row>
    <row r="1146" spans="44:48" x14ac:dyDescent="0.2">
      <c r="AR1146">
        <v>1138</v>
      </c>
      <c r="AS1146">
        <v>229</v>
      </c>
      <c r="AT1146">
        <v>2</v>
      </c>
      <c r="AU1146">
        <v>-4.0121526382071062</v>
      </c>
      <c r="AV1146">
        <v>1.5222171884872291E-2</v>
      </c>
    </row>
    <row r="1147" spans="44:48" x14ac:dyDescent="0.2">
      <c r="AR1147">
        <v>1139</v>
      </c>
      <c r="AS1147">
        <v>230</v>
      </c>
      <c r="AT1147">
        <v>2</v>
      </c>
      <c r="AU1147">
        <v>-3.9812121068897595</v>
      </c>
      <c r="AV1147">
        <v>1.5432412121124972E-2</v>
      </c>
    </row>
    <row r="1148" spans="44:48" x14ac:dyDescent="0.2">
      <c r="AR1148">
        <v>1140</v>
      </c>
      <c r="AS1148">
        <v>231</v>
      </c>
      <c r="AT1148">
        <v>2</v>
      </c>
      <c r="AU1148">
        <v>-3.9502715755724136</v>
      </c>
      <c r="AV1148">
        <v>1.5644740263055699E-2</v>
      </c>
    </row>
    <row r="1149" spans="44:48" x14ac:dyDescent="0.2">
      <c r="AR1149">
        <v>1141</v>
      </c>
      <c r="AS1149">
        <v>232</v>
      </c>
      <c r="AT1149">
        <v>2</v>
      </c>
      <c r="AU1149">
        <v>-3.9193310442550677</v>
      </c>
      <c r="AV1149">
        <v>1.5859162741832269E-2</v>
      </c>
    </row>
    <row r="1150" spans="44:48" x14ac:dyDescent="0.2">
      <c r="AR1150">
        <v>1142</v>
      </c>
      <c r="AS1150">
        <v>233</v>
      </c>
      <c r="AT1150">
        <v>2</v>
      </c>
      <c r="AU1150">
        <v>-3.888390512937721</v>
      </c>
      <c r="AV1150">
        <v>1.6075685747073083E-2</v>
      </c>
    </row>
    <row r="1151" spans="44:48" x14ac:dyDescent="0.2">
      <c r="AR1151">
        <v>1143</v>
      </c>
      <c r="AS1151">
        <v>234</v>
      </c>
      <c r="AT1151">
        <v>2</v>
      </c>
      <c r="AU1151">
        <v>-3.8574499816203751</v>
      </c>
      <c r="AV1151">
        <v>1.6294315222236858E-2</v>
      </c>
    </row>
    <row r="1152" spans="44:48" x14ac:dyDescent="0.2">
      <c r="AR1152">
        <v>1144</v>
      </c>
      <c r="AS1152">
        <v>235</v>
      </c>
      <c r="AT1152">
        <v>2</v>
      </c>
      <c r="AU1152">
        <v>-3.8265094503030284</v>
      </c>
      <c r="AV1152">
        <v>1.6515056860013744E-2</v>
      </c>
    </row>
    <row r="1153" spans="44:48" x14ac:dyDescent="0.2">
      <c r="AR1153">
        <v>1145</v>
      </c>
      <c r="AS1153">
        <v>236</v>
      </c>
      <c r="AT1153">
        <v>2</v>
      </c>
      <c r="AU1153">
        <v>-3.7955689189856825</v>
      </c>
      <c r="AV1153">
        <v>1.673791609771956E-2</v>
      </c>
    </row>
    <row r="1154" spans="44:48" x14ac:dyDescent="0.2">
      <c r="AR1154">
        <v>1146</v>
      </c>
      <c r="AS1154">
        <v>237</v>
      </c>
      <c r="AT1154">
        <v>2</v>
      </c>
      <c r="AU1154">
        <v>-3.7646283876683357</v>
      </c>
      <c r="AV1154">
        <v>1.6962898112694573E-2</v>
      </c>
    </row>
    <row r="1155" spans="44:48" x14ac:dyDescent="0.2">
      <c r="AR1155">
        <v>1147</v>
      </c>
      <c r="AS1155">
        <v>238</v>
      </c>
      <c r="AT1155">
        <v>2</v>
      </c>
      <c r="AU1155">
        <v>-3.7336878563509899</v>
      </c>
      <c r="AV1155">
        <v>1.7190007817708165E-2</v>
      </c>
    </row>
    <row r="1156" spans="44:48" x14ac:dyDescent="0.2">
      <c r="AR1156">
        <v>1148</v>
      </c>
      <c r="AS1156">
        <v>239</v>
      </c>
      <c r="AT1156">
        <v>2</v>
      </c>
      <c r="AU1156">
        <v>-3.7027473250336431</v>
      </c>
      <c r="AV1156">
        <v>1.7419249856371215E-2</v>
      </c>
    </row>
    <row r="1157" spans="44:48" x14ac:dyDescent="0.2">
      <c r="AR1157">
        <v>1149</v>
      </c>
      <c r="AS1157">
        <v>240</v>
      </c>
      <c r="AT1157">
        <v>2</v>
      </c>
      <c r="AU1157">
        <v>-3.6718067937162973</v>
      </c>
      <c r="AV1157">
        <v>1.7650628598557462E-2</v>
      </c>
    </row>
    <row r="1158" spans="44:48" x14ac:dyDescent="0.2">
      <c r="AR1158">
        <v>1150</v>
      </c>
      <c r="AS1158">
        <v>241</v>
      </c>
      <c r="AT1158">
        <v>2</v>
      </c>
      <c r="AU1158">
        <v>-3.6408662623989505</v>
      </c>
      <c r="AV1158">
        <v>1.7884148135835609E-2</v>
      </c>
    </row>
    <row r="1159" spans="44:48" x14ac:dyDescent="0.2">
      <c r="AR1159">
        <v>1151</v>
      </c>
      <c r="AS1159">
        <v>242</v>
      </c>
      <c r="AT1159">
        <v>2</v>
      </c>
      <c r="AU1159">
        <v>-3.6099257310816046</v>
      </c>
      <c r="AV1159">
        <v>1.8119812276913602E-2</v>
      </c>
    </row>
    <row r="1160" spans="44:48" x14ac:dyDescent="0.2">
      <c r="AR1160">
        <v>1152</v>
      </c>
      <c r="AS1160">
        <v>243</v>
      </c>
      <c r="AT1160">
        <v>2</v>
      </c>
      <c r="AU1160">
        <v>-3.5789851997642579</v>
      </c>
      <c r="AV1160">
        <v>1.8357624543096824E-2</v>
      </c>
    </row>
    <row r="1161" spans="44:48" x14ac:dyDescent="0.2">
      <c r="AR1161">
        <v>1153</v>
      </c>
      <c r="AS1161">
        <v>244</v>
      </c>
      <c r="AT1161">
        <v>2</v>
      </c>
      <c r="AU1161">
        <v>-3.548044668446912</v>
      </c>
      <c r="AV1161">
        <v>1.8597588163761676E-2</v>
      </c>
    </row>
    <row r="1162" spans="44:48" x14ac:dyDescent="0.2">
      <c r="AR1162">
        <v>1154</v>
      </c>
      <c r="AS1162">
        <v>245</v>
      </c>
      <c r="AT1162">
        <v>2</v>
      </c>
      <c r="AU1162">
        <v>-3.5171041371295662</v>
      </c>
      <c r="AV1162">
        <v>1.8839706071846308E-2</v>
      </c>
    </row>
    <row r="1163" spans="44:48" x14ac:dyDescent="0.2">
      <c r="AR1163">
        <v>1155</v>
      </c>
      <c r="AS1163">
        <v>246</v>
      </c>
      <c r="AT1163">
        <v>2</v>
      </c>
      <c r="AU1163">
        <v>-3.4861636058122194</v>
      </c>
      <c r="AV1163">
        <v>1.9083980899360017E-2</v>
      </c>
    </row>
    <row r="1164" spans="44:48" x14ac:dyDescent="0.2">
      <c r="AR1164">
        <v>1156</v>
      </c>
      <c r="AS1164">
        <v>247</v>
      </c>
      <c r="AT1164">
        <v>2</v>
      </c>
      <c r="AU1164">
        <v>-3.4552230744948735</v>
      </c>
      <c r="AV1164">
        <v>1.9330414972913049E-2</v>
      </c>
    </row>
    <row r="1165" spans="44:48" x14ac:dyDescent="0.2">
      <c r="AR1165">
        <v>1157</v>
      </c>
      <c r="AS1165">
        <v>248</v>
      </c>
      <c r="AT1165">
        <v>2</v>
      </c>
      <c r="AU1165">
        <v>-3.4242825431775268</v>
      </c>
      <c r="AV1165">
        <v>1.9579010309268542E-2</v>
      </c>
    </row>
    <row r="1166" spans="44:48" x14ac:dyDescent="0.2">
      <c r="AR1166">
        <v>1158</v>
      </c>
      <c r="AS1166">
        <v>249</v>
      </c>
      <c r="AT1166">
        <v>2</v>
      </c>
      <c r="AU1166">
        <v>-3.3933420118601809</v>
      </c>
      <c r="AV1166">
        <v>1.9829768610918043E-2</v>
      </c>
    </row>
    <row r="1167" spans="44:48" x14ac:dyDescent="0.2">
      <c r="AR1167">
        <v>1159</v>
      </c>
      <c r="AS1167">
        <v>250</v>
      </c>
      <c r="AT1167">
        <v>2</v>
      </c>
      <c r="AU1167">
        <v>-3.3624014805428342</v>
      </c>
      <c r="AV1167">
        <v>2.0082691261682672E-2</v>
      </c>
    </row>
    <row r="1168" spans="44:48" x14ac:dyDescent="0.2">
      <c r="AR1168">
        <v>1160</v>
      </c>
      <c r="AS1168">
        <v>251</v>
      </c>
      <c r="AT1168">
        <v>2</v>
      </c>
      <c r="AU1168">
        <v>-3.3314609492254883</v>
      </c>
      <c r="AV1168">
        <v>2.0337779322341289E-2</v>
      </c>
    </row>
    <row r="1169" spans="44:48" x14ac:dyDescent="0.2">
      <c r="AR1169">
        <v>1161</v>
      </c>
      <c r="AS1169">
        <v>252</v>
      </c>
      <c r="AT1169">
        <v>2</v>
      </c>
      <c r="AU1169">
        <v>-3.3005204179081415</v>
      </c>
      <c r="AV1169">
        <v>2.0595033526287627E-2</v>
      </c>
    </row>
    <row r="1170" spans="44:48" x14ac:dyDescent="0.2">
      <c r="AR1170">
        <v>1162</v>
      </c>
      <c r="AS1170">
        <v>253</v>
      </c>
      <c r="AT1170">
        <v>2</v>
      </c>
      <c r="AU1170">
        <v>-3.2695798865907957</v>
      </c>
      <c r="AV1170">
        <v>2.085445427521802E-2</v>
      </c>
    </row>
    <row r="1171" spans="44:48" x14ac:dyDescent="0.2">
      <c r="AR1171">
        <v>1163</v>
      </c>
      <c r="AS1171">
        <v>254</v>
      </c>
      <c r="AT1171">
        <v>2</v>
      </c>
      <c r="AU1171">
        <v>-3.2386393552734489</v>
      </c>
      <c r="AV1171">
        <v>2.1116041634851503E-2</v>
      </c>
    </row>
    <row r="1172" spans="44:48" x14ac:dyDescent="0.2">
      <c r="AR1172">
        <v>1164</v>
      </c>
      <c r="AS1172">
        <v>255</v>
      </c>
      <c r="AT1172">
        <v>2</v>
      </c>
      <c r="AU1172">
        <v>-3.2076988239561031</v>
      </c>
      <c r="AV1172">
        <v>2.1379795330683977E-2</v>
      </c>
    </row>
    <row r="1173" spans="44:48" x14ac:dyDescent="0.2">
      <c r="AR1173">
        <v>1165</v>
      </c>
      <c r="AS1173">
        <v>256</v>
      </c>
      <c r="AT1173">
        <v>2</v>
      </c>
      <c r="AU1173">
        <v>-3.1767582926387563</v>
      </c>
      <c r="AV1173">
        <v>2.1645714743778438E-2</v>
      </c>
    </row>
    <row r="1174" spans="44:48" x14ac:dyDescent="0.2">
      <c r="AR1174">
        <v>1166</v>
      </c>
      <c r="AS1174">
        <v>257</v>
      </c>
      <c r="AT1174">
        <v>2</v>
      </c>
      <c r="AU1174">
        <v>-3.1458177613214104</v>
      </c>
      <c r="AV1174">
        <v>2.1913798906592601E-2</v>
      </c>
    </row>
    <row r="1175" spans="44:48" x14ac:dyDescent="0.2">
      <c r="AR1175">
        <v>1167</v>
      </c>
      <c r="AS1175">
        <v>258</v>
      </c>
      <c r="AT1175">
        <v>2</v>
      </c>
      <c r="AU1175">
        <v>-3.1148772300040646</v>
      </c>
      <c r="AV1175">
        <v>2.2184046498846217E-2</v>
      </c>
    </row>
    <row r="1176" spans="44:48" x14ac:dyDescent="0.2">
      <c r="AR1176">
        <v>1168</v>
      </c>
      <c r="AS1176">
        <v>259</v>
      </c>
      <c r="AT1176">
        <v>2</v>
      </c>
      <c r="AU1176">
        <v>-3.0839366986867178</v>
      </c>
      <c r="AV1176">
        <v>2.2456455843429514E-2</v>
      </c>
    </row>
    <row r="1177" spans="44:48" x14ac:dyDescent="0.2">
      <c r="AR1177">
        <v>1169</v>
      </c>
      <c r="AS1177">
        <v>260</v>
      </c>
      <c r="AT1177">
        <v>2</v>
      </c>
      <c r="AU1177">
        <v>-3.052996167369372</v>
      </c>
      <c r="AV1177">
        <v>2.2731024902354662E-2</v>
      </c>
    </row>
    <row r="1178" spans="44:48" x14ac:dyDescent="0.2">
      <c r="AR1178">
        <v>1170</v>
      </c>
      <c r="AS1178">
        <v>261</v>
      </c>
      <c r="AT1178">
        <v>2</v>
      </c>
      <c r="AU1178">
        <v>-3.0220556360520252</v>
      </c>
      <c r="AV1178">
        <v>2.3007751272752137E-2</v>
      </c>
    </row>
    <row r="1179" spans="44:48" x14ac:dyDescent="0.2">
      <c r="AR1179">
        <v>1171</v>
      </c>
      <c r="AS1179">
        <v>262</v>
      </c>
      <c r="AT1179">
        <v>2</v>
      </c>
      <c r="AU1179">
        <v>-2.9911151047346785</v>
      </c>
      <c r="AV1179">
        <v>2.3286632182913752E-2</v>
      </c>
    </row>
    <row r="1180" spans="44:48" x14ac:dyDescent="0.2">
      <c r="AR1180">
        <v>1172</v>
      </c>
      <c r="AS1180">
        <v>263</v>
      </c>
      <c r="AT1180">
        <v>2</v>
      </c>
      <c r="AU1180">
        <v>-2.9601745734173335</v>
      </c>
      <c r="AV1180">
        <v>2.3567664488384005E-2</v>
      </c>
    </row>
    <row r="1181" spans="44:48" x14ac:dyDescent="0.2">
      <c r="AR1181">
        <v>1173</v>
      </c>
      <c r="AS1181">
        <v>264</v>
      </c>
      <c r="AT1181">
        <v>2</v>
      </c>
      <c r="AU1181">
        <v>-2.9292340420999867</v>
      </c>
      <c r="AV1181">
        <v>2.3850844668102049E-2</v>
      </c>
    </row>
    <row r="1182" spans="44:48" x14ac:dyDescent="0.2">
      <c r="AR1182">
        <v>1174</v>
      </c>
      <c r="AS1182">
        <v>265</v>
      </c>
      <c r="AT1182">
        <v>2</v>
      </c>
      <c r="AU1182">
        <v>-2.89829351078264</v>
      </c>
      <c r="AV1182">
        <v>2.4136168820595317E-2</v>
      </c>
    </row>
    <row r="1183" spans="44:48" x14ac:dyDescent="0.2">
      <c r="AR1183">
        <v>1175</v>
      </c>
      <c r="AS1183">
        <v>266</v>
      </c>
      <c r="AT1183">
        <v>2</v>
      </c>
      <c r="AU1183">
        <v>-2.8673529794652932</v>
      </c>
      <c r="AV1183">
        <v>2.4423632660227502E-2</v>
      </c>
    </row>
    <row r="1184" spans="44:48" x14ac:dyDescent="0.2">
      <c r="AR1184">
        <v>1176</v>
      </c>
      <c r="AS1184">
        <v>267</v>
      </c>
      <c r="AT1184">
        <v>2</v>
      </c>
      <c r="AU1184">
        <v>-2.8364124481479482</v>
      </c>
      <c r="AV1184">
        <v>2.471323151350209E-2</v>
      </c>
    </row>
    <row r="1185" spans="44:48" x14ac:dyDescent="0.2">
      <c r="AR1185">
        <v>1177</v>
      </c>
      <c r="AS1185">
        <v>268</v>
      </c>
      <c r="AT1185">
        <v>2</v>
      </c>
      <c r="AU1185">
        <v>-2.8054719168306015</v>
      </c>
      <c r="AV1185">
        <v>2.5004960315423565E-2</v>
      </c>
    </row>
    <row r="1186" spans="44:48" x14ac:dyDescent="0.2">
      <c r="AR1186">
        <v>1178</v>
      </c>
      <c r="AS1186">
        <v>269</v>
      </c>
      <c r="AT1186">
        <v>2</v>
      </c>
      <c r="AU1186">
        <v>-2.7745313855132547</v>
      </c>
      <c r="AV1186">
        <v>2.5298813605917979E-2</v>
      </c>
    </row>
    <row r="1187" spans="44:48" x14ac:dyDescent="0.2">
      <c r="AR1187">
        <v>1179</v>
      </c>
      <c r="AS1187">
        <v>270</v>
      </c>
      <c r="AT1187">
        <v>2</v>
      </c>
      <c r="AU1187">
        <v>-2.7435908541959098</v>
      </c>
      <c r="AV1187">
        <v>2.5594785526314869E-2</v>
      </c>
    </row>
    <row r="1188" spans="44:48" x14ac:dyDescent="0.2">
      <c r="AR1188">
        <v>1180</v>
      </c>
      <c r="AS1188">
        <v>271</v>
      </c>
      <c r="AT1188">
        <v>2</v>
      </c>
      <c r="AU1188">
        <v>-2.712650322878563</v>
      </c>
      <c r="AV1188">
        <v>2.5892869815892262E-2</v>
      </c>
    </row>
    <row r="1189" spans="44:48" x14ac:dyDescent="0.2">
      <c r="AR1189">
        <v>1181</v>
      </c>
      <c r="AS1189">
        <v>272</v>
      </c>
      <c r="AT1189">
        <v>2</v>
      </c>
      <c r="AU1189">
        <v>-2.6817097915612162</v>
      </c>
      <c r="AV1189">
        <v>2.6193059808486525E-2</v>
      </c>
    </row>
    <row r="1190" spans="44:48" x14ac:dyDescent="0.2">
      <c r="AR1190">
        <v>1182</v>
      </c>
      <c r="AS1190">
        <v>273</v>
      </c>
      <c r="AT1190">
        <v>2</v>
      </c>
      <c r="AU1190">
        <v>-2.6507692602438695</v>
      </c>
      <c r="AV1190">
        <v>2.6495348429169015E-2</v>
      </c>
    </row>
    <row r="1191" spans="44:48" x14ac:dyDescent="0.2">
      <c r="AR1191">
        <v>1183</v>
      </c>
      <c r="AS1191">
        <v>274</v>
      </c>
      <c r="AT1191">
        <v>2</v>
      </c>
      <c r="AU1191">
        <v>-2.6198287289265245</v>
      </c>
      <c r="AV1191">
        <v>2.6799728190991273E-2</v>
      </c>
    </row>
    <row r="1192" spans="44:48" x14ac:dyDescent="0.2">
      <c r="AR1192">
        <v>1184</v>
      </c>
      <c r="AS1192">
        <v>275</v>
      </c>
      <c r="AT1192">
        <v>2</v>
      </c>
      <c r="AU1192">
        <v>-2.5888881976091778</v>
      </c>
      <c r="AV1192">
        <v>2.7106191191800768E-2</v>
      </c>
    </row>
    <row r="1193" spans="44:48" x14ac:dyDescent="0.2">
      <c r="AR1193">
        <v>1185</v>
      </c>
      <c r="AS1193">
        <v>276</v>
      </c>
      <c r="AT1193">
        <v>2</v>
      </c>
      <c r="AU1193">
        <v>-2.557947666291831</v>
      </c>
      <c r="AV1193">
        <v>2.7414729111128518E-2</v>
      </c>
    </row>
    <row r="1194" spans="44:48" x14ac:dyDescent="0.2">
      <c r="AR1194">
        <v>1186</v>
      </c>
      <c r="AS1194">
        <v>277</v>
      </c>
      <c r="AT1194">
        <v>2</v>
      </c>
      <c r="AU1194">
        <v>-2.5270071349744843</v>
      </c>
      <c r="AV1194">
        <v>2.7725333207151058E-2</v>
      </c>
    </row>
    <row r="1195" spans="44:48" x14ac:dyDescent="0.2">
      <c r="AR1195">
        <v>1187</v>
      </c>
      <c r="AS1195">
        <v>278</v>
      </c>
      <c r="AT1195">
        <v>2</v>
      </c>
      <c r="AU1195">
        <v>-2.4960666036571393</v>
      </c>
      <c r="AV1195">
        <v>2.8037994313728012E-2</v>
      </c>
    </row>
    <row r="1196" spans="44:48" x14ac:dyDescent="0.2">
      <c r="AR1196">
        <v>1188</v>
      </c>
      <c r="AS1196">
        <v>279</v>
      </c>
      <c r="AT1196">
        <v>2</v>
      </c>
      <c r="AU1196">
        <v>-2.4651260723397925</v>
      </c>
      <c r="AV1196">
        <v>2.8352702837517441E-2</v>
      </c>
    </row>
    <row r="1197" spans="44:48" x14ac:dyDescent="0.2">
      <c r="AR1197">
        <v>1189</v>
      </c>
      <c r="AS1197">
        <v>280</v>
      </c>
      <c r="AT1197">
        <v>2</v>
      </c>
      <c r="AU1197">
        <v>-2.4341855410224458</v>
      </c>
      <c r="AV1197">
        <v>2.8669448755170364E-2</v>
      </c>
    </row>
    <row r="1198" spans="44:48" x14ac:dyDescent="0.2">
      <c r="AR1198">
        <v>1190</v>
      </c>
      <c r="AS1198">
        <v>281</v>
      </c>
      <c r="AT1198">
        <v>2</v>
      </c>
      <c r="AU1198">
        <v>-2.403245009705099</v>
      </c>
      <c r="AV1198">
        <v>2.8988221610606709E-2</v>
      </c>
    </row>
    <row r="1199" spans="44:48" x14ac:dyDescent="0.2">
      <c r="AR1199">
        <v>1191</v>
      </c>
      <c r="AS1199">
        <v>282</v>
      </c>
      <c r="AT1199">
        <v>2</v>
      </c>
      <c r="AU1199">
        <v>-2.372304478387754</v>
      </c>
      <c r="AV1199">
        <v>2.930901051237398E-2</v>
      </c>
    </row>
    <row r="1200" spans="44:48" x14ac:dyDescent="0.2">
      <c r="AR1200">
        <v>1192</v>
      </c>
      <c r="AS1200">
        <v>283</v>
      </c>
      <c r="AT1200">
        <v>2</v>
      </c>
      <c r="AU1200">
        <v>-2.3413639470704073</v>
      </c>
      <c r="AV1200">
        <v>2.9631804131090907E-2</v>
      </c>
    </row>
    <row r="1201" spans="44:48" x14ac:dyDescent="0.2">
      <c r="AR1201">
        <v>1193</v>
      </c>
      <c r="AS1201">
        <v>284</v>
      </c>
      <c r="AT1201">
        <v>2</v>
      </c>
      <c r="AU1201">
        <v>-2.3104234157530605</v>
      </c>
      <c r="AV1201">
        <v>2.9956590696977141E-2</v>
      </c>
    </row>
    <row r="1202" spans="44:48" x14ac:dyDescent="0.2">
      <c r="AR1202">
        <v>1194</v>
      </c>
      <c r="AS1202">
        <v>285</v>
      </c>
      <c r="AT1202">
        <v>2</v>
      </c>
      <c r="AU1202">
        <v>-2.2794828844357156</v>
      </c>
      <c r="AV1202">
        <v>3.0283357997471512E-2</v>
      </c>
    </row>
    <row r="1203" spans="44:48" x14ac:dyDescent="0.2">
      <c r="AR1203">
        <v>1195</v>
      </c>
      <c r="AS1203">
        <v>286</v>
      </c>
      <c r="AT1203">
        <v>2</v>
      </c>
      <c r="AU1203">
        <v>-2.2485423531183688</v>
      </c>
      <c r="AV1203">
        <v>3.0612093374940079E-2</v>
      </c>
    </row>
    <row r="1204" spans="44:48" x14ac:dyDescent="0.2">
      <c r="AR1204">
        <v>1196</v>
      </c>
      <c r="AS1204">
        <v>287</v>
      </c>
      <c r="AT1204">
        <v>2</v>
      </c>
      <c r="AU1204">
        <v>-2.2176018218010221</v>
      </c>
      <c r="AV1204">
        <v>3.0942783724475582E-2</v>
      </c>
    </row>
    <row r="1205" spans="44:48" x14ac:dyDescent="0.2">
      <c r="AR1205">
        <v>1197</v>
      </c>
      <c r="AS1205">
        <v>288</v>
      </c>
      <c r="AT1205">
        <v>2</v>
      </c>
      <c r="AU1205">
        <v>-2.1866612904836753</v>
      </c>
      <c r="AV1205">
        <v>3.1275415491790477E-2</v>
      </c>
    </row>
    <row r="1206" spans="44:48" x14ac:dyDescent="0.2">
      <c r="AR1206">
        <v>1198</v>
      </c>
      <c r="AS1206">
        <v>289</v>
      </c>
      <c r="AT1206">
        <v>2</v>
      </c>
      <c r="AU1206">
        <v>-2.1557207591663303</v>
      </c>
      <c r="AV1206">
        <v>3.1609974671204792E-2</v>
      </c>
    </row>
    <row r="1207" spans="44:48" x14ac:dyDescent="0.2">
      <c r="AR1207">
        <v>1199</v>
      </c>
      <c r="AS1207">
        <v>290</v>
      </c>
      <c r="AT1207">
        <v>2</v>
      </c>
      <c r="AU1207">
        <v>-2.1247802278489836</v>
      </c>
      <c r="AV1207">
        <v>3.1946446803730717E-2</v>
      </c>
    </row>
    <row r="1208" spans="44:48" x14ac:dyDescent="0.2">
      <c r="AR1208">
        <v>1200</v>
      </c>
      <c r="AS1208">
        <v>291</v>
      </c>
      <c r="AT1208">
        <v>2</v>
      </c>
      <c r="AU1208">
        <v>-2.0938396965316368</v>
      </c>
      <c r="AV1208">
        <v>3.2284816975255315E-2</v>
      </c>
    </row>
    <row r="1209" spans="44:48" x14ac:dyDescent="0.2">
      <c r="AR1209">
        <v>1201</v>
      </c>
      <c r="AS1209">
        <v>292</v>
      </c>
      <c r="AT1209">
        <v>2</v>
      </c>
      <c r="AU1209">
        <v>-2.0628991652142901</v>
      </c>
      <c r="AV1209">
        <v>3.2625069814823236E-2</v>
      </c>
    </row>
    <row r="1210" spans="44:48" x14ac:dyDescent="0.2">
      <c r="AR1210">
        <v>1202</v>
      </c>
      <c r="AS1210">
        <v>293</v>
      </c>
      <c r="AT1210">
        <v>2</v>
      </c>
      <c r="AU1210">
        <v>-2.0319586338969451</v>
      </c>
      <c r="AV1210">
        <v>3.2967189493020937E-2</v>
      </c>
    </row>
    <row r="1211" spans="44:48" x14ac:dyDescent="0.2">
      <c r="AR1211">
        <v>1203</v>
      </c>
      <c r="AS1211">
        <v>294</v>
      </c>
      <c r="AT1211">
        <v>2</v>
      </c>
      <c r="AU1211">
        <v>-2.0010181025795983</v>
      </c>
      <c r="AV1211">
        <v>3.331115972046407E-2</v>
      </c>
    </row>
    <row r="1212" spans="44:48" x14ac:dyDescent="0.2">
      <c r="AR1212">
        <v>1204</v>
      </c>
      <c r="AS1212">
        <v>295</v>
      </c>
      <c r="AT1212">
        <v>2</v>
      </c>
      <c r="AU1212">
        <v>-1.9700775712622516</v>
      </c>
      <c r="AV1212">
        <v>3.3656963746389192E-2</v>
      </c>
    </row>
    <row r="1213" spans="44:48" x14ac:dyDescent="0.2">
      <c r="AR1213">
        <v>1205</v>
      </c>
      <c r="AS1213">
        <v>296</v>
      </c>
      <c r="AT1213">
        <v>2</v>
      </c>
      <c r="AU1213">
        <v>-1.9391370399449066</v>
      </c>
      <c r="AV1213">
        <v>3.4004584357352069E-2</v>
      </c>
    </row>
    <row r="1214" spans="44:48" x14ac:dyDescent="0.2">
      <c r="AR1214">
        <v>1206</v>
      </c>
      <c r="AS1214">
        <v>297</v>
      </c>
      <c r="AT1214">
        <v>2</v>
      </c>
      <c r="AU1214">
        <v>-1.9081965086275599</v>
      </c>
      <c r="AV1214">
        <v>3.4354003876033483E-2</v>
      </c>
    </row>
    <row r="1215" spans="44:48" x14ac:dyDescent="0.2">
      <c r="AR1215">
        <v>1207</v>
      </c>
      <c r="AS1215">
        <v>298</v>
      </c>
      <c r="AT1215">
        <v>2</v>
      </c>
      <c r="AU1215">
        <v>-1.8772559773102131</v>
      </c>
      <c r="AV1215">
        <v>3.470520416015415E-2</v>
      </c>
    </row>
    <row r="1216" spans="44:48" x14ac:dyDescent="0.2">
      <c r="AR1216">
        <v>1208</v>
      </c>
      <c r="AS1216">
        <v>299</v>
      </c>
      <c r="AT1216">
        <v>2</v>
      </c>
      <c r="AU1216">
        <v>-1.8463154459928663</v>
      </c>
      <c r="AV1216">
        <v>3.5058166601500525E-2</v>
      </c>
    </row>
    <row r="1217" spans="44:48" x14ac:dyDescent="0.2">
      <c r="AR1217">
        <v>1209</v>
      </c>
      <c r="AS1217">
        <v>300</v>
      </c>
      <c r="AT1217">
        <v>2</v>
      </c>
      <c r="AU1217">
        <v>-1.8153749146755214</v>
      </c>
      <c r="AV1217">
        <v>3.5412872125062493E-2</v>
      </c>
    </row>
    <row r="1218" spans="44:48" x14ac:dyDescent="0.2">
      <c r="AR1218">
        <v>1210</v>
      </c>
      <c r="AS1218">
        <v>301</v>
      </c>
      <c r="AT1218">
        <v>2</v>
      </c>
      <c r="AU1218">
        <v>-1.7844343833581746</v>
      </c>
      <c r="AV1218">
        <v>3.5769301188284849E-2</v>
      </c>
    </row>
    <row r="1219" spans="44:48" x14ac:dyDescent="0.2">
      <c r="AR1219">
        <v>1211</v>
      </c>
      <c r="AS1219">
        <v>302</v>
      </c>
      <c r="AT1219">
        <v>2</v>
      </c>
      <c r="AU1219">
        <v>-1.7534938520408279</v>
      </c>
      <c r="AV1219">
        <v>3.6127433780433399E-2</v>
      </c>
    </row>
    <row r="1220" spans="44:48" x14ac:dyDescent="0.2">
      <c r="AR1220">
        <v>1212</v>
      </c>
      <c r="AS1220">
        <v>303</v>
      </c>
      <c r="AT1220">
        <v>2</v>
      </c>
      <c r="AU1220">
        <v>-1.7225533207234811</v>
      </c>
      <c r="AV1220">
        <v>3.6487249422077546E-2</v>
      </c>
    </row>
    <row r="1221" spans="44:48" x14ac:dyDescent="0.2">
      <c r="AR1221">
        <v>1213</v>
      </c>
      <c r="AS1221">
        <v>304</v>
      </c>
      <c r="AT1221">
        <v>2</v>
      </c>
      <c r="AU1221">
        <v>-1.6916127894061361</v>
      </c>
      <c r="AV1221">
        <v>3.6848727164690398E-2</v>
      </c>
    </row>
    <row r="1222" spans="44:48" x14ac:dyDescent="0.2">
      <c r="AR1222">
        <v>1214</v>
      </c>
      <c r="AS1222">
        <v>305</v>
      </c>
      <c r="AT1222">
        <v>2</v>
      </c>
      <c r="AU1222">
        <v>-1.6606722580887894</v>
      </c>
      <c r="AV1222">
        <v>3.7211845590367949E-2</v>
      </c>
    </row>
    <row r="1223" spans="44:48" x14ac:dyDescent="0.2">
      <c r="AR1223">
        <v>1215</v>
      </c>
      <c r="AS1223">
        <v>306</v>
      </c>
      <c r="AT1223">
        <v>2</v>
      </c>
      <c r="AU1223">
        <v>-1.6297317267714426</v>
      </c>
      <c r="AV1223">
        <v>3.7576582811668133E-2</v>
      </c>
    </row>
    <row r="1224" spans="44:48" x14ac:dyDescent="0.2">
      <c r="AR1224">
        <v>1216</v>
      </c>
      <c r="AS1224">
        <v>307</v>
      </c>
      <c r="AT1224">
        <v>2</v>
      </c>
      <c r="AU1224">
        <v>-1.5987911954540959</v>
      </c>
      <c r="AV1224">
        <v>3.7942916471571601E-2</v>
      </c>
    </row>
    <row r="1225" spans="44:48" x14ac:dyDescent="0.2">
      <c r="AR1225">
        <v>1217</v>
      </c>
      <c r="AS1225">
        <v>308</v>
      </c>
      <c r="AT1225">
        <v>2</v>
      </c>
      <c r="AU1225">
        <v>-1.5678506641367509</v>
      </c>
      <c r="AV1225">
        <v>3.8310823743565037E-2</v>
      </c>
    </row>
    <row r="1226" spans="44:48" x14ac:dyDescent="0.2">
      <c r="AR1226">
        <v>1218</v>
      </c>
      <c r="AS1226">
        <v>309</v>
      </c>
      <c r="AT1226">
        <v>2</v>
      </c>
      <c r="AU1226">
        <v>-1.5369101328194041</v>
      </c>
      <c r="AV1226">
        <v>3.8680281331848275E-2</v>
      </c>
    </row>
    <row r="1227" spans="44:48" x14ac:dyDescent="0.2">
      <c r="AR1227">
        <v>1219</v>
      </c>
      <c r="AS1227">
        <v>310</v>
      </c>
      <c r="AT1227">
        <v>2</v>
      </c>
      <c r="AU1227">
        <v>-1.5059696015020574</v>
      </c>
      <c r="AV1227">
        <v>3.9051265471666395E-2</v>
      </c>
    </row>
    <row r="1228" spans="44:48" x14ac:dyDescent="0.2">
      <c r="AR1228">
        <v>1220</v>
      </c>
      <c r="AS1228">
        <v>311</v>
      </c>
      <c r="AT1228">
        <v>2</v>
      </c>
      <c r="AU1228">
        <v>-1.4750290701847124</v>
      </c>
      <c r="AV1228">
        <v>3.9423751929767777E-2</v>
      </c>
    </row>
    <row r="1229" spans="44:48" x14ac:dyDescent="0.2">
      <c r="AR1229">
        <v>1221</v>
      </c>
      <c r="AS1229">
        <v>312</v>
      </c>
      <c r="AT1229">
        <v>2</v>
      </c>
      <c r="AU1229">
        <v>-1.4440885388673657</v>
      </c>
      <c r="AV1229">
        <v>3.9797716004989554E-2</v>
      </c>
    </row>
    <row r="1230" spans="44:48" x14ac:dyDescent="0.2">
      <c r="AR1230">
        <v>1222</v>
      </c>
      <c r="AS1230">
        <v>313</v>
      </c>
      <c r="AT1230">
        <v>2</v>
      </c>
      <c r="AU1230">
        <v>-1.4131480075500189</v>
      </c>
      <c r="AV1230">
        <v>4.0173132528970916E-2</v>
      </c>
    </row>
    <row r="1231" spans="44:48" x14ac:dyDescent="0.2">
      <c r="AR1231">
        <v>1223</v>
      </c>
      <c r="AS1231">
        <v>314</v>
      </c>
      <c r="AT1231">
        <v>2</v>
      </c>
      <c r="AU1231">
        <v>-1.3822074762326721</v>
      </c>
      <c r="AV1231">
        <v>4.0549975866995783E-2</v>
      </c>
    </row>
    <row r="1232" spans="44:48" x14ac:dyDescent="0.2">
      <c r="AR1232">
        <v>1224</v>
      </c>
      <c r="AS1232">
        <v>315</v>
      </c>
      <c r="AT1232">
        <v>2</v>
      </c>
      <c r="AU1232">
        <v>-1.3512669449153272</v>
      </c>
      <c r="AV1232">
        <v>4.0928219918965537E-2</v>
      </c>
    </row>
    <row r="1233" spans="44:48" x14ac:dyDescent="0.2">
      <c r="AR1233">
        <v>1225</v>
      </c>
      <c r="AS1233">
        <v>316</v>
      </c>
      <c r="AT1233">
        <v>2</v>
      </c>
      <c r="AU1233">
        <v>-1.3203264135979804</v>
      </c>
      <c r="AV1233">
        <v>4.1307838120502982E-2</v>
      </c>
    </row>
    <row r="1234" spans="44:48" x14ac:dyDescent="0.2">
      <c r="AR1234">
        <v>1226</v>
      </c>
      <c r="AS1234">
        <v>317</v>
      </c>
      <c r="AT1234">
        <v>2</v>
      </c>
      <c r="AU1234">
        <v>-1.2893858822806337</v>
      </c>
      <c r="AV1234">
        <v>4.1688803444187773E-2</v>
      </c>
    </row>
    <row r="1235" spans="44:48" x14ac:dyDescent="0.2">
      <c r="AR1235">
        <v>1227</v>
      </c>
      <c r="AS1235">
        <v>318</v>
      </c>
      <c r="AT1235">
        <v>2</v>
      </c>
      <c r="AU1235">
        <v>-1.2584453509632869</v>
      </c>
      <c r="AV1235">
        <v>4.2071088400925244E-2</v>
      </c>
    </row>
    <row r="1236" spans="44:48" x14ac:dyDescent="0.2">
      <c r="AR1236">
        <v>1228</v>
      </c>
      <c r="AS1236">
        <v>319</v>
      </c>
      <c r="AT1236">
        <v>2</v>
      </c>
      <c r="AU1236">
        <v>-1.2275048196459419</v>
      </c>
      <c r="AV1236">
        <v>4.2454665041448222E-2</v>
      </c>
    </row>
    <row r="1237" spans="44:48" x14ac:dyDescent="0.2">
      <c r="AR1237">
        <v>1229</v>
      </c>
      <c r="AS1237">
        <v>320</v>
      </c>
      <c r="AT1237">
        <v>2</v>
      </c>
      <c r="AU1237">
        <v>-1.1965642883285952</v>
      </c>
      <c r="AV1237">
        <v>4.2839504957953717E-2</v>
      </c>
    </row>
    <row r="1238" spans="44:48" x14ac:dyDescent="0.2">
      <c r="AR1238">
        <v>1230</v>
      </c>
      <c r="AS1238">
        <v>321</v>
      </c>
      <c r="AT1238">
        <v>2</v>
      </c>
      <c r="AU1238">
        <v>-1.1656237570112484</v>
      </c>
      <c r="AV1238">
        <v>4.3225579285874227E-2</v>
      </c>
    </row>
    <row r="1239" spans="44:48" x14ac:dyDescent="0.2">
      <c r="AR1239">
        <v>1231</v>
      </c>
      <c r="AS1239">
        <v>322</v>
      </c>
      <c r="AT1239">
        <v>2</v>
      </c>
      <c r="AU1239">
        <v>-1.1346832256939035</v>
      </c>
      <c r="AV1239">
        <v>4.3612858705784928E-2</v>
      </c>
    </row>
    <row r="1240" spans="44:48" x14ac:dyDescent="0.2">
      <c r="AR1240">
        <v>1232</v>
      </c>
      <c r="AS1240">
        <v>323</v>
      </c>
      <c r="AT1240">
        <v>2</v>
      </c>
      <c r="AU1240">
        <v>-1.1037426943765567</v>
      </c>
      <c r="AV1240">
        <v>4.4001313445447429E-2</v>
      </c>
    </row>
    <row r="1241" spans="44:48" x14ac:dyDescent="0.2">
      <c r="AR1241">
        <v>1233</v>
      </c>
      <c r="AS1241">
        <v>324</v>
      </c>
      <c r="AT1241">
        <v>2</v>
      </c>
      <c r="AU1241">
        <v>-1.0728021630592099</v>
      </c>
      <c r="AV1241">
        <v>4.4390913281990088E-2</v>
      </c>
    </row>
    <row r="1242" spans="44:48" x14ac:dyDescent="0.2">
      <c r="AR1242">
        <v>1234</v>
      </c>
      <c r="AS1242">
        <v>325</v>
      </c>
      <c r="AT1242">
        <v>2</v>
      </c>
      <c r="AU1242">
        <v>-1.0418616317418632</v>
      </c>
      <c r="AV1242">
        <v>4.4781627544226099E-2</v>
      </c>
    </row>
    <row r="1243" spans="44:48" x14ac:dyDescent="0.2">
      <c r="AR1243">
        <v>1235</v>
      </c>
      <c r="AS1243">
        <v>326</v>
      </c>
      <c r="AT1243">
        <v>2</v>
      </c>
      <c r="AU1243">
        <v>-1.0109211004245182</v>
      </c>
      <c r="AV1243">
        <v>4.5173425115109495E-2</v>
      </c>
    </row>
    <row r="1244" spans="44:48" x14ac:dyDescent="0.2">
      <c r="AR1244">
        <v>1236</v>
      </c>
      <c r="AS1244">
        <v>327</v>
      </c>
      <c r="AT1244">
        <v>2</v>
      </c>
      <c r="AU1244">
        <v>-0.97998056910717146</v>
      </c>
      <c r="AV1244">
        <v>4.5566274434329597E-2</v>
      </c>
    </row>
    <row r="1245" spans="44:48" x14ac:dyDescent="0.2">
      <c r="AR1245">
        <v>1237</v>
      </c>
      <c r="AS1245">
        <v>328</v>
      </c>
      <c r="AT1245">
        <v>2</v>
      </c>
      <c r="AU1245">
        <v>-0.94904003778982471</v>
      </c>
      <c r="AV1245">
        <v>4.5960143501044153E-2</v>
      </c>
    </row>
    <row r="1246" spans="44:48" x14ac:dyDescent="0.2">
      <c r="AR1246">
        <v>1238</v>
      </c>
      <c r="AS1246">
        <v>329</v>
      </c>
      <c r="AT1246">
        <v>2</v>
      </c>
      <c r="AU1246">
        <v>-0.91809950647247796</v>
      </c>
      <c r="AV1246">
        <v>4.6354999876751943E-2</v>
      </c>
    </row>
    <row r="1247" spans="44:48" x14ac:dyDescent="0.2">
      <c r="AR1247">
        <v>1239</v>
      </c>
      <c r="AS1247">
        <v>330</v>
      </c>
      <c r="AT1247">
        <v>2</v>
      </c>
      <c r="AU1247">
        <v>-0.88715897515513298</v>
      </c>
      <c r="AV1247">
        <v>4.6750810688304577E-2</v>
      </c>
    </row>
    <row r="1248" spans="44:48" x14ac:dyDescent="0.2">
      <c r="AR1248">
        <v>1240</v>
      </c>
      <c r="AS1248">
        <v>331</v>
      </c>
      <c r="AT1248">
        <v>2</v>
      </c>
      <c r="AU1248">
        <v>-0.85621844383778623</v>
      </c>
      <c r="AV1248">
        <v>4.7147542631058401E-2</v>
      </c>
    </row>
    <row r="1249" spans="44:48" x14ac:dyDescent="0.2">
      <c r="AR1249">
        <v>1241</v>
      </c>
      <c r="AS1249">
        <v>332</v>
      </c>
      <c r="AT1249">
        <v>2</v>
      </c>
      <c r="AU1249">
        <v>-0.82527791252043947</v>
      </c>
      <c r="AV1249">
        <v>4.754516197216601E-2</v>
      </c>
    </row>
    <row r="1250" spans="44:48" x14ac:dyDescent="0.2">
      <c r="AR1250">
        <v>1242</v>
      </c>
      <c r="AS1250">
        <v>333</v>
      </c>
      <c r="AT1250">
        <v>2</v>
      </c>
      <c r="AU1250">
        <v>-0.79433738120309272</v>
      </c>
      <c r="AV1250">
        <v>4.7943634554008165E-2</v>
      </c>
    </row>
    <row r="1251" spans="44:48" x14ac:dyDescent="0.2">
      <c r="AR1251">
        <v>1243</v>
      </c>
      <c r="AS1251">
        <v>334</v>
      </c>
      <c r="AT1251">
        <v>2</v>
      </c>
      <c r="AU1251">
        <v>-0.76339684988574774</v>
      </c>
      <c r="AV1251">
        <v>4.8342925797765786E-2</v>
      </c>
    </row>
    <row r="1252" spans="44:48" x14ac:dyDescent="0.2">
      <c r="AR1252">
        <v>1244</v>
      </c>
      <c r="AS1252">
        <v>335</v>
      </c>
      <c r="AT1252">
        <v>2</v>
      </c>
      <c r="AU1252">
        <v>-0.73245631856840099</v>
      </c>
      <c r="AV1252">
        <v>4.8743000707132444E-2</v>
      </c>
    </row>
    <row r="1253" spans="44:48" x14ac:dyDescent="0.2">
      <c r="AR1253">
        <v>1245</v>
      </c>
      <c r="AS1253">
        <v>336</v>
      </c>
      <c r="AT1253">
        <v>2</v>
      </c>
      <c r="AU1253">
        <v>-0.70151578725105423</v>
      </c>
      <c r="AV1253">
        <v>4.9143823872166863E-2</v>
      </c>
    </row>
    <row r="1254" spans="44:48" x14ac:dyDescent="0.2">
      <c r="AR1254">
        <v>1246</v>
      </c>
      <c r="AS1254">
        <v>337</v>
      </c>
      <c r="AT1254">
        <v>2</v>
      </c>
      <c r="AU1254">
        <v>-0.67057525593370926</v>
      </c>
      <c r="AV1254">
        <v>4.9545359473285991E-2</v>
      </c>
    </row>
    <row r="1255" spans="44:48" x14ac:dyDescent="0.2">
      <c r="AR1255">
        <v>1247</v>
      </c>
      <c r="AS1255">
        <v>338</v>
      </c>
      <c r="AT1255">
        <v>2</v>
      </c>
      <c r="AU1255">
        <v>-0.6396347246163625</v>
      </c>
      <c r="AV1255">
        <v>4.9947571285398153E-2</v>
      </c>
    </row>
    <row r="1256" spans="44:48" x14ac:dyDescent="0.2">
      <c r="AR1256">
        <v>1248</v>
      </c>
      <c r="AS1256">
        <v>339</v>
      </c>
      <c r="AT1256">
        <v>2</v>
      </c>
      <c r="AU1256">
        <v>-0.60869419329901575</v>
      </c>
      <c r="AV1256">
        <v>5.0350422682176064E-2</v>
      </c>
    </row>
    <row r="1257" spans="44:48" x14ac:dyDescent="0.2">
      <c r="AR1257">
        <v>1249</v>
      </c>
      <c r="AS1257">
        <v>340</v>
      </c>
      <c r="AT1257">
        <v>2</v>
      </c>
      <c r="AU1257">
        <v>-0.577753661981669</v>
      </c>
      <c r="AV1257">
        <v>5.0753876640470007E-2</v>
      </c>
    </row>
    <row r="1258" spans="44:48" x14ac:dyDescent="0.2">
      <c r="AR1258">
        <v>1250</v>
      </c>
      <c r="AS1258">
        <v>341</v>
      </c>
      <c r="AT1258">
        <v>2</v>
      </c>
      <c r="AU1258">
        <v>-0.54681313066432402</v>
      </c>
      <c r="AV1258">
        <v>5.115789574486021E-2</v>
      </c>
    </row>
    <row r="1259" spans="44:48" x14ac:dyDescent="0.2">
      <c r="AR1259">
        <v>1251</v>
      </c>
      <c r="AS1259">
        <v>342</v>
      </c>
      <c r="AT1259">
        <v>2</v>
      </c>
      <c r="AU1259">
        <v>-0.51587259934697727</v>
      </c>
      <c r="AV1259">
        <v>5.1562442192348935E-2</v>
      </c>
    </row>
    <row r="1260" spans="44:48" x14ac:dyDescent="0.2">
      <c r="AR1260">
        <v>1252</v>
      </c>
      <c r="AS1260">
        <v>343</v>
      </c>
      <c r="AT1260">
        <v>2</v>
      </c>
      <c r="AU1260">
        <v>-0.48493206802963051</v>
      </c>
      <c r="AV1260">
        <v>5.196747779719104E-2</v>
      </c>
    </row>
    <row r="1261" spans="44:48" x14ac:dyDescent="0.2">
      <c r="AR1261">
        <v>1253</v>
      </c>
      <c r="AS1261">
        <v>344</v>
      </c>
      <c r="AT1261">
        <v>2</v>
      </c>
      <c r="AU1261">
        <v>-0.45399153671228376</v>
      </c>
      <c r="AV1261">
        <v>5.2372963995863372E-2</v>
      </c>
    </row>
    <row r="1262" spans="44:48" x14ac:dyDescent="0.2">
      <c r="AR1262">
        <v>1254</v>
      </c>
      <c r="AS1262">
        <v>345</v>
      </c>
      <c r="AT1262">
        <v>2</v>
      </c>
      <c r="AU1262">
        <v>-0.42305100539493878</v>
      </c>
      <c r="AV1262">
        <v>5.2778861852172052E-2</v>
      </c>
    </row>
    <row r="1263" spans="44:48" x14ac:dyDescent="0.2">
      <c r="AR1263">
        <v>1255</v>
      </c>
      <c r="AS1263">
        <v>346</v>
      </c>
      <c r="AT1263">
        <v>2</v>
      </c>
      <c r="AU1263">
        <v>-0.39211047407759203</v>
      </c>
      <c r="AV1263">
        <v>5.3185132062497413E-2</v>
      </c>
    </row>
    <row r="1264" spans="44:48" x14ac:dyDescent="0.2">
      <c r="AR1264">
        <v>1256</v>
      </c>
      <c r="AS1264">
        <v>347</v>
      </c>
      <c r="AT1264">
        <v>2</v>
      </c>
      <c r="AU1264">
        <v>-0.36116994276024528</v>
      </c>
      <c r="AV1264">
        <v>5.3591734961175683E-2</v>
      </c>
    </row>
    <row r="1265" spans="44:48" x14ac:dyDescent="0.2">
      <c r="AR1265">
        <v>1257</v>
      </c>
      <c r="AS1265">
        <v>348</v>
      </c>
      <c r="AT1265">
        <v>2</v>
      </c>
      <c r="AU1265">
        <v>-0.3302294114429003</v>
      </c>
      <c r="AV1265">
        <v>5.399863052601718E-2</v>
      </c>
    </row>
    <row r="1266" spans="44:48" x14ac:dyDescent="0.2">
      <c r="AR1266">
        <v>1258</v>
      </c>
      <c r="AS1266">
        <v>349</v>
      </c>
      <c r="AT1266">
        <v>2</v>
      </c>
      <c r="AU1266">
        <v>-0.29928888012555355</v>
      </c>
      <c r="AV1266">
        <v>5.4405778383960109E-2</v>
      </c>
    </row>
    <row r="1267" spans="44:48" x14ac:dyDescent="0.2">
      <c r="AR1267">
        <v>1259</v>
      </c>
      <c r="AS1267">
        <v>350</v>
      </c>
      <c r="AT1267">
        <v>2</v>
      </c>
      <c r="AU1267">
        <v>-0.26834834880820679</v>
      </c>
      <c r="AV1267">
        <v>5.4813137816859071E-2</v>
      </c>
    </row>
    <row r="1268" spans="44:48" x14ac:dyDescent="0.2">
      <c r="AR1268">
        <v>1260</v>
      </c>
      <c r="AS1268">
        <v>351</v>
      </c>
      <c r="AT1268">
        <v>2</v>
      </c>
      <c r="AU1268">
        <v>-0.23740781749086004</v>
      </c>
      <c r="AV1268">
        <v>5.522066776740802E-2</v>
      </c>
    </row>
    <row r="1269" spans="44:48" x14ac:dyDescent="0.2">
      <c r="AR1269">
        <v>1261</v>
      </c>
      <c r="AS1269">
        <v>352</v>
      </c>
      <c r="AT1269">
        <v>2</v>
      </c>
      <c r="AU1269">
        <v>-0.20646728617351506</v>
      </c>
      <c r="AV1269">
        <v>5.562832684519612E-2</v>
      </c>
    </row>
    <row r="1270" spans="44:48" x14ac:dyDescent="0.2">
      <c r="AR1270">
        <v>1262</v>
      </c>
      <c r="AS1270">
        <v>353</v>
      </c>
      <c r="AT1270">
        <v>2</v>
      </c>
      <c r="AU1270">
        <v>-0.17552675485616831</v>
      </c>
      <c r="AV1270">
        <v>5.6036073332896272E-2</v>
      </c>
    </row>
    <row r="1271" spans="44:48" x14ac:dyDescent="0.2">
      <c r="AR1271">
        <v>1263</v>
      </c>
      <c r="AS1271">
        <v>354</v>
      </c>
      <c r="AT1271">
        <v>2</v>
      </c>
      <c r="AU1271">
        <v>-0.14458622353882156</v>
      </c>
      <c r="AV1271">
        <v>5.6443865192584708E-2</v>
      </c>
    </row>
    <row r="1272" spans="44:48" x14ac:dyDescent="0.2">
      <c r="AR1272">
        <v>1264</v>
      </c>
      <c r="AS1272">
        <v>355</v>
      </c>
      <c r="AT1272">
        <v>2</v>
      </c>
      <c r="AU1272">
        <v>-0.1136456922214748</v>
      </c>
      <c r="AV1272">
        <v>5.6851660072191286E-2</v>
      </c>
    </row>
    <row r="1273" spans="44:48" x14ac:dyDescent="0.2">
      <c r="AR1273">
        <v>1265</v>
      </c>
      <c r="AS1273">
        <v>356</v>
      </c>
      <c r="AT1273">
        <v>2</v>
      </c>
      <c r="AU1273">
        <v>-8.2705160904129826E-2</v>
      </c>
      <c r="AV1273">
        <v>5.7259415312078808E-2</v>
      </c>
    </row>
    <row r="1274" spans="44:48" x14ac:dyDescent="0.2">
      <c r="AR1274">
        <v>1266</v>
      </c>
      <c r="AS1274">
        <v>357</v>
      </c>
      <c r="AT1274">
        <v>2</v>
      </c>
      <c r="AU1274">
        <v>-5.1764629586783073E-2</v>
      </c>
      <c r="AV1274">
        <v>5.7667087951750851E-2</v>
      </c>
    </row>
    <row r="1275" spans="44:48" x14ac:dyDescent="0.2">
      <c r="AR1275">
        <v>1267</v>
      </c>
      <c r="AS1275">
        <v>358</v>
      </c>
      <c r="AT1275">
        <v>2</v>
      </c>
      <c r="AU1275">
        <v>-2.082409826943632E-2</v>
      </c>
      <c r="AV1275">
        <v>5.8074634736686163E-2</v>
      </c>
    </row>
    <row r="1276" spans="44:48" x14ac:dyDescent="0.2">
      <c r="AR1276">
        <v>1268</v>
      </c>
      <c r="AS1276">
        <v>359</v>
      </c>
      <c r="AT1276">
        <v>2</v>
      </c>
      <c r="AU1276">
        <v>1.0116433047910434E-2</v>
      </c>
      <c r="AV1276">
        <v>5.8482012125299243E-2</v>
      </c>
    </row>
    <row r="1277" spans="44:48" x14ac:dyDescent="0.2">
      <c r="AR1277">
        <v>1269</v>
      </c>
      <c r="AS1277">
        <v>360</v>
      </c>
      <c r="AT1277">
        <v>2</v>
      </c>
      <c r="AU1277">
        <v>4.1056964365255411E-2</v>
      </c>
      <c r="AV1277">
        <v>5.8889176296025157E-2</v>
      </c>
    </row>
    <row r="1278" spans="44:48" x14ac:dyDescent="0.2">
      <c r="AR1278">
        <v>1270</v>
      </c>
      <c r="AS1278">
        <v>361</v>
      </c>
      <c r="AT1278">
        <v>2</v>
      </c>
      <c r="AU1278">
        <v>7.1997495682602164E-2</v>
      </c>
      <c r="AV1278">
        <v>5.9296083154527661E-2</v>
      </c>
    </row>
    <row r="1279" spans="44:48" x14ac:dyDescent="0.2">
      <c r="AR1279">
        <v>1271</v>
      </c>
      <c r="AS1279">
        <v>362</v>
      </c>
      <c r="AT1279">
        <v>2</v>
      </c>
      <c r="AU1279">
        <v>0.10293802699994892</v>
      </c>
      <c r="AV1279">
        <v>5.9702688341028799E-2</v>
      </c>
    </row>
    <row r="1280" spans="44:48" x14ac:dyDescent="0.2">
      <c r="AR1280">
        <v>1272</v>
      </c>
      <c r="AS1280">
        <v>363</v>
      </c>
      <c r="AT1280">
        <v>2</v>
      </c>
      <c r="AU1280">
        <v>0.13387855831729389</v>
      </c>
      <c r="AV1280">
        <v>6.0108947237758989E-2</v>
      </c>
    </row>
    <row r="1281" spans="44:48" x14ac:dyDescent="0.2">
      <c r="AR1281">
        <v>1273</v>
      </c>
      <c r="AS1281">
        <v>364</v>
      </c>
      <c r="AT1281">
        <v>2</v>
      </c>
      <c r="AU1281">
        <v>0.16481908963464065</v>
      </c>
      <c r="AV1281">
        <v>6.0514814976526006E-2</v>
      </c>
    </row>
    <row r="1282" spans="44:48" x14ac:dyDescent="0.2">
      <c r="AR1282">
        <v>1274</v>
      </c>
      <c r="AS1282">
        <v>365</v>
      </c>
      <c r="AT1282">
        <v>2</v>
      </c>
      <c r="AU1282">
        <v>0.1957596209519874</v>
      </c>
      <c r="AV1282">
        <v>6.0920246446400782E-2</v>
      </c>
    </row>
    <row r="1283" spans="44:48" x14ac:dyDescent="0.2">
      <c r="AR1283">
        <v>1275</v>
      </c>
      <c r="AS1283">
        <v>366</v>
      </c>
      <c r="AT1283">
        <v>2</v>
      </c>
      <c r="AU1283">
        <v>0.22670015226933415</v>
      </c>
      <c r="AV1283">
        <v>6.1325196301519093E-2</v>
      </c>
    </row>
    <row r="1284" spans="44:48" x14ac:dyDescent="0.2">
      <c r="AR1284">
        <v>1276</v>
      </c>
      <c r="AS1284">
        <v>367</v>
      </c>
      <c r="AT1284">
        <v>2</v>
      </c>
      <c r="AU1284">
        <v>0.25764068358667913</v>
      </c>
      <c r="AV1284">
        <v>6.1729618968997139E-2</v>
      </c>
    </row>
    <row r="1285" spans="44:48" x14ac:dyDescent="0.2">
      <c r="AR1285">
        <v>1277</v>
      </c>
      <c r="AS1285">
        <v>368</v>
      </c>
      <c r="AT1285">
        <v>2</v>
      </c>
      <c r="AU1285">
        <v>0.28858121490402588</v>
      </c>
      <c r="AV1285">
        <v>6.2133468656959408E-2</v>
      </c>
    </row>
    <row r="1286" spans="44:48" x14ac:dyDescent="0.2">
      <c r="AR1286">
        <v>1278</v>
      </c>
      <c r="AS1286">
        <v>369</v>
      </c>
      <c r="AT1286">
        <v>2</v>
      </c>
      <c r="AU1286">
        <v>0.31952174622137264</v>
      </c>
      <c r="AV1286">
        <v>6.2536699362676612E-2</v>
      </c>
    </row>
    <row r="1287" spans="44:48" x14ac:dyDescent="0.2">
      <c r="AR1287">
        <v>1279</v>
      </c>
      <c r="AS1287">
        <v>370</v>
      </c>
      <c r="AT1287">
        <v>2</v>
      </c>
      <c r="AU1287">
        <v>0.35046227753871939</v>
      </c>
      <c r="AV1287">
        <v>6.2939264880812709E-2</v>
      </c>
    </row>
    <row r="1288" spans="44:48" x14ac:dyDescent="0.2">
      <c r="AR1288">
        <v>1280</v>
      </c>
      <c r="AS1288">
        <v>371</v>
      </c>
      <c r="AT1288">
        <v>2</v>
      </c>
      <c r="AU1288">
        <v>0.38140280885606437</v>
      </c>
      <c r="AV1288">
        <v>6.3341118811778271E-2</v>
      </c>
    </row>
    <row r="1289" spans="44:48" x14ac:dyDescent="0.2">
      <c r="AR1289">
        <v>1281</v>
      </c>
      <c r="AS1289">
        <v>372</v>
      </c>
      <c r="AT1289">
        <v>2</v>
      </c>
      <c r="AU1289">
        <v>0.41234334017341112</v>
      </c>
      <c r="AV1289">
        <v>6.3742214570188971E-2</v>
      </c>
    </row>
    <row r="1290" spans="44:48" x14ac:dyDescent="0.2">
      <c r="AR1290">
        <v>1282</v>
      </c>
      <c r="AS1290">
        <v>373</v>
      </c>
      <c r="AT1290">
        <v>2</v>
      </c>
      <c r="AU1290">
        <v>0.44328387149075787</v>
      </c>
      <c r="AV1290">
        <v>6.4142505393426627E-2</v>
      </c>
    </row>
    <row r="1291" spans="44:48" x14ac:dyDescent="0.2">
      <c r="AR1291">
        <v>1283</v>
      </c>
      <c r="AS1291">
        <v>374</v>
      </c>
      <c r="AT1291">
        <v>2</v>
      </c>
      <c r="AU1291">
        <v>0.47422440280810285</v>
      </c>
      <c r="AV1291">
        <v>6.4541944350301056E-2</v>
      </c>
    </row>
    <row r="1292" spans="44:48" x14ac:dyDescent="0.2">
      <c r="AR1292">
        <v>1284</v>
      </c>
      <c r="AS1292">
        <v>375</v>
      </c>
      <c r="AT1292">
        <v>2</v>
      </c>
      <c r="AU1292">
        <v>0.50516493412544961</v>
      </c>
      <c r="AV1292">
        <v>6.4940484349810992E-2</v>
      </c>
    </row>
    <row r="1293" spans="44:48" x14ac:dyDescent="0.2">
      <c r="AR1293">
        <v>1285</v>
      </c>
      <c r="AS1293">
        <v>376</v>
      </c>
      <c r="AT1293">
        <v>2</v>
      </c>
      <c r="AU1293">
        <v>0.53610546544279636</v>
      </c>
      <c r="AV1293">
        <v>6.5338078150000936E-2</v>
      </c>
    </row>
    <row r="1294" spans="44:48" x14ac:dyDescent="0.2">
      <c r="AR1294">
        <v>1286</v>
      </c>
      <c r="AS1294">
        <v>377</v>
      </c>
      <c r="AT1294">
        <v>2</v>
      </c>
      <c r="AU1294">
        <v>0.56704599676014311</v>
      </c>
      <c r="AV1294">
        <v>6.5734678366913116E-2</v>
      </c>
    </row>
    <row r="1295" spans="44:48" x14ac:dyDescent="0.2">
      <c r="AR1295">
        <v>1287</v>
      </c>
      <c r="AS1295">
        <v>378</v>
      </c>
      <c r="AT1295">
        <v>2</v>
      </c>
      <c r="AU1295">
        <v>0.59798652807748809</v>
      </c>
      <c r="AV1295">
        <v>6.613023748363106E-2</v>
      </c>
    </row>
    <row r="1296" spans="44:48" x14ac:dyDescent="0.2">
      <c r="AR1296">
        <v>1288</v>
      </c>
      <c r="AS1296">
        <v>379</v>
      </c>
      <c r="AT1296">
        <v>2</v>
      </c>
      <c r="AU1296">
        <v>0.62892705939483484</v>
      </c>
      <c r="AV1296">
        <v>6.6524707859413459E-2</v>
      </c>
    </row>
    <row r="1297" spans="44:48" x14ac:dyDescent="0.2">
      <c r="AR1297">
        <v>1289</v>
      </c>
      <c r="AS1297">
        <v>380</v>
      </c>
      <c r="AT1297">
        <v>2</v>
      </c>
      <c r="AU1297">
        <v>0.6598675907121816</v>
      </c>
      <c r="AV1297">
        <v>6.6918041738915288E-2</v>
      </c>
    </row>
    <row r="1298" spans="44:48" x14ac:dyDescent="0.2">
      <c r="AR1298">
        <v>1290</v>
      </c>
      <c r="AS1298">
        <v>381</v>
      </c>
      <c r="AT1298">
        <v>2</v>
      </c>
      <c r="AU1298">
        <v>0.69080812202952835</v>
      </c>
      <c r="AV1298">
        <v>6.7310191261494456E-2</v>
      </c>
    </row>
    <row r="1299" spans="44:48" x14ac:dyDescent="0.2">
      <c r="AR1299">
        <v>1291</v>
      </c>
      <c r="AS1299">
        <v>382</v>
      </c>
      <c r="AT1299">
        <v>2</v>
      </c>
      <c r="AU1299">
        <v>0.72174865334687333</v>
      </c>
      <c r="AV1299">
        <v>6.7701108470600929E-2</v>
      </c>
    </row>
    <row r="1300" spans="44:48" x14ac:dyDescent="0.2">
      <c r="AR1300">
        <v>1292</v>
      </c>
      <c r="AS1300">
        <v>383</v>
      </c>
      <c r="AT1300">
        <v>2</v>
      </c>
      <c r="AU1300">
        <v>0.75268918466422008</v>
      </c>
      <c r="AV1300">
        <v>6.8090745323246618E-2</v>
      </c>
    </row>
    <row r="1301" spans="44:48" x14ac:dyDescent="0.2">
      <c r="AR1301">
        <v>1293</v>
      </c>
      <c r="AS1301">
        <v>384</v>
      </c>
      <c r="AT1301">
        <v>2</v>
      </c>
      <c r="AU1301">
        <v>0.78362971598156683</v>
      </c>
      <c r="AV1301">
        <v>6.8479053699552608E-2</v>
      </c>
    </row>
    <row r="1302" spans="44:48" x14ac:dyDescent="0.2">
      <c r="AR1302">
        <v>1294</v>
      </c>
      <c r="AS1302">
        <v>385</v>
      </c>
      <c r="AT1302">
        <v>2</v>
      </c>
      <c r="AU1302">
        <v>0.81457024729891181</v>
      </c>
      <c r="AV1302">
        <v>6.8865985412372058E-2</v>
      </c>
    </row>
    <row r="1303" spans="44:48" x14ac:dyDescent="0.2">
      <c r="AR1303">
        <v>1295</v>
      </c>
      <c r="AS1303">
        <v>386</v>
      </c>
      <c r="AT1303">
        <v>2</v>
      </c>
      <c r="AU1303">
        <v>0.84551077861625856</v>
      </c>
      <c r="AV1303">
        <v>6.9251492216985816E-2</v>
      </c>
    </row>
    <row r="1304" spans="44:48" x14ac:dyDescent="0.2">
      <c r="AR1304">
        <v>1296</v>
      </c>
      <c r="AS1304">
        <v>387</v>
      </c>
      <c r="AT1304">
        <v>2</v>
      </c>
      <c r="AU1304">
        <v>0.87645130993360532</v>
      </c>
      <c r="AV1304">
        <v>6.9635525820867794E-2</v>
      </c>
    </row>
    <row r="1305" spans="44:48" x14ac:dyDescent="0.2">
      <c r="AR1305">
        <v>1297</v>
      </c>
      <c r="AS1305">
        <v>388</v>
      </c>
      <c r="AT1305">
        <v>2</v>
      </c>
      <c r="AU1305">
        <v>0.90739184125095207</v>
      </c>
      <c r="AV1305">
        <v>7.0018037893518154E-2</v>
      </c>
    </row>
    <row r="1306" spans="44:48" x14ac:dyDescent="0.2">
      <c r="AR1306">
        <v>1298</v>
      </c>
      <c r="AS1306">
        <v>389</v>
      </c>
      <c r="AT1306">
        <v>2</v>
      </c>
      <c r="AU1306">
        <v>0.93833237256829705</v>
      </c>
      <c r="AV1306">
        <v>7.0398980076360917E-2</v>
      </c>
    </row>
    <row r="1307" spans="44:48" x14ac:dyDescent="0.2">
      <c r="AR1307">
        <v>1299</v>
      </c>
      <c r="AS1307">
        <v>390</v>
      </c>
      <c r="AT1307">
        <v>2</v>
      </c>
      <c r="AU1307">
        <v>0.9692729038856438</v>
      </c>
      <c r="AV1307">
        <v>7.0778303992703809E-2</v>
      </c>
    </row>
    <row r="1308" spans="44:48" x14ac:dyDescent="0.2">
      <c r="AR1308">
        <v>1300</v>
      </c>
      <c r="AS1308">
        <v>391</v>
      </c>
      <c r="AT1308">
        <v>2</v>
      </c>
      <c r="AU1308">
        <v>1.0002134352029906</v>
      </c>
      <c r="AV1308">
        <v>7.1155961257757E-2</v>
      </c>
    </row>
    <row r="1309" spans="44:48" x14ac:dyDescent="0.2">
      <c r="AR1309">
        <v>1301</v>
      </c>
      <c r="AS1309">
        <v>392</v>
      </c>
      <c r="AT1309">
        <v>2</v>
      </c>
      <c r="AU1309">
        <v>1.0311539665203373</v>
      </c>
      <c r="AV1309">
        <v>7.1531903488708373E-2</v>
      </c>
    </row>
    <row r="1310" spans="44:48" x14ac:dyDescent="0.2">
      <c r="AR1310">
        <v>1302</v>
      </c>
      <c r="AS1310">
        <v>393</v>
      </c>
      <c r="AT1310">
        <v>2</v>
      </c>
      <c r="AU1310">
        <v>1.0620944978376823</v>
      </c>
      <c r="AV1310">
        <v>7.1906082314852279E-2</v>
      </c>
    </row>
    <row r="1311" spans="44:48" x14ac:dyDescent="0.2">
      <c r="AR1311">
        <v>1303</v>
      </c>
      <c r="AS1311">
        <v>394</v>
      </c>
      <c r="AT1311">
        <v>2</v>
      </c>
      <c r="AU1311">
        <v>1.093035029155029</v>
      </c>
      <c r="AV1311">
        <v>7.227844938776895E-2</v>
      </c>
    </row>
    <row r="1312" spans="44:48" x14ac:dyDescent="0.2">
      <c r="AR1312">
        <v>1304</v>
      </c>
      <c r="AS1312">
        <v>395</v>
      </c>
      <c r="AT1312">
        <v>2</v>
      </c>
      <c r="AU1312">
        <v>1.1239755604723758</v>
      </c>
      <c r="AV1312">
        <v>7.26489563915515E-2</v>
      </c>
    </row>
    <row r="1313" spans="44:48" x14ac:dyDescent="0.2">
      <c r="AR1313">
        <v>1305</v>
      </c>
      <c r="AS1313">
        <v>396</v>
      </c>
      <c r="AT1313">
        <v>2</v>
      </c>
      <c r="AU1313">
        <v>1.1549160917897225</v>
      </c>
      <c r="AV1313">
        <v>7.3017555053077651E-2</v>
      </c>
    </row>
    <row r="1314" spans="44:48" x14ac:dyDescent="0.2">
      <c r="AR1314">
        <v>1306</v>
      </c>
      <c r="AS1314">
        <v>397</v>
      </c>
      <c r="AT1314">
        <v>2</v>
      </c>
      <c r="AU1314">
        <v>1.1858566231070675</v>
      </c>
      <c r="AV1314">
        <v>7.3384197152323305E-2</v>
      </c>
    </row>
    <row r="1315" spans="44:48" x14ac:dyDescent="0.2">
      <c r="AR1315">
        <v>1307</v>
      </c>
      <c r="AS1315">
        <v>398</v>
      </c>
      <c r="AT1315">
        <v>2</v>
      </c>
      <c r="AU1315">
        <v>1.2167971544244143</v>
      </c>
      <c r="AV1315">
        <v>7.374883453271483E-2</v>
      </c>
    </row>
    <row r="1316" spans="44:48" x14ac:dyDescent="0.2">
      <c r="AR1316">
        <v>1308</v>
      </c>
      <c r="AS1316">
        <v>399</v>
      </c>
      <c r="AT1316">
        <v>2</v>
      </c>
      <c r="AU1316">
        <v>1.247737685741761</v>
      </c>
      <c r="AV1316">
        <v>7.4111419111516835E-2</v>
      </c>
    </row>
    <row r="1317" spans="44:48" x14ac:dyDescent="0.2">
      <c r="AR1317">
        <v>1309</v>
      </c>
      <c r="AS1317">
        <v>400</v>
      </c>
      <c r="AT1317">
        <v>2</v>
      </c>
      <c r="AU1317">
        <v>1.278678217059106</v>
      </c>
      <c r="AV1317">
        <v>7.4471902890252684E-2</v>
      </c>
    </row>
    <row r="1318" spans="44:48" x14ac:dyDescent="0.2">
      <c r="AR1318">
        <v>1310</v>
      </c>
      <c r="AS1318">
        <v>401</v>
      </c>
      <c r="AT1318">
        <v>2</v>
      </c>
      <c r="AU1318">
        <v>1.3096187483764528</v>
      </c>
      <c r="AV1318">
        <v>7.4830237965154658E-2</v>
      </c>
    </row>
    <row r="1319" spans="44:48" x14ac:dyDescent="0.2">
      <c r="AR1319">
        <v>1311</v>
      </c>
      <c r="AS1319">
        <v>402</v>
      </c>
      <c r="AT1319">
        <v>2</v>
      </c>
      <c r="AU1319">
        <v>1.3405592796937995</v>
      </c>
      <c r="AV1319">
        <v>7.518637653763996E-2</v>
      </c>
    </row>
    <row r="1320" spans="44:48" x14ac:dyDescent="0.2">
      <c r="AR1320">
        <v>1312</v>
      </c>
      <c r="AS1320">
        <v>403</v>
      </c>
      <c r="AT1320">
        <v>2</v>
      </c>
      <c r="AU1320">
        <v>1.3714998110111463</v>
      </c>
      <c r="AV1320">
        <v>7.5540270924810485E-2</v>
      </c>
    </row>
    <row r="1321" spans="44:48" x14ac:dyDescent="0.2">
      <c r="AR1321">
        <v>1313</v>
      </c>
      <c r="AS1321">
        <v>404</v>
      </c>
      <c r="AT1321">
        <v>2</v>
      </c>
      <c r="AU1321">
        <v>1.4024403423284912</v>
      </c>
      <c r="AV1321">
        <v>7.5891873569972193E-2</v>
      </c>
    </row>
    <row r="1322" spans="44:48" x14ac:dyDescent="0.2">
      <c r="AR1322">
        <v>1314</v>
      </c>
      <c r="AS1322">
        <v>405</v>
      </c>
      <c r="AT1322">
        <v>2</v>
      </c>
      <c r="AU1322">
        <v>1.433380873645838</v>
      </c>
      <c r="AV1322">
        <v>7.6241137053171593E-2</v>
      </c>
    </row>
    <row r="1323" spans="44:48" x14ac:dyDescent="0.2">
      <c r="AR1323">
        <v>1315</v>
      </c>
      <c r="AS1323">
        <v>406</v>
      </c>
      <c r="AT1323">
        <v>2</v>
      </c>
      <c r="AU1323">
        <v>1.4643214049631847</v>
      </c>
      <c r="AV1323">
        <v>7.6588014101745455E-2</v>
      </c>
    </row>
    <row r="1324" spans="44:48" x14ac:dyDescent="0.2">
      <c r="AR1324">
        <v>1316</v>
      </c>
      <c r="AS1324">
        <v>407</v>
      </c>
      <c r="AT1324">
        <v>2</v>
      </c>
      <c r="AU1324">
        <v>1.4952619362805315</v>
      </c>
      <c r="AV1324">
        <v>7.6932457600881299E-2</v>
      </c>
    </row>
    <row r="1325" spans="44:48" x14ac:dyDescent="0.2">
      <c r="AR1325">
        <v>1317</v>
      </c>
      <c r="AS1325">
        <v>408</v>
      </c>
      <c r="AT1325">
        <v>2</v>
      </c>
      <c r="AU1325">
        <v>1.5262024675978765</v>
      </c>
      <c r="AV1325">
        <v>7.7274420604184491E-2</v>
      </c>
    </row>
    <row r="1326" spans="44:48" x14ac:dyDescent="0.2">
      <c r="AR1326">
        <v>1318</v>
      </c>
      <c r="AS1326">
        <v>409</v>
      </c>
      <c r="AT1326">
        <v>2</v>
      </c>
      <c r="AU1326">
        <v>1.5571429989152232</v>
      </c>
      <c r="AV1326">
        <v>7.7613856344249568E-2</v>
      </c>
    </row>
    <row r="1327" spans="44:48" x14ac:dyDescent="0.2">
      <c r="AR1327">
        <v>1319</v>
      </c>
      <c r="AS1327">
        <v>410</v>
      </c>
      <c r="AT1327">
        <v>2</v>
      </c>
      <c r="AU1327">
        <v>1.58808353023257</v>
      </c>
      <c r="AV1327">
        <v>7.7950718243231729E-2</v>
      </c>
    </row>
    <row r="1328" spans="44:48" x14ac:dyDescent="0.2">
      <c r="AR1328">
        <v>1320</v>
      </c>
      <c r="AS1328">
        <v>411</v>
      </c>
      <c r="AT1328">
        <v>2</v>
      </c>
      <c r="AU1328">
        <v>1.619024061549915</v>
      </c>
      <c r="AV1328">
        <v>7.8284959923415651E-2</v>
      </c>
    </row>
    <row r="1329" spans="44:48" x14ac:dyDescent="0.2">
      <c r="AR1329">
        <v>1321</v>
      </c>
      <c r="AS1329">
        <v>412</v>
      </c>
      <c r="AT1329">
        <v>2</v>
      </c>
      <c r="AU1329">
        <v>1.6499645928672617</v>
      </c>
      <c r="AV1329">
        <v>7.8616535217778227E-2</v>
      </c>
    </row>
    <row r="1330" spans="44:48" x14ac:dyDescent="0.2">
      <c r="AR1330">
        <v>1322</v>
      </c>
      <c r="AS1330">
        <v>413</v>
      </c>
      <c r="AT1330">
        <v>2</v>
      </c>
      <c r="AU1330">
        <v>1.6809051241846085</v>
      </c>
      <c r="AV1330">
        <v>7.8945398180541637E-2</v>
      </c>
    </row>
    <row r="1331" spans="44:48" x14ac:dyDescent="0.2">
      <c r="AR1331">
        <v>1323</v>
      </c>
      <c r="AS1331">
        <v>414</v>
      </c>
      <c r="AT1331">
        <v>2</v>
      </c>
      <c r="AU1331">
        <v>1.7118456555019552</v>
      </c>
      <c r="AV1331">
        <v>7.9271503097713719E-2</v>
      </c>
    </row>
    <row r="1332" spans="44:48" x14ac:dyDescent="0.2">
      <c r="AR1332">
        <v>1324</v>
      </c>
      <c r="AS1332">
        <v>415</v>
      </c>
      <c r="AT1332">
        <v>2</v>
      </c>
      <c r="AU1332">
        <v>1.7427861868193002</v>
      </c>
      <c r="AV1332">
        <v>7.9594804497612151E-2</v>
      </c>
    </row>
    <row r="1333" spans="44:48" x14ac:dyDescent="0.2">
      <c r="AR1333">
        <v>1325</v>
      </c>
      <c r="AS1333">
        <v>416</v>
      </c>
      <c r="AT1333">
        <v>2</v>
      </c>
      <c r="AU1333">
        <v>1.773726718136647</v>
      </c>
      <c r="AV1333">
        <v>7.9915257161369088E-2</v>
      </c>
    </row>
    <row r="1334" spans="44:48" x14ac:dyDescent="0.2">
      <c r="AR1334">
        <v>1326</v>
      </c>
      <c r="AS1334">
        <v>417</v>
      </c>
      <c r="AT1334">
        <v>2</v>
      </c>
      <c r="AU1334">
        <v>1.8046672494539937</v>
      </c>
      <c r="AV1334">
        <v>8.0232816133412696E-2</v>
      </c>
    </row>
    <row r="1335" spans="44:48" x14ac:dyDescent="0.2">
      <c r="AR1335">
        <v>1327</v>
      </c>
      <c r="AS1335">
        <v>418</v>
      </c>
      <c r="AT1335">
        <v>2</v>
      </c>
      <c r="AU1335">
        <v>1.8356077807713405</v>
      </c>
      <c r="AV1335">
        <v>8.0547436731922648E-2</v>
      </c>
    </row>
    <row r="1336" spans="44:48" x14ac:dyDescent="0.2">
      <c r="AR1336">
        <v>1328</v>
      </c>
      <c r="AS1336">
        <v>419</v>
      </c>
      <c r="AT1336">
        <v>2</v>
      </c>
      <c r="AU1336">
        <v>1.8665483120886854</v>
      </c>
      <c r="AV1336">
        <v>8.0859074559255645E-2</v>
      </c>
    </row>
    <row r="1337" spans="44:48" x14ac:dyDescent="0.2">
      <c r="AR1337">
        <v>1329</v>
      </c>
      <c r="AS1337">
        <v>420</v>
      </c>
      <c r="AT1337">
        <v>2</v>
      </c>
      <c r="AU1337">
        <v>1.8974888434060322</v>
      </c>
      <c r="AV1337">
        <v>8.1167685512338203E-2</v>
      </c>
    </row>
    <row r="1338" spans="44:48" x14ac:dyDescent="0.2">
      <c r="AR1338">
        <v>1330</v>
      </c>
      <c r="AS1338">
        <v>421</v>
      </c>
      <c r="AT1338">
        <v>2</v>
      </c>
      <c r="AU1338">
        <v>1.9284293747233789</v>
      </c>
      <c r="AV1338">
        <v>8.1473225793022533E-2</v>
      </c>
    </row>
    <row r="1339" spans="44:48" x14ac:dyDescent="0.2">
      <c r="AR1339">
        <v>1331</v>
      </c>
      <c r="AS1339">
        <v>422</v>
      </c>
      <c r="AT1339">
        <v>2</v>
      </c>
      <c r="AU1339">
        <v>1.9593699060407257</v>
      </c>
      <c r="AV1339">
        <v>8.1775651918402914E-2</v>
      </c>
    </row>
    <row r="1340" spans="44:48" x14ac:dyDescent="0.2">
      <c r="AR1340">
        <v>1332</v>
      </c>
      <c r="AS1340">
        <v>423</v>
      </c>
      <c r="AT1340">
        <v>2</v>
      </c>
      <c r="AU1340">
        <v>1.9903104373580707</v>
      </c>
      <c r="AV1340">
        <v>8.2074920731088741E-2</v>
      </c>
    </row>
    <row r="1341" spans="44:48" x14ac:dyDescent="0.2">
      <c r="AR1341">
        <v>1333</v>
      </c>
      <c r="AS1341">
        <v>424</v>
      </c>
      <c r="AT1341">
        <v>2</v>
      </c>
      <c r="AU1341">
        <v>2.0212509686754174</v>
      </c>
      <c r="AV1341">
        <v>8.2370989409430898E-2</v>
      </c>
    </row>
    <row r="1342" spans="44:48" x14ac:dyDescent="0.2">
      <c r="AR1342">
        <v>1334</v>
      </c>
      <c r="AS1342">
        <v>425</v>
      </c>
      <c r="AT1342">
        <v>2</v>
      </c>
      <c r="AU1342">
        <v>2.0521914999927642</v>
      </c>
      <c r="AV1342">
        <v>8.2663815477698091E-2</v>
      </c>
    </row>
    <row r="1343" spans="44:48" x14ac:dyDescent="0.2">
      <c r="AR1343">
        <v>1335</v>
      </c>
      <c r="AS1343">
        <v>426</v>
      </c>
      <c r="AT1343">
        <v>2</v>
      </c>
      <c r="AU1343">
        <v>2.0831320313101092</v>
      </c>
      <c r="AV1343">
        <v>8.2953356816199919E-2</v>
      </c>
    </row>
    <row r="1344" spans="44:48" x14ac:dyDescent="0.2">
      <c r="AR1344">
        <v>1336</v>
      </c>
      <c r="AS1344">
        <v>427</v>
      </c>
      <c r="AT1344">
        <v>2</v>
      </c>
      <c r="AU1344">
        <v>2.1140725626274559</v>
      </c>
      <c r="AV1344">
        <v>8.3239571671353207E-2</v>
      </c>
    </row>
    <row r="1345" spans="44:48" x14ac:dyDescent="0.2">
      <c r="AR1345">
        <v>1337</v>
      </c>
      <c r="AS1345">
        <v>428</v>
      </c>
      <c r="AT1345">
        <v>2</v>
      </c>
      <c r="AU1345">
        <v>2.1450130939448027</v>
      </c>
      <c r="AV1345">
        <v>8.3522418665688061E-2</v>
      </c>
    </row>
    <row r="1346" spans="44:48" x14ac:dyDescent="0.2">
      <c r="AR1346">
        <v>1338</v>
      </c>
      <c r="AS1346">
        <v>429</v>
      </c>
      <c r="AT1346">
        <v>2</v>
      </c>
      <c r="AU1346">
        <v>2.1759536252621494</v>
      </c>
      <c r="AV1346">
        <v>8.3801856807790703E-2</v>
      </c>
    </row>
    <row r="1347" spans="44:48" x14ac:dyDescent="0.2">
      <c r="AR1347">
        <v>1339</v>
      </c>
      <c r="AS1347">
        <v>430</v>
      </c>
      <c r="AT1347">
        <v>2</v>
      </c>
      <c r="AU1347">
        <v>2.2068941565794944</v>
      </c>
      <c r="AV1347">
        <v>8.4077845502179435E-2</v>
      </c>
    </row>
    <row r="1348" spans="44:48" x14ac:dyDescent="0.2">
      <c r="AR1348">
        <v>1340</v>
      </c>
      <c r="AS1348">
        <v>431</v>
      </c>
      <c r="AT1348">
        <v>2</v>
      </c>
      <c r="AU1348">
        <v>2.2378346878968411</v>
      </c>
      <c r="AV1348">
        <v>8.4350344559110474E-2</v>
      </c>
    </row>
    <row r="1349" spans="44:48" x14ac:dyDescent="0.2">
      <c r="AR1349">
        <v>1341</v>
      </c>
      <c r="AS1349">
        <v>432</v>
      </c>
      <c r="AT1349">
        <v>2</v>
      </c>
      <c r="AU1349">
        <v>2.2687752192141879</v>
      </c>
      <c r="AV1349">
        <v>8.4619314204310417E-2</v>
      </c>
    </row>
    <row r="1350" spans="44:48" x14ac:dyDescent="0.2">
      <c r="AR1350">
        <v>1342</v>
      </c>
      <c r="AS1350">
        <v>433</v>
      </c>
      <c r="AT1350">
        <v>2</v>
      </c>
      <c r="AU1350">
        <v>2.2997157505315347</v>
      </c>
      <c r="AV1350">
        <v>8.488471508863199E-2</v>
      </c>
    </row>
    <row r="1351" spans="44:48" x14ac:dyDescent="0.2">
      <c r="AR1351">
        <v>1343</v>
      </c>
      <c r="AS1351">
        <v>434</v>
      </c>
      <c r="AT1351">
        <v>2</v>
      </c>
      <c r="AU1351">
        <v>2.3306562818488796</v>
      </c>
      <c r="AV1351">
        <v>8.5146508297629847E-2</v>
      </c>
    </row>
    <row r="1352" spans="44:48" x14ac:dyDescent="0.2">
      <c r="AR1352">
        <v>1344</v>
      </c>
      <c r="AS1352">
        <v>435</v>
      </c>
      <c r="AT1352">
        <v>2</v>
      </c>
      <c r="AU1352">
        <v>2.3615968131662264</v>
      </c>
      <c r="AV1352">
        <v>8.5404655361053211E-2</v>
      </c>
    </row>
    <row r="1353" spans="44:48" x14ac:dyDescent="0.2">
      <c r="AR1353">
        <v>1345</v>
      </c>
      <c r="AS1353">
        <v>436</v>
      </c>
      <c r="AT1353">
        <v>2</v>
      </c>
      <c r="AU1353">
        <v>2.3925373444835731</v>
      </c>
      <c r="AV1353">
        <v>8.565911826225181E-2</v>
      </c>
    </row>
    <row r="1354" spans="44:48" x14ac:dyDescent="0.2">
      <c r="AR1354">
        <v>1346</v>
      </c>
      <c r="AS1354">
        <v>437</v>
      </c>
      <c r="AT1354">
        <v>2</v>
      </c>
      <c r="AU1354">
        <v>2.4234778758009181</v>
      </c>
      <c r="AV1354">
        <v>8.5909859447492382E-2</v>
      </c>
    </row>
    <row r="1355" spans="44:48" x14ac:dyDescent="0.2">
      <c r="AR1355">
        <v>1347</v>
      </c>
      <c r="AS1355">
        <v>438</v>
      </c>
      <c r="AT1355">
        <v>2</v>
      </c>
      <c r="AU1355">
        <v>2.4544184071182649</v>
      </c>
      <c r="AV1355">
        <v>8.6156841835182324E-2</v>
      </c>
    </row>
    <row r="1356" spans="44:48" x14ac:dyDescent="0.2">
      <c r="AR1356">
        <v>1348</v>
      </c>
      <c r="AS1356">
        <v>439</v>
      </c>
      <c r="AT1356">
        <v>2</v>
      </c>
      <c r="AU1356">
        <v>2.4853589384356116</v>
      </c>
      <c r="AV1356">
        <v>8.6400028824996977E-2</v>
      </c>
    </row>
    <row r="1357" spans="44:48" x14ac:dyDescent="0.2">
      <c r="AR1357">
        <v>1349</v>
      </c>
      <c r="AS1357">
        <v>440</v>
      </c>
      <c r="AT1357">
        <v>2</v>
      </c>
      <c r="AU1357">
        <v>2.5162994697529584</v>
      </c>
      <c r="AV1357">
        <v>8.6639384306908221E-2</v>
      </c>
    </row>
    <row r="1358" spans="44:48" x14ac:dyDescent="0.2">
      <c r="AR1358">
        <v>1350</v>
      </c>
      <c r="AS1358">
        <v>441</v>
      </c>
      <c r="AT1358">
        <v>2</v>
      </c>
      <c r="AU1358">
        <v>2.5472400010703034</v>
      </c>
      <c r="AV1358">
        <v>8.687487267011032E-2</v>
      </c>
    </row>
    <row r="1359" spans="44:48" x14ac:dyDescent="0.2">
      <c r="AR1359">
        <v>1351</v>
      </c>
      <c r="AS1359">
        <v>442</v>
      </c>
      <c r="AT1359">
        <v>2</v>
      </c>
      <c r="AU1359">
        <v>2.5781805323876501</v>
      </c>
      <c r="AV1359">
        <v>8.7106458811840745E-2</v>
      </c>
    </row>
    <row r="1360" spans="44:48" x14ac:dyDescent="0.2">
      <c r="AR1360">
        <v>1352</v>
      </c>
      <c r="AS1360">
        <v>443</v>
      </c>
      <c r="AT1360">
        <v>2</v>
      </c>
      <c r="AU1360">
        <v>2.6091210637049969</v>
      </c>
      <c r="AV1360">
        <v>8.7334108146092326E-2</v>
      </c>
    </row>
    <row r="1361" spans="44:48" x14ac:dyDescent="0.2">
      <c r="AR1361">
        <v>1353</v>
      </c>
      <c r="AS1361">
        <v>444</v>
      </c>
      <c r="AT1361">
        <v>2</v>
      </c>
      <c r="AU1361">
        <v>2.6400615950223436</v>
      </c>
      <c r="AV1361">
        <v>8.7557786612214097E-2</v>
      </c>
    </row>
    <row r="1362" spans="44:48" x14ac:dyDescent="0.2">
      <c r="AR1362">
        <v>1354</v>
      </c>
      <c r="AS1362">
        <v>445</v>
      </c>
      <c r="AT1362">
        <v>2</v>
      </c>
      <c r="AU1362">
        <v>2.6710021263396886</v>
      </c>
      <c r="AV1362">
        <v>8.777746068339759E-2</v>
      </c>
    </row>
    <row r="1363" spans="44:48" x14ac:dyDescent="0.2">
      <c r="AR1363">
        <v>1355</v>
      </c>
      <c r="AS1363">
        <v>446</v>
      </c>
      <c r="AT1363">
        <v>2</v>
      </c>
      <c r="AU1363">
        <v>2.7019426576570353</v>
      </c>
      <c r="AV1363">
        <v>8.7993097375045876E-2</v>
      </c>
    </row>
    <row r="1364" spans="44:48" x14ac:dyDescent="0.2">
      <c r="AR1364">
        <v>1356</v>
      </c>
      <c r="AS1364">
        <v>447</v>
      </c>
      <c r="AT1364">
        <v>2</v>
      </c>
      <c r="AU1364">
        <v>2.7328831889743821</v>
      </c>
      <c r="AV1364">
        <v>8.8204664253022091E-2</v>
      </c>
    </row>
    <row r="1365" spans="44:48" x14ac:dyDescent="0.2">
      <c r="AR1365">
        <v>1357</v>
      </c>
      <c r="AS1365">
        <v>448</v>
      </c>
      <c r="AT1365">
        <v>2</v>
      </c>
      <c r="AU1365">
        <v>2.7638237202917288</v>
      </c>
      <c r="AV1365">
        <v>8.8412129441774845E-2</v>
      </c>
    </row>
    <row r="1366" spans="44:48" x14ac:dyDescent="0.2">
      <c r="AR1366">
        <v>1358</v>
      </c>
      <c r="AS1366">
        <v>449</v>
      </c>
      <c r="AT1366">
        <v>2</v>
      </c>
      <c r="AU1366">
        <v>2.7947642516090738</v>
      </c>
      <c r="AV1366">
        <v>8.8615461632337661E-2</v>
      </c>
    </row>
    <row r="1367" spans="44:48" x14ac:dyDescent="0.2">
      <c r="AR1367">
        <v>1359</v>
      </c>
      <c r="AS1367">
        <v>450</v>
      </c>
      <c r="AT1367">
        <v>2</v>
      </c>
      <c r="AU1367">
        <v>2.8257047829264206</v>
      </c>
      <c r="AV1367">
        <v>8.8814630090199381E-2</v>
      </c>
    </row>
    <row r="1368" spans="44:48" x14ac:dyDescent="0.2">
      <c r="AR1368">
        <v>1360</v>
      </c>
      <c r="AS1368">
        <v>451</v>
      </c>
      <c r="AT1368">
        <v>2</v>
      </c>
      <c r="AU1368">
        <v>2.8566453142437673</v>
      </c>
      <c r="AV1368">
        <v>8.9009604663042974E-2</v>
      </c>
    </row>
    <row r="1369" spans="44:48" x14ac:dyDescent="0.2">
      <c r="AR1369">
        <v>1361</v>
      </c>
      <c r="AS1369">
        <v>452</v>
      </c>
      <c r="AT1369">
        <v>2</v>
      </c>
      <c r="AU1369">
        <v>2.8875858455611123</v>
      </c>
      <c r="AV1369">
        <v>8.920035578835013E-2</v>
      </c>
    </row>
    <row r="1370" spans="44:48" x14ac:dyDescent="0.2">
      <c r="AR1370">
        <v>1362</v>
      </c>
      <c r="AS1370">
        <v>453</v>
      </c>
      <c r="AT1370">
        <v>2</v>
      </c>
      <c r="AU1370">
        <v>2.9185263768784591</v>
      </c>
      <c r="AV1370">
        <v>8.9386854500868654E-2</v>
      </c>
    </row>
    <row r="1371" spans="44:48" x14ac:dyDescent="0.2">
      <c r="AR1371">
        <v>1363</v>
      </c>
      <c r="AS1371">
        <v>454</v>
      </c>
      <c r="AT1371">
        <v>2</v>
      </c>
      <c r="AU1371">
        <v>2.9494669081958058</v>
      </c>
      <c r="AV1371">
        <v>8.9569072439940139E-2</v>
      </c>
    </row>
    <row r="1372" spans="44:48" x14ac:dyDescent="0.2">
      <c r="AR1372">
        <v>1364</v>
      </c>
      <c r="AS1372">
        <v>455</v>
      </c>
      <c r="AT1372">
        <v>2</v>
      </c>
      <c r="AU1372">
        <v>2.9804074395131526</v>
      </c>
      <c r="AV1372">
        <v>8.9746981856685559E-2</v>
      </c>
    </row>
    <row r="1373" spans="44:48" x14ac:dyDescent="0.2">
      <c r="AR1373">
        <v>1365</v>
      </c>
      <c r="AS1373">
        <v>456</v>
      </c>
      <c r="AT1373">
        <v>2</v>
      </c>
      <c r="AU1373">
        <v>3.0113479708304975</v>
      </c>
      <c r="AV1373">
        <v>8.9920555621045825E-2</v>
      </c>
    </row>
    <row r="1374" spans="44:48" x14ac:dyDescent="0.2">
      <c r="AR1374">
        <v>1366</v>
      </c>
      <c r="AS1374">
        <v>457</v>
      </c>
      <c r="AT1374">
        <v>2</v>
      </c>
      <c r="AU1374">
        <v>3.0422885021478443</v>
      </c>
      <c r="AV1374">
        <v>9.0089767228675122E-2</v>
      </c>
    </row>
    <row r="1375" spans="44:48" x14ac:dyDescent="0.2">
      <c r="AR1375">
        <v>1367</v>
      </c>
      <c r="AS1375">
        <v>458</v>
      </c>
      <c r="AT1375">
        <v>2</v>
      </c>
      <c r="AU1375">
        <v>3.0732290334651911</v>
      </c>
      <c r="AV1375">
        <v>9.0254590807684484E-2</v>
      </c>
    </row>
    <row r="1376" spans="44:48" x14ac:dyDescent="0.2">
      <c r="AR1376">
        <v>1368</v>
      </c>
      <c r="AS1376">
        <v>459</v>
      </c>
      <c r="AT1376">
        <v>2</v>
      </c>
      <c r="AU1376">
        <v>3.1041695647825378</v>
      </c>
      <c r="AV1376">
        <v>9.0415001125233083E-2</v>
      </c>
    </row>
    <row r="1377" spans="44:48" x14ac:dyDescent="0.2">
      <c r="AR1377">
        <v>1369</v>
      </c>
      <c r="AS1377">
        <v>460</v>
      </c>
      <c r="AT1377">
        <v>2</v>
      </c>
      <c r="AU1377">
        <v>3.1351100960998828</v>
      </c>
      <c r="AV1377">
        <v>9.0570973593965071E-2</v>
      </c>
    </row>
    <row r="1378" spans="44:48" x14ac:dyDescent="0.2">
      <c r="AR1378">
        <v>1370</v>
      </c>
      <c r="AS1378">
        <v>461</v>
      </c>
      <c r="AT1378">
        <v>2</v>
      </c>
      <c r="AU1378">
        <v>3.1660506274172295</v>
      </c>
      <c r="AV1378">
        <v>9.0722484278289689E-2</v>
      </c>
    </row>
    <row r="1379" spans="44:48" x14ac:dyDescent="0.2">
      <c r="AR1379">
        <v>1371</v>
      </c>
      <c r="AS1379">
        <v>462</v>
      </c>
      <c r="AT1379">
        <v>2</v>
      </c>
      <c r="AU1379">
        <v>3.1969911587345763</v>
      </c>
      <c r="AV1379">
        <v>9.0869509900501938E-2</v>
      </c>
    </row>
    <row r="1380" spans="44:48" x14ac:dyDescent="0.2">
      <c r="AR1380">
        <v>1372</v>
      </c>
      <c r="AS1380">
        <v>463</v>
      </c>
      <c r="AT1380">
        <v>2</v>
      </c>
      <c r="AU1380">
        <v>3.2279316900519213</v>
      </c>
      <c r="AV1380">
        <v>9.1012027846742477E-2</v>
      </c>
    </row>
    <row r="1381" spans="44:48" x14ac:dyDescent="0.2">
      <c r="AR1381">
        <v>1373</v>
      </c>
      <c r="AS1381">
        <v>464</v>
      </c>
      <c r="AT1381">
        <v>2</v>
      </c>
      <c r="AU1381">
        <v>3.258872221369268</v>
      </c>
      <c r="AV1381">
        <v>9.1150016172793738E-2</v>
      </c>
    </row>
    <row r="1382" spans="44:48" x14ac:dyDescent="0.2">
      <c r="AR1382">
        <v>1374</v>
      </c>
      <c r="AS1382">
        <v>465</v>
      </c>
      <c r="AT1382">
        <v>2</v>
      </c>
      <c r="AU1382">
        <v>3.2898127526866148</v>
      </c>
      <c r="AV1382">
        <v>9.1283453609710755E-2</v>
      </c>
    </row>
    <row r="1383" spans="44:48" x14ac:dyDescent="0.2">
      <c r="AR1383">
        <v>1375</v>
      </c>
      <c r="AS1383">
        <v>466</v>
      </c>
      <c r="AT1383">
        <v>2</v>
      </c>
      <c r="AU1383">
        <v>3.3207532840039615</v>
      </c>
      <c r="AV1383">
        <v>9.1412319569284375E-2</v>
      </c>
    </row>
    <row r="1384" spans="44:48" x14ac:dyDescent="0.2">
      <c r="AR1384">
        <v>1376</v>
      </c>
      <c r="AS1384">
        <v>467</v>
      </c>
      <c r="AT1384">
        <v>2</v>
      </c>
      <c r="AU1384">
        <v>3.3516938153213065</v>
      </c>
      <c r="AV1384">
        <v>9.1536594149335099E-2</v>
      </c>
    </row>
    <row r="1385" spans="44:48" x14ac:dyDescent="0.2">
      <c r="AR1385">
        <v>1377</v>
      </c>
      <c r="AS1385">
        <v>468</v>
      </c>
      <c r="AT1385">
        <v>2</v>
      </c>
      <c r="AU1385">
        <v>3.3826343466386533</v>
      </c>
      <c r="AV1385">
        <v>9.1656258138835531E-2</v>
      </c>
    </row>
    <row r="1386" spans="44:48" x14ac:dyDescent="0.2">
      <c r="AR1386">
        <v>1378</v>
      </c>
      <c r="AS1386">
        <v>469</v>
      </c>
      <c r="AT1386">
        <v>2</v>
      </c>
      <c r="AU1386">
        <v>3.413574877956</v>
      </c>
      <c r="AV1386">
        <v>9.177129302285951E-2</v>
      </c>
    </row>
    <row r="1387" spans="44:48" x14ac:dyDescent="0.2">
      <c r="AR1387">
        <v>1379</v>
      </c>
      <c r="AS1387">
        <v>470</v>
      </c>
      <c r="AT1387">
        <v>2</v>
      </c>
      <c r="AU1387">
        <v>3.4445154092733468</v>
      </c>
      <c r="AV1387">
        <v>9.1881680987356371E-2</v>
      </c>
    </row>
    <row r="1388" spans="44:48" x14ac:dyDescent="0.2">
      <c r="AR1388">
        <v>1380</v>
      </c>
      <c r="AS1388">
        <v>471</v>
      </c>
      <c r="AT1388">
        <v>2</v>
      </c>
      <c r="AU1388">
        <v>3.4754559405906917</v>
      </c>
      <c r="AV1388">
        <v>9.1987404923748323E-2</v>
      </c>
    </row>
    <row r="1389" spans="44:48" x14ac:dyDescent="0.2">
      <c r="AR1389">
        <v>1381</v>
      </c>
      <c r="AS1389">
        <v>472</v>
      </c>
      <c r="AT1389">
        <v>2</v>
      </c>
      <c r="AU1389">
        <v>3.5063964719080385</v>
      </c>
      <c r="AV1389">
        <v>9.2088448433349707E-2</v>
      </c>
    </row>
    <row r="1390" spans="44:48" x14ac:dyDescent="0.2">
      <c r="AR1390">
        <v>1382</v>
      </c>
      <c r="AS1390">
        <v>473</v>
      </c>
      <c r="AT1390">
        <v>2</v>
      </c>
      <c r="AU1390">
        <v>3.5373370032253852</v>
      </c>
      <c r="AV1390">
        <v>9.2184795831605937E-2</v>
      </c>
    </row>
    <row r="1391" spans="44:48" x14ac:dyDescent="0.2">
      <c r="AR1391">
        <v>1383</v>
      </c>
      <c r="AS1391">
        <v>474</v>
      </c>
      <c r="AT1391">
        <v>2</v>
      </c>
      <c r="AU1391">
        <v>3.568277534542732</v>
      </c>
      <c r="AV1391">
        <v>9.227643215215113E-2</v>
      </c>
    </row>
    <row r="1392" spans="44:48" x14ac:dyDescent="0.2">
      <c r="AR1392">
        <v>1384</v>
      </c>
      <c r="AS1392">
        <v>475</v>
      </c>
      <c r="AT1392">
        <v>2</v>
      </c>
      <c r="AU1392">
        <v>3.599218065860077</v>
      </c>
      <c r="AV1392">
        <v>9.2363343150682703E-2</v>
      </c>
    </row>
    <row r="1393" spans="44:48" x14ac:dyDescent="0.2">
      <c r="AR1393">
        <v>1385</v>
      </c>
      <c r="AS1393">
        <v>476</v>
      </c>
      <c r="AT1393">
        <v>2</v>
      </c>
      <c r="AU1393">
        <v>3.6301585971774237</v>
      </c>
      <c r="AV1393">
        <v>9.2445515308651527E-2</v>
      </c>
    </row>
    <row r="1394" spans="44:48" x14ac:dyDescent="0.2">
      <c r="AR1394">
        <v>1386</v>
      </c>
      <c r="AS1394">
        <v>477</v>
      </c>
      <c r="AT1394">
        <v>2</v>
      </c>
      <c r="AU1394">
        <v>3.6610991284947705</v>
      </c>
      <c r="AV1394">
        <v>9.2522935836766462E-2</v>
      </c>
    </row>
    <row r="1395" spans="44:48" x14ac:dyDescent="0.2">
      <c r="AR1395">
        <v>1387</v>
      </c>
      <c r="AS1395">
        <v>478</v>
      </c>
      <c r="AT1395">
        <v>2</v>
      </c>
      <c r="AU1395">
        <v>3.6920396598121155</v>
      </c>
      <c r="AV1395">
        <v>9.2595592678311731E-2</v>
      </c>
    </row>
    <row r="1396" spans="44:48" x14ac:dyDescent="0.2">
      <c r="AR1396">
        <v>1388</v>
      </c>
      <c r="AS1396">
        <v>479</v>
      </c>
      <c r="AT1396">
        <v>2</v>
      </c>
      <c r="AU1396">
        <v>3.7229801911294622</v>
      </c>
      <c r="AV1396">
        <v>9.2663474512276203E-2</v>
      </c>
    </row>
    <row r="1397" spans="44:48" x14ac:dyDescent="0.2">
      <c r="AR1397">
        <v>1389</v>
      </c>
      <c r="AS1397">
        <v>480</v>
      </c>
      <c r="AT1397">
        <v>2</v>
      </c>
      <c r="AU1397">
        <v>3.753920722446809</v>
      </c>
      <c r="AV1397">
        <v>9.2726570756293314E-2</v>
      </c>
    </row>
    <row r="1398" spans="44:48" x14ac:dyDescent="0.2">
      <c r="AR1398">
        <v>1390</v>
      </c>
      <c r="AS1398">
        <v>481</v>
      </c>
      <c r="AT1398">
        <v>2</v>
      </c>
      <c r="AU1398">
        <v>3.7848612537641557</v>
      </c>
      <c r="AV1398">
        <v>9.2784871569390484E-2</v>
      </c>
    </row>
    <row r="1399" spans="44:48" x14ac:dyDescent="0.2">
      <c r="AR1399">
        <v>1391</v>
      </c>
      <c r="AS1399">
        <v>482</v>
      </c>
      <c r="AT1399">
        <v>2</v>
      </c>
      <c r="AU1399">
        <v>3.8158017850815007</v>
      </c>
      <c r="AV1399">
        <v>9.283836785454723E-2</v>
      </c>
    </row>
    <row r="1400" spans="44:48" x14ac:dyDescent="0.2">
      <c r="AR1400">
        <v>1392</v>
      </c>
      <c r="AS1400">
        <v>483</v>
      </c>
      <c r="AT1400">
        <v>2</v>
      </c>
      <c r="AU1400">
        <v>3.8467423163988474</v>
      </c>
      <c r="AV1400">
        <v>9.2887051261060907E-2</v>
      </c>
    </row>
    <row r="1401" spans="44:48" x14ac:dyDescent="0.2">
      <c r="AR1401">
        <v>1393</v>
      </c>
      <c r="AS1401">
        <v>484</v>
      </c>
      <c r="AT1401">
        <v>2</v>
      </c>
      <c r="AU1401">
        <v>3.8776828477161942</v>
      </c>
      <c r="AV1401">
        <v>9.2930914186719199E-2</v>
      </c>
    </row>
    <row r="1402" spans="44:48" x14ac:dyDescent="0.2">
      <c r="AR1402">
        <v>1394</v>
      </c>
      <c r="AS1402">
        <v>485</v>
      </c>
      <c r="AT1402">
        <v>2</v>
      </c>
      <c r="AU1402">
        <v>3.908623379033541</v>
      </c>
      <c r="AV1402">
        <v>9.2969949779778654E-2</v>
      </c>
    </row>
    <row r="1403" spans="44:48" x14ac:dyDescent="0.2">
      <c r="AR1403">
        <v>1395</v>
      </c>
      <c r="AS1403">
        <v>486</v>
      </c>
      <c r="AT1403">
        <v>2</v>
      </c>
      <c r="AU1403">
        <v>3.9395639103508859</v>
      </c>
      <c r="AV1403">
        <v>9.3004151940748417E-2</v>
      </c>
    </row>
    <row r="1404" spans="44:48" x14ac:dyDescent="0.2">
      <c r="AR1404">
        <v>1396</v>
      </c>
      <c r="AS1404">
        <v>487</v>
      </c>
      <c r="AT1404">
        <v>2</v>
      </c>
      <c r="AU1404">
        <v>3.9705044416682327</v>
      </c>
      <c r="AV1404">
        <v>9.303351532397873E-2</v>
      </c>
    </row>
    <row r="1405" spans="44:48" x14ac:dyDescent="0.2">
      <c r="AR1405">
        <v>1397</v>
      </c>
      <c r="AS1405">
        <v>488</v>
      </c>
      <c r="AT1405">
        <v>2</v>
      </c>
      <c r="AU1405">
        <v>4.0014449729855794</v>
      </c>
      <c r="AV1405">
        <v>9.3058035339053394E-2</v>
      </c>
    </row>
    <row r="1406" spans="44:48" x14ac:dyDescent="0.2">
      <c r="AR1406">
        <v>1398</v>
      </c>
      <c r="AS1406">
        <v>489</v>
      </c>
      <c r="AT1406">
        <v>2</v>
      </c>
      <c r="AU1406">
        <v>4.0323855043029244</v>
      </c>
      <c r="AV1406">
        <v>9.3077708151985808E-2</v>
      </c>
    </row>
    <row r="1407" spans="44:48" x14ac:dyDescent="0.2">
      <c r="AR1407">
        <v>1399</v>
      </c>
      <c r="AS1407">
        <v>490</v>
      </c>
      <c r="AT1407">
        <v>2</v>
      </c>
      <c r="AU1407">
        <v>4.0633260356202712</v>
      </c>
      <c r="AV1407">
        <v>9.3092530686218006E-2</v>
      </c>
    </row>
    <row r="1408" spans="44:48" x14ac:dyDescent="0.2">
      <c r="AR1408">
        <v>1400</v>
      </c>
      <c r="AS1408">
        <v>491</v>
      </c>
      <c r="AT1408">
        <v>2</v>
      </c>
      <c r="AU1408">
        <v>4.0942665669376179</v>
      </c>
      <c r="AV1408">
        <v>9.3102500623422638E-2</v>
      </c>
    </row>
    <row r="1409" spans="44:48" x14ac:dyDescent="0.2">
      <c r="AR1409">
        <v>1401</v>
      </c>
      <c r="AS1409">
        <v>492</v>
      </c>
      <c r="AT1409">
        <v>2</v>
      </c>
      <c r="AU1409">
        <v>4.1252070982549647</v>
      </c>
      <c r="AV1409">
        <v>9.3107616404107266E-2</v>
      </c>
    </row>
    <row r="1410" spans="44:48" x14ac:dyDescent="0.2">
      <c r="AR1410">
        <v>1402</v>
      </c>
      <c r="AS1410">
        <v>493</v>
      </c>
      <c r="AT1410">
        <v>2</v>
      </c>
      <c r="AU1410">
        <v>4.1561476295723097</v>
      </c>
      <c r="AV1410">
        <v>9.3107877228020858E-2</v>
      </c>
    </row>
    <row r="1411" spans="44:48" x14ac:dyDescent="0.2">
      <c r="AR1411">
        <v>1403</v>
      </c>
      <c r="AS1411">
        <v>494</v>
      </c>
      <c r="AT1411">
        <v>2</v>
      </c>
      <c r="AU1411">
        <v>4.1870881608896564</v>
      </c>
      <c r="AV1411">
        <v>9.3103283054362496E-2</v>
      </c>
    </row>
    <row r="1412" spans="44:48" x14ac:dyDescent="0.2">
      <c r="AR1412">
        <v>1404</v>
      </c>
      <c r="AS1412">
        <v>495</v>
      </c>
      <c r="AT1412">
        <v>2</v>
      </c>
      <c r="AU1412">
        <v>4.2180286922070032</v>
      </c>
      <c r="AV1412">
        <v>9.3093834601791964E-2</v>
      </c>
    </row>
    <row r="1413" spans="44:48" x14ac:dyDescent="0.2">
      <c r="AR1413">
        <v>1405</v>
      </c>
      <c r="AS1413">
        <v>496</v>
      </c>
      <c r="AT1413">
        <v>2</v>
      </c>
      <c r="AU1413">
        <v>4.2489692235243499</v>
      </c>
      <c r="AV1413">
        <v>9.3079533348242371E-2</v>
      </c>
    </row>
    <row r="1414" spans="44:48" x14ac:dyDescent="0.2">
      <c r="AR1414">
        <v>1406</v>
      </c>
      <c r="AS1414">
        <v>497</v>
      </c>
      <c r="AT1414">
        <v>2</v>
      </c>
      <c r="AU1414">
        <v>4.2799097548416949</v>
      </c>
      <c r="AV1414">
        <v>9.3060381530534975E-2</v>
      </c>
    </row>
    <row r="1415" spans="44:48" x14ac:dyDescent="0.2">
      <c r="AR1415">
        <v>1407</v>
      </c>
      <c r="AS1415">
        <v>498</v>
      </c>
      <c r="AT1415">
        <v>2</v>
      </c>
      <c r="AU1415">
        <v>4.3108502861590416</v>
      </c>
      <c r="AV1415">
        <v>9.3036382143795934E-2</v>
      </c>
    </row>
    <row r="1416" spans="44:48" x14ac:dyDescent="0.2">
      <c r="AR1416">
        <v>1408</v>
      </c>
      <c r="AS1416">
        <v>499</v>
      </c>
      <c r="AT1416">
        <v>2</v>
      </c>
      <c r="AU1416">
        <v>4.3417908174763884</v>
      </c>
      <c r="AV1416">
        <v>9.3007538940675746E-2</v>
      </c>
    </row>
    <row r="1417" spans="44:48" x14ac:dyDescent="0.2">
      <c r="AR1417">
        <v>1409</v>
      </c>
      <c r="AS1417">
        <v>500</v>
      </c>
      <c r="AT1417">
        <v>2</v>
      </c>
      <c r="AU1417">
        <v>4.3727313487937352</v>
      </c>
      <c r="AV1417">
        <v>9.2973856430371288E-2</v>
      </c>
    </row>
    <row r="1418" spans="44:48" x14ac:dyDescent="0.2">
      <c r="AR1418">
        <v>1410</v>
      </c>
      <c r="AS1418">
        <v>501</v>
      </c>
      <c r="AT1418">
        <v>2</v>
      </c>
      <c r="AU1418">
        <v>4.4036718801110801</v>
      </c>
      <c r="AV1418">
        <v>9.2935339877450951E-2</v>
      </c>
    </row>
    <row r="1419" spans="44:48" x14ac:dyDescent="0.2">
      <c r="AR1419">
        <v>1411</v>
      </c>
      <c r="AS1419">
        <v>502</v>
      </c>
      <c r="AT1419">
        <v>2</v>
      </c>
      <c r="AU1419">
        <v>4.4346124114284269</v>
      </c>
      <c r="AV1419">
        <v>9.2891995300483185E-2</v>
      </c>
    </row>
    <row r="1420" spans="44:48" x14ac:dyDescent="0.2">
      <c r="AR1420">
        <v>1412</v>
      </c>
      <c r="AS1420">
        <v>503</v>
      </c>
      <c r="AT1420">
        <v>2</v>
      </c>
      <c r="AU1420">
        <v>4.4655529427457736</v>
      </c>
      <c r="AV1420">
        <v>9.2843829470469097E-2</v>
      </c>
    </row>
    <row r="1421" spans="44:48" x14ac:dyDescent="0.2">
      <c r="AR1421">
        <v>1413</v>
      </c>
      <c r="AS1421">
        <v>504</v>
      </c>
      <c r="AT1421">
        <v>2</v>
      </c>
      <c r="AU1421">
        <v>4.4964934740631186</v>
      </c>
      <c r="AV1421">
        <v>9.2790849909079695E-2</v>
      </c>
    </row>
    <row r="1422" spans="44:48" x14ac:dyDescent="0.2">
      <c r="AR1422">
        <v>1414</v>
      </c>
      <c r="AS1422">
        <v>505</v>
      </c>
      <c r="AT1422">
        <v>2</v>
      </c>
      <c r="AU1422">
        <v>4.5274340053804654</v>
      </c>
      <c r="AV1422">
        <v>9.2733064886698219E-2</v>
      </c>
    </row>
    <row r="1423" spans="44:48" x14ac:dyDescent="0.2">
      <c r="AR1423">
        <v>1415</v>
      </c>
      <c r="AS1423">
        <v>506</v>
      </c>
      <c r="AT1423">
        <v>2</v>
      </c>
      <c r="AU1423">
        <v>4.5583745366978121</v>
      </c>
      <c r="AV1423">
        <v>9.2670483420268387E-2</v>
      </c>
    </row>
    <row r="1424" spans="44:48" x14ac:dyDescent="0.2">
      <c r="AR1424">
        <v>1416</v>
      </c>
      <c r="AS1424">
        <v>507</v>
      </c>
      <c r="AT1424">
        <v>2</v>
      </c>
      <c r="AU1424">
        <v>4.5893150680151589</v>
      </c>
      <c r="AV1424">
        <v>9.2603115270949471E-2</v>
      </c>
    </row>
    <row r="1425" spans="44:48" x14ac:dyDescent="0.2">
      <c r="AR1425">
        <v>1417</v>
      </c>
      <c r="AS1425">
        <v>508</v>
      </c>
      <c r="AT1425">
        <v>2</v>
      </c>
      <c r="AU1425">
        <v>4.6202555993325038</v>
      </c>
      <c r="AV1425">
        <v>9.2530970941578763E-2</v>
      </c>
    </row>
    <row r="1426" spans="44:48" x14ac:dyDescent="0.2">
      <c r="AR1426">
        <v>1418</v>
      </c>
      <c r="AS1426">
        <v>509</v>
      </c>
      <c r="AT1426">
        <v>2</v>
      </c>
      <c r="AU1426">
        <v>4.6511961306498506</v>
      </c>
      <c r="AV1426">
        <v>9.2454061673942697E-2</v>
      </c>
    </row>
    <row r="1427" spans="44:48" x14ac:dyDescent="0.2">
      <c r="AR1427">
        <v>1419</v>
      </c>
      <c r="AS1427">
        <v>510</v>
      </c>
      <c r="AT1427">
        <v>2</v>
      </c>
      <c r="AU1427">
        <v>4.6821366619671974</v>
      </c>
      <c r="AV1427">
        <v>9.2372399445857303E-2</v>
      </c>
    </row>
    <row r="1428" spans="44:48" x14ac:dyDescent="0.2">
      <c r="AR1428">
        <v>1420</v>
      </c>
      <c r="AS1428">
        <v>511</v>
      </c>
      <c r="AT1428">
        <v>2</v>
      </c>
      <c r="AU1428">
        <v>4.7130771932845441</v>
      </c>
      <c r="AV1428">
        <v>9.2285996968059253E-2</v>
      </c>
    </row>
    <row r="1429" spans="44:48" x14ac:dyDescent="0.2">
      <c r="AR1429">
        <v>1421</v>
      </c>
      <c r="AS1429">
        <v>512</v>
      </c>
      <c r="AT1429">
        <v>2</v>
      </c>
      <c r="AU1429">
        <v>4.7440177246018891</v>
      </c>
      <c r="AV1429">
        <v>9.2194867680908649E-2</v>
      </c>
    </row>
    <row r="1430" spans="44:48" x14ac:dyDescent="0.2">
      <c r="AR1430">
        <v>1422</v>
      </c>
      <c r="AS1430">
        <v>513</v>
      </c>
      <c r="AT1430">
        <v>2</v>
      </c>
      <c r="AU1430">
        <v>4.7749582559192358</v>
      </c>
      <c r="AV1430">
        <v>9.2099025750904451E-2</v>
      </c>
    </row>
    <row r="1431" spans="44:48" x14ac:dyDescent="0.2">
      <c r="AR1431">
        <v>1423</v>
      </c>
      <c r="AS1431">
        <v>514</v>
      </c>
      <c r="AT1431">
        <v>2</v>
      </c>
      <c r="AU1431">
        <v>4.8058987872365826</v>
      </c>
      <c r="AV1431">
        <v>9.1998486067014301E-2</v>
      </c>
    </row>
    <row r="1432" spans="44:48" x14ac:dyDescent="0.2">
      <c r="AR1432">
        <v>1424</v>
      </c>
      <c r="AS1432">
        <v>515</v>
      </c>
      <c r="AT1432">
        <v>2</v>
      </c>
      <c r="AU1432">
        <v>4.8368393185539276</v>
      </c>
      <c r="AV1432">
        <v>9.1893264236819663E-2</v>
      </c>
    </row>
    <row r="1433" spans="44:48" x14ac:dyDescent="0.2">
      <c r="AR1433">
        <v>1425</v>
      </c>
      <c r="AS1433">
        <v>516</v>
      </c>
      <c r="AT1433">
        <v>2</v>
      </c>
      <c r="AU1433">
        <v>4.8677798498712743</v>
      </c>
      <c r="AV1433">
        <v>9.1783376582477774E-2</v>
      </c>
    </row>
    <row r="1434" spans="44:48" x14ac:dyDescent="0.2">
      <c r="AR1434">
        <v>1426</v>
      </c>
      <c r="AS1434">
        <v>517</v>
      </c>
      <c r="AT1434">
        <v>2</v>
      </c>
      <c r="AU1434">
        <v>4.8987203811886211</v>
      </c>
      <c r="AV1434">
        <v>9.1668840136502019E-2</v>
      </c>
    </row>
    <row r="1435" spans="44:48" x14ac:dyDescent="0.2">
      <c r="AR1435">
        <v>1427</v>
      </c>
      <c r="AS1435">
        <v>518</v>
      </c>
      <c r="AT1435">
        <v>2</v>
      </c>
      <c r="AU1435">
        <v>4.9296609125059678</v>
      </c>
      <c r="AV1435">
        <v>9.1549672637362162E-2</v>
      </c>
    </row>
    <row r="1436" spans="44:48" x14ac:dyDescent="0.2">
      <c r="AR1436">
        <v>1428</v>
      </c>
      <c r="AS1436">
        <v>519</v>
      </c>
      <c r="AT1436">
        <v>2</v>
      </c>
      <c r="AU1436">
        <v>4.9606014438233128</v>
      </c>
      <c r="AV1436">
        <v>9.1425892524905877E-2</v>
      </c>
    </row>
    <row r="1437" spans="44:48" x14ac:dyDescent="0.2">
      <c r="AR1437">
        <v>1429</v>
      </c>
      <c r="AS1437">
        <v>520</v>
      </c>
      <c r="AT1437">
        <v>2</v>
      </c>
      <c r="AU1437">
        <v>4.9915419751406613</v>
      </c>
      <c r="AV1437">
        <v>9.1297518935603464E-2</v>
      </c>
    </row>
    <row r="1438" spans="44:48" x14ac:dyDescent="0.2">
      <c r="AR1438">
        <v>1430</v>
      </c>
      <c r="AS1438">
        <v>521</v>
      </c>
      <c r="AT1438">
        <v>2</v>
      </c>
      <c r="AU1438">
        <v>5.0224825064580063</v>
      </c>
      <c r="AV1438">
        <v>9.116457169761745E-2</v>
      </c>
    </row>
    <row r="1439" spans="44:48" x14ac:dyDescent="0.2">
      <c r="AR1439">
        <v>1431</v>
      </c>
      <c r="AS1439">
        <v>522</v>
      </c>
      <c r="AT1439">
        <v>2</v>
      </c>
      <c r="AU1439">
        <v>5.0534230377753513</v>
      </c>
      <c r="AV1439">
        <v>9.1027071325698553E-2</v>
      </c>
    </row>
    <row r="1440" spans="44:48" x14ac:dyDescent="0.2">
      <c r="AR1440">
        <v>1432</v>
      </c>
      <c r="AS1440">
        <v>523</v>
      </c>
      <c r="AT1440">
        <v>2</v>
      </c>
      <c r="AU1440">
        <v>5.0843635690926998</v>
      </c>
      <c r="AV1440">
        <v>9.0885039015910316E-2</v>
      </c>
    </row>
    <row r="1441" spans="44:48" x14ac:dyDescent="0.2">
      <c r="AR1441">
        <v>1433</v>
      </c>
      <c r="AS1441">
        <v>524</v>
      </c>
      <c r="AT1441">
        <v>2</v>
      </c>
      <c r="AU1441">
        <v>5.1153041004100448</v>
      </c>
      <c r="AV1441">
        <v>9.0738496640183935E-2</v>
      </c>
    </row>
    <row r="1442" spans="44:48" x14ac:dyDescent="0.2">
      <c r="AR1442">
        <v>1434</v>
      </c>
      <c r="AS1442">
        <v>525</v>
      </c>
      <c r="AT1442">
        <v>2</v>
      </c>
      <c r="AU1442">
        <v>5.1462446317273898</v>
      </c>
      <c r="AV1442">
        <v>9.058746674070535E-2</v>
      </c>
    </row>
    <row r="1443" spans="44:48" x14ac:dyDescent="0.2">
      <c r="AR1443">
        <v>1435</v>
      </c>
      <c r="AS1443">
        <v>526</v>
      </c>
      <c r="AT1443">
        <v>2</v>
      </c>
      <c r="AU1443">
        <v>5.1771851630447383</v>
      </c>
      <c r="AV1443">
        <v>9.0431972524136664E-2</v>
      </c>
    </row>
    <row r="1444" spans="44:48" x14ac:dyDescent="0.2">
      <c r="AR1444">
        <v>1436</v>
      </c>
      <c r="AS1444">
        <v>527</v>
      </c>
      <c r="AT1444">
        <v>2</v>
      </c>
      <c r="AU1444">
        <v>5.2081256943620833</v>
      </c>
      <c r="AV1444">
        <v>9.0272037855674087E-2</v>
      </c>
    </row>
    <row r="1445" spans="44:48" x14ac:dyDescent="0.2">
      <c r="AR1445">
        <v>1437</v>
      </c>
      <c r="AS1445">
        <v>528</v>
      </c>
      <c r="AT1445">
        <v>2</v>
      </c>
      <c r="AU1445">
        <v>5.2390662256794283</v>
      </c>
      <c r="AV1445">
        <v>9.0107687252944033E-2</v>
      </c>
    </row>
    <row r="1446" spans="44:48" x14ac:dyDescent="0.2">
      <c r="AR1446">
        <v>1438</v>
      </c>
      <c r="AS1446">
        <v>529</v>
      </c>
      <c r="AT1446">
        <v>2</v>
      </c>
      <c r="AU1446">
        <v>5.2700067569967768</v>
      </c>
      <c r="AV1446">
        <v>8.9938945879740231E-2</v>
      </c>
    </row>
    <row r="1447" spans="44:48" x14ac:dyDescent="0.2">
      <c r="AR1447">
        <v>1439</v>
      </c>
      <c r="AS1447">
        <v>530</v>
      </c>
      <c r="AT1447">
        <v>2</v>
      </c>
      <c r="AU1447">
        <v>5.3009472883141218</v>
      </c>
      <c r="AV1447">
        <v>8.9765839539603681E-2</v>
      </c>
    </row>
    <row r="1448" spans="44:48" x14ac:dyDescent="0.2">
      <c r="AR1448">
        <v>1440</v>
      </c>
      <c r="AS1448">
        <v>531</v>
      </c>
      <c r="AT1448">
        <v>2</v>
      </c>
      <c r="AU1448">
        <v>5.3318878196314703</v>
      </c>
      <c r="AV1448">
        <v>8.9588394669247659E-2</v>
      </c>
    </row>
    <row r="1449" spans="44:48" x14ac:dyDescent="0.2">
      <c r="AR1449">
        <v>1441</v>
      </c>
      <c r="AS1449">
        <v>532</v>
      </c>
      <c r="AT1449">
        <v>2</v>
      </c>
      <c r="AU1449">
        <v>5.3628283509488153</v>
      </c>
      <c r="AV1449">
        <v>8.940663833183056E-2</v>
      </c>
    </row>
    <row r="1450" spans="44:48" x14ac:dyDescent="0.2">
      <c r="AR1450">
        <v>1442</v>
      </c>
      <c r="AS1450">
        <v>533</v>
      </c>
      <c r="AT1450">
        <v>2</v>
      </c>
      <c r="AU1450">
        <v>5.3937688822661602</v>
      </c>
      <c r="AV1450">
        <v>8.9220598210078439E-2</v>
      </c>
    </row>
    <row r="1451" spans="44:48" x14ac:dyDescent="0.2">
      <c r="AR1451">
        <v>1443</v>
      </c>
      <c r="AS1451">
        <v>534</v>
      </c>
      <c r="AT1451">
        <v>2</v>
      </c>
      <c r="AU1451">
        <v>5.4247094135835088</v>
      </c>
      <c r="AV1451">
        <v>8.9030302599260161E-2</v>
      </c>
    </row>
    <row r="1452" spans="44:48" x14ac:dyDescent="0.2">
      <c r="AR1452">
        <v>1444</v>
      </c>
      <c r="AS1452">
        <v>535</v>
      </c>
      <c r="AT1452">
        <v>2</v>
      </c>
      <c r="AU1452">
        <v>5.4556499449008538</v>
      </c>
      <c r="AV1452">
        <v>8.8835780400017342E-2</v>
      </c>
    </row>
    <row r="1453" spans="44:48" x14ac:dyDescent="0.2">
      <c r="AR1453">
        <v>1445</v>
      </c>
      <c r="AS1453">
        <v>536</v>
      </c>
      <c r="AT1453">
        <v>2</v>
      </c>
      <c r="AU1453">
        <v>5.4865904762181987</v>
      </c>
      <c r="AV1453">
        <v>8.8637061111051768E-2</v>
      </c>
    </row>
    <row r="1454" spans="44:48" x14ac:dyDescent="0.2">
      <c r="AR1454">
        <v>1446</v>
      </c>
      <c r="AS1454">
        <v>537</v>
      </c>
      <c r="AT1454">
        <v>2</v>
      </c>
      <c r="AU1454">
        <v>5.5175310075355473</v>
      </c>
      <c r="AV1454">
        <v>8.8434174821672748E-2</v>
      </c>
    </row>
    <row r="1455" spans="44:48" x14ac:dyDescent="0.2">
      <c r="AR1455">
        <v>1447</v>
      </c>
      <c r="AS1455">
        <v>538</v>
      </c>
      <c r="AT1455">
        <v>2</v>
      </c>
      <c r="AU1455">
        <v>5.5484715388528922</v>
      </c>
      <c r="AV1455">
        <v>8.822715220420746E-2</v>
      </c>
    </row>
    <row r="1456" spans="44:48" x14ac:dyDescent="0.2">
      <c r="AR1456">
        <v>1448</v>
      </c>
      <c r="AS1456">
        <v>539</v>
      </c>
      <c r="AT1456">
        <v>2</v>
      </c>
      <c r="AU1456">
        <v>5.5794120701702372</v>
      </c>
      <c r="AV1456">
        <v>8.8016024506276144E-2</v>
      </c>
    </row>
    <row r="1457" spans="44:48" x14ac:dyDescent="0.2">
      <c r="AR1457">
        <v>1449</v>
      </c>
      <c r="AS1457">
        <v>540</v>
      </c>
      <c r="AT1457">
        <v>2</v>
      </c>
      <c r="AU1457">
        <v>5.6103526014875857</v>
      </c>
      <c r="AV1457">
        <v>8.7800823542935794E-2</v>
      </c>
    </row>
    <row r="1458" spans="44:48" x14ac:dyDescent="0.2">
      <c r="AR1458">
        <v>1450</v>
      </c>
      <c r="AS1458">
        <v>541</v>
      </c>
      <c r="AT1458">
        <v>2</v>
      </c>
      <c r="AU1458">
        <v>5.6412931328049307</v>
      </c>
      <c r="AV1458">
        <v>8.7581581688694496E-2</v>
      </c>
    </row>
    <row r="1459" spans="44:48" x14ac:dyDescent="0.2">
      <c r="AR1459">
        <v>1451</v>
      </c>
      <c r="AS1459">
        <v>542</v>
      </c>
      <c r="AT1459">
        <v>2</v>
      </c>
      <c r="AU1459">
        <v>5.6722336641222793</v>
      </c>
      <c r="AV1459">
        <v>8.7358331869399355E-2</v>
      </c>
    </row>
    <row r="1460" spans="44:48" x14ac:dyDescent="0.2">
      <c r="AR1460">
        <v>1452</v>
      </c>
      <c r="AS1460">
        <v>543</v>
      </c>
      <c r="AT1460">
        <v>2</v>
      </c>
      <c r="AU1460">
        <v>5.7031741954396242</v>
      </c>
      <c r="AV1460">
        <v>8.7131107554001122E-2</v>
      </c>
    </row>
    <row r="1461" spans="44:48" x14ac:dyDescent="0.2">
      <c r="AR1461">
        <v>1453</v>
      </c>
      <c r="AS1461">
        <v>544</v>
      </c>
      <c r="AT1461">
        <v>2</v>
      </c>
      <c r="AU1461">
        <v>5.7341147267569692</v>
      </c>
      <c r="AV1461">
        <v>8.6899942746197889E-2</v>
      </c>
    </row>
    <row r="1462" spans="44:48" x14ac:dyDescent="0.2">
      <c r="AR1462">
        <v>1454</v>
      </c>
      <c r="AS1462">
        <v>545</v>
      </c>
      <c r="AT1462">
        <v>2</v>
      </c>
      <c r="AU1462">
        <v>5.7650552580743177</v>
      </c>
      <c r="AV1462">
        <v>8.6664871975961233E-2</v>
      </c>
    </row>
    <row r="1463" spans="44:48" x14ac:dyDescent="0.2">
      <c r="AR1463">
        <v>1455</v>
      </c>
      <c r="AS1463">
        <v>546</v>
      </c>
      <c r="AT1463">
        <v>2</v>
      </c>
      <c r="AU1463">
        <v>5.7959957893916627</v>
      </c>
      <c r="AV1463">
        <v>8.6425930290947722E-2</v>
      </c>
    </row>
    <row r="1464" spans="44:48" x14ac:dyDescent="0.2">
      <c r="AR1464">
        <v>1456</v>
      </c>
      <c r="AS1464">
        <v>547</v>
      </c>
      <c r="AT1464">
        <v>2</v>
      </c>
      <c r="AU1464">
        <v>5.8269363207090077</v>
      </c>
      <c r="AV1464">
        <v>8.6183153247798322E-2</v>
      </c>
    </row>
    <row r="1465" spans="44:48" x14ac:dyDescent="0.2">
      <c r="AR1465">
        <v>1457</v>
      </c>
      <c r="AS1465">
        <v>548</v>
      </c>
      <c r="AT1465">
        <v>2</v>
      </c>
      <c r="AU1465">
        <v>5.8578768520263562</v>
      </c>
      <c r="AV1465">
        <v>8.5936576903329329E-2</v>
      </c>
    </row>
    <row r="1466" spans="44:48" x14ac:dyDescent="0.2">
      <c r="AR1466">
        <v>1458</v>
      </c>
      <c r="AS1466">
        <v>549</v>
      </c>
      <c r="AT1466">
        <v>2</v>
      </c>
      <c r="AU1466">
        <v>5.8888173833437012</v>
      </c>
      <c r="AV1466">
        <v>8.5686237805617446E-2</v>
      </c>
    </row>
    <row r="1467" spans="44:48" x14ac:dyDescent="0.2">
      <c r="AR1467">
        <v>1459</v>
      </c>
      <c r="AS1467">
        <v>550</v>
      </c>
      <c r="AT1467">
        <v>2</v>
      </c>
      <c r="AU1467">
        <v>5.9197579146610497</v>
      </c>
      <c r="AV1467">
        <v>8.5432172984982291E-2</v>
      </c>
    </row>
    <row r="1468" spans="44:48" x14ac:dyDescent="0.2">
      <c r="AR1468">
        <v>1460</v>
      </c>
      <c r="AS1468">
        <v>551</v>
      </c>
      <c r="AT1468">
        <v>2</v>
      </c>
      <c r="AU1468">
        <v>5.9506984459783947</v>
      </c>
      <c r="AV1468">
        <v>8.5174419944869448E-2</v>
      </c>
    </row>
    <row r="1469" spans="44:48" x14ac:dyDescent="0.2">
      <c r="AR1469">
        <v>1461</v>
      </c>
      <c r="AS1469">
        <v>552</v>
      </c>
      <c r="AT1469">
        <v>2</v>
      </c>
      <c r="AU1469">
        <v>5.9816389772957397</v>
      </c>
      <c r="AV1469">
        <v>8.4913016652636952E-2</v>
      </c>
    </row>
    <row r="1470" spans="44:48" x14ac:dyDescent="0.2">
      <c r="AR1470">
        <v>1462</v>
      </c>
      <c r="AS1470">
        <v>553</v>
      </c>
      <c r="AT1470">
        <v>2</v>
      </c>
      <c r="AU1470">
        <v>6.0125795086130882</v>
      </c>
      <c r="AV1470">
        <v>8.4648001530248818E-2</v>
      </c>
    </row>
    <row r="1471" spans="44:48" x14ac:dyDescent="0.2">
      <c r="AR1471">
        <v>1463</v>
      </c>
      <c r="AS1471">
        <v>554</v>
      </c>
      <c r="AT1471">
        <v>2</v>
      </c>
      <c r="AU1471">
        <v>6.0435200399304332</v>
      </c>
      <c r="AV1471">
        <v>8.4379413444878371E-2</v>
      </c>
    </row>
    <row r="1472" spans="44:48" x14ac:dyDescent="0.2">
      <c r="AR1472">
        <v>1464</v>
      </c>
      <c r="AS1472">
        <v>555</v>
      </c>
      <c r="AT1472">
        <v>2</v>
      </c>
      <c r="AU1472">
        <v>6.0744605712477782</v>
      </c>
      <c r="AV1472">
        <v>8.4107291699424838E-2</v>
      </c>
    </row>
    <row r="1473" spans="44:48" x14ac:dyDescent="0.2">
      <c r="AR1473">
        <v>1465</v>
      </c>
      <c r="AS1473">
        <v>556</v>
      </c>
      <c r="AT1473">
        <v>2</v>
      </c>
      <c r="AU1473">
        <v>6.1054011025651267</v>
      </c>
      <c r="AV1473">
        <v>8.3831676022946264E-2</v>
      </c>
    </row>
    <row r="1474" spans="44:48" x14ac:dyDescent="0.2">
      <c r="AR1474">
        <v>1466</v>
      </c>
      <c r="AS1474">
        <v>557</v>
      </c>
      <c r="AT1474">
        <v>2</v>
      </c>
      <c r="AU1474">
        <v>6.1363416338824717</v>
      </c>
      <c r="AV1474">
        <v>8.3552606561012419E-2</v>
      </c>
    </row>
    <row r="1475" spans="44:48" x14ac:dyDescent="0.2">
      <c r="AR1475">
        <v>1467</v>
      </c>
      <c r="AS1475">
        <v>558</v>
      </c>
      <c r="AT1475">
        <v>2</v>
      </c>
      <c r="AU1475">
        <v>6.1672821651998166</v>
      </c>
      <c r="AV1475">
        <v>8.3270123865980067E-2</v>
      </c>
    </row>
    <row r="1476" spans="44:48" x14ac:dyDescent="0.2">
      <c r="AR1476">
        <v>1468</v>
      </c>
      <c r="AS1476">
        <v>559</v>
      </c>
      <c r="AT1476">
        <v>2</v>
      </c>
      <c r="AU1476">
        <v>6.1982226965171652</v>
      </c>
      <c r="AV1476">
        <v>8.2984268887195137E-2</v>
      </c>
    </row>
    <row r="1477" spans="44:48" x14ac:dyDescent="0.2">
      <c r="AR1477">
        <v>1469</v>
      </c>
      <c r="AS1477">
        <v>560</v>
      </c>
      <c r="AT1477">
        <v>2</v>
      </c>
      <c r="AU1477">
        <v>6.2291632278345102</v>
      </c>
      <c r="AV1477">
        <v>8.2695082961124058E-2</v>
      </c>
    </row>
    <row r="1478" spans="44:48" x14ac:dyDescent="0.2">
      <c r="AR1478">
        <v>1470</v>
      </c>
      <c r="AS1478">
        <v>561</v>
      </c>
      <c r="AT1478">
        <v>2</v>
      </c>
      <c r="AU1478">
        <v>6.2601037591518587</v>
      </c>
      <c r="AV1478">
        <v>8.2402607801417851E-2</v>
      </c>
    </row>
    <row r="1479" spans="44:48" x14ac:dyDescent="0.2">
      <c r="AR1479">
        <v>1471</v>
      </c>
      <c r="AS1479">
        <v>562</v>
      </c>
      <c r="AT1479">
        <v>2</v>
      </c>
      <c r="AU1479">
        <v>6.2910442904692037</v>
      </c>
      <c r="AV1479">
        <v>8.2106885488912887E-2</v>
      </c>
    </row>
    <row r="1480" spans="44:48" x14ac:dyDescent="0.2">
      <c r="AR1480">
        <v>1472</v>
      </c>
      <c r="AS1480">
        <v>563</v>
      </c>
      <c r="AT1480">
        <v>2</v>
      </c>
      <c r="AU1480">
        <v>6.3219848217865486</v>
      </c>
      <c r="AV1480">
        <v>8.1807958461570685E-2</v>
      </c>
    </row>
    <row r="1481" spans="44:48" x14ac:dyDescent="0.2">
      <c r="AR1481">
        <v>1473</v>
      </c>
      <c r="AS1481">
        <v>564</v>
      </c>
      <c r="AT1481">
        <v>2</v>
      </c>
      <c r="AU1481">
        <v>6.3529253531038972</v>
      </c>
      <c r="AV1481">
        <v>8.1505869504360853E-2</v>
      </c>
    </row>
    <row r="1482" spans="44:48" x14ac:dyDescent="0.2">
      <c r="AR1482">
        <v>1474</v>
      </c>
      <c r="AS1482">
        <v>565</v>
      </c>
      <c r="AT1482">
        <v>2</v>
      </c>
      <c r="AU1482">
        <v>6.3838658844212421</v>
      </c>
      <c r="AV1482">
        <v>8.1200661739090463E-2</v>
      </c>
    </row>
    <row r="1483" spans="44:48" x14ac:dyDescent="0.2">
      <c r="AR1483">
        <v>1475</v>
      </c>
      <c r="AS1483">
        <v>566</v>
      </c>
      <c r="AT1483">
        <v>2</v>
      </c>
      <c r="AU1483">
        <v>6.4148064157385871</v>
      </c>
      <c r="AV1483">
        <v>8.0892378614182581E-2</v>
      </c>
    </row>
    <row r="1484" spans="44:48" x14ac:dyDescent="0.2">
      <c r="AR1484">
        <v>1476</v>
      </c>
      <c r="AS1484">
        <v>567</v>
      </c>
      <c r="AT1484">
        <v>2</v>
      </c>
      <c r="AU1484">
        <v>6.4457469470559356</v>
      </c>
      <c r="AV1484">
        <v>8.058106389440825E-2</v>
      </c>
    </row>
    <row r="1485" spans="44:48" x14ac:dyDescent="0.2">
      <c r="AR1485">
        <v>1477</v>
      </c>
      <c r="AS1485">
        <v>568</v>
      </c>
      <c r="AT1485">
        <v>2</v>
      </c>
      <c r="AU1485">
        <v>6.4766874783732806</v>
      </c>
      <c r="AV1485">
        <v>8.0266761650574781E-2</v>
      </c>
    </row>
    <row r="1486" spans="44:48" x14ac:dyDescent="0.2">
      <c r="AR1486">
        <v>1478</v>
      </c>
      <c r="AS1486">
        <v>569</v>
      </c>
      <c r="AT1486">
        <v>2</v>
      </c>
      <c r="AU1486">
        <v>6.5076280096906256</v>
      </c>
      <c r="AV1486">
        <v>7.9949516249173611E-2</v>
      </c>
    </row>
    <row r="1487" spans="44:48" x14ac:dyDescent="0.2">
      <c r="AR1487">
        <v>1479</v>
      </c>
      <c r="AS1487">
        <v>570</v>
      </c>
      <c r="AT1487">
        <v>2</v>
      </c>
      <c r="AU1487">
        <v>6.5385685410079741</v>
      </c>
      <c r="AV1487">
        <v>7.9629372341991508E-2</v>
      </c>
    </row>
    <row r="1488" spans="44:48" x14ac:dyDescent="0.2">
      <c r="AR1488">
        <v>1480</v>
      </c>
      <c r="AS1488">
        <v>571</v>
      </c>
      <c r="AT1488">
        <v>2</v>
      </c>
      <c r="AU1488">
        <v>6.5695090723253191</v>
      </c>
      <c r="AV1488">
        <v>7.930637485568845E-2</v>
      </c>
    </row>
    <row r="1489" spans="44:48" x14ac:dyDescent="0.2">
      <c r="AR1489">
        <v>1481</v>
      </c>
      <c r="AS1489">
        <v>572</v>
      </c>
      <c r="AT1489">
        <v>2</v>
      </c>
      <c r="AU1489">
        <v>6.6004496036426676</v>
      </c>
      <c r="AV1489">
        <v>7.8980568981345034E-2</v>
      </c>
    </row>
    <row r="1490" spans="44:48" x14ac:dyDescent="0.2">
      <c r="AR1490">
        <v>1482</v>
      </c>
      <c r="AS1490">
        <v>573</v>
      </c>
      <c r="AT1490">
        <v>2</v>
      </c>
      <c r="AU1490">
        <v>6.6313901349600126</v>
      </c>
      <c r="AV1490">
        <v>7.8652000163983771E-2</v>
      </c>
    </row>
    <row r="1491" spans="44:48" x14ac:dyDescent="0.2">
      <c r="AR1491">
        <v>1483</v>
      </c>
      <c r="AS1491">
        <v>574</v>
      </c>
      <c r="AT1491">
        <v>2</v>
      </c>
      <c r="AU1491">
        <v>6.6623306662773576</v>
      </c>
      <c r="AV1491">
        <v>7.8320714092066562E-2</v>
      </c>
    </row>
    <row r="1492" spans="44:48" x14ac:dyDescent="0.2">
      <c r="AR1492">
        <v>1484</v>
      </c>
      <c r="AS1492">
        <v>575</v>
      </c>
      <c r="AT1492">
        <v>2</v>
      </c>
      <c r="AU1492">
        <v>6.6932711975947061</v>
      </c>
      <c r="AV1492">
        <v>7.7986756686972525E-2</v>
      </c>
    </row>
    <row r="1493" spans="44:48" x14ac:dyDescent="0.2">
      <c r="AR1493">
        <v>1485</v>
      </c>
      <c r="AS1493">
        <v>576</v>
      </c>
      <c r="AT1493">
        <v>2</v>
      </c>
      <c r="AU1493">
        <v>6.7242117289120511</v>
      </c>
      <c r="AV1493">
        <v>7.7650174092459404E-2</v>
      </c>
    </row>
    <row r="1494" spans="44:48" x14ac:dyDescent="0.2">
      <c r="AR1494">
        <v>1486</v>
      </c>
      <c r="AS1494">
        <v>577</v>
      </c>
      <c r="AT1494">
        <v>2</v>
      </c>
      <c r="AU1494">
        <v>6.7551522602293961</v>
      </c>
      <c r="AV1494">
        <v>7.7311012664111348E-2</v>
      </c>
    </row>
    <row r="1495" spans="44:48" x14ac:dyDescent="0.2">
      <c r="AR1495">
        <v>1487</v>
      </c>
      <c r="AS1495">
        <v>578</v>
      </c>
      <c r="AT1495">
        <v>2</v>
      </c>
      <c r="AU1495">
        <v>6.7860927915467446</v>
      </c>
      <c r="AV1495">
        <v>7.6969318958777289E-2</v>
      </c>
    </row>
    <row r="1496" spans="44:48" x14ac:dyDescent="0.2">
      <c r="AR1496">
        <v>1488</v>
      </c>
      <c r="AS1496">
        <v>579</v>
      </c>
      <c r="AT1496">
        <v>2</v>
      </c>
      <c r="AU1496">
        <v>6.8170333228640896</v>
      </c>
      <c r="AV1496">
        <v>7.6625139724002658E-2</v>
      </c>
    </row>
    <row r="1497" spans="44:48" x14ac:dyDescent="0.2">
      <c r="AR1497">
        <v>1489</v>
      </c>
      <c r="AS1497">
        <v>580</v>
      </c>
      <c r="AT1497">
        <v>2</v>
      </c>
      <c r="AU1497">
        <v>6.8479738541814346</v>
      </c>
      <c r="AV1497">
        <v>7.6278521887457748E-2</v>
      </c>
    </row>
    <row r="1498" spans="44:48" x14ac:dyDescent="0.2">
      <c r="AR1498">
        <v>1490</v>
      </c>
      <c r="AS1498">
        <v>581</v>
      </c>
      <c r="AT1498">
        <v>2</v>
      </c>
      <c r="AU1498">
        <v>6.8789143854987831</v>
      </c>
      <c r="AV1498">
        <v>7.5929512546366512E-2</v>
      </c>
    </row>
    <row r="1499" spans="44:48" x14ac:dyDescent="0.2">
      <c r="AR1499">
        <v>1491</v>
      </c>
      <c r="AS1499">
        <v>582</v>
      </c>
      <c r="AT1499">
        <v>2</v>
      </c>
      <c r="AU1499">
        <v>6.9098549168161281</v>
      </c>
      <c r="AV1499">
        <v>7.5578158956938729E-2</v>
      </c>
    </row>
    <row r="1500" spans="44:48" x14ac:dyDescent="0.2">
      <c r="AR1500">
        <v>1492</v>
      </c>
      <c r="AS1500">
        <v>583</v>
      </c>
      <c r="AT1500">
        <v>2</v>
      </c>
      <c r="AU1500">
        <v>6.9407954481334766</v>
      </c>
      <c r="AV1500">
        <v>7.5224508523808603E-2</v>
      </c>
    </row>
    <row r="1501" spans="44:48" x14ac:dyDescent="0.2">
      <c r="AR1501">
        <v>1493</v>
      </c>
      <c r="AS1501">
        <v>584</v>
      </c>
      <c r="AT1501">
        <v>2</v>
      </c>
      <c r="AU1501">
        <v>6.9717359794508216</v>
      </c>
      <c r="AV1501">
        <v>7.4868608789483856E-2</v>
      </c>
    </row>
    <row r="1502" spans="44:48" x14ac:dyDescent="0.2">
      <c r="AR1502">
        <v>1494</v>
      </c>
      <c r="AS1502">
        <v>585</v>
      </c>
      <c r="AT1502">
        <v>2</v>
      </c>
      <c r="AU1502">
        <v>7.0026765107681666</v>
      </c>
      <c r="AV1502">
        <v>7.4510507423807548E-2</v>
      </c>
    </row>
    <row r="1503" spans="44:48" x14ac:dyDescent="0.2">
      <c r="AR1503">
        <v>1495</v>
      </c>
      <c r="AS1503">
        <v>586</v>
      </c>
      <c r="AT1503">
        <v>2</v>
      </c>
      <c r="AU1503">
        <v>7.0336170420855151</v>
      </c>
      <c r="AV1503">
        <v>7.4150252213436685E-2</v>
      </c>
    </row>
    <row r="1504" spans="44:48" x14ac:dyDescent="0.2">
      <c r="AR1504">
        <v>1496</v>
      </c>
      <c r="AS1504">
        <v>587</v>
      </c>
      <c r="AT1504">
        <v>2</v>
      </c>
      <c r="AU1504">
        <v>7.0645575734028601</v>
      </c>
      <c r="AV1504">
        <v>7.378789105134051E-2</v>
      </c>
    </row>
    <row r="1505" spans="44:48" x14ac:dyDescent="0.2">
      <c r="AR1505">
        <v>1497</v>
      </c>
      <c r="AS1505">
        <v>588</v>
      </c>
      <c r="AT1505">
        <v>2</v>
      </c>
      <c r="AU1505">
        <v>7.095498104720205</v>
      </c>
      <c r="AV1505">
        <v>7.3423471926321301E-2</v>
      </c>
    </row>
    <row r="1506" spans="44:48" x14ac:dyDescent="0.2">
      <c r="AR1506">
        <v>1498</v>
      </c>
      <c r="AS1506">
        <v>589</v>
      </c>
      <c r="AT1506">
        <v>2</v>
      </c>
      <c r="AU1506">
        <v>7.1264386360375536</v>
      </c>
      <c r="AV1506">
        <v>7.3057042912561584E-2</v>
      </c>
    </row>
    <row r="1507" spans="44:48" x14ac:dyDescent="0.2">
      <c r="AR1507">
        <v>1499</v>
      </c>
      <c r="AS1507">
        <v>590</v>
      </c>
      <c r="AT1507">
        <v>2</v>
      </c>
      <c r="AU1507">
        <v>7.1573791673548985</v>
      </c>
      <c r="AV1507">
        <v>7.2688652159200409E-2</v>
      </c>
    </row>
    <row r="1508" spans="44:48" x14ac:dyDescent="0.2">
      <c r="AR1508">
        <v>1500</v>
      </c>
      <c r="AS1508">
        <v>591</v>
      </c>
      <c r="AT1508">
        <v>2</v>
      </c>
      <c r="AU1508">
        <v>7.1883196986722435</v>
      </c>
      <c r="AV1508">
        <v>7.2318347879941527E-2</v>
      </c>
    </row>
    <row r="1509" spans="44:48" x14ac:dyDescent="0.2">
      <c r="AR1509">
        <v>1501</v>
      </c>
      <c r="AS1509">
        <v>592</v>
      </c>
      <c r="AT1509">
        <v>2</v>
      </c>
      <c r="AU1509">
        <v>7.219260229989592</v>
      </c>
      <c r="AV1509">
        <v>7.1946178342697328E-2</v>
      </c>
    </row>
    <row r="1510" spans="44:48" x14ac:dyDescent="0.2">
      <c r="AR1510">
        <v>1502</v>
      </c>
      <c r="AS1510">
        <v>593</v>
      </c>
      <c r="AT1510">
        <v>2</v>
      </c>
      <c r="AU1510">
        <v>7.250200761306937</v>
      </c>
      <c r="AV1510">
        <v>7.1572191859271231E-2</v>
      </c>
    </row>
    <row r="1511" spans="44:48" x14ac:dyDescent="0.2">
      <c r="AR1511">
        <v>1503</v>
      </c>
      <c r="AS1511">
        <v>594</v>
      </c>
      <c r="AT1511">
        <v>2</v>
      </c>
      <c r="AU1511">
        <v>7.2811412926242856</v>
      </c>
      <c r="AV1511">
        <v>7.1196436775080807E-2</v>
      </c>
    </row>
    <row r="1512" spans="44:48" x14ac:dyDescent="0.2">
      <c r="AR1512">
        <v>1504</v>
      </c>
      <c r="AS1512">
        <v>595</v>
      </c>
      <c r="AT1512">
        <v>2</v>
      </c>
      <c r="AU1512">
        <v>7.3120818239416305</v>
      </c>
      <c r="AV1512">
        <v>7.0818961458926299E-2</v>
      </c>
    </row>
    <row r="1513" spans="44:48" x14ac:dyDescent="0.2">
      <c r="AR1513">
        <v>1505</v>
      </c>
      <c r="AS1513">
        <v>596</v>
      </c>
      <c r="AT1513">
        <v>2</v>
      </c>
      <c r="AU1513">
        <v>7.3430223552589755</v>
      </c>
      <c r="AV1513">
        <v>7.0439814292805575E-2</v>
      </c>
    </row>
    <row r="1514" spans="44:48" x14ac:dyDescent="0.2">
      <c r="AR1514">
        <v>1506</v>
      </c>
      <c r="AS1514">
        <v>597</v>
      </c>
      <c r="AT1514">
        <v>2</v>
      </c>
      <c r="AU1514">
        <v>7.373962886576324</v>
      </c>
      <c r="AV1514">
        <v>7.0059043661780007E-2</v>
      </c>
    </row>
    <row r="1515" spans="44:48" x14ac:dyDescent="0.2">
      <c r="AR1515">
        <v>1507</v>
      </c>
      <c r="AS1515">
        <v>598</v>
      </c>
      <c r="AT1515">
        <v>2</v>
      </c>
      <c r="AU1515">
        <v>7.404903417893669</v>
      </c>
      <c r="AV1515">
        <v>6.9676697943893473E-2</v>
      </c>
    </row>
    <row r="1516" spans="44:48" x14ac:dyDescent="0.2">
      <c r="AR1516">
        <v>1508</v>
      </c>
      <c r="AS1516">
        <v>599</v>
      </c>
      <c r="AT1516">
        <v>2</v>
      </c>
      <c r="AU1516">
        <v>7.435843949211014</v>
      </c>
      <c r="AV1516">
        <v>6.929282550014694E-2</v>
      </c>
    </row>
    <row r="1517" spans="44:48" x14ac:dyDescent="0.2">
      <c r="AR1517">
        <v>1509</v>
      </c>
      <c r="AS1517">
        <v>600</v>
      </c>
      <c r="AT1517">
        <v>2</v>
      </c>
      <c r="AU1517">
        <v>7.4667844805283625</v>
      </c>
      <c r="AV1517">
        <v>6.890747466453255E-2</v>
      </c>
    </row>
    <row r="1518" spans="44:48" x14ac:dyDescent="0.2">
      <c r="AR1518">
        <v>1510</v>
      </c>
      <c r="AS1518">
        <v>601</v>
      </c>
      <c r="AT1518">
        <v>2</v>
      </c>
      <c r="AU1518">
        <v>7.4977250118457075</v>
      </c>
      <c r="AV1518">
        <v>6.8520693734129126E-2</v>
      </c>
    </row>
    <row r="1519" spans="44:48" x14ac:dyDescent="0.2">
      <c r="AR1519">
        <v>1511</v>
      </c>
      <c r="AS1519">
        <v>602</v>
      </c>
      <c r="AT1519">
        <v>2</v>
      </c>
      <c r="AU1519">
        <v>7.528665543163056</v>
      </c>
      <c r="AV1519">
        <v>6.813253095926175E-2</v>
      </c>
    </row>
    <row r="1520" spans="44:48" x14ac:dyDescent="0.2">
      <c r="AR1520">
        <v>1512</v>
      </c>
      <c r="AS1520">
        <v>603</v>
      </c>
      <c r="AT1520">
        <v>2</v>
      </c>
      <c r="AU1520">
        <v>7.559606074480401</v>
      </c>
      <c r="AV1520">
        <v>6.7743034533729263E-2</v>
      </c>
    </row>
    <row r="1521" spans="44:48" x14ac:dyDescent="0.2">
      <c r="AR1521">
        <v>1513</v>
      </c>
      <c r="AS1521">
        <v>604</v>
      </c>
      <c r="AT1521">
        <v>2</v>
      </c>
      <c r="AU1521">
        <v>7.590546605797746</v>
      </c>
      <c r="AV1521">
        <v>6.7352252585100691E-2</v>
      </c>
    </row>
    <row r="1522" spans="44:48" x14ac:dyDescent="0.2">
      <c r="AR1522">
        <v>1514</v>
      </c>
      <c r="AS1522">
        <v>605</v>
      </c>
      <c r="AT1522">
        <v>2</v>
      </c>
      <c r="AU1522">
        <v>7.6214871371150945</v>
      </c>
      <c r="AV1522">
        <v>6.696023316508469E-2</v>
      </c>
    </row>
    <row r="1523" spans="44:48" x14ac:dyDescent="0.2">
      <c r="AR1523">
        <v>1515</v>
      </c>
      <c r="AS1523">
        <v>606</v>
      </c>
      <c r="AT1523">
        <v>2</v>
      </c>
      <c r="AU1523">
        <v>7.6524276684324395</v>
      </c>
      <c r="AV1523">
        <v>6.6567024239974001E-2</v>
      </c>
    </row>
    <row r="1524" spans="44:48" x14ac:dyDescent="0.2">
      <c r="AR1524">
        <v>1516</v>
      </c>
      <c r="AS1524">
        <v>607</v>
      </c>
      <c r="AT1524">
        <v>2</v>
      </c>
      <c r="AU1524">
        <v>7.6833681997497845</v>
      </c>
      <c r="AV1524">
        <v>6.6172673681166971E-2</v>
      </c>
    </row>
    <row r="1525" spans="44:48" x14ac:dyDescent="0.2">
      <c r="AR1525">
        <v>1517</v>
      </c>
      <c r="AS1525">
        <v>608</v>
      </c>
      <c r="AT1525">
        <v>2</v>
      </c>
      <c r="AU1525">
        <v>7.714308731067133</v>
      </c>
      <c r="AV1525">
        <v>6.5777229255769745E-2</v>
      </c>
    </row>
    <row r="1526" spans="44:48" x14ac:dyDescent="0.2">
      <c r="AR1526">
        <v>1518</v>
      </c>
      <c r="AS1526">
        <v>609</v>
      </c>
      <c r="AT1526">
        <v>2</v>
      </c>
      <c r="AU1526">
        <v>7.745249262384478</v>
      </c>
      <c r="AV1526">
        <v>6.5380738617280831E-2</v>
      </c>
    </row>
    <row r="1527" spans="44:48" x14ac:dyDescent="0.2">
      <c r="AR1527">
        <v>1519</v>
      </c>
      <c r="AS1527">
        <v>610</v>
      </c>
      <c r="AT1527">
        <v>2</v>
      </c>
      <c r="AU1527">
        <v>7.7761897937018229</v>
      </c>
      <c r="AV1527">
        <v>6.498324929636029E-2</v>
      </c>
    </row>
    <row r="1528" spans="44:48" x14ac:dyDescent="0.2">
      <c r="AR1528">
        <v>1520</v>
      </c>
      <c r="AS1528">
        <v>611</v>
      </c>
      <c r="AT1528">
        <v>2</v>
      </c>
      <c r="AU1528">
        <v>7.8071303250191715</v>
      </c>
      <c r="AV1528">
        <v>6.4584808691686646E-2</v>
      </c>
    </row>
    <row r="1529" spans="44:48" x14ac:dyDescent="0.2">
      <c r="AR1529">
        <v>1521</v>
      </c>
      <c r="AS1529">
        <v>612</v>
      </c>
      <c r="AT1529">
        <v>2</v>
      </c>
      <c r="AU1529">
        <v>7.8380708563365165</v>
      </c>
      <c r="AV1529">
        <v>6.4185464060903447E-2</v>
      </c>
    </row>
    <row r="1530" spans="44:48" x14ac:dyDescent="0.2">
      <c r="AR1530">
        <v>1522</v>
      </c>
      <c r="AS1530">
        <v>613</v>
      </c>
      <c r="AT1530">
        <v>2</v>
      </c>
      <c r="AU1530">
        <v>7.869011387653865</v>
      </c>
      <c r="AV1530">
        <v>6.3785262511657365E-2</v>
      </c>
    </row>
    <row r="1531" spans="44:48" x14ac:dyDescent="0.2">
      <c r="AR1531">
        <v>1523</v>
      </c>
      <c r="AS1531">
        <v>614</v>
      </c>
      <c r="AT1531">
        <v>2</v>
      </c>
      <c r="AU1531">
        <v>7.89995191897121</v>
      </c>
      <c r="AV1531">
        <v>6.3384250992731025E-2</v>
      </c>
    </row>
    <row r="1532" spans="44:48" x14ac:dyDescent="0.2">
      <c r="AR1532">
        <v>1524</v>
      </c>
      <c r="AS1532">
        <v>615</v>
      </c>
      <c r="AT1532">
        <v>2</v>
      </c>
      <c r="AU1532">
        <v>7.9308924502885549</v>
      </c>
      <c r="AV1532">
        <v>6.2982476285271566E-2</v>
      </c>
    </row>
    <row r="1533" spans="44:48" x14ac:dyDescent="0.2">
      <c r="AR1533">
        <v>1525</v>
      </c>
      <c r="AS1533">
        <v>616</v>
      </c>
      <c r="AT1533">
        <v>2</v>
      </c>
      <c r="AU1533">
        <v>7.9618329816059035</v>
      </c>
      <c r="AV1533">
        <v>6.257998499411821E-2</v>
      </c>
    </row>
    <row r="1534" spans="44:48" x14ac:dyDescent="0.2">
      <c r="AR1534">
        <v>1526</v>
      </c>
      <c r="AS1534">
        <v>617</v>
      </c>
      <c r="AT1534">
        <v>2</v>
      </c>
      <c r="AU1534">
        <v>7.9927735129232484</v>
      </c>
      <c r="AV1534">
        <v>6.2176823539230215E-2</v>
      </c>
    </row>
    <row r="1535" spans="44:48" x14ac:dyDescent="0.2">
      <c r="AR1535">
        <v>1527</v>
      </c>
      <c r="AS1535">
        <v>618</v>
      </c>
      <c r="AT1535">
        <v>2</v>
      </c>
      <c r="AU1535">
        <v>8.0237140442405934</v>
      </c>
      <c r="AV1535">
        <v>6.1773038147217213E-2</v>
      </c>
    </row>
    <row r="1536" spans="44:48" x14ac:dyDescent="0.2">
      <c r="AR1536">
        <v>1528</v>
      </c>
      <c r="AS1536">
        <v>619</v>
      </c>
      <c r="AT1536">
        <v>2</v>
      </c>
      <c r="AU1536">
        <v>8.054654575557942</v>
      </c>
      <c r="AV1536">
        <v>6.1368674842974473E-2</v>
      </c>
    </row>
    <row r="1537" spans="44:48" x14ac:dyDescent="0.2">
      <c r="AR1537">
        <v>1529</v>
      </c>
      <c r="AS1537">
        <v>620</v>
      </c>
      <c r="AT1537">
        <v>2</v>
      </c>
      <c r="AU1537">
        <v>8.0855951068752869</v>
      </c>
      <c r="AV1537">
        <v>6.0963779441424601E-2</v>
      </c>
    </row>
    <row r="1538" spans="44:48" x14ac:dyDescent="0.2">
      <c r="AR1538">
        <v>1530</v>
      </c>
      <c r="AS1538">
        <v>621</v>
      </c>
      <c r="AT1538">
        <v>2</v>
      </c>
      <c r="AU1538">
        <v>8.1165356381926319</v>
      </c>
      <c r="AV1538">
        <v>6.0558397539367426E-2</v>
      </c>
    </row>
    <row r="1539" spans="44:48" x14ac:dyDescent="0.2">
      <c r="AR1539">
        <v>1531</v>
      </c>
      <c r="AS1539">
        <v>622</v>
      </c>
      <c r="AT1539">
        <v>2</v>
      </c>
      <c r="AU1539">
        <v>8.1474761695099804</v>
      </c>
      <c r="AV1539">
        <v>6.0152574507440298E-2</v>
      </c>
    </row>
    <row r="1540" spans="44:48" x14ac:dyDescent="0.2">
      <c r="AR1540">
        <v>1532</v>
      </c>
      <c r="AS1540">
        <v>623</v>
      </c>
      <c r="AT1540">
        <v>2</v>
      </c>
      <c r="AU1540">
        <v>8.1784167008273254</v>
      </c>
      <c r="AV1540">
        <v>5.9746355482190698E-2</v>
      </c>
    </row>
    <row r="1541" spans="44:48" x14ac:dyDescent="0.2">
      <c r="AR1541">
        <v>1533</v>
      </c>
      <c r="AS1541">
        <v>624</v>
      </c>
      <c r="AT1541">
        <v>2</v>
      </c>
      <c r="AU1541">
        <v>8.2093572321446739</v>
      </c>
      <c r="AV1541">
        <v>5.9339785358261843E-2</v>
      </c>
    </row>
    <row r="1542" spans="44:48" x14ac:dyDescent="0.2">
      <c r="AR1542">
        <v>1534</v>
      </c>
      <c r="AS1542">
        <v>625</v>
      </c>
      <c r="AT1542">
        <v>2</v>
      </c>
      <c r="AU1542">
        <v>8.2402977634620189</v>
      </c>
      <c r="AV1542">
        <v>5.8932908780694557E-2</v>
      </c>
    </row>
    <row r="1543" spans="44:48" x14ac:dyDescent="0.2">
      <c r="AR1543">
        <v>1535</v>
      </c>
      <c r="AS1543">
        <v>626</v>
      </c>
      <c r="AT1543">
        <v>2</v>
      </c>
      <c r="AU1543">
        <v>8.2712382947793639</v>
      </c>
      <c r="AV1543">
        <v>5.8525770137345508E-2</v>
      </c>
    </row>
    <row r="1544" spans="44:48" x14ac:dyDescent="0.2">
      <c r="AR1544">
        <v>1536</v>
      </c>
      <c r="AS1544">
        <v>627</v>
      </c>
      <c r="AT1544">
        <v>2</v>
      </c>
      <c r="AU1544">
        <v>8.3021788260967124</v>
      </c>
      <c r="AV1544">
        <v>5.8118413551424455E-2</v>
      </c>
    </row>
    <row r="1545" spans="44:48" x14ac:dyDescent="0.2">
      <c r="AR1545">
        <v>1537</v>
      </c>
      <c r="AS1545">
        <v>628</v>
      </c>
      <c r="AT1545">
        <v>2</v>
      </c>
      <c r="AU1545">
        <v>8.3331193574140574</v>
      </c>
      <c r="AV1545">
        <v>5.771088287415161E-2</v>
      </c>
    </row>
    <row r="1546" spans="44:48" x14ac:dyDescent="0.2">
      <c r="AR1546">
        <v>1538</v>
      </c>
      <c r="AS1546">
        <v>629</v>
      </c>
      <c r="AT1546">
        <v>2</v>
      </c>
      <c r="AU1546">
        <v>8.3640598887314024</v>
      </c>
      <c r="AV1546">
        <v>5.7303221677536216E-2</v>
      </c>
    </row>
    <row r="1547" spans="44:48" x14ac:dyDescent="0.2">
      <c r="AR1547">
        <v>1539</v>
      </c>
      <c r="AS1547">
        <v>630</v>
      </c>
      <c r="AT1547">
        <v>2</v>
      </c>
      <c r="AU1547">
        <v>8.3950004200487509</v>
      </c>
      <c r="AV1547">
        <v>5.6895473247278491E-2</v>
      </c>
    </row>
    <row r="1548" spans="44:48" x14ac:dyDescent="0.2">
      <c r="AR1548">
        <v>1540</v>
      </c>
      <c r="AS1548">
        <v>631</v>
      </c>
      <c r="AT1548">
        <v>2</v>
      </c>
      <c r="AU1548">
        <v>8.4259409513660959</v>
      </c>
      <c r="AV1548">
        <v>5.648768057579593E-2</v>
      </c>
    </row>
    <row r="1549" spans="44:48" x14ac:dyDescent="0.2">
      <c r="AR1549">
        <v>1541</v>
      </c>
      <c r="AS1549">
        <v>632</v>
      </c>
      <c r="AT1549">
        <v>2</v>
      </c>
      <c r="AU1549">
        <v>8.4568814826834409</v>
      </c>
      <c r="AV1549">
        <v>5.6079886355374801E-2</v>
      </c>
    </row>
    <row r="1550" spans="44:48" x14ac:dyDescent="0.2">
      <c r="AR1550">
        <v>1542</v>
      </c>
      <c r="AS1550">
        <v>633</v>
      </c>
      <c r="AT1550">
        <v>2</v>
      </c>
      <c r="AU1550">
        <v>8.4878220140007894</v>
      </c>
      <c r="AV1550">
        <v>5.5672132971448962E-2</v>
      </c>
    </row>
    <row r="1551" spans="44:48" x14ac:dyDescent="0.2">
      <c r="AR1551">
        <v>1543</v>
      </c>
      <c r="AS1551">
        <v>634</v>
      </c>
      <c r="AT1551">
        <v>2</v>
      </c>
      <c r="AU1551">
        <v>8.5187625453181344</v>
      </c>
      <c r="AV1551">
        <v>5.5264462496006708E-2</v>
      </c>
    </row>
    <row r="1552" spans="44:48" x14ac:dyDescent="0.2">
      <c r="AR1552">
        <v>1544</v>
      </c>
      <c r="AS1552">
        <v>635</v>
      </c>
      <c r="AT1552">
        <v>2</v>
      </c>
      <c r="AU1552">
        <v>8.5497030766354829</v>
      </c>
      <c r="AV1552">
        <v>5.4856916681126321E-2</v>
      </c>
    </row>
    <row r="1553" spans="44:48" x14ac:dyDescent="0.2">
      <c r="AR1553">
        <v>1545</v>
      </c>
      <c r="AS1553">
        <v>636</v>
      </c>
      <c r="AT1553">
        <v>2</v>
      </c>
      <c r="AU1553">
        <v>8.5806436079528279</v>
      </c>
      <c r="AV1553">
        <v>5.4449536952642742E-2</v>
      </c>
    </row>
    <row r="1554" spans="44:48" x14ac:dyDescent="0.2">
      <c r="AR1554">
        <v>1546</v>
      </c>
      <c r="AS1554">
        <v>637</v>
      </c>
      <c r="AT1554">
        <v>2</v>
      </c>
      <c r="AU1554">
        <v>8.6115841392701729</v>
      </c>
      <c r="AV1554">
        <v>5.4042364403944547E-2</v>
      </c>
    </row>
    <row r="1555" spans="44:48" x14ac:dyDescent="0.2">
      <c r="AR1555">
        <v>1547</v>
      </c>
      <c r="AS1555">
        <v>638</v>
      </c>
      <c r="AT1555">
        <v>2</v>
      </c>
      <c r="AU1555">
        <v>8.6425246705875214</v>
      </c>
      <c r="AV1555">
        <v>5.3635439789903858E-2</v>
      </c>
    </row>
    <row r="1556" spans="44:48" x14ac:dyDescent="0.2">
      <c r="AR1556">
        <v>1548</v>
      </c>
      <c r="AS1556">
        <v>639</v>
      </c>
      <c r="AT1556">
        <v>2</v>
      </c>
      <c r="AU1556">
        <v>8.6734652019048664</v>
      </c>
      <c r="AV1556">
        <v>5.3228803520939484E-2</v>
      </c>
    </row>
    <row r="1557" spans="44:48" x14ac:dyDescent="0.2">
      <c r="AR1557">
        <v>1549</v>
      </c>
      <c r="AS1557">
        <v>640</v>
      </c>
      <c r="AT1557">
        <v>2</v>
      </c>
      <c r="AU1557">
        <v>8.7044057332222113</v>
      </c>
      <c r="AV1557">
        <v>5.2822495657213316E-2</v>
      </c>
    </row>
    <row r="1558" spans="44:48" x14ac:dyDescent="0.2">
      <c r="AR1558">
        <v>1550</v>
      </c>
      <c r="AS1558">
        <v>641</v>
      </c>
      <c r="AT1558">
        <v>2</v>
      </c>
      <c r="AU1558">
        <v>8.7353462645395599</v>
      </c>
      <c r="AV1558">
        <v>5.2416555902962354E-2</v>
      </c>
    </row>
    <row r="1559" spans="44:48" x14ac:dyDescent="0.2">
      <c r="AR1559">
        <v>1551</v>
      </c>
      <c r="AS1559">
        <v>642</v>
      </c>
      <c r="AT1559">
        <v>2</v>
      </c>
      <c r="AU1559">
        <v>8.7662867958569048</v>
      </c>
      <c r="AV1559">
        <v>5.2011023600966023E-2</v>
      </c>
    </row>
    <row r="1560" spans="44:48" x14ac:dyDescent="0.2">
      <c r="AR1560">
        <v>1552</v>
      </c>
      <c r="AS1560">
        <v>643</v>
      </c>
      <c r="AT1560">
        <v>2</v>
      </c>
      <c r="AU1560">
        <v>8.7972273271742498</v>
      </c>
      <c r="AV1560">
        <v>5.1605937727149449E-2</v>
      </c>
    </row>
    <row r="1561" spans="44:48" x14ac:dyDescent="0.2">
      <c r="AR1561">
        <v>1553</v>
      </c>
      <c r="AS1561">
        <v>644</v>
      </c>
      <c r="AT1561">
        <v>2</v>
      </c>
      <c r="AU1561">
        <v>8.8281678584915984</v>
      </c>
      <c r="AV1561">
        <v>5.1201336885323995E-2</v>
      </c>
    </row>
    <row r="1562" spans="44:48" x14ac:dyDescent="0.2">
      <c r="AR1562">
        <v>1554</v>
      </c>
      <c r="AS1562">
        <v>645</v>
      </c>
      <c r="AT1562">
        <v>2</v>
      </c>
      <c r="AU1562">
        <v>8.8591083898089433</v>
      </c>
      <c r="AV1562">
        <v>5.0797259302065266E-2</v>
      </c>
    </row>
    <row r="1563" spans="44:48" x14ac:dyDescent="0.2">
      <c r="AR1563">
        <v>1555</v>
      </c>
      <c r="AS1563">
        <v>646</v>
      </c>
      <c r="AT1563">
        <v>2</v>
      </c>
      <c r="AU1563">
        <v>8.8900489211262919</v>
      </c>
      <c r="AV1563">
        <v>5.0393742821728621E-2</v>
      </c>
    </row>
    <row r="1564" spans="44:48" x14ac:dyDescent="0.2">
      <c r="AR1564">
        <v>1556</v>
      </c>
      <c r="AS1564">
        <v>647</v>
      </c>
      <c r="AT1564">
        <v>2</v>
      </c>
      <c r="AU1564">
        <v>8.9209894524436368</v>
      </c>
      <c r="AV1564">
        <v>4.9990824901603975E-2</v>
      </c>
    </row>
    <row r="1565" spans="44:48" x14ac:dyDescent="0.2">
      <c r="AR1565">
        <v>1557</v>
      </c>
      <c r="AS1565">
        <v>648</v>
      </c>
      <c r="AT1565">
        <v>2</v>
      </c>
      <c r="AU1565">
        <v>8.9519299837609818</v>
      </c>
      <c r="AV1565">
        <v>4.958854260720847E-2</v>
      </c>
    </row>
    <row r="1566" spans="44:48" x14ac:dyDescent="0.2">
      <c r="AR1566">
        <v>1558</v>
      </c>
      <c r="AS1566">
        <v>649</v>
      </c>
      <c r="AT1566">
        <v>2</v>
      </c>
      <c r="AU1566">
        <v>8.9828705150783303</v>
      </c>
      <c r="AV1566">
        <v>4.9186932607719266E-2</v>
      </c>
    </row>
    <row r="1567" spans="44:48" x14ac:dyDescent="0.2">
      <c r="AR1567">
        <v>1559</v>
      </c>
      <c r="AS1567">
        <v>650</v>
      </c>
      <c r="AT1567">
        <v>2</v>
      </c>
      <c r="AU1567">
        <v>9.0138110463956753</v>
      </c>
      <c r="AV1567">
        <v>4.8786031171545584E-2</v>
      </c>
    </row>
    <row r="1568" spans="44:48" x14ac:dyDescent="0.2">
      <c r="AR1568">
        <v>1560</v>
      </c>
      <c r="AS1568">
        <v>651</v>
      </c>
      <c r="AT1568">
        <v>2</v>
      </c>
      <c r="AU1568">
        <v>9.0447515777130203</v>
      </c>
      <c r="AV1568">
        <v>4.8385874162040203E-2</v>
      </c>
    </row>
    <row r="1569" spans="44:48" x14ac:dyDescent="0.2">
      <c r="AR1569">
        <v>1561</v>
      </c>
      <c r="AS1569">
        <v>652</v>
      </c>
      <c r="AT1569">
        <v>2</v>
      </c>
      <c r="AU1569">
        <v>9.0756921090303688</v>
      </c>
      <c r="AV1569">
        <v>4.7986497033351477E-2</v>
      </c>
    </row>
    <row r="1570" spans="44:48" x14ac:dyDescent="0.2">
      <c r="AR1570">
        <v>1562</v>
      </c>
      <c r="AS1570">
        <v>653</v>
      </c>
      <c r="AT1570">
        <v>2</v>
      </c>
      <c r="AU1570">
        <v>9.1066326403477138</v>
      </c>
      <c r="AV1570">
        <v>4.7587934826415428E-2</v>
      </c>
    </row>
    <row r="1571" spans="44:48" x14ac:dyDescent="0.2">
      <c r="AR1571">
        <v>1563</v>
      </c>
      <c r="AS1571">
        <v>654</v>
      </c>
      <c r="AT1571">
        <v>2</v>
      </c>
      <c r="AU1571">
        <v>9.1375731716650588</v>
      </c>
      <c r="AV1571">
        <v>4.7190222165087725E-2</v>
      </c>
    </row>
    <row r="1572" spans="44:48" x14ac:dyDescent="0.2">
      <c r="AR1572">
        <v>1564</v>
      </c>
      <c r="AS1572">
        <v>655</v>
      </c>
      <c r="AT1572">
        <v>2</v>
      </c>
      <c r="AU1572">
        <v>9.1685137029824073</v>
      </c>
      <c r="AV1572">
        <v>4.6793393252416361E-2</v>
      </c>
    </row>
    <row r="1573" spans="44:48" x14ac:dyDescent="0.2">
      <c r="AR1573">
        <v>1565</v>
      </c>
      <c r="AS1573">
        <v>656</v>
      </c>
      <c r="AT1573">
        <v>2</v>
      </c>
      <c r="AU1573">
        <v>9.1994542342997523</v>
      </c>
      <c r="AV1573">
        <v>4.6397481867054696E-2</v>
      </c>
    </row>
    <row r="1574" spans="44:48" x14ac:dyDescent="0.2">
      <c r="AR1574">
        <v>1566</v>
      </c>
      <c r="AS1574">
        <v>657</v>
      </c>
      <c r="AT1574">
        <v>2</v>
      </c>
      <c r="AU1574">
        <v>9.2303947656171008</v>
      </c>
      <c r="AV1574">
        <v>4.6002521359814218E-2</v>
      </c>
    </row>
    <row r="1575" spans="44:48" x14ac:dyDescent="0.2">
      <c r="AR1575">
        <v>1567</v>
      </c>
      <c r="AS1575">
        <v>658</v>
      </c>
      <c r="AT1575">
        <v>2</v>
      </c>
      <c r="AU1575">
        <v>9.2613352969344458</v>
      </c>
      <c r="AV1575">
        <v>4.5608544650358199E-2</v>
      </c>
    </row>
    <row r="1576" spans="44:48" x14ac:dyDescent="0.2">
      <c r="AR1576">
        <v>1568</v>
      </c>
      <c r="AS1576">
        <v>659</v>
      </c>
      <c r="AT1576">
        <v>2</v>
      </c>
      <c r="AU1576">
        <v>9.2922758282517908</v>
      </c>
      <c r="AV1576">
        <v>4.5215584224034572E-2</v>
      </c>
    </row>
    <row r="1577" spans="44:48" x14ac:dyDescent="0.2">
      <c r="AR1577">
        <v>1569</v>
      </c>
      <c r="AS1577">
        <v>660</v>
      </c>
      <c r="AT1577">
        <v>2</v>
      </c>
      <c r="AU1577">
        <v>9.3232163595691393</v>
      </c>
      <c r="AV1577">
        <v>4.4823672128849204E-2</v>
      </c>
    </row>
    <row r="1578" spans="44:48" x14ac:dyDescent="0.2">
      <c r="AR1578">
        <v>1570</v>
      </c>
      <c r="AS1578">
        <v>661</v>
      </c>
      <c r="AT1578">
        <v>2</v>
      </c>
      <c r="AU1578">
        <v>9.3541568908864843</v>
      </c>
      <c r="AV1578">
        <v>4.4432839972578533E-2</v>
      </c>
    </row>
    <row r="1579" spans="44:48" x14ac:dyDescent="0.2">
      <c r="AR1579">
        <v>1571</v>
      </c>
      <c r="AS1579">
        <v>662</v>
      </c>
      <c r="AT1579">
        <v>2</v>
      </c>
      <c r="AU1579">
        <v>9.3850974222038293</v>
      </c>
      <c r="AV1579">
        <v>4.4043118920021072E-2</v>
      </c>
    </row>
    <row r="1580" spans="44:48" x14ac:dyDescent="0.2">
      <c r="AR1580">
        <v>1572</v>
      </c>
      <c r="AS1580">
        <v>663</v>
      </c>
      <c r="AT1580">
        <v>2</v>
      </c>
      <c r="AU1580">
        <v>9.4160379535211778</v>
      </c>
      <c r="AV1580">
        <v>4.3654539690388315E-2</v>
      </c>
    </row>
    <row r="1581" spans="44:48" x14ac:dyDescent="0.2">
      <c r="AR1581">
        <v>1573</v>
      </c>
      <c r="AS1581">
        <v>664</v>
      </c>
      <c r="AT1581">
        <v>2</v>
      </c>
      <c r="AU1581">
        <v>9.4469784848385228</v>
      </c>
      <c r="AV1581">
        <v>4.3267132554833991E-2</v>
      </c>
    </row>
    <row r="1582" spans="44:48" x14ac:dyDescent="0.2">
      <c r="AR1582">
        <v>1574</v>
      </c>
      <c r="AS1582">
        <v>665</v>
      </c>
      <c r="AT1582">
        <v>2</v>
      </c>
      <c r="AU1582">
        <v>9.4779190161558713</v>
      </c>
      <c r="AV1582">
        <v>4.2880927334120862E-2</v>
      </c>
    </row>
    <row r="1583" spans="44:48" x14ac:dyDescent="0.2">
      <c r="AR1583">
        <v>1575</v>
      </c>
      <c r="AS1583">
        <v>666</v>
      </c>
      <c r="AT1583">
        <v>2</v>
      </c>
      <c r="AU1583">
        <v>9.5088595474732163</v>
      </c>
      <c r="AV1583">
        <v>4.2495953396425964E-2</v>
      </c>
    </row>
    <row r="1584" spans="44:48" x14ac:dyDescent="0.2">
      <c r="AR1584">
        <v>1576</v>
      </c>
      <c r="AS1584">
        <v>667</v>
      </c>
      <c r="AT1584">
        <v>2</v>
      </c>
      <c r="AU1584">
        <v>9.5398000787905612</v>
      </c>
      <c r="AV1584">
        <v>4.2112239655281901E-2</v>
      </c>
    </row>
    <row r="1585" spans="44:48" x14ac:dyDescent="0.2">
      <c r="AR1585">
        <v>1577</v>
      </c>
      <c r="AS1585">
        <v>668</v>
      </c>
      <c r="AT1585">
        <v>2</v>
      </c>
      <c r="AU1585">
        <v>9.5707406101079098</v>
      </c>
      <c r="AV1585">
        <v>4.1729814567655246E-2</v>
      </c>
    </row>
    <row r="1586" spans="44:48" x14ac:dyDescent="0.2">
      <c r="AR1586">
        <v>1578</v>
      </c>
      <c r="AS1586">
        <v>669</v>
      </c>
      <c r="AT1586">
        <v>2</v>
      </c>
      <c r="AU1586">
        <v>9.6016811414252548</v>
      </c>
      <c r="AV1586">
        <v>4.1348706132160594E-2</v>
      </c>
    </row>
    <row r="1587" spans="44:48" x14ac:dyDescent="0.2">
      <c r="AR1587">
        <v>1579</v>
      </c>
      <c r="AS1587">
        <v>670</v>
      </c>
      <c r="AT1587">
        <v>2</v>
      </c>
      <c r="AU1587">
        <v>9.6326216727425997</v>
      </c>
      <c r="AV1587">
        <v>4.0968941887409405E-2</v>
      </c>
    </row>
    <row r="1588" spans="44:48" x14ac:dyDescent="0.2">
      <c r="AR1588">
        <v>1580</v>
      </c>
      <c r="AS1588">
        <v>671</v>
      </c>
      <c r="AT1588">
        <v>2</v>
      </c>
      <c r="AU1588">
        <v>9.6635622040599483</v>
      </c>
      <c r="AV1588">
        <v>4.0590548910493636E-2</v>
      </c>
    </row>
    <row r="1589" spans="44:48" x14ac:dyDescent="0.2">
      <c r="AR1589">
        <v>1581</v>
      </c>
      <c r="AS1589">
        <v>672</v>
      </c>
      <c r="AT1589">
        <v>2</v>
      </c>
      <c r="AU1589">
        <v>9.6945027353772932</v>
      </c>
      <c r="AV1589">
        <v>4.0213553815603084E-2</v>
      </c>
    </row>
    <row r="1590" spans="44:48" x14ac:dyDescent="0.2">
      <c r="AR1590">
        <v>1582</v>
      </c>
      <c r="AS1590">
        <v>673</v>
      </c>
      <c r="AT1590">
        <v>2</v>
      </c>
      <c r="AU1590">
        <v>9.7254432666946382</v>
      </c>
      <c r="AV1590">
        <v>3.9837982752775107E-2</v>
      </c>
    </row>
    <row r="1591" spans="44:48" x14ac:dyDescent="0.2">
      <c r="AR1591">
        <v>1583</v>
      </c>
      <c r="AS1591">
        <v>674</v>
      </c>
      <c r="AT1591">
        <v>2</v>
      </c>
      <c r="AU1591">
        <v>9.7563837980119867</v>
      </c>
      <c r="AV1591">
        <v>3.9463861406776858E-2</v>
      </c>
    </row>
    <row r="1592" spans="44:48" x14ac:dyDescent="0.2">
      <c r="AR1592">
        <v>1584</v>
      </c>
      <c r="AS1592">
        <v>675</v>
      </c>
      <c r="AT1592">
        <v>2</v>
      </c>
      <c r="AU1592">
        <v>9.7873243293293317</v>
      </c>
      <c r="AV1592">
        <v>3.909121499611861E-2</v>
      </c>
    </row>
    <row r="1593" spans="44:48" x14ac:dyDescent="0.2">
      <c r="AR1593">
        <v>1585</v>
      </c>
      <c r="AS1593">
        <v>676</v>
      </c>
      <c r="AT1593">
        <v>2</v>
      </c>
      <c r="AU1593">
        <v>9.8182648606466802</v>
      </c>
      <c r="AV1593">
        <v>3.87200682721969E-2</v>
      </c>
    </row>
    <row r="1594" spans="44:48" x14ac:dyDescent="0.2">
      <c r="AR1594">
        <v>1586</v>
      </c>
      <c r="AS1594">
        <v>677</v>
      </c>
      <c r="AT1594">
        <v>2</v>
      </c>
      <c r="AU1594">
        <v>9.8492053919640252</v>
      </c>
      <c r="AV1594">
        <v>3.8350445518567609E-2</v>
      </c>
    </row>
    <row r="1595" spans="44:48" x14ac:dyDescent="0.2">
      <c r="AR1595">
        <v>1587</v>
      </c>
      <c r="AS1595">
        <v>678</v>
      </c>
      <c r="AT1595">
        <v>2</v>
      </c>
      <c r="AU1595">
        <v>9.8801459232813702</v>
      </c>
      <c r="AV1595">
        <v>3.7982370550346575E-2</v>
      </c>
    </row>
    <row r="1596" spans="44:48" x14ac:dyDescent="0.2">
      <c r="AR1596">
        <v>1588</v>
      </c>
      <c r="AS1596">
        <v>679</v>
      </c>
      <c r="AT1596">
        <v>2</v>
      </c>
      <c r="AU1596">
        <v>9.9110864545987187</v>
      </c>
      <c r="AV1596">
        <v>3.761586671373808E-2</v>
      </c>
    </row>
    <row r="1597" spans="44:48" x14ac:dyDescent="0.2">
      <c r="AR1597">
        <v>1589</v>
      </c>
      <c r="AS1597">
        <v>680</v>
      </c>
      <c r="AT1597">
        <v>2</v>
      </c>
      <c r="AU1597">
        <v>9.9420269859160637</v>
      </c>
      <c r="AV1597">
        <v>3.7250956885689343E-2</v>
      </c>
    </row>
    <row r="1598" spans="44:48" x14ac:dyDescent="0.2">
      <c r="AR1598">
        <v>1590</v>
      </c>
      <c r="AS1598">
        <v>681</v>
      </c>
      <c r="AT1598">
        <v>2</v>
      </c>
      <c r="AU1598">
        <v>9.9729675172334087</v>
      </c>
      <c r="AV1598">
        <v>3.688766347366973E-2</v>
      </c>
    </row>
    <row r="1599" spans="44:48" x14ac:dyDescent="0.2">
      <c r="AR1599">
        <v>1591</v>
      </c>
      <c r="AS1599">
        <v>682</v>
      </c>
      <c r="AT1599">
        <v>2</v>
      </c>
      <c r="AU1599">
        <v>10.003908048550757</v>
      </c>
      <c r="AV1599">
        <v>3.6526008415574407E-2</v>
      </c>
    </row>
    <row r="1600" spans="44:48" x14ac:dyDescent="0.2">
      <c r="AR1600">
        <v>1592</v>
      </c>
      <c r="AS1600">
        <v>683</v>
      </c>
      <c r="AT1600">
        <v>2</v>
      </c>
      <c r="AU1600">
        <v>10.034848579868102</v>
      </c>
      <c r="AV1600">
        <v>3.61660131797506E-2</v>
      </c>
    </row>
    <row r="1601" spans="44:48" x14ac:dyDescent="0.2">
      <c r="AR1601">
        <v>1593</v>
      </c>
      <c r="AS1601">
        <v>684</v>
      </c>
      <c r="AT1601">
        <v>2</v>
      </c>
      <c r="AU1601">
        <v>10.065789111185447</v>
      </c>
      <c r="AV1601">
        <v>3.5807698765145141E-2</v>
      </c>
    </row>
    <row r="1602" spans="44:48" x14ac:dyDescent="0.2">
      <c r="AR1602">
        <v>1594</v>
      </c>
      <c r="AS1602">
        <v>685</v>
      </c>
      <c r="AT1602">
        <v>2</v>
      </c>
      <c r="AU1602">
        <v>10.096729642502796</v>
      </c>
      <c r="AV1602">
        <v>3.5451085701572703E-2</v>
      </c>
    </row>
    <row r="1603" spans="44:48" x14ac:dyDescent="0.2">
      <c r="AR1603">
        <v>1595</v>
      </c>
      <c r="AS1603">
        <v>686</v>
      </c>
      <c r="AT1603">
        <v>2</v>
      </c>
      <c r="AU1603">
        <v>10.127670173820141</v>
      </c>
      <c r="AV1603">
        <v>3.5096194050103023E-2</v>
      </c>
    </row>
    <row r="1604" spans="44:48" x14ac:dyDescent="0.2">
      <c r="AR1604">
        <v>1596</v>
      </c>
      <c r="AS1604">
        <v>687</v>
      </c>
      <c r="AT1604">
        <v>2</v>
      </c>
      <c r="AU1604">
        <v>10.158610705137489</v>
      </c>
      <c r="AV1604">
        <v>3.4743043403565578E-2</v>
      </c>
    </row>
    <row r="1605" spans="44:48" x14ac:dyDescent="0.2">
      <c r="AR1605">
        <v>1597</v>
      </c>
      <c r="AS1605">
        <v>688</v>
      </c>
      <c r="AT1605">
        <v>2</v>
      </c>
      <c r="AU1605">
        <v>10.189551236454834</v>
      </c>
      <c r="AV1605">
        <v>3.4391652887171185E-2</v>
      </c>
    </row>
    <row r="1606" spans="44:48" x14ac:dyDescent="0.2">
      <c r="AR1606">
        <v>1598</v>
      </c>
      <c r="AS1606">
        <v>689</v>
      </c>
      <c r="AT1606">
        <v>2</v>
      </c>
      <c r="AU1606">
        <v>10.220491767772179</v>
      </c>
      <c r="AV1606">
        <v>3.4042041159248096E-2</v>
      </c>
    </row>
    <row r="1607" spans="44:48" x14ac:dyDescent="0.2">
      <c r="AR1607">
        <v>1599</v>
      </c>
      <c r="AS1607">
        <v>690</v>
      </c>
      <c r="AT1607">
        <v>2</v>
      </c>
      <c r="AU1607">
        <v>10.251432299089528</v>
      </c>
      <c r="AV1607">
        <v>3.3694226412092278E-2</v>
      </c>
    </row>
    <row r="1608" spans="44:48" x14ac:dyDescent="0.2">
      <c r="AR1608">
        <v>1600</v>
      </c>
      <c r="AS1608">
        <v>691</v>
      </c>
      <c r="AT1608">
        <v>2</v>
      </c>
      <c r="AU1608">
        <v>10.282372830406873</v>
      </c>
      <c r="AV1608">
        <v>3.3348226372929717E-2</v>
      </c>
    </row>
    <row r="1609" spans="44:48" x14ac:dyDescent="0.2">
      <c r="AR1609">
        <v>1601</v>
      </c>
      <c r="AS1609">
        <v>692</v>
      </c>
      <c r="AT1609">
        <v>2</v>
      </c>
      <c r="AU1609">
        <v>10.313313361724218</v>
      </c>
      <c r="AV1609">
        <v>3.3004058304989516E-2</v>
      </c>
    </row>
    <row r="1610" spans="44:48" x14ac:dyDescent="0.2">
      <c r="AR1610">
        <v>1602</v>
      </c>
      <c r="AS1610">
        <v>693</v>
      </c>
      <c r="AT1610">
        <v>2</v>
      </c>
      <c r="AU1610">
        <v>10.344253893041566</v>
      </c>
      <c r="AV1610">
        <v>3.2661739008686373E-2</v>
      </c>
    </row>
    <row r="1611" spans="44:48" x14ac:dyDescent="0.2">
      <c r="AR1611">
        <v>1603</v>
      </c>
      <c r="AS1611">
        <v>694</v>
      </c>
      <c r="AT1611">
        <v>2</v>
      </c>
      <c r="AU1611">
        <v>10.375194424358911</v>
      </c>
      <c r="AV1611">
        <v>3.2321284822911155E-2</v>
      </c>
    </row>
    <row r="1612" spans="44:48" x14ac:dyDescent="0.2">
      <c r="AR1612">
        <v>1604</v>
      </c>
      <c r="AS1612">
        <v>695</v>
      </c>
      <c r="AT1612">
        <v>2</v>
      </c>
      <c r="AU1612">
        <v>10.406134955676256</v>
      </c>
      <c r="AV1612">
        <v>3.1982711626427379E-2</v>
      </c>
    </row>
    <row r="1613" spans="44:48" x14ac:dyDescent="0.2">
      <c r="AR1613">
        <v>1605</v>
      </c>
      <c r="AS1613">
        <v>696</v>
      </c>
      <c r="AT1613">
        <v>2</v>
      </c>
      <c r="AU1613">
        <v>10.437075486993605</v>
      </c>
      <c r="AV1613">
        <v>3.164603483937288E-2</v>
      </c>
    </row>
    <row r="1614" spans="44:48" x14ac:dyDescent="0.2">
      <c r="AR1614">
        <v>1606</v>
      </c>
      <c r="AS1614">
        <v>697</v>
      </c>
      <c r="AT1614">
        <v>2</v>
      </c>
      <c r="AU1614">
        <v>10.46801601831095</v>
      </c>
      <c r="AV1614">
        <v>3.1311269424864688E-2</v>
      </c>
    </row>
    <row r="1615" spans="44:48" x14ac:dyDescent="0.2">
      <c r="AR1615">
        <v>1607</v>
      </c>
      <c r="AS1615">
        <v>698</v>
      </c>
      <c r="AT1615">
        <v>2</v>
      </c>
      <c r="AU1615">
        <v>10.498956549628298</v>
      </c>
      <c r="AV1615">
        <v>3.0978429890705282E-2</v>
      </c>
    </row>
    <row r="1616" spans="44:48" x14ac:dyDescent="0.2">
      <c r="AR1616">
        <v>1608</v>
      </c>
      <c r="AS1616">
        <v>699</v>
      </c>
      <c r="AT1616">
        <v>2</v>
      </c>
      <c r="AU1616">
        <v>10.529897080945643</v>
      </c>
      <c r="AV1616">
        <v>3.0647530291189443E-2</v>
      </c>
    </row>
    <row r="1617" spans="44:48" x14ac:dyDescent="0.2">
      <c r="AR1617">
        <v>1609</v>
      </c>
      <c r="AS1617">
        <v>700</v>
      </c>
      <c r="AT1617">
        <v>2</v>
      </c>
      <c r="AU1617">
        <v>10.560837612262988</v>
      </c>
      <c r="AV1617">
        <v>3.0318584229008891E-2</v>
      </c>
    </row>
    <row r="1618" spans="44:48" x14ac:dyDescent="0.2">
      <c r="AR1618">
        <v>1610</v>
      </c>
      <c r="AS1618">
        <v>701</v>
      </c>
      <c r="AT1618">
        <v>2</v>
      </c>
      <c r="AU1618">
        <v>10.591778143580337</v>
      </c>
      <c r="AV1618">
        <v>2.9991604857254304E-2</v>
      </c>
    </row>
    <row r="1619" spans="44:48" x14ac:dyDescent="0.2">
      <c r="AR1619">
        <v>1611</v>
      </c>
      <c r="AS1619">
        <v>702</v>
      </c>
      <c r="AT1619">
        <v>2</v>
      </c>
      <c r="AU1619">
        <v>10.622718674897682</v>
      </c>
      <c r="AV1619">
        <v>2.9666604881512338E-2</v>
      </c>
    </row>
    <row r="1620" spans="44:48" x14ac:dyDescent="0.2">
      <c r="AR1620">
        <v>1612</v>
      </c>
      <c r="AS1620">
        <v>703</v>
      </c>
      <c r="AT1620">
        <v>2</v>
      </c>
      <c r="AU1620">
        <v>10.653659206215027</v>
      </c>
      <c r="AV1620">
        <v>2.9343596562055853E-2</v>
      </c>
    </row>
    <row r="1621" spans="44:48" x14ac:dyDescent="0.2">
      <c r="AR1621">
        <v>1613</v>
      </c>
      <c r="AS1621">
        <v>704</v>
      </c>
      <c r="AT1621">
        <v>2</v>
      </c>
      <c r="AU1621">
        <v>10.684599737532375</v>
      </c>
      <c r="AV1621">
        <v>2.9022591716126277E-2</v>
      </c>
    </row>
    <row r="1622" spans="44:48" x14ac:dyDescent="0.2">
      <c r="AR1622">
        <v>1614</v>
      </c>
      <c r="AS1622">
        <v>705</v>
      </c>
      <c r="AT1622">
        <v>2</v>
      </c>
      <c r="AU1622">
        <v>10.71554026884972</v>
      </c>
      <c r="AV1622">
        <v>2.8703601720305973E-2</v>
      </c>
    </row>
    <row r="1623" spans="44:48" x14ac:dyDescent="0.2">
      <c r="AR1623">
        <v>1615</v>
      </c>
      <c r="AS1623">
        <v>706</v>
      </c>
      <c r="AT1623">
        <v>2</v>
      </c>
      <c r="AU1623">
        <v>10.746480800167065</v>
      </c>
      <c r="AV1623">
        <v>2.8386637512978753E-2</v>
      </c>
    </row>
    <row r="1624" spans="44:48" x14ac:dyDescent="0.2">
      <c r="AR1624">
        <v>1616</v>
      </c>
      <c r="AS1624">
        <v>707</v>
      </c>
      <c r="AT1624">
        <v>2</v>
      </c>
      <c r="AU1624">
        <v>10.777421331484414</v>
      </c>
      <c r="AV1624">
        <v>2.8071709596877322E-2</v>
      </c>
    </row>
    <row r="1625" spans="44:48" x14ac:dyDescent="0.2">
      <c r="AR1625">
        <v>1617</v>
      </c>
      <c r="AS1625">
        <v>708</v>
      </c>
      <c r="AT1625">
        <v>2</v>
      </c>
      <c r="AU1625">
        <v>10.808361862801759</v>
      </c>
      <c r="AV1625">
        <v>2.7758828041715519E-2</v>
      </c>
    </row>
    <row r="1626" spans="44:48" x14ac:dyDescent="0.2">
      <c r="AR1626">
        <v>1618</v>
      </c>
      <c r="AS1626">
        <v>709</v>
      </c>
      <c r="AT1626">
        <v>2</v>
      </c>
      <c r="AU1626">
        <v>10.839302394119107</v>
      </c>
      <c r="AV1626">
        <v>2.7448002486903489E-2</v>
      </c>
    </row>
    <row r="1627" spans="44:48" x14ac:dyDescent="0.2">
      <c r="AR1627">
        <v>1619</v>
      </c>
      <c r="AS1627">
        <v>710</v>
      </c>
      <c r="AT1627">
        <v>2</v>
      </c>
      <c r="AU1627">
        <v>10.870242925436452</v>
      </c>
      <c r="AV1627">
        <v>2.7139242144344607E-2</v>
      </c>
    </row>
    <row r="1628" spans="44:48" x14ac:dyDescent="0.2">
      <c r="AR1628">
        <v>1620</v>
      </c>
      <c r="AS1628">
        <v>711</v>
      </c>
      <c r="AT1628">
        <v>2</v>
      </c>
      <c r="AU1628">
        <v>10.901183456753797</v>
      </c>
      <c r="AV1628">
        <v>2.6832555801311581E-2</v>
      </c>
    </row>
    <row r="1629" spans="44:48" x14ac:dyDescent="0.2">
      <c r="AR1629">
        <v>1621</v>
      </c>
      <c r="AS1629">
        <v>712</v>
      </c>
      <c r="AT1629">
        <v>2</v>
      </c>
      <c r="AU1629">
        <v>10.932123988071146</v>
      </c>
      <c r="AV1629">
        <v>2.6527951823400654E-2</v>
      </c>
    </row>
    <row r="1630" spans="44:48" x14ac:dyDescent="0.2">
      <c r="AR1630">
        <v>1622</v>
      </c>
      <c r="AS1630">
        <v>713</v>
      </c>
      <c r="AT1630">
        <v>2</v>
      </c>
      <c r="AU1630">
        <v>10.963064519388491</v>
      </c>
      <c r="AV1630">
        <v>2.6225438157561766E-2</v>
      </c>
    </row>
    <row r="1631" spans="44:48" x14ac:dyDescent="0.2">
      <c r="AR1631">
        <v>1623</v>
      </c>
      <c r="AS1631">
        <v>714</v>
      </c>
      <c r="AT1631">
        <v>2</v>
      </c>
      <c r="AU1631">
        <v>10.994005050705836</v>
      </c>
      <c r="AV1631">
        <v>2.5925022335202753E-2</v>
      </c>
    </row>
    <row r="1632" spans="44:48" x14ac:dyDescent="0.2">
      <c r="AR1632">
        <v>1624</v>
      </c>
      <c r="AS1632">
        <v>715</v>
      </c>
      <c r="AT1632">
        <v>2</v>
      </c>
      <c r="AU1632">
        <v>11.024945582023184</v>
      </c>
      <c r="AV1632">
        <v>2.5626711475366076E-2</v>
      </c>
    </row>
    <row r="1633" spans="44:48" x14ac:dyDescent="0.2">
      <c r="AR1633">
        <v>1625</v>
      </c>
      <c r="AS1633">
        <v>716</v>
      </c>
      <c r="AT1633">
        <v>2</v>
      </c>
      <c r="AU1633">
        <v>11.055886113340529</v>
      </c>
      <c r="AV1633">
        <v>2.5330512287976316E-2</v>
      </c>
    </row>
    <row r="1634" spans="44:48" x14ac:dyDescent="0.2">
      <c r="AR1634">
        <v>1626</v>
      </c>
      <c r="AS1634">
        <v>717</v>
      </c>
      <c r="AT1634">
        <v>2</v>
      </c>
      <c r="AU1634">
        <v>11.086826644657878</v>
      </c>
      <c r="AV1634">
        <v>2.5036431077155929E-2</v>
      </c>
    </row>
    <row r="1635" spans="44:48" x14ac:dyDescent="0.2">
      <c r="AR1635">
        <v>1627</v>
      </c>
      <c r="AS1635">
        <v>718</v>
      </c>
      <c r="AT1635">
        <v>2</v>
      </c>
      <c r="AU1635">
        <v>11.117767175975223</v>
      </c>
      <c r="AV1635">
        <v>2.47444737446086E-2</v>
      </c>
    </row>
    <row r="1636" spans="44:48" x14ac:dyDescent="0.2">
      <c r="AR1636">
        <v>1628</v>
      </c>
      <c r="AS1636">
        <v>719</v>
      </c>
      <c r="AT1636">
        <v>2</v>
      </c>
      <c r="AU1636">
        <v>11.148707707292568</v>
      </c>
      <c r="AV1636">
        <v>2.4454645793067113E-2</v>
      </c>
    </row>
    <row r="1637" spans="44:48" x14ac:dyDescent="0.2">
      <c r="AR1637">
        <v>1629</v>
      </c>
      <c r="AS1637">
        <v>720</v>
      </c>
      <c r="AT1637">
        <v>2</v>
      </c>
      <c r="AU1637">
        <v>11.179648238609916</v>
      </c>
      <c r="AV1637">
        <v>2.4166952329804887E-2</v>
      </c>
    </row>
    <row r="1638" spans="44:48" x14ac:dyDescent="0.2">
      <c r="AR1638">
        <v>1630</v>
      </c>
      <c r="AS1638">
        <v>721</v>
      </c>
      <c r="AT1638">
        <v>2</v>
      </c>
      <c r="AU1638">
        <v>11.210588769927261</v>
      </c>
      <c r="AV1638">
        <v>2.3881398070208948E-2</v>
      </c>
    </row>
    <row r="1639" spans="44:48" x14ac:dyDescent="0.2">
      <c r="AR1639">
        <v>1631</v>
      </c>
      <c r="AS1639">
        <v>722</v>
      </c>
      <c r="AT1639">
        <v>2</v>
      </c>
      <c r="AU1639">
        <v>11.241529301244606</v>
      </c>
      <c r="AV1639">
        <v>2.3597987341412278E-2</v>
      </c>
    </row>
    <row r="1640" spans="44:48" x14ac:dyDescent="0.2">
      <c r="AR1640">
        <v>1632</v>
      </c>
      <c r="AS1640">
        <v>723</v>
      </c>
      <c r="AT1640">
        <v>2</v>
      </c>
      <c r="AU1640">
        <v>11.272469832561955</v>
      </c>
      <c r="AV1640">
        <v>2.3316724085984189E-2</v>
      </c>
    </row>
    <row r="1641" spans="44:48" x14ac:dyDescent="0.2">
      <c r="AR1641">
        <v>1633</v>
      </c>
      <c r="AS1641">
        <v>724</v>
      </c>
      <c r="AT1641">
        <v>2</v>
      </c>
      <c r="AU1641">
        <v>11.3034103638793</v>
      </c>
      <c r="AV1641">
        <v>2.3037611865676728E-2</v>
      </c>
    </row>
    <row r="1642" spans="44:48" x14ac:dyDescent="0.2">
      <c r="AR1642">
        <v>1634</v>
      </c>
      <c r="AS1642">
        <v>725</v>
      </c>
      <c r="AT1642">
        <v>2</v>
      </c>
      <c r="AU1642">
        <v>11.334350895196645</v>
      </c>
      <c r="AV1642">
        <v>2.2760653865224918E-2</v>
      </c>
    </row>
    <row r="1643" spans="44:48" x14ac:dyDescent="0.2">
      <c r="AR1643">
        <v>1635</v>
      </c>
      <c r="AS1643">
        <v>726</v>
      </c>
      <c r="AT1643">
        <v>2</v>
      </c>
      <c r="AU1643">
        <v>11.365291426513993</v>
      </c>
      <c r="AV1643">
        <v>2.2485852896199542E-2</v>
      </c>
    </row>
    <row r="1644" spans="44:48" x14ac:dyDescent="0.2">
      <c r="AR1644">
        <v>1636</v>
      </c>
      <c r="AS1644">
        <v>727</v>
      </c>
      <c r="AT1644">
        <v>2</v>
      </c>
      <c r="AU1644">
        <v>11.396231957831338</v>
      </c>
      <c r="AV1644">
        <v>2.2213211400910478E-2</v>
      </c>
    </row>
    <row r="1645" spans="44:48" x14ac:dyDescent="0.2">
      <c r="AR1645">
        <v>1637</v>
      </c>
      <c r="AS1645">
        <v>728</v>
      </c>
      <c r="AT1645">
        <v>2</v>
      </c>
      <c r="AU1645">
        <v>11.427172489148687</v>
      </c>
      <c r="AV1645">
        <v>2.1942731456358375E-2</v>
      </c>
    </row>
    <row r="1646" spans="44:48" x14ac:dyDescent="0.2">
      <c r="AR1646">
        <v>1638</v>
      </c>
      <c r="AS1646">
        <v>729</v>
      </c>
      <c r="AT1646">
        <v>2</v>
      </c>
      <c r="AU1646">
        <v>11.458113020466032</v>
      </c>
      <c r="AV1646">
        <v>2.1674414778233616E-2</v>
      </c>
    </row>
    <row r="1647" spans="44:48" x14ac:dyDescent="0.2">
      <c r="AR1647">
        <v>1639</v>
      </c>
      <c r="AS1647">
        <v>730</v>
      </c>
      <c r="AT1647">
        <v>2</v>
      </c>
      <c r="AU1647">
        <v>11.489053551783377</v>
      </c>
      <c r="AV1647">
        <v>2.1408262724959871E-2</v>
      </c>
    </row>
    <row r="1648" spans="44:48" x14ac:dyDescent="0.2">
      <c r="AR1648">
        <v>1640</v>
      </c>
      <c r="AS1648">
        <v>731</v>
      </c>
      <c r="AT1648">
        <v>2</v>
      </c>
      <c r="AU1648">
        <v>11.519994083100725</v>
      </c>
      <c r="AV1648">
        <v>2.1144276301781222E-2</v>
      </c>
    </row>
    <row r="1649" spans="44:48" x14ac:dyDescent="0.2">
      <c r="AR1649">
        <v>1641</v>
      </c>
      <c r="AS1649">
        <v>732</v>
      </c>
      <c r="AT1649">
        <v>2</v>
      </c>
      <c r="AU1649">
        <v>11.55093461441807</v>
      </c>
      <c r="AV1649">
        <v>2.088245616489063E-2</v>
      </c>
    </row>
    <row r="1650" spans="44:48" x14ac:dyDescent="0.2">
      <c r="AR1650">
        <v>1642</v>
      </c>
      <c r="AS1650">
        <v>733</v>
      </c>
      <c r="AT1650">
        <v>2</v>
      </c>
      <c r="AU1650">
        <v>11.581875145735415</v>
      </c>
      <c r="AV1650">
        <v>2.0622802625597916E-2</v>
      </c>
    </row>
    <row r="1651" spans="44:48" x14ac:dyDescent="0.2">
      <c r="AR1651">
        <v>1643</v>
      </c>
      <c r="AS1651">
        <v>734</v>
      </c>
      <c r="AT1651">
        <v>2</v>
      </c>
      <c r="AU1651">
        <v>11.612815677052764</v>
      </c>
      <c r="AV1651">
        <v>2.0365315654535695E-2</v>
      </c>
    </row>
    <row r="1652" spans="44:48" x14ac:dyDescent="0.2">
      <c r="AR1652">
        <v>1644</v>
      </c>
      <c r="AS1652">
        <v>735</v>
      </c>
      <c r="AT1652">
        <v>2</v>
      </c>
      <c r="AU1652">
        <v>11.643756208370108</v>
      </c>
      <c r="AV1652">
        <v>2.0109994885901532E-2</v>
      </c>
    </row>
    <row r="1653" spans="44:48" x14ac:dyDescent="0.2">
      <c r="AR1653">
        <v>1645</v>
      </c>
      <c r="AS1653">
        <v>736</v>
      </c>
      <c r="AT1653">
        <v>2</v>
      </c>
      <c r="AU1653">
        <v>11.674696739687453</v>
      </c>
      <c r="AV1653">
        <v>1.9856839621734068E-2</v>
      </c>
    </row>
    <row r="1654" spans="44:48" x14ac:dyDescent="0.2">
      <c r="AR1654">
        <v>1646</v>
      </c>
      <c r="AS1654">
        <v>737</v>
      </c>
      <c r="AT1654">
        <v>2</v>
      </c>
      <c r="AU1654">
        <v>11.705637271004802</v>
      </c>
      <c r="AV1654">
        <v>1.9605848836222014E-2</v>
      </c>
    </row>
    <row r="1655" spans="44:48" x14ac:dyDescent="0.2">
      <c r="AR1655">
        <v>1647</v>
      </c>
      <c r="AS1655">
        <v>738</v>
      </c>
      <c r="AT1655">
        <v>2</v>
      </c>
      <c r="AU1655">
        <v>11.736577802322147</v>
      </c>
      <c r="AV1655">
        <v>1.9357021180043857E-2</v>
      </c>
    </row>
    <row r="1656" spans="44:48" x14ac:dyDescent="0.2">
      <c r="AR1656">
        <v>1648</v>
      </c>
      <c r="AS1656">
        <v>739</v>
      </c>
      <c r="AT1656">
        <v>2</v>
      </c>
      <c r="AU1656">
        <v>11.767518333639496</v>
      </c>
      <c r="AV1656">
        <v>1.9110354984736483E-2</v>
      </c>
    </row>
    <row r="1657" spans="44:48" x14ac:dyDescent="0.2">
      <c r="AR1657">
        <v>1649</v>
      </c>
      <c r="AS1657">
        <v>740</v>
      </c>
      <c r="AT1657">
        <v>2</v>
      </c>
      <c r="AU1657">
        <v>11.79845886495684</v>
      </c>
      <c r="AV1657">
        <v>1.8865848267091451E-2</v>
      </c>
    </row>
    <row r="1658" spans="44:48" x14ac:dyDescent="0.2">
      <c r="AR1658">
        <v>1650</v>
      </c>
      <c r="AS1658">
        <v>741</v>
      </c>
      <c r="AT1658">
        <v>2</v>
      </c>
      <c r="AU1658">
        <v>11.829399396274185</v>
      </c>
      <c r="AV1658">
        <v>1.8623498733576556E-2</v>
      </c>
    </row>
    <row r="1659" spans="44:48" x14ac:dyDescent="0.2">
      <c r="AR1659">
        <v>1651</v>
      </c>
      <c r="AS1659">
        <v>742</v>
      </c>
      <c r="AT1659">
        <v>2</v>
      </c>
      <c r="AU1659">
        <v>11.860339927591534</v>
      </c>
      <c r="AV1659">
        <v>1.8383303784781545E-2</v>
      </c>
    </row>
    <row r="1660" spans="44:48" x14ac:dyDescent="0.2">
      <c r="AR1660">
        <v>1652</v>
      </c>
      <c r="AS1660">
        <v>743</v>
      </c>
      <c r="AT1660">
        <v>2</v>
      </c>
      <c r="AU1660">
        <v>11.891280458908879</v>
      </c>
      <c r="AV1660">
        <v>1.8145260519886106E-2</v>
      </c>
    </row>
    <row r="1661" spans="44:48" x14ac:dyDescent="0.2">
      <c r="AR1661">
        <v>1653</v>
      </c>
      <c r="AS1661">
        <v>744</v>
      </c>
      <c r="AT1661">
        <v>2</v>
      </c>
      <c r="AU1661">
        <v>11.922220990226224</v>
      </c>
      <c r="AV1661">
        <v>1.7909365741148178E-2</v>
      </c>
    </row>
    <row r="1662" spans="44:48" x14ac:dyDescent="0.2">
      <c r="AR1662">
        <v>1654</v>
      </c>
      <c r="AS1662">
        <v>745</v>
      </c>
      <c r="AT1662">
        <v>2</v>
      </c>
      <c r="AU1662">
        <v>11.953161521543572</v>
      </c>
      <c r="AV1662">
        <v>1.7675615958411377E-2</v>
      </c>
    </row>
    <row r="1663" spans="44:48" x14ac:dyDescent="0.2">
      <c r="AR1663">
        <v>1655</v>
      </c>
      <c r="AS1663">
        <v>746</v>
      </c>
      <c r="AT1663">
        <v>2</v>
      </c>
      <c r="AU1663">
        <v>11.984102052860917</v>
      </c>
      <c r="AV1663">
        <v>1.7444007393629727E-2</v>
      </c>
    </row>
    <row r="1664" spans="44:48" x14ac:dyDescent="0.2">
      <c r="AR1664">
        <v>1656</v>
      </c>
      <c r="AS1664">
        <v>747</v>
      </c>
      <c r="AT1664">
        <v>2</v>
      </c>
      <c r="AU1664">
        <v>12.015042584178262</v>
      </c>
      <c r="AV1664">
        <v>1.7214535985407745E-2</v>
      </c>
    </row>
    <row r="1665" spans="44:48" x14ac:dyDescent="0.2">
      <c r="AR1665">
        <v>1657</v>
      </c>
      <c r="AS1665">
        <v>748</v>
      </c>
      <c r="AT1665">
        <v>2</v>
      </c>
      <c r="AU1665">
        <v>12.045983115495611</v>
      </c>
      <c r="AV1665">
        <v>1.698719739355483E-2</v>
      </c>
    </row>
    <row r="1666" spans="44:48" x14ac:dyDescent="0.2">
      <c r="AR1666">
        <v>1658</v>
      </c>
      <c r="AS1666">
        <v>749</v>
      </c>
      <c r="AT1666">
        <v>2</v>
      </c>
      <c r="AU1666">
        <v>12.076923646812956</v>
      </c>
      <c r="AV1666">
        <v>1.676198700365196E-2</v>
      </c>
    </row>
    <row r="1667" spans="44:48" x14ac:dyDescent="0.2">
      <c r="AR1667">
        <v>1659</v>
      </c>
      <c r="AS1667">
        <v>750</v>
      </c>
      <c r="AT1667">
        <v>2</v>
      </c>
      <c r="AU1667">
        <v>12.107864178130304</v>
      </c>
      <c r="AV1667">
        <v>1.653889993162911E-2</v>
      </c>
    </row>
    <row r="1668" spans="44:48" x14ac:dyDescent="0.2">
      <c r="AR1668">
        <v>1660</v>
      </c>
      <c r="AS1668">
        <v>751</v>
      </c>
      <c r="AT1668">
        <v>2</v>
      </c>
      <c r="AU1668">
        <v>12.138804709447649</v>
      </c>
      <c r="AV1668">
        <v>1.6317931028352193E-2</v>
      </c>
    </row>
    <row r="1669" spans="44:48" x14ac:dyDescent="0.2">
      <c r="AR1669">
        <v>1661</v>
      </c>
      <c r="AS1669">
        <v>752</v>
      </c>
      <c r="AT1669">
        <v>2</v>
      </c>
      <c r="AU1669">
        <v>12.169745240764994</v>
      </c>
      <c r="AV1669">
        <v>1.6099074884217426E-2</v>
      </c>
    </row>
    <row r="1670" spans="44:48" x14ac:dyDescent="0.2">
      <c r="AR1670">
        <v>1662</v>
      </c>
      <c r="AS1670">
        <v>753</v>
      </c>
      <c r="AT1670">
        <v>2</v>
      </c>
      <c r="AU1670">
        <v>12.200685772082343</v>
      </c>
      <c r="AV1670">
        <v>1.588232583375207E-2</v>
      </c>
    </row>
    <row r="1671" spans="44:48" x14ac:dyDescent="0.2">
      <c r="AR1671">
        <v>1663</v>
      </c>
      <c r="AS1671">
        <v>754</v>
      </c>
      <c r="AT1671">
        <v>2</v>
      </c>
      <c r="AU1671">
        <v>12.231626303399688</v>
      </c>
      <c r="AV1671">
        <v>1.5667677960219902E-2</v>
      </c>
    </row>
    <row r="1672" spans="44:48" x14ac:dyDescent="0.2">
      <c r="AR1672">
        <v>1664</v>
      </c>
      <c r="AS1672">
        <v>755</v>
      </c>
      <c r="AT1672">
        <v>2</v>
      </c>
      <c r="AU1672">
        <v>12.262566834717033</v>
      </c>
      <c r="AV1672">
        <v>1.5455125100229606E-2</v>
      </c>
    </row>
    <row r="1673" spans="44:48" x14ac:dyDescent="0.2">
      <c r="AR1673">
        <v>1665</v>
      </c>
      <c r="AS1673">
        <v>756</v>
      </c>
      <c r="AT1673">
        <v>2</v>
      </c>
      <c r="AU1673">
        <v>12.293507366034381</v>
      </c>
      <c r="AV1673">
        <v>1.524466084834512E-2</v>
      </c>
    </row>
    <row r="1674" spans="44:48" x14ac:dyDescent="0.2">
      <c r="AR1674">
        <v>1666</v>
      </c>
      <c r="AS1674">
        <v>757</v>
      </c>
      <c r="AT1674">
        <v>2</v>
      </c>
      <c r="AU1674">
        <v>12.324447897351726</v>
      </c>
      <c r="AV1674">
        <v>1.5036278561696209E-2</v>
      </c>
    </row>
    <row r="1675" spans="44:48" x14ac:dyDescent="0.2">
      <c r="AR1675">
        <v>1667</v>
      </c>
      <c r="AS1675">
        <v>758</v>
      </c>
      <c r="AT1675">
        <v>2</v>
      </c>
      <c r="AU1675">
        <v>12.355388428669071</v>
      </c>
      <c r="AV1675">
        <v>1.4829971364587654E-2</v>
      </c>
    </row>
    <row r="1676" spans="44:48" x14ac:dyDescent="0.2">
      <c r="AR1676">
        <v>1668</v>
      </c>
      <c r="AS1676">
        <v>759</v>
      </c>
      <c r="AT1676">
        <v>2</v>
      </c>
      <c r="AU1676">
        <v>12.38632895998642</v>
      </c>
      <c r="AV1676">
        <v>1.4625732153106061E-2</v>
      </c>
    </row>
    <row r="1677" spans="44:48" x14ac:dyDescent="0.2">
      <c r="AR1677">
        <v>1669</v>
      </c>
      <c r="AS1677">
        <v>760</v>
      </c>
      <c r="AT1677">
        <v>2</v>
      </c>
      <c r="AU1677">
        <v>12.417269491303765</v>
      </c>
      <c r="AV1677">
        <v>1.4423553599722654E-2</v>
      </c>
    </row>
    <row r="1678" spans="44:48" x14ac:dyDescent="0.2">
      <c r="AR1678">
        <v>1670</v>
      </c>
      <c r="AS1678">
        <v>761</v>
      </c>
      <c r="AT1678">
        <v>2</v>
      </c>
      <c r="AU1678">
        <v>12.448210022621113</v>
      </c>
      <c r="AV1678">
        <v>1.4223428157890466E-2</v>
      </c>
    </row>
    <row r="1679" spans="44:48" x14ac:dyDescent="0.2">
      <c r="AR1679">
        <v>1671</v>
      </c>
      <c r="AS1679">
        <v>762</v>
      </c>
      <c r="AT1679">
        <v>2</v>
      </c>
      <c r="AU1679">
        <v>12.479150553938458</v>
      </c>
      <c r="AV1679">
        <v>1.4025348066635163E-2</v>
      </c>
    </row>
    <row r="1680" spans="44:48" x14ac:dyDescent="0.2">
      <c r="AR1680">
        <v>1672</v>
      </c>
      <c r="AS1680">
        <v>763</v>
      </c>
      <c r="AT1680">
        <v>2</v>
      </c>
      <c r="AU1680">
        <v>12.510091085255803</v>
      </c>
      <c r="AV1680">
        <v>1.3829305355137465E-2</v>
      </c>
    </row>
    <row r="1681" spans="44:48" x14ac:dyDescent="0.2">
      <c r="AR1681">
        <v>1673</v>
      </c>
      <c r="AS1681">
        <v>764</v>
      </c>
      <c r="AT1681">
        <v>2</v>
      </c>
      <c r="AU1681">
        <v>12.541031616573152</v>
      </c>
      <c r="AV1681">
        <v>1.3635291847306425E-2</v>
      </c>
    </row>
    <row r="1682" spans="44:48" x14ac:dyDescent="0.2">
      <c r="AR1682">
        <v>1674</v>
      </c>
      <c r="AS1682">
        <v>765</v>
      </c>
      <c r="AT1682">
        <v>2</v>
      </c>
      <c r="AU1682">
        <v>12.571972147890497</v>
      </c>
      <c r="AV1682">
        <v>1.3443299166341998E-2</v>
      </c>
    </row>
    <row r="1683" spans="44:48" x14ac:dyDescent="0.2">
      <c r="AR1683">
        <v>1675</v>
      </c>
      <c r="AS1683">
        <v>766</v>
      </c>
      <c r="AT1683">
        <v>2</v>
      </c>
      <c r="AU1683">
        <v>12.602912679207842</v>
      </c>
      <c r="AV1683">
        <v>1.325331873928557E-2</v>
      </c>
    </row>
    <row r="1684" spans="44:48" x14ac:dyDescent="0.2">
      <c r="AR1684">
        <v>1676</v>
      </c>
      <c r="AS1684">
        <v>767</v>
      </c>
      <c r="AT1684">
        <v>2</v>
      </c>
      <c r="AU1684">
        <v>12.63385321052519</v>
      </c>
      <c r="AV1684">
        <v>1.3065341801557431E-2</v>
      </c>
    </row>
    <row r="1685" spans="44:48" x14ac:dyDescent="0.2">
      <c r="AR1685">
        <v>1677</v>
      </c>
      <c r="AS1685">
        <v>768</v>
      </c>
      <c r="AT1685">
        <v>2</v>
      </c>
      <c r="AU1685">
        <v>12.664793741842535</v>
      </c>
      <c r="AV1685">
        <v>1.2879359401479881E-2</v>
      </c>
    </row>
    <row r="1686" spans="44:48" x14ac:dyDescent="0.2">
      <c r="AR1686">
        <v>1678</v>
      </c>
      <c r="AS1686">
        <v>769</v>
      </c>
      <c r="AT1686">
        <v>2</v>
      </c>
      <c r="AU1686">
        <v>12.69573427315988</v>
      </c>
      <c r="AV1686">
        <v>1.2695362404784537E-2</v>
      </c>
    </row>
    <row r="1687" spans="44:48" x14ac:dyDescent="0.2">
      <c r="AR1687">
        <v>1679</v>
      </c>
      <c r="AS1687">
        <v>770</v>
      </c>
      <c r="AT1687">
        <v>2</v>
      </c>
      <c r="AU1687">
        <v>12.726674804477229</v>
      </c>
      <c r="AV1687">
        <v>1.2513341499103062E-2</v>
      </c>
    </row>
    <row r="1688" spans="44:48" x14ac:dyDescent="0.2">
      <c r="AR1688">
        <v>1680</v>
      </c>
      <c r="AS1688">
        <v>771</v>
      </c>
      <c r="AT1688">
        <v>2</v>
      </c>
      <c r="AU1688">
        <v>12.757615335794574</v>
      </c>
      <c r="AV1688">
        <v>1.2333287198439921E-2</v>
      </c>
    </row>
    <row r="1689" spans="44:48" x14ac:dyDescent="0.2">
      <c r="AR1689">
        <v>1681</v>
      </c>
      <c r="AS1689">
        <v>772</v>
      </c>
      <c r="AT1689">
        <v>2</v>
      </c>
      <c r="AU1689">
        <v>12.788555867111922</v>
      </c>
      <c r="AV1689">
        <v>1.2155189847625911E-2</v>
      </c>
    </row>
    <row r="1690" spans="44:48" x14ac:dyDescent="0.2">
      <c r="AR1690">
        <v>1682</v>
      </c>
      <c r="AS1690">
        <v>773</v>
      </c>
      <c r="AT1690">
        <v>2</v>
      </c>
      <c r="AU1690">
        <v>12.819496398429267</v>
      </c>
      <c r="AV1690">
        <v>1.1979039626751771E-2</v>
      </c>
    </row>
    <row r="1691" spans="44:48" x14ac:dyDescent="0.2">
      <c r="AR1691">
        <v>1683</v>
      </c>
      <c r="AS1691">
        <v>774</v>
      </c>
      <c r="AT1691">
        <v>2</v>
      </c>
      <c r="AU1691">
        <v>12.850436929746612</v>
      </c>
      <c r="AV1691">
        <v>1.1804826555580253E-2</v>
      </c>
    </row>
    <row r="1692" spans="44:48" x14ac:dyDescent="0.2">
      <c r="AR1692">
        <v>1684</v>
      </c>
      <c r="AS1692">
        <v>775</v>
      </c>
      <c r="AT1692">
        <v>2</v>
      </c>
      <c r="AU1692">
        <v>12.881377461063961</v>
      </c>
      <c r="AV1692">
        <v>1.1632540497936045E-2</v>
      </c>
    </row>
    <row r="1693" spans="44:48" x14ac:dyDescent="0.2">
      <c r="AR1693">
        <v>1685</v>
      </c>
      <c r="AS1693">
        <v>776</v>
      </c>
      <c r="AT1693">
        <v>2</v>
      </c>
      <c r="AU1693">
        <v>12.912317992381306</v>
      </c>
      <c r="AV1693">
        <v>1.1462171166072368E-2</v>
      </c>
    </row>
    <row r="1694" spans="44:48" x14ac:dyDescent="0.2">
      <c r="AR1694">
        <v>1686</v>
      </c>
      <c r="AS1694">
        <v>777</v>
      </c>
      <c r="AT1694">
        <v>2</v>
      </c>
      <c r="AU1694">
        <v>12.943258523698651</v>
      </c>
      <c r="AV1694">
        <v>1.1293708125012934E-2</v>
      </c>
    </row>
    <row r="1695" spans="44:48" x14ac:dyDescent="0.2">
      <c r="AR1695">
        <v>1687</v>
      </c>
      <c r="AS1695">
        <v>778</v>
      </c>
      <c r="AT1695">
        <v>2</v>
      </c>
      <c r="AU1695">
        <v>12.974199055015999</v>
      </c>
      <c r="AV1695">
        <v>1.1127140796868766E-2</v>
      </c>
    </row>
    <row r="1696" spans="44:48" x14ac:dyDescent="0.2">
      <c r="AR1696">
        <v>1688</v>
      </c>
      <c r="AS1696">
        <v>779</v>
      </c>
      <c r="AT1696">
        <v>2</v>
      </c>
      <c r="AU1696">
        <v>13.005139586333344</v>
      </c>
      <c r="AV1696">
        <v>1.0962458465128633E-2</v>
      </c>
    </row>
    <row r="1697" spans="44:48" x14ac:dyDescent="0.2">
      <c r="AR1697">
        <v>1689</v>
      </c>
      <c r="AS1697">
        <v>780</v>
      </c>
      <c r="AT1697">
        <v>2</v>
      </c>
      <c r="AU1697">
        <v>13.036080117650693</v>
      </c>
      <c r="AV1697">
        <v>1.0799650278922039E-2</v>
      </c>
    </row>
    <row r="1698" spans="44:48" x14ac:dyDescent="0.2">
      <c r="AR1698">
        <v>1690</v>
      </c>
      <c r="AS1698">
        <v>781</v>
      </c>
      <c r="AT1698">
        <v>2</v>
      </c>
      <c r="AU1698">
        <v>13.067020648968038</v>
      </c>
      <c r="AV1698">
        <v>1.0638705257254249E-2</v>
      </c>
    </row>
    <row r="1699" spans="44:48" x14ac:dyDescent="0.2">
      <c r="AR1699">
        <v>1691</v>
      </c>
      <c r="AS1699">
        <v>782</v>
      </c>
      <c r="AT1699">
        <v>2</v>
      </c>
      <c r="AU1699">
        <v>13.097961180285383</v>
      </c>
      <c r="AV1699">
        <v>1.0479612293211944E-2</v>
      </c>
    </row>
    <row r="1700" spans="44:48" x14ac:dyDescent="0.2">
      <c r="AR1700">
        <v>1692</v>
      </c>
      <c r="AS1700">
        <v>783</v>
      </c>
      <c r="AT1700">
        <v>2</v>
      </c>
      <c r="AU1700">
        <v>13.128901711602731</v>
      </c>
      <c r="AV1700">
        <v>1.0322360158139046E-2</v>
      </c>
    </row>
    <row r="1701" spans="44:48" x14ac:dyDescent="0.2">
      <c r="AR1701">
        <v>1693</v>
      </c>
      <c r="AS1701">
        <v>784</v>
      </c>
      <c r="AT1701">
        <v>2</v>
      </c>
      <c r="AU1701">
        <v>13.159842242920076</v>
      </c>
      <c r="AV1701">
        <v>1.0166937505781763E-2</v>
      </c>
    </row>
    <row r="1702" spans="44:48" x14ac:dyDescent="0.2">
      <c r="AR1702">
        <v>1694</v>
      </c>
      <c r="AS1702">
        <v>785</v>
      </c>
      <c r="AT1702">
        <v>2</v>
      </c>
      <c r="AU1702">
        <v>13.190782774237421</v>
      </c>
      <c r="AV1702">
        <v>1.001333287640173E-2</v>
      </c>
    </row>
    <row r="1703" spans="44:48" x14ac:dyDescent="0.2">
      <c r="AR1703">
        <v>1695</v>
      </c>
      <c r="AS1703">
        <v>786</v>
      </c>
      <c r="AT1703">
        <v>2</v>
      </c>
      <c r="AU1703">
        <v>13.22172330555477</v>
      </c>
      <c r="AV1703">
        <v>9.8615347008569401E-3</v>
      </c>
    </row>
    <row r="1704" spans="44:48" x14ac:dyDescent="0.2">
      <c r="AR1704">
        <v>1696</v>
      </c>
      <c r="AS1704">
        <v>787</v>
      </c>
      <c r="AT1704">
        <v>2</v>
      </c>
      <c r="AU1704">
        <v>13.252663836872115</v>
      </c>
      <c r="AV1704">
        <v>9.7115313046493811E-3</v>
      </c>
    </row>
    <row r="1705" spans="44:48" x14ac:dyDescent="0.2">
      <c r="AR1705">
        <v>1697</v>
      </c>
      <c r="AS1705">
        <v>788</v>
      </c>
      <c r="AT1705">
        <v>2</v>
      </c>
      <c r="AU1705">
        <v>13.28360436818946</v>
      </c>
      <c r="AV1705">
        <v>9.563310911938518E-3</v>
      </c>
    </row>
    <row r="1706" spans="44:48" x14ac:dyDescent="0.2">
      <c r="AR1706">
        <v>1698</v>
      </c>
      <c r="AS1706">
        <v>789</v>
      </c>
      <c r="AT1706">
        <v>2</v>
      </c>
      <c r="AU1706">
        <v>13.314544899506808</v>
      </c>
      <c r="AV1706">
        <v>9.4168616495202175E-3</v>
      </c>
    </row>
    <row r="1707" spans="44:48" x14ac:dyDescent="0.2">
      <c r="AR1707">
        <v>1699</v>
      </c>
      <c r="AS1707">
        <v>790</v>
      </c>
      <c r="AT1707">
        <v>2</v>
      </c>
      <c r="AU1707">
        <v>13.345485430824153</v>
      </c>
      <c r="AV1707">
        <v>9.2721715507702307E-3</v>
      </c>
    </row>
    <row r="1708" spans="44:48" x14ac:dyDescent="0.2">
      <c r="AR1708">
        <v>1700</v>
      </c>
      <c r="AS1708">
        <v>791</v>
      </c>
      <c r="AT1708">
        <v>2</v>
      </c>
      <c r="AU1708">
        <v>13.376425962141502</v>
      </c>
      <c r="AV1708">
        <v>9.1292285595514205E-3</v>
      </c>
    </row>
    <row r="1709" spans="44:48" x14ac:dyDescent="0.2">
      <c r="AR1709">
        <v>1701</v>
      </c>
      <c r="AS1709">
        <v>792</v>
      </c>
      <c r="AT1709">
        <v>2</v>
      </c>
      <c r="AU1709">
        <v>13.407366493458847</v>
      </c>
      <c r="AV1709">
        <v>8.9880205340844167E-3</v>
      </c>
    </row>
    <row r="1710" spans="44:48" x14ac:dyDescent="0.2">
      <c r="AR1710">
        <v>1702</v>
      </c>
      <c r="AS1710">
        <v>793</v>
      </c>
      <c r="AT1710">
        <v>2</v>
      </c>
      <c r="AU1710">
        <v>13.438307024776192</v>
      </c>
      <c r="AV1710">
        <v>8.8485352507806543E-3</v>
      </c>
    </row>
    <row r="1711" spans="44:48" x14ac:dyDescent="0.2">
      <c r="AR1711">
        <v>1703</v>
      </c>
      <c r="AS1711">
        <v>794</v>
      </c>
      <c r="AT1711">
        <v>2</v>
      </c>
      <c r="AU1711">
        <v>13.46924755609354</v>
      </c>
      <c r="AV1711">
        <v>8.7107604080374976E-3</v>
      </c>
    </row>
    <row r="1712" spans="44:48" x14ac:dyDescent="0.2">
      <c r="AR1712">
        <v>1704</v>
      </c>
      <c r="AS1712">
        <v>795</v>
      </c>
      <c r="AT1712">
        <v>2</v>
      </c>
      <c r="AU1712">
        <v>13.500188087410885</v>
      </c>
      <c r="AV1712">
        <v>8.5746836299948059E-3</v>
      </c>
    </row>
    <row r="1713" spans="44:48" x14ac:dyDescent="0.2">
      <c r="AR1713">
        <v>1705</v>
      </c>
      <c r="AS1713">
        <v>796</v>
      </c>
      <c r="AT1713">
        <v>2</v>
      </c>
      <c r="AU1713">
        <v>13.53112861872823</v>
      </c>
      <c r="AV1713">
        <v>8.4402924702521084E-3</v>
      </c>
    </row>
    <row r="1714" spans="44:48" x14ac:dyDescent="0.2">
      <c r="AR1714">
        <v>1706</v>
      </c>
      <c r="AS1714">
        <v>797</v>
      </c>
      <c r="AT1714">
        <v>2</v>
      </c>
      <c r="AU1714">
        <v>13.562069150045579</v>
      </c>
      <c r="AV1714">
        <v>8.3075744155462795E-3</v>
      </c>
    </row>
    <row r="1715" spans="44:48" x14ac:dyDescent="0.2">
      <c r="AR1715">
        <v>1707</v>
      </c>
      <c r="AS1715">
        <v>798</v>
      </c>
      <c r="AT1715">
        <v>2</v>
      </c>
      <c r="AU1715">
        <v>13.593009681362924</v>
      </c>
      <c r="AV1715">
        <v>8.176516889388875E-3</v>
      </c>
    </row>
    <row r="1716" spans="44:48" x14ac:dyDescent="0.2">
      <c r="AR1716">
        <v>1708</v>
      </c>
      <c r="AS1716">
        <v>799</v>
      </c>
      <c r="AT1716">
        <v>2</v>
      </c>
      <c r="AU1716">
        <v>13.623950212680269</v>
      </c>
      <c r="AV1716">
        <v>8.0471072556626451E-3</v>
      </c>
    </row>
    <row r="1717" spans="44:48" x14ac:dyDescent="0.2">
      <c r="AR1717">
        <v>1709</v>
      </c>
      <c r="AS1717">
        <v>800</v>
      </c>
      <c r="AT1717">
        <v>2</v>
      </c>
      <c r="AU1717">
        <v>13.654890743997617</v>
      </c>
      <c r="AV1717">
        <v>7.9193328221769388E-3</v>
      </c>
    </row>
    <row r="1718" spans="44:48" x14ac:dyDescent="0.2">
      <c r="AR1718">
        <v>1710</v>
      </c>
      <c r="AS1718">
        <v>801</v>
      </c>
      <c r="AT1718">
        <v>2</v>
      </c>
      <c r="AU1718">
        <v>13.685831275314962</v>
      </c>
      <c r="AV1718">
        <v>7.793180844181416E-3</v>
      </c>
    </row>
    <row r="1719" spans="44:48" x14ac:dyDescent="0.2">
      <c r="AR1719">
        <v>1711</v>
      </c>
      <c r="AS1719">
        <v>802</v>
      </c>
      <c r="AT1719">
        <v>2</v>
      </c>
      <c r="AU1719">
        <v>13.716771806632311</v>
      </c>
      <c r="AV1719">
        <v>7.6686385278375542E-3</v>
      </c>
    </row>
    <row r="1720" spans="44:48" x14ac:dyDescent="0.2">
      <c r="AR1720">
        <v>1712</v>
      </c>
      <c r="AS1720">
        <v>803</v>
      </c>
      <c r="AT1720">
        <v>2</v>
      </c>
      <c r="AU1720">
        <v>13.747712337949656</v>
      </c>
      <c r="AV1720">
        <v>7.5456930336478337E-3</v>
      </c>
    </row>
    <row r="1721" spans="44:48" x14ac:dyDescent="0.2">
      <c r="AR1721">
        <v>1713</v>
      </c>
      <c r="AS1721">
        <v>804</v>
      </c>
      <c r="AT1721">
        <v>2</v>
      </c>
      <c r="AU1721">
        <v>13.778652869267001</v>
      </c>
      <c r="AV1721">
        <v>7.4243314798417724E-3</v>
      </c>
    </row>
    <row r="1722" spans="44:48" x14ac:dyDescent="0.2">
      <c r="AR1722">
        <v>1714</v>
      </c>
      <c r="AS1722">
        <v>805</v>
      </c>
      <c r="AT1722">
        <v>2</v>
      </c>
      <c r="AU1722">
        <v>13.809593400584349</v>
      </c>
      <c r="AV1722">
        <v>7.3045409457189008E-3</v>
      </c>
    </row>
    <row r="1723" spans="44:48" x14ac:dyDescent="0.2">
      <c r="AR1723">
        <v>1715</v>
      </c>
      <c r="AS1723">
        <v>806</v>
      </c>
      <c r="AT1723">
        <v>2</v>
      </c>
      <c r="AU1723">
        <v>13.840533931901694</v>
      </c>
      <c r="AV1723">
        <v>7.1863084749480451E-3</v>
      </c>
    </row>
    <row r="1724" spans="44:48" x14ac:dyDescent="0.2">
      <c r="AR1724">
        <v>1716</v>
      </c>
      <c r="AS1724">
        <v>807</v>
      </c>
      <c r="AT1724">
        <v>2</v>
      </c>
      <c r="AU1724">
        <v>13.871474463219039</v>
      </c>
      <c r="AV1724">
        <v>7.0696210788226523E-3</v>
      </c>
    </row>
    <row r="1725" spans="44:48" x14ac:dyDescent="0.2">
      <c r="AR1725">
        <v>1717</v>
      </c>
      <c r="AS1725">
        <v>808</v>
      </c>
      <c r="AT1725">
        <v>2</v>
      </c>
      <c r="AU1725">
        <v>13.902414994536388</v>
      </c>
      <c r="AV1725">
        <v>6.9544657394719194E-3</v>
      </c>
    </row>
    <row r="1726" spans="44:48" x14ac:dyDescent="0.2">
      <c r="AR1726">
        <v>1718</v>
      </c>
      <c r="AS1726">
        <v>809</v>
      </c>
      <c r="AT1726">
        <v>2</v>
      </c>
      <c r="AU1726">
        <v>13.933355525853733</v>
      </c>
      <c r="AV1726">
        <v>6.840829413027434E-3</v>
      </c>
    </row>
    <row r="1727" spans="44:48" x14ac:dyDescent="0.2">
      <c r="AR1727">
        <v>1719</v>
      </c>
      <c r="AS1727">
        <v>810</v>
      </c>
      <c r="AT1727">
        <v>2</v>
      </c>
      <c r="AU1727">
        <v>13.964296057171078</v>
      </c>
      <c r="AV1727">
        <v>6.7286990327449399E-3</v>
      </c>
    </row>
    <row r="1728" spans="44:48" x14ac:dyDescent="0.2">
      <c r="AR1728">
        <v>1720</v>
      </c>
      <c r="AS1728">
        <v>811</v>
      </c>
      <c r="AT1728">
        <v>2</v>
      </c>
      <c r="AU1728">
        <v>13.995236588488426</v>
      </c>
      <c r="AV1728">
        <v>6.6180615120811827E-3</v>
      </c>
    </row>
    <row r="1729" spans="44:48" x14ac:dyDescent="0.2">
      <c r="AR1729">
        <v>1721</v>
      </c>
      <c r="AS1729">
        <v>812</v>
      </c>
      <c r="AT1729">
        <v>2</v>
      </c>
      <c r="AU1729">
        <v>14.026177119805771</v>
      </c>
      <c r="AV1729">
        <v>6.5089037477255099E-3</v>
      </c>
    </row>
    <row r="1730" spans="44:48" x14ac:dyDescent="0.2">
      <c r="AR1730">
        <v>1722</v>
      </c>
      <c r="AS1730">
        <v>813</v>
      </c>
      <c r="AT1730">
        <v>2</v>
      </c>
      <c r="AU1730">
        <v>14.05711765112312</v>
      </c>
      <c r="AV1730">
        <v>6.4012126225859662E-3</v>
      </c>
    </row>
    <row r="1731" spans="44:48" x14ac:dyDescent="0.2">
      <c r="AR1731">
        <v>1723</v>
      </c>
      <c r="AS1731">
        <v>814</v>
      </c>
      <c r="AT1731">
        <v>2</v>
      </c>
      <c r="AU1731">
        <v>14.088058182440465</v>
      </c>
      <c r="AV1731">
        <v>6.2949750087299017E-3</v>
      </c>
    </row>
    <row r="1732" spans="44:48" x14ac:dyDescent="0.2">
      <c r="AR1732">
        <v>1724</v>
      </c>
      <c r="AS1732">
        <v>815</v>
      </c>
      <c r="AT1732">
        <v>2</v>
      </c>
      <c r="AU1732">
        <v>14.11899871375781</v>
      </c>
      <c r="AV1732">
        <v>6.1901777702786662E-3</v>
      </c>
    </row>
    <row r="1733" spans="44:48" x14ac:dyDescent="0.2">
      <c r="AR1733">
        <v>1725</v>
      </c>
      <c r="AS1733">
        <v>816</v>
      </c>
      <c r="AT1733">
        <v>2</v>
      </c>
      <c r="AU1733">
        <v>14.149939245075158</v>
      </c>
      <c r="AV1733">
        <v>6.0868077662564754E-3</v>
      </c>
    </row>
    <row r="1734" spans="44:48" x14ac:dyDescent="0.2">
      <c r="AR1734">
        <v>1726</v>
      </c>
      <c r="AS1734">
        <v>817</v>
      </c>
      <c r="AT1734">
        <v>2</v>
      </c>
      <c r="AU1734">
        <v>14.180879776392503</v>
      </c>
      <c r="AV1734">
        <v>5.9848518533932712E-3</v>
      </c>
    </row>
    <row r="1735" spans="44:48" x14ac:dyDescent="0.2">
      <c r="AR1735">
        <v>1727</v>
      </c>
      <c r="AS1735">
        <v>818</v>
      </c>
      <c r="AT1735">
        <v>2</v>
      </c>
      <c r="AU1735">
        <v>14.211820307709848</v>
      </c>
      <c r="AV1735">
        <v>5.8842968888813347E-3</v>
      </c>
    </row>
    <row r="1736" spans="44:48" x14ac:dyDescent="0.2">
      <c r="AR1736">
        <v>1728</v>
      </c>
      <c r="AS1736">
        <v>819</v>
      </c>
      <c r="AT1736">
        <v>2</v>
      </c>
      <c r="AU1736">
        <v>14.242760839027197</v>
      </c>
      <c r="AV1736">
        <v>5.7851297330857613E-3</v>
      </c>
    </row>
    <row r="1737" spans="44:48" x14ac:dyDescent="0.2">
      <c r="AR1737">
        <v>1729</v>
      </c>
      <c r="AS1737">
        <v>820</v>
      </c>
      <c r="AT1737">
        <v>2</v>
      </c>
      <c r="AU1737">
        <v>14.273701370344542</v>
      </c>
      <c r="AV1737">
        <v>5.6873372522086747E-3</v>
      </c>
    </row>
    <row r="1738" spans="44:48" x14ac:dyDescent="0.2">
      <c r="AR1738">
        <v>1730</v>
      </c>
      <c r="AS1738">
        <v>821</v>
      </c>
      <c r="AT1738">
        <v>2</v>
      </c>
      <c r="AU1738">
        <v>14.304641901661887</v>
      </c>
      <c r="AV1738">
        <v>5.5909063209069586E-3</v>
      </c>
    </row>
    <row r="1739" spans="44:48" x14ac:dyDescent="0.2">
      <c r="AR1739">
        <v>1731</v>
      </c>
      <c r="AS1739">
        <v>822</v>
      </c>
      <c r="AT1739">
        <v>2</v>
      </c>
      <c r="AU1739">
        <v>14.335582432979235</v>
      </c>
      <c r="AV1739">
        <v>5.4958238248637801E-3</v>
      </c>
    </row>
    <row r="1740" spans="44:48" x14ac:dyDescent="0.2">
      <c r="AR1740">
        <v>1732</v>
      </c>
      <c r="AS1740">
        <v>823</v>
      </c>
      <c r="AT1740">
        <v>2</v>
      </c>
      <c r="AU1740">
        <v>14.36652296429658</v>
      </c>
      <c r="AV1740">
        <v>5.402076663313651E-3</v>
      </c>
    </row>
    <row r="1741" spans="44:48" x14ac:dyDescent="0.2">
      <c r="AR1741">
        <v>1733</v>
      </c>
      <c r="AS1741">
        <v>824</v>
      </c>
      <c r="AT1741">
        <v>2</v>
      </c>
      <c r="AU1741">
        <v>14.397463495613929</v>
      </c>
      <c r="AV1741">
        <v>5.3096517515210861E-3</v>
      </c>
    </row>
    <row r="1742" spans="44:48" x14ac:dyDescent="0.2">
      <c r="AR1742">
        <v>1734</v>
      </c>
      <c r="AS1742">
        <v>825</v>
      </c>
      <c r="AT1742">
        <v>2</v>
      </c>
      <c r="AU1742">
        <v>14.428404026931274</v>
      </c>
      <c r="AV1742">
        <v>5.2185360232130037E-3</v>
      </c>
    </row>
    <row r="1743" spans="44:48" x14ac:dyDescent="0.2">
      <c r="AR1743">
        <v>1735</v>
      </c>
      <c r="AS1743">
        <v>826</v>
      </c>
      <c r="AT1743">
        <v>2</v>
      </c>
      <c r="AU1743">
        <v>14.459344558248619</v>
      </c>
      <c r="AV1743">
        <v>5.1287164329646478E-3</v>
      </c>
    </row>
    <row r="1744" spans="44:48" x14ac:dyDescent="0.2">
      <c r="AR1744">
        <v>1736</v>
      </c>
      <c r="AS1744">
        <v>827</v>
      </c>
      <c r="AT1744">
        <v>2</v>
      </c>
      <c r="AU1744">
        <v>14.490285089565967</v>
      </c>
      <c r="AV1744">
        <v>5.0401799585393803E-3</v>
      </c>
    </row>
    <row r="1745" spans="44:48" x14ac:dyDescent="0.2">
      <c r="AR1745">
        <v>1737</v>
      </c>
      <c r="AS1745">
        <v>828</v>
      </c>
      <c r="AT1745">
        <v>2</v>
      </c>
      <c r="AU1745">
        <v>14.521225620883312</v>
      </c>
      <c r="AV1745">
        <v>4.9529136031822036E-3</v>
      </c>
    </row>
    <row r="1746" spans="44:48" x14ac:dyDescent="0.2">
      <c r="AR1746">
        <v>1738</v>
      </c>
      <c r="AS1746">
        <v>829</v>
      </c>
      <c r="AT1746">
        <v>2</v>
      </c>
      <c r="AU1746">
        <v>14.552166152200657</v>
      </c>
      <c r="AV1746">
        <v>4.8669043978671628E-3</v>
      </c>
    </row>
    <row r="1747" spans="44:48" x14ac:dyDescent="0.2">
      <c r="AR1747">
        <v>1739</v>
      </c>
      <c r="AS1747">
        <v>830</v>
      </c>
      <c r="AT1747">
        <v>2</v>
      </c>
      <c r="AU1747">
        <v>14.583106683518006</v>
      </c>
      <c r="AV1747">
        <v>4.7821394034987365E-3</v>
      </c>
    </row>
    <row r="1748" spans="44:48" x14ac:dyDescent="0.2">
      <c r="AR1748">
        <v>1740</v>
      </c>
      <c r="AS1748">
        <v>831</v>
      </c>
      <c r="AT1748">
        <v>2</v>
      </c>
      <c r="AU1748">
        <v>14.614047214835351</v>
      </c>
      <c r="AV1748">
        <v>4.6986057130673662E-3</v>
      </c>
    </row>
    <row r="1749" spans="44:48" x14ac:dyDescent="0.2">
      <c r="AR1749">
        <v>1741</v>
      </c>
      <c r="AS1749">
        <v>832</v>
      </c>
      <c r="AT1749">
        <v>2</v>
      </c>
      <c r="AU1749">
        <v>14.644987746152699</v>
      </c>
      <c r="AV1749">
        <v>4.6162904537590897E-3</v>
      </c>
    </row>
    <row r="1750" spans="44:48" x14ac:dyDescent="0.2">
      <c r="AR1750">
        <v>1742</v>
      </c>
      <c r="AS1750">
        <v>833</v>
      </c>
      <c r="AT1750">
        <v>2</v>
      </c>
      <c r="AU1750">
        <v>14.675928277470044</v>
      </c>
      <c r="AV1750">
        <v>4.5351807890196905E-3</v>
      </c>
    </row>
    <row r="1751" spans="44:48" x14ac:dyDescent="0.2">
      <c r="AR1751">
        <v>1743</v>
      </c>
      <c r="AS1751">
        <v>834</v>
      </c>
      <c r="AT1751">
        <v>2</v>
      </c>
      <c r="AU1751">
        <v>14.706868808787389</v>
      </c>
      <c r="AV1751">
        <v>4.4552639205732453E-3</v>
      </c>
    </row>
    <row r="1752" spans="44:48" x14ac:dyDescent="0.2">
      <c r="AR1752">
        <v>1744</v>
      </c>
      <c r="AS1752">
        <v>835</v>
      </c>
      <c r="AT1752">
        <v>2</v>
      </c>
      <c r="AU1752">
        <v>14.737809340104738</v>
      </c>
      <c r="AV1752">
        <v>4.3765270903954254E-3</v>
      </c>
    </row>
    <row r="1753" spans="44:48" x14ac:dyDescent="0.2">
      <c r="AR1753">
        <v>1745</v>
      </c>
      <c r="AS1753">
        <v>836</v>
      </c>
      <c r="AT1753">
        <v>2</v>
      </c>
      <c r="AU1753">
        <v>14.768749871422083</v>
      </c>
      <c r="AV1753">
        <v>4.2989575826417005E-3</v>
      </c>
    </row>
    <row r="1754" spans="44:48" x14ac:dyDescent="0.2">
      <c r="AR1754">
        <v>1746</v>
      </c>
      <c r="AS1754">
        <v>837</v>
      </c>
      <c r="AT1754">
        <v>2</v>
      </c>
      <c r="AU1754">
        <v>14.799690402739428</v>
      </c>
      <c r="AV1754">
        <v>4.2225427255305308E-3</v>
      </c>
    </row>
    <row r="1755" spans="44:48" x14ac:dyDescent="0.2">
      <c r="AR1755">
        <v>1747</v>
      </c>
      <c r="AS1755">
        <v>838</v>
      </c>
      <c r="AT1755">
        <v>2</v>
      </c>
      <c r="AU1755">
        <v>14.830630934056776</v>
      </c>
      <c r="AV1755">
        <v>4.1472698931819107E-3</v>
      </c>
    </row>
    <row r="1756" spans="44:48" x14ac:dyDescent="0.2">
      <c r="AR1756">
        <v>1748</v>
      </c>
      <c r="AS1756">
        <v>839</v>
      </c>
      <c r="AT1756">
        <v>2</v>
      </c>
      <c r="AU1756">
        <v>14.861571465374121</v>
      </c>
      <c r="AV1756">
        <v>4.0731265074114295E-3</v>
      </c>
    </row>
    <row r="1757" spans="44:48" x14ac:dyDescent="0.2">
      <c r="AR1757">
        <v>1749</v>
      </c>
      <c r="AS1757">
        <v>840</v>
      </c>
      <c r="AT1757">
        <v>2</v>
      </c>
      <c r="AU1757">
        <v>14.892511996691466</v>
      </c>
      <c r="AV1757">
        <v>4.0001000394800038E-3</v>
      </c>
    </row>
    <row r="1758" spans="44:48" x14ac:dyDescent="0.2">
      <c r="AR1758">
        <v>1750</v>
      </c>
      <c r="AS1758">
        <v>841</v>
      </c>
      <c r="AT1758">
        <v>2</v>
      </c>
      <c r="AU1758">
        <v>14.923452528008815</v>
      </c>
      <c r="AV1758">
        <v>3.9281780117996689E-3</v>
      </c>
    </row>
    <row r="1759" spans="44:48" x14ac:dyDescent="0.2">
      <c r="AR1759">
        <v>1751</v>
      </c>
      <c r="AS1759">
        <v>842</v>
      </c>
      <c r="AT1759">
        <v>2</v>
      </c>
      <c r="AU1759">
        <v>14.95439305932616</v>
      </c>
      <c r="AV1759">
        <v>3.8573479995956E-3</v>
      </c>
    </row>
    <row r="1760" spans="44:48" x14ac:dyDescent="0.2">
      <c r="AR1760">
        <v>1752</v>
      </c>
      <c r="AS1760">
        <v>843</v>
      </c>
      <c r="AT1760">
        <v>2</v>
      </c>
      <c r="AU1760">
        <v>14.985333590643508</v>
      </c>
      <c r="AV1760">
        <v>3.7875976325245958E-3</v>
      </c>
    </row>
    <row r="1761" spans="44:48" x14ac:dyDescent="0.2">
      <c r="AR1761">
        <v>1753</v>
      </c>
      <c r="AS1761">
        <v>844</v>
      </c>
      <c r="AT1761">
        <v>2</v>
      </c>
      <c r="AU1761">
        <v>15.016274121960853</v>
      </c>
      <c r="AV1761">
        <v>3.7189145962504399E-3</v>
      </c>
    </row>
    <row r="1762" spans="44:48" x14ac:dyDescent="0.2">
      <c r="AR1762">
        <v>1754</v>
      </c>
      <c r="AS1762">
        <v>845</v>
      </c>
      <c r="AT1762">
        <v>2</v>
      </c>
      <c r="AU1762">
        <v>15.047214653278198</v>
      </c>
      <c r="AV1762">
        <v>3.6512866339762744E-3</v>
      </c>
    </row>
    <row r="1763" spans="44:48" x14ac:dyDescent="0.2">
      <c r="AR1763">
        <v>1755</v>
      </c>
      <c r="AS1763">
        <v>846</v>
      </c>
      <c r="AT1763">
        <v>2</v>
      </c>
      <c r="AU1763">
        <v>15.078155184595547</v>
      </c>
      <c r="AV1763">
        <v>3.5847015479344079E-3</v>
      </c>
    </row>
    <row r="1764" spans="44:48" x14ac:dyDescent="0.2">
      <c r="AR1764">
        <v>1756</v>
      </c>
      <c r="AS1764">
        <v>847</v>
      </c>
      <c r="AT1764">
        <v>2</v>
      </c>
      <c r="AU1764">
        <v>15.109095715912892</v>
      </c>
      <c r="AV1764">
        <v>3.5191472008338264E-3</v>
      </c>
    </row>
    <row r="1765" spans="44:48" x14ac:dyDescent="0.2">
      <c r="AR1765">
        <v>1757</v>
      </c>
      <c r="AS1765">
        <v>848</v>
      </c>
      <c r="AT1765">
        <v>2</v>
      </c>
      <c r="AU1765">
        <v>15.140036247230237</v>
      </c>
      <c r="AV1765">
        <v>3.4546115172656546E-3</v>
      </c>
    </row>
    <row r="1766" spans="44:48" x14ac:dyDescent="0.2">
      <c r="AR1766">
        <v>1758</v>
      </c>
      <c r="AS1766">
        <v>849</v>
      </c>
      <c r="AT1766">
        <v>2</v>
      </c>
      <c r="AU1766">
        <v>15.170976778547585</v>
      </c>
      <c r="AV1766">
        <v>3.3910824850670392E-3</v>
      </c>
    </row>
    <row r="1767" spans="44:48" x14ac:dyDescent="0.2">
      <c r="AR1767">
        <v>1759</v>
      </c>
      <c r="AS1767">
        <v>850</v>
      </c>
      <c r="AT1767">
        <v>2</v>
      </c>
      <c r="AU1767">
        <v>15.20191730986493</v>
      </c>
      <c r="AV1767">
        <v>3.3285481566437064E-3</v>
      </c>
    </row>
    <row r="1768" spans="44:48" x14ac:dyDescent="0.2">
      <c r="AR1768">
        <v>1760</v>
      </c>
      <c r="AS1768">
        <v>851</v>
      </c>
      <c r="AT1768">
        <v>2</v>
      </c>
      <c r="AU1768">
        <v>15.232857841182275</v>
      </c>
      <c r="AV1768">
        <v>3.2669966502515031E-3</v>
      </c>
    </row>
    <row r="1769" spans="44:48" x14ac:dyDescent="0.2">
      <c r="AR1769">
        <v>1761</v>
      </c>
      <c r="AS1769">
        <v>852</v>
      </c>
      <c r="AT1769">
        <v>2</v>
      </c>
      <c r="AU1769">
        <v>15.263798372499624</v>
      </c>
      <c r="AV1769">
        <v>3.206416151237383E-3</v>
      </c>
    </row>
    <row r="1770" spans="44:48" x14ac:dyDescent="0.2">
      <c r="AR1770">
        <v>1762</v>
      </c>
      <c r="AS1770">
        <v>853</v>
      </c>
      <c r="AT1770">
        <v>2</v>
      </c>
      <c r="AU1770">
        <v>15.294738903816969</v>
      </c>
      <c r="AV1770">
        <v>3.1467949132401554E-3</v>
      </c>
    </row>
    <row r="1771" spans="44:48" x14ac:dyDescent="0.2">
      <c r="AR1771">
        <v>1763</v>
      </c>
      <c r="AS1771">
        <v>854</v>
      </c>
      <c r="AT1771">
        <v>2</v>
      </c>
      <c r="AU1771">
        <v>15.325679435134317</v>
      </c>
      <c r="AV1771">
        <v>3.0881212593512775E-3</v>
      </c>
    </row>
    <row r="1772" spans="44:48" x14ac:dyDescent="0.2">
      <c r="AR1772">
        <v>1764</v>
      </c>
      <c r="AS1772">
        <v>855</v>
      </c>
      <c r="AT1772">
        <v>2</v>
      </c>
      <c r="AU1772">
        <v>15.356619966451662</v>
      </c>
      <c r="AV1772">
        <v>3.0303835832362659E-3</v>
      </c>
    </row>
    <row r="1773" spans="44:48" x14ac:dyDescent="0.2">
      <c r="AR1773">
        <v>1765</v>
      </c>
      <c r="AS1773">
        <v>856</v>
      </c>
      <c r="AT1773">
        <v>2</v>
      </c>
      <c r="AU1773">
        <v>15.387560497769007</v>
      </c>
      <c r="AV1773">
        <v>2.9735703502169072E-3</v>
      </c>
    </row>
    <row r="1774" spans="44:48" x14ac:dyDescent="0.2">
      <c r="AR1774">
        <v>1766</v>
      </c>
      <c r="AS1774">
        <v>857</v>
      </c>
      <c r="AT1774">
        <v>2</v>
      </c>
      <c r="AU1774">
        <v>15.418501029086356</v>
      </c>
      <c r="AV1774">
        <v>2.9176700983148079E-3</v>
      </c>
    </row>
    <row r="1775" spans="44:48" x14ac:dyDescent="0.2">
      <c r="AR1775">
        <v>1767</v>
      </c>
      <c r="AS1775">
        <v>858</v>
      </c>
      <c r="AT1775">
        <v>2</v>
      </c>
      <c r="AU1775">
        <v>15.449441560403701</v>
      </c>
      <c r="AV1775">
        <v>2.8626714392566339E-3</v>
      </c>
    </row>
    <row r="1776" spans="44:48" x14ac:dyDescent="0.2">
      <c r="AR1776">
        <v>1768</v>
      </c>
      <c r="AS1776">
        <v>859</v>
      </c>
      <c r="AT1776">
        <v>2</v>
      </c>
      <c r="AU1776">
        <v>15.480382091721046</v>
      </c>
      <c r="AV1776">
        <v>2.8085630594413963E-3</v>
      </c>
    </row>
    <row r="1777" spans="44:48" x14ac:dyDescent="0.2">
      <c r="AR1777">
        <v>1769</v>
      </c>
      <c r="AS1777">
        <v>860</v>
      </c>
      <c r="AT1777">
        <v>2</v>
      </c>
      <c r="AU1777">
        <v>15.511322623038394</v>
      </c>
      <c r="AV1777">
        <v>2.7553337208702944E-3</v>
      </c>
    </row>
    <row r="1778" spans="44:48" x14ac:dyDescent="0.2">
      <c r="AR1778">
        <v>1770</v>
      </c>
      <c r="AS1778">
        <v>861</v>
      </c>
      <c r="AT1778">
        <v>2</v>
      </c>
      <c r="AU1778">
        <v>15.542263154355739</v>
      </c>
      <c r="AV1778">
        <v>2.7029722620394679E-3</v>
      </c>
    </row>
    <row r="1779" spans="44:48" x14ac:dyDescent="0.2">
      <c r="AR1779">
        <v>1771</v>
      </c>
      <c r="AS1779">
        <v>862</v>
      </c>
      <c r="AT1779">
        <v>2</v>
      </c>
      <c r="AU1779">
        <v>15.573203685673084</v>
      </c>
      <c r="AV1779">
        <v>2.6514675987960828E-3</v>
      </c>
    </row>
    <row r="1780" spans="44:48" x14ac:dyDescent="0.2">
      <c r="AR1780">
        <v>1772</v>
      </c>
      <c r="AS1780">
        <v>863</v>
      </c>
      <c r="AT1780">
        <v>2</v>
      </c>
      <c r="AU1780">
        <v>15.604144216990433</v>
      </c>
      <c r="AV1780">
        <v>2.6008087251582126E-3</v>
      </c>
    </row>
    <row r="1781" spans="44:48" x14ac:dyDescent="0.2">
      <c r="AR1781">
        <v>1773</v>
      </c>
      <c r="AS1781">
        <v>864</v>
      </c>
      <c r="AT1781">
        <v>2</v>
      </c>
      <c r="AU1781">
        <v>15.635084748307778</v>
      </c>
      <c r="AV1781">
        <v>2.5509847140989502E-3</v>
      </c>
    </row>
    <row r="1782" spans="44:48" x14ac:dyDescent="0.2">
      <c r="AR1782">
        <v>1774</v>
      </c>
      <c r="AS1782">
        <v>865</v>
      </c>
      <c r="AT1782">
        <v>2</v>
      </c>
      <c r="AU1782">
        <v>15.666025279625126</v>
      </c>
      <c r="AV1782">
        <v>2.5019847182951123E-3</v>
      </c>
    </row>
    <row r="1783" spans="44:48" x14ac:dyDescent="0.2">
      <c r="AR1783">
        <v>1775</v>
      </c>
      <c r="AS1783">
        <v>866</v>
      </c>
      <c r="AT1783">
        <v>2</v>
      </c>
      <c r="AU1783">
        <v>15.696965810942471</v>
      </c>
      <c r="AV1783">
        <v>2.4537979708411117E-3</v>
      </c>
    </row>
    <row r="1784" spans="44:48" x14ac:dyDescent="0.2">
      <c r="AR1784">
        <v>1776</v>
      </c>
      <c r="AS1784">
        <v>867</v>
      </c>
      <c r="AT1784">
        <v>2</v>
      </c>
      <c r="AU1784">
        <v>15.727906342259816</v>
      </c>
      <c r="AV1784">
        <v>2.406413785928316E-3</v>
      </c>
    </row>
    <row r="1785" spans="44:48" x14ac:dyDescent="0.2">
      <c r="AR1785">
        <v>1777</v>
      </c>
      <c r="AS1785">
        <v>868</v>
      </c>
      <c r="AT1785">
        <v>2</v>
      </c>
      <c r="AU1785">
        <v>15.758846873577165</v>
      </c>
      <c r="AV1785">
        <v>2.3598215594904299E-3</v>
      </c>
    </row>
    <row r="1786" spans="44:48" x14ac:dyDescent="0.2">
      <c r="AR1786">
        <v>1778</v>
      </c>
      <c r="AS1786">
        <v>869</v>
      </c>
      <c r="AT1786">
        <v>2</v>
      </c>
      <c r="AU1786">
        <v>15.789787404894509</v>
      </c>
      <c r="AV1786">
        <v>2.3140107698153365E-3</v>
      </c>
    </row>
    <row r="1787" spans="44:48" x14ac:dyDescent="0.2">
      <c r="AR1787">
        <v>1779</v>
      </c>
      <c r="AS1787">
        <v>870</v>
      </c>
      <c r="AT1787">
        <v>2</v>
      </c>
      <c r="AU1787">
        <v>15.820727936211854</v>
      </c>
      <c r="AV1787">
        <v>2.2689709781237946E-3</v>
      </c>
    </row>
    <row r="1788" spans="44:48" x14ac:dyDescent="0.2">
      <c r="AR1788">
        <v>1780</v>
      </c>
      <c r="AS1788">
        <v>871</v>
      </c>
      <c r="AT1788">
        <v>2</v>
      </c>
      <c r="AU1788">
        <v>15.851668467529203</v>
      </c>
      <c r="AV1788">
        <v>2.2246918291155653E-3</v>
      </c>
    </row>
    <row r="1789" spans="44:48" x14ac:dyDescent="0.2">
      <c r="AR1789">
        <v>1781</v>
      </c>
      <c r="AS1789">
        <v>872</v>
      </c>
      <c r="AT1789">
        <v>2</v>
      </c>
      <c r="AU1789">
        <v>15.882608998846548</v>
      </c>
      <c r="AV1789">
        <v>2.18116305148334E-3</v>
      </c>
    </row>
    <row r="1790" spans="44:48" x14ac:dyDescent="0.2">
      <c r="AR1790">
        <v>1782</v>
      </c>
      <c r="AS1790">
        <v>873</v>
      </c>
      <c r="AT1790">
        <v>2</v>
      </c>
      <c r="AU1790">
        <v>15.913549530163893</v>
      </c>
      <c r="AV1790">
        <v>2.1383744583949684E-3</v>
      </c>
    </row>
    <row r="1791" spans="44:48" x14ac:dyDescent="0.2">
      <c r="AR1791">
        <v>1783</v>
      </c>
      <c r="AS1791">
        <v>874</v>
      </c>
      <c r="AT1791">
        <v>2</v>
      </c>
      <c r="AU1791">
        <v>15.944490061481241</v>
      </c>
      <c r="AV1791">
        <v>2.0963159479444608E-3</v>
      </c>
    </row>
    <row r="1792" spans="44:48" x14ac:dyDescent="0.2">
      <c r="AR1792">
        <v>1784</v>
      </c>
      <c r="AS1792">
        <v>875</v>
      </c>
      <c r="AT1792">
        <v>2</v>
      </c>
      <c r="AU1792">
        <v>15.975430592798586</v>
      </c>
      <c r="AV1792">
        <v>2.0549775035722507E-3</v>
      </c>
    </row>
    <row r="1793" spans="44:48" x14ac:dyDescent="0.2">
      <c r="AR1793">
        <v>1785</v>
      </c>
      <c r="AS1793">
        <v>876</v>
      </c>
      <c r="AT1793">
        <v>2</v>
      </c>
      <c r="AU1793">
        <v>16.006371124115937</v>
      </c>
      <c r="AV1793">
        <v>2.0143491944551164E-3</v>
      </c>
    </row>
    <row r="1794" spans="44:48" x14ac:dyDescent="0.2">
      <c r="AR1794">
        <v>1786</v>
      </c>
      <c r="AS1794">
        <v>877</v>
      </c>
      <c r="AT1794">
        <v>2</v>
      </c>
      <c r="AU1794">
        <v>16.037311655433278</v>
      </c>
      <c r="AV1794">
        <v>1.9744211758663715E-3</v>
      </c>
    </row>
    <row r="1795" spans="44:48" x14ac:dyDescent="0.2">
      <c r="AR1795">
        <v>1787</v>
      </c>
      <c r="AS1795">
        <v>878</v>
      </c>
      <c r="AT1795">
        <v>2</v>
      </c>
      <c r="AU1795">
        <v>16.068252186750627</v>
      </c>
      <c r="AV1795">
        <v>1.9351836895066155E-3</v>
      </c>
    </row>
    <row r="1796" spans="44:48" x14ac:dyDescent="0.2">
      <c r="AR1796">
        <v>1788</v>
      </c>
      <c r="AS1796">
        <v>879</v>
      </c>
      <c r="AT1796">
        <v>2</v>
      </c>
      <c r="AU1796">
        <v>16.099192718067975</v>
      </c>
      <c r="AV1796">
        <v>1.8966270638057518E-3</v>
      </c>
    </row>
    <row r="1797" spans="44:48" x14ac:dyDescent="0.2">
      <c r="AR1797">
        <v>1789</v>
      </c>
      <c r="AS1797">
        <v>880</v>
      </c>
      <c r="AT1797">
        <v>2</v>
      </c>
      <c r="AU1797">
        <v>16.130133249385317</v>
      </c>
      <c r="AV1797">
        <v>1.858741714196533E-3</v>
      </c>
    </row>
    <row r="1798" spans="44:48" x14ac:dyDescent="0.2">
      <c r="AR1798">
        <v>1790</v>
      </c>
      <c r="AS1798">
        <v>881</v>
      </c>
      <c r="AT1798">
        <v>2</v>
      </c>
      <c r="AU1798">
        <v>16.161073780702665</v>
      </c>
      <c r="AV1798">
        <v>1.8215181433602059E-3</v>
      </c>
    </row>
    <row r="1799" spans="44:48" x14ac:dyDescent="0.2">
      <c r="AR1799">
        <v>1791</v>
      </c>
      <c r="AS1799">
        <v>882</v>
      </c>
      <c r="AT1799">
        <v>2</v>
      </c>
      <c r="AU1799">
        <v>16.192014312020014</v>
      </c>
      <c r="AV1799">
        <v>1.784946941444815E-3</v>
      </c>
    </row>
    <row r="1800" spans="44:48" x14ac:dyDescent="0.2">
      <c r="AR1800">
        <v>1792</v>
      </c>
      <c r="AS1800">
        <v>883</v>
      </c>
      <c r="AT1800">
        <v>2</v>
      </c>
      <c r="AU1800">
        <v>16.222954843337355</v>
      </c>
      <c r="AV1800">
        <v>1.7490187862565015E-3</v>
      </c>
    </row>
    <row r="1801" spans="44:48" x14ac:dyDescent="0.2">
      <c r="AR1801">
        <v>1793</v>
      </c>
      <c r="AS1801">
        <v>884</v>
      </c>
      <c r="AT1801">
        <v>2</v>
      </c>
      <c r="AU1801">
        <v>16.253895374654704</v>
      </c>
      <c r="AV1801">
        <v>1.7137244434243203E-3</v>
      </c>
    </row>
    <row r="1802" spans="44:48" x14ac:dyDescent="0.2">
      <c r="AR1802">
        <v>1794</v>
      </c>
      <c r="AS1802">
        <v>885</v>
      </c>
      <c r="AT1802">
        <v>2</v>
      </c>
      <c r="AU1802">
        <v>16.284835905972052</v>
      </c>
      <c r="AV1802">
        <v>1.6790547665391728E-3</v>
      </c>
    </row>
    <row r="1803" spans="44:48" x14ac:dyDescent="0.2">
      <c r="AR1803">
        <v>1795</v>
      </c>
      <c r="AS1803">
        <v>886</v>
      </c>
      <c r="AT1803">
        <v>2</v>
      </c>
      <c r="AU1803">
        <v>16.315776437289394</v>
      </c>
      <c r="AV1803">
        <v>1.6450006972671513E-3</v>
      </c>
    </row>
    <row r="1804" spans="44:48" x14ac:dyDescent="0.2">
      <c r="AR1804">
        <v>1796</v>
      </c>
      <c r="AS1804">
        <v>887</v>
      </c>
      <c r="AT1804">
        <v>2</v>
      </c>
      <c r="AU1804">
        <v>16.346716968606742</v>
      </c>
      <c r="AV1804">
        <v>1.611553265437873E-3</v>
      </c>
    </row>
    <row r="1805" spans="44:48" x14ac:dyDescent="0.2">
      <c r="AR1805">
        <v>1797</v>
      </c>
      <c r="AS1805">
        <v>888</v>
      </c>
      <c r="AT1805">
        <v>2</v>
      </c>
      <c r="AU1805">
        <v>16.377657499924091</v>
      </c>
      <c r="AV1805">
        <v>1.5787035891083364E-3</v>
      </c>
    </row>
    <row r="1806" spans="44:48" x14ac:dyDescent="0.2">
      <c r="AR1806">
        <v>1798</v>
      </c>
      <c r="AS1806">
        <v>889</v>
      </c>
      <c r="AT1806">
        <v>2</v>
      </c>
      <c r="AU1806">
        <v>16.408598031241432</v>
      </c>
      <c r="AV1806">
        <v>1.5464428746026538E-3</v>
      </c>
    </row>
    <row r="1807" spans="44:48" x14ac:dyDescent="0.2">
      <c r="AR1807">
        <v>1799</v>
      </c>
      <c r="AS1807">
        <v>890</v>
      </c>
      <c r="AT1807">
        <v>2</v>
      </c>
      <c r="AU1807">
        <v>16.439538562558781</v>
      </c>
      <c r="AV1807">
        <v>1.5147624165281861E-3</v>
      </c>
    </row>
    <row r="1808" spans="44:48" x14ac:dyDescent="0.2">
      <c r="AR1808">
        <v>1800</v>
      </c>
      <c r="AS1808">
        <v>891</v>
      </c>
      <c r="AT1808">
        <v>2</v>
      </c>
      <c r="AU1808">
        <v>16.470479093876129</v>
      </c>
      <c r="AV1808">
        <v>1.4836535977686448E-3</v>
      </c>
    </row>
    <row r="1809" spans="44:48" x14ac:dyDescent="0.2">
      <c r="AR1809">
        <v>1801</v>
      </c>
      <c r="AS1809">
        <v>892</v>
      </c>
      <c r="AT1809">
        <v>2</v>
      </c>
      <c r="AU1809">
        <v>16.501419625193471</v>
      </c>
      <c r="AV1809">
        <v>1.4531078894544803E-3</v>
      </c>
    </row>
    <row r="1810" spans="44:48" x14ac:dyDescent="0.2">
      <c r="AR1810">
        <v>1802</v>
      </c>
      <c r="AS1810">
        <v>893</v>
      </c>
      <c r="AT1810">
        <v>2</v>
      </c>
      <c r="AU1810">
        <v>16.532360156510819</v>
      </c>
      <c r="AV1810">
        <v>1.4231168509111197E-3</v>
      </c>
    </row>
    <row r="1811" spans="44:48" x14ac:dyDescent="0.2">
      <c r="AR1811">
        <v>1803</v>
      </c>
      <c r="AS1811">
        <v>894</v>
      </c>
      <c r="AT1811">
        <v>2</v>
      </c>
      <c r="AU1811">
        <v>16.563300687828168</v>
      </c>
      <c r="AV1811">
        <v>1.3936721295855585E-3</v>
      </c>
    </row>
    <row r="1812" spans="44:48" x14ac:dyDescent="0.2">
      <c r="AR1812">
        <v>1804</v>
      </c>
      <c r="AS1812">
        <v>895</v>
      </c>
      <c r="AT1812">
        <v>2</v>
      </c>
      <c r="AU1812">
        <v>16.594241219145516</v>
      </c>
      <c r="AV1812">
        <v>1.364765460951685E-3</v>
      </c>
    </row>
    <row r="1813" spans="44:48" x14ac:dyDescent="0.2">
      <c r="AR1813">
        <v>1805</v>
      </c>
      <c r="AS1813">
        <v>896</v>
      </c>
      <c r="AT1813">
        <v>2</v>
      </c>
      <c r="AU1813">
        <v>16.625181750462858</v>
      </c>
      <c r="AV1813">
        <v>1.3363886683948635E-3</v>
      </c>
    </row>
    <row r="1814" spans="44:48" x14ac:dyDescent="0.2">
      <c r="AR1814">
        <v>1806</v>
      </c>
      <c r="AS1814">
        <v>897</v>
      </c>
      <c r="AT1814">
        <v>2</v>
      </c>
      <c r="AU1814">
        <v>16.656122281780206</v>
      </c>
      <c r="AV1814">
        <v>1.3085336630762063E-3</v>
      </c>
    </row>
    <row r="1815" spans="44:48" x14ac:dyDescent="0.2">
      <c r="AR1815">
        <v>1807</v>
      </c>
      <c r="AS1815">
        <v>898</v>
      </c>
      <c r="AT1815">
        <v>2</v>
      </c>
      <c r="AU1815">
        <v>16.687062813097555</v>
      </c>
      <c r="AV1815">
        <v>1.2811924437770678E-3</v>
      </c>
    </row>
    <row r="1816" spans="44:48" x14ac:dyDescent="0.2">
      <c r="AR1816">
        <v>1808</v>
      </c>
      <c r="AS1816">
        <v>899</v>
      </c>
      <c r="AT1816">
        <v>2</v>
      </c>
      <c r="AU1816">
        <v>16.718003344414896</v>
      </c>
      <c r="AV1816">
        <v>1.2543570967241317E-3</v>
      </c>
    </row>
    <row r="1817" spans="44:48" x14ac:dyDescent="0.2">
      <c r="AR1817">
        <v>1809</v>
      </c>
      <c r="AS1817">
        <v>900</v>
      </c>
      <c r="AT1817">
        <v>2</v>
      </c>
      <c r="AU1817">
        <v>16.748943875732245</v>
      </c>
      <c r="AV1817">
        <v>1.2280197953955737E-3</v>
      </c>
    </row>
    <row r="1818" spans="44:48" x14ac:dyDescent="0.2">
      <c r="AR1818">
        <v>1810</v>
      </c>
      <c r="AS1818">
        <v>901</v>
      </c>
      <c r="AT1818">
        <v>2</v>
      </c>
      <c r="AU1818">
        <v>16.779884407049593</v>
      </c>
      <c r="AV1818">
        <v>1.2021728003088327E-3</v>
      </c>
    </row>
    <row r="1819" spans="44:48" x14ac:dyDescent="0.2">
      <c r="AR1819">
        <v>1811</v>
      </c>
      <c r="AS1819">
        <v>902</v>
      </c>
      <c r="AT1819">
        <v>2</v>
      </c>
      <c r="AU1819">
        <v>16.810824938366935</v>
      </c>
      <c r="AV1819">
        <v>1.1768084587903218E-3</v>
      </c>
    </row>
    <row r="1820" spans="44:48" x14ac:dyDescent="0.2">
      <c r="AR1820">
        <v>1812</v>
      </c>
      <c r="AS1820">
        <v>903</v>
      </c>
      <c r="AT1820">
        <v>2</v>
      </c>
      <c r="AU1820">
        <v>16.841765469684283</v>
      </c>
      <c r="AV1820">
        <v>1.151919204727589E-3</v>
      </c>
    </row>
    <row r="1821" spans="44:48" x14ac:dyDescent="0.2">
      <c r="AR1821">
        <v>1813</v>
      </c>
      <c r="AS1821">
        <v>904</v>
      </c>
      <c r="AT1821">
        <v>2</v>
      </c>
      <c r="AU1821">
        <v>16.872706001001632</v>
      </c>
      <c r="AV1821">
        <v>1.1274975583044214E-3</v>
      </c>
    </row>
    <row r="1822" spans="44:48" x14ac:dyDescent="0.2">
      <c r="AR1822">
        <v>1814</v>
      </c>
      <c r="AS1822">
        <v>905</v>
      </c>
      <c r="AT1822">
        <v>2</v>
      </c>
      <c r="AU1822">
        <v>16.903646532318973</v>
      </c>
      <c r="AV1822">
        <v>1.1035361257192415E-3</v>
      </c>
    </row>
    <row r="1823" spans="44:48" x14ac:dyDescent="0.2">
      <c r="AR1823">
        <v>1815</v>
      </c>
      <c r="AS1823">
        <v>906</v>
      </c>
      <c r="AT1823">
        <v>2</v>
      </c>
      <c r="AU1823">
        <v>16.934587063636322</v>
      </c>
      <c r="AV1823">
        <v>1.0800275988872667E-3</v>
      </c>
    </row>
    <row r="1824" spans="44:48" x14ac:dyDescent="0.2">
      <c r="AR1824">
        <v>1816</v>
      </c>
      <c r="AS1824">
        <v>907</v>
      </c>
      <c r="AT1824">
        <v>2</v>
      </c>
      <c r="AU1824">
        <v>16.96552759495367</v>
      </c>
      <c r="AV1824">
        <v>1.0569647551269415E-3</v>
      </c>
    </row>
    <row r="1825" spans="44:48" x14ac:dyDescent="0.2">
      <c r="AR1825">
        <v>1817</v>
      </c>
      <c r="AS1825">
        <v>908</v>
      </c>
      <c r="AT1825">
        <v>2</v>
      </c>
      <c r="AU1825">
        <v>16.996468126271012</v>
      </c>
      <c r="AV1825">
        <v>1.0343404568309625E-3</v>
      </c>
    </row>
    <row r="1826" spans="44:48" x14ac:dyDescent="0.2">
      <c r="AR1826">
        <v>1818</v>
      </c>
      <c r="AS1826" t="e">
        <v>#N/A</v>
      </c>
      <c r="AT1826" t="e">
        <v>#N/A</v>
      </c>
      <c r="AU1826" t="e">
        <v>#N/A</v>
      </c>
      <c r="AV1826" t="e">
        <v>#N/A</v>
      </c>
    </row>
    <row r="1827" spans="44:48" x14ac:dyDescent="0.2">
      <c r="AR1827">
        <v>1819</v>
      </c>
      <c r="AS1827">
        <v>1</v>
      </c>
      <c r="AT1827">
        <v>3</v>
      </c>
      <c r="AU1827">
        <v>-11.066593778562057</v>
      </c>
      <c r="AV1827">
        <v>7.8958653652619854E-109</v>
      </c>
    </row>
    <row r="1828" spans="44:48" x14ac:dyDescent="0.2">
      <c r="AR1828">
        <v>1820</v>
      </c>
      <c r="AS1828">
        <v>2</v>
      </c>
      <c r="AT1828">
        <v>3</v>
      </c>
      <c r="AU1828">
        <v>-11.03565324724471</v>
      </c>
      <c r="AV1828">
        <v>3.0099715831720964E-108</v>
      </c>
    </row>
    <row r="1829" spans="44:48" x14ac:dyDescent="0.2">
      <c r="AR1829">
        <v>1821</v>
      </c>
      <c r="AS1829">
        <v>3</v>
      </c>
      <c r="AT1829">
        <v>3</v>
      </c>
      <c r="AU1829">
        <v>-11.004712715927365</v>
      </c>
      <c r="AV1829">
        <v>1.1432917185994642E-107</v>
      </c>
    </row>
    <row r="1830" spans="44:48" x14ac:dyDescent="0.2">
      <c r="AR1830">
        <v>1822</v>
      </c>
      <c r="AS1830">
        <v>4</v>
      </c>
      <c r="AT1830">
        <v>3</v>
      </c>
      <c r="AU1830">
        <v>-10.973772184610018</v>
      </c>
      <c r="AV1830">
        <v>4.3269683756551719E-107</v>
      </c>
    </row>
    <row r="1831" spans="44:48" x14ac:dyDescent="0.2">
      <c r="AR1831">
        <v>1823</v>
      </c>
      <c r="AS1831">
        <v>5</v>
      </c>
      <c r="AT1831">
        <v>3</v>
      </c>
      <c r="AU1831">
        <v>-10.942831653292671</v>
      </c>
      <c r="AV1831">
        <v>1.6317077852988018E-106</v>
      </c>
    </row>
    <row r="1832" spans="44:48" x14ac:dyDescent="0.2">
      <c r="AR1832">
        <v>1824</v>
      </c>
      <c r="AS1832">
        <v>6</v>
      </c>
      <c r="AT1832">
        <v>3</v>
      </c>
      <c r="AU1832">
        <v>-10.911891121975325</v>
      </c>
      <c r="AV1832">
        <v>6.1310244974141717E-106</v>
      </c>
    </row>
    <row r="1833" spans="44:48" x14ac:dyDescent="0.2">
      <c r="AR1833">
        <v>1825</v>
      </c>
      <c r="AS1833">
        <v>7</v>
      </c>
      <c r="AT1833">
        <v>3</v>
      </c>
      <c r="AU1833">
        <v>-10.88095059065798</v>
      </c>
      <c r="AV1833">
        <v>2.2953859464841246E-105</v>
      </c>
    </row>
    <row r="1834" spans="44:48" x14ac:dyDescent="0.2">
      <c r="AR1834">
        <v>1826</v>
      </c>
      <c r="AS1834">
        <v>8</v>
      </c>
      <c r="AT1834">
        <v>3</v>
      </c>
      <c r="AU1834">
        <v>-10.850010059340633</v>
      </c>
      <c r="AV1834">
        <v>8.5626932561326168E-105</v>
      </c>
    </row>
    <row r="1835" spans="44:48" x14ac:dyDescent="0.2">
      <c r="AR1835">
        <v>1827</v>
      </c>
      <c r="AS1835">
        <v>9</v>
      </c>
      <c r="AT1835">
        <v>3</v>
      </c>
      <c r="AU1835">
        <v>-10.819069528023286</v>
      </c>
      <c r="AV1835">
        <v>3.1827099050436568E-104</v>
      </c>
    </row>
    <row r="1836" spans="44:48" x14ac:dyDescent="0.2">
      <c r="AR1836">
        <v>1828</v>
      </c>
      <c r="AS1836">
        <v>10</v>
      </c>
      <c r="AT1836">
        <v>3</v>
      </c>
      <c r="AU1836">
        <v>-10.788128996705939</v>
      </c>
      <c r="AV1836">
        <v>1.178733770514617E-103</v>
      </c>
    </row>
    <row r="1837" spans="44:48" x14ac:dyDescent="0.2">
      <c r="AR1837">
        <v>1829</v>
      </c>
      <c r="AS1837">
        <v>11</v>
      </c>
      <c r="AT1837">
        <v>3</v>
      </c>
      <c r="AU1837">
        <v>-10.757188465388595</v>
      </c>
      <c r="AV1837">
        <v>4.3497710431098152E-103</v>
      </c>
    </row>
    <row r="1838" spans="44:48" x14ac:dyDescent="0.2">
      <c r="AR1838">
        <v>1830</v>
      </c>
      <c r="AS1838">
        <v>12</v>
      </c>
      <c r="AT1838">
        <v>3</v>
      </c>
      <c r="AU1838">
        <v>-10.726247934071248</v>
      </c>
      <c r="AV1838">
        <v>1.5993704606073632E-102</v>
      </c>
    </row>
    <row r="1839" spans="44:48" x14ac:dyDescent="0.2">
      <c r="AR1839">
        <v>1831</v>
      </c>
      <c r="AS1839">
        <v>13</v>
      </c>
      <c r="AT1839">
        <v>3</v>
      </c>
      <c r="AU1839">
        <v>-10.695307402753901</v>
      </c>
      <c r="AV1839">
        <v>5.8595429855072373E-102</v>
      </c>
    </row>
    <row r="1840" spans="44:48" x14ac:dyDescent="0.2">
      <c r="AR1840">
        <v>1832</v>
      </c>
      <c r="AS1840">
        <v>14</v>
      </c>
      <c r="AT1840">
        <v>3</v>
      </c>
      <c r="AU1840">
        <v>-10.664366871436556</v>
      </c>
      <c r="AV1840">
        <v>2.1389982031161021E-101</v>
      </c>
    </row>
    <row r="1841" spans="44:48" x14ac:dyDescent="0.2">
      <c r="AR1841">
        <v>1833</v>
      </c>
      <c r="AS1841">
        <v>15</v>
      </c>
      <c r="AT1841">
        <v>3</v>
      </c>
      <c r="AU1841">
        <v>-10.633426340119209</v>
      </c>
      <c r="AV1841">
        <v>7.7801701694733114E-101</v>
      </c>
    </row>
    <row r="1842" spans="44:48" x14ac:dyDescent="0.2">
      <c r="AR1842">
        <v>1834</v>
      </c>
      <c r="AS1842">
        <v>16</v>
      </c>
      <c r="AT1842">
        <v>3</v>
      </c>
      <c r="AU1842">
        <v>-10.602485808801863</v>
      </c>
      <c r="AV1842">
        <v>2.8196796734254682E-100</v>
      </c>
    </row>
    <row r="1843" spans="44:48" x14ac:dyDescent="0.2">
      <c r="AR1843">
        <v>1835</v>
      </c>
      <c r="AS1843">
        <v>17</v>
      </c>
      <c r="AT1843">
        <v>3</v>
      </c>
      <c r="AU1843">
        <v>-10.571545277484516</v>
      </c>
      <c r="AV1843">
        <v>1.0182219436585973E-99</v>
      </c>
    </row>
    <row r="1844" spans="44:48" x14ac:dyDescent="0.2">
      <c r="AR1844">
        <v>1836</v>
      </c>
      <c r="AS1844">
        <v>18</v>
      </c>
      <c r="AT1844">
        <v>3</v>
      </c>
      <c r="AU1844">
        <v>-10.540604746167171</v>
      </c>
      <c r="AV1844">
        <v>3.6636766124232273E-99</v>
      </c>
    </row>
    <row r="1845" spans="44:48" x14ac:dyDescent="0.2">
      <c r="AR1845">
        <v>1837</v>
      </c>
      <c r="AS1845">
        <v>19</v>
      </c>
      <c r="AT1845">
        <v>3</v>
      </c>
      <c r="AU1845">
        <v>-10.509664214849824</v>
      </c>
      <c r="AV1845">
        <v>1.3134810551302044E-98</v>
      </c>
    </row>
    <row r="1846" spans="44:48" x14ac:dyDescent="0.2">
      <c r="AR1846">
        <v>1838</v>
      </c>
      <c r="AS1846">
        <v>20</v>
      </c>
      <c r="AT1846">
        <v>3</v>
      </c>
      <c r="AU1846">
        <v>-10.478723683532477</v>
      </c>
      <c r="AV1846">
        <v>4.6920485298598326E-98</v>
      </c>
    </row>
    <row r="1847" spans="44:48" x14ac:dyDescent="0.2">
      <c r="AR1847">
        <v>1839</v>
      </c>
      <c r="AS1847">
        <v>21</v>
      </c>
      <c r="AT1847">
        <v>3</v>
      </c>
      <c r="AU1847">
        <v>-10.447783152215131</v>
      </c>
      <c r="AV1847">
        <v>1.6700642473176901E-97</v>
      </c>
    </row>
    <row r="1848" spans="44:48" x14ac:dyDescent="0.2">
      <c r="AR1848">
        <v>1840</v>
      </c>
      <c r="AS1848">
        <v>22</v>
      </c>
      <c r="AT1848">
        <v>3</v>
      </c>
      <c r="AU1848">
        <v>-10.416842620897786</v>
      </c>
      <c r="AV1848">
        <v>5.9229199536182569E-97</v>
      </c>
    </row>
    <row r="1849" spans="44:48" x14ac:dyDescent="0.2">
      <c r="AR1849">
        <v>1841</v>
      </c>
      <c r="AS1849">
        <v>23</v>
      </c>
      <c r="AT1849">
        <v>3</v>
      </c>
      <c r="AU1849">
        <v>-10.385902089580439</v>
      </c>
      <c r="AV1849">
        <v>2.093006365022992E-96</v>
      </c>
    </row>
    <row r="1850" spans="44:48" x14ac:dyDescent="0.2">
      <c r="AR1850">
        <v>1842</v>
      </c>
      <c r="AS1850">
        <v>24</v>
      </c>
      <c r="AT1850">
        <v>3</v>
      </c>
      <c r="AU1850">
        <v>-10.354961558263092</v>
      </c>
      <c r="AV1850">
        <v>7.3694866420330707E-96</v>
      </c>
    </row>
    <row r="1851" spans="44:48" x14ac:dyDescent="0.2">
      <c r="AR1851">
        <v>1843</v>
      </c>
      <c r="AS1851">
        <v>25</v>
      </c>
      <c r="AT1851">
        <v>3</v>
      </c>
      <c r="AU1851">
        <v>-10.324021026945747</v>
      </c>
      <c r="AV1851">
        <v>2.5854486945126084E-95</v>
      </c>
    </row>
    <row r="1852" spans="44:48" x14ac:dyDescent="0.2">
      <c r="AR1852">
        <v>1844</v>
      </c>
      <c r="AS1852">
        <v>26</v>
      </c>
      <c r="AT1852">
        <v>3</v>
      </c>
      <c r="AU1852">
        <v>-10.2930804956284</v>
      </c>
      <c r="AV1852">
        <v>9.0378808873458173E-95</v>
      </c>
    </row>
    <row r="1853" spans="44:48" x14ac:dyDescent="0.2">
      <c r="AR1853">
        <v>1845</v>
      </c>
      <c r="AS1853">
        <v>27</v>
      </c>
      <c r="AT1853">
        <v>3</v>
      </c>
      <c r="AU1853">
        <v>-10.262139964311054</v>
      </c>
      <c r="AV1853">
        <v>3.1479607139525274E-94</v>
      </c>
    </row>
    <row r="1854" spans="44:48" x14ac:dyDescent="0.2">
      <c r="AR1854">
        <v>1846</v>
      </c>
      <c r="AS1854">
        <v>28</v>
      </c>
      <c r="AT1854">
        <v>3</v>
      </c>
      <c r="AU1854">
        <v>-10.231199432993707</v>
      </c>
      <c r="AV1854">
        <v>1.0925064141647055E-93</v>
      </c>
    </row>
    <row r="1855" spans="44:48" x14ac:dyDescent="0.2">
      <c r="AR1855">
        <v>1847</v>
      </c>
      <c r="AS1855">
        <v>29</v>
      </c>
      <c r="AT1855">
        <v>3</v>
      </c>
      <c r="AU1855">
        <v>-10.200258901676362</v>
      </c>
      <c r="AV1855">
        <v>3.7779020019269401E-93</v>
      </c>
    </row>
    <row r="1856" spans="44:48" x14ac:dyDescent="0.2">
      <c r="AR1856">
        <v>1848</v>
      </c>
      <c r="AS1856">
        <v>30</v>
      </c>
      <c r="AT1856">
        <v>3</v>
      </c>
      <c r="AU1856">
        <v>-10.169318370359015</v>
      </c>
      <c r="AV1856">
        <v>1.3016954361739666E-92</v>
      </c>
    </row>
    <row r="1857" spans="44:48" x14ac:dyDescent="0.2">
      <c r="AR1857">
        <v>1849</v>
      </c>
      <c r="AS1857">
        <v>31</v>
      </c>
      <c r="AT1857">
        <v>3</v>
      </c>
      <c r="AU1857">
        <v>-10.138377839041668</v>
      </c>
      <c r="AV1857">
        <v>4.4688942450020825E-92</v>
      </c>
    </row>
    <row r="1858" spans="44:48" x14ac:dyDescent="0.2">
      <c r="AR1858">
        <v>1850</v>
      </c>
      <c r="AS1858">
        <v>32</v>
      </c>
      <c r="AT1858">
        <v>3</v>
      </c>
      <c r="AU1858">
        <v>-10.107437307724322</v>
      </c>
      <c r="AV1858">
        <v>1.5287017884453798E-91</v>
      </c>
    </row>
    <row r="1859" spans="44:48" x14ac:dyDescent="0.2">
      <c r="AR1859">
        <v>1851</v>
      </c>
      <c r="AS1859">
        <v>33</v>
      </c>
      <c r="AT1859">
        <v>3</v>
      </c>
      <c r="AU1859">
        <v>-10.076496776406977</v>
      </c>
      <c r="AV1859">
        <v>5.2104768558349349E-91</v>
      </c>
    </row>
    <row r="1860" spans="44:48" x14ac:dyDescent="0.2">
      <c r="AR1860">
        <v>1852</v>
      </c>
      <c r="AS1860">
        <v>34</v>
      </c>
      <c r="AT1860">
        <v>3</v>
      </c>
      <c r="AU1860">
        <v>-10.04555624508963</v>
      </c>
      <c r="AV1860">
        <v>1.7695554247316797E-90</v>
      </c>
    </row>
    <row r="1861" spans="44:48" x14ac:dyDescent="0.2">
      <c r="AR1861">
        <v>1853</v>
      </c>
      <c r="AS1861">
        <v>35</v>
      </c>
      <c r="AT1861">
        <v>3</v>
      </c>
      <c r="AU1861">
        <v>-10.014615713772283</v>
      </c>
      <c r="AV1861">
        <v>5.9880148637177865E-90</v>
      </c>
    </row>
    <row r="1862" spans="44:48" x14ac:dyDescent="0.2">
      <c r="AR1862">
        <v>1854</v>
      </c>
      <c r="AS1862">
        <v>36</v>
      </c>
      <c r="AT1862">
        <v>3</v>
      </c>
      <c r="AU1862">
        <v>-9.9836751824549363</v>
      </c>
      <c r="AV1862">
        <v>2.0189872238062232E-89</v>
      </c>
    </row>
    <row r="1863" spans="44:48" x14ac:dyDescent="0.2">
      <c r="AR1863">
        <v>1855</v>
      </c>
      <c r="AS1863">
        <v>37</v>
      </c>
      <c r="AT1863">
        <v>3</v>
      </c>
      <c r="AU1863">
        <v>-9.9527346511375914</v>
      </c>
      <c r="AV1863">
        <v>6.7829134099034451E-89</v>
      </c>
    </row>
    <row r="1864" spans="44:48" x14ac:dyDescent="0.2">
      <c r="AR1864">
        <v>1856</v>
      </c>
      <c r="AS1864">
        <v>38</v>
      </c>
      <c r="AT1864">
        <v>3</v>
      </c>
      <c r="AU1864">
        <v>-9.9217941198202446</v>
      </c>
      <c r="AV1864">
        <v>2.2705495102986558E-88</v>
      </c>
    </row>
    <row r="1865" spans="44:48" x14ac:dyDescent="0.2">
      <c r="AR1865">
        <v>1857</v>
      </c>
      <c r="AS1865">
        <v>39</v>
      </c>
      <c r="AT1865">
        <v>3</v>
      </c>
      <c r="AU1865">
        <v>-9.8908535885028979</v>
      </c>
      <c r="AV1865">
        <v>7.5731695647981975E-88</v>
      </c>
    </row>
    <row r="1866" spans="44:48" x14ac:dyDescent="0.2">
      <c r="AR1866">
        <v>1858</v>
      </c>
      <c r="AS1866">
        <v>40</v>
      </c>
      <c r="AT1866">
        <v>3</v>
      </c>
      <c r="AU1866">
        <v>-9.8599130571855511</v>
      </c>
      <c r="AV1866">
        <v>2.516844514824131E-87</v>
      </c>
    </row>
    <row r="1867" spans="44:48" x14ac:dyDescent="0.2">
      <c r="AR1867">
        <v>1859</v>
      </c>
      <c r="AS1867">
        <v>41</v>
      </c>
      <c r="AT1867">
        <v>3</v>
      </c>
      <c r="AU1867">
        <v>-9.8289725258682061</v>
      </c>
      <c r="AV1867">
        <v>8.3342609346852336E-87</v>
      </c>
    </row>
    <row r="1868" spans="44:48" x14ac:dyDescent="0.2">
      <c r="AR1868">
        <v>1860</v>
      </c>
      <c r="AS1868">
        <v>42</v>
      </c>
      <c r="AT1868">
        <v>3</v>
      </c>
      <c r="AU1868">
        <v>-9.7980319945508594</v>
      </c>
      <c r="AV1868">
        <v>2.7498550477644454E-86</v>
      </c>
    </row>
    <row r="1869" spans="44:48" x14ac:dyDescent="0.2">
      <c r="AR1869">
        <v>1861</v>
      </c>
      <c r="AS1869">
        <v>43</v>
      </c>
      <c r="AT1869">
        <v>3</v>
      </c>
      <c r="AU1869">
        <v>-9.7670914632335126</v>
      </c>
      <c r="AV1869">
        <v>9.0403347255353612E-86</v>
      </c>
    </row>
    <row r="1870" spans="44:48" x14ac:dyDescent="0.2">
      <c r="AR1870">
        <v>1862</v>
      </c>
      <c r="AS1870">
        <v>44</v>
      </c>
      <c r="AT1870">
        <v>3</v>
      </c>
      <c r="AU1870">
        <v>-9.7361509319161677</v>
      </c>
      <c r="AV1870">
        <v>2.9613601047892777E-85</v>
      </c>
    </row>
    <row r="1871" spans="44:48" x14ac:dyDescent="0.2">
      <c r="AR1871">
        <v>1863</v>
      </c>
      <c r="AS1871">
        <v>45</v>
      </c>
      <c r="AT1871">
        <v>3</v>
      </c>
      <c r="AU1871">
        <v>-9.7052104005988209</v>
      </c>
      <c r="AV1871">
        <v>9.6656248050350436E-85</v>
      </c>
    </row>
    <row r="1872" spans="44:48" x14ac:dyDescent="0.2">
      <c r="AR1872">
        <v>1864</v>
      </c>
      <c r="AS1872">
        <v>46</v>
      </c>
      <c r="AT1872">
        <v>3</v>
      </c>
      <c r="AU1872">
        <v>-9.6742698692814741</v>
      </c>
      <c r="AV1872">
        <v>3.1434072153904632E-84</v>
      </c>
    </row>
    <row r="1873" spans="44:48" x14ac:dyDescent="0.2">
      <c r="AR1873">
        <v>1865</v>
      </c>
      <c r="AS1873">
        <v>47</v>
      </c>
      <c r="AT1873">
        <v>3</v>
      </c>
      <c r="AU1873">
        <v>-9.6433293379641274</v>
      </c>
      <c r="AV1873">
        <v>1.018599267858762E-83</v>
      </c>
    </row>
    <row r="1874" spans="44:48" x14ac:dyDescent="0.2">
      <c r="AR1874">
        <v>1866</v>
      </c>
      <c r="AS1874">
        <v>48</v>
      </c>
      <c r="AT1874">
        <v>3</v>
      </c>
      <c r="AU1874">
        <v>-9.6123888066467824</v>
      </c>
      <c r="AV1874">
        <v>3.2888046273435866E-83</v>
      </c>
    </row>
    <row r="1875" spans="44:48" x14ac:dyDescent="0.2">
      <c r="AR1875">
        <v>1867</v>
      </c>
      <c r="AS1875">
        <v>49</v>
      </c>
      <c r="AT1875">
        <v>3</v>
      </c>
      <c r="AU1875">
        <v>-9.5814482753294357</v>
      </c>
      <c r="AV1875">
        <v>1.0580465883189055E-82</v>
      </c>
    </row>
    <row r="1876" spans="44:48" x14ac:dyDescent="0.2">
      <c r="AR1876">
        <v>1868</v>
      </c>
      <c r="AS1876">
        <v>50</v>
      </c>
      <c r="AT1876">
        <v>3</v>
      </c>
      <c r="AU1876">
        <v>-9.5505077440120889</v>
      </c>
      <c r="AV1876">
        <v>3.3915912694102346E-82</v>
      </c>
    </row>
    <row r="1877" spans="44:48" x14ac:dyDescent="0.2">
      <c r="AR1877">
        <v>1869</v>
      </c>
      <c r="AS1877">
        <v>51</v>
      </c>
      <c r="AT1877">
        <v>3</v>
      </c>
      <c r="AU1877">
        <v>-9.5195672126947422</v>
      </c>
      <c r="AV1877">
        <v>1.0832637924429206E-81</v>
      </c>
    </row>
    <row r="1878" spans="44:48" x14ac:dyDescent="0.2">
      <c r="AR1878">
        <v>1870</v>
      </c>
      <c r="AS1878">
        <v>52</v>
      </c>
      <c r="AT1878">
        <v>3</v>
      </c>
      <c r="AU1878">
        <v>-9.4886266813773972</v>
      </c>
      <c r="AV1878">
        <v>3.4474418321010928E-81</v>
      </c>
    </row>
    <row r="1879" spans="44:48" x14ac:dyDescent="0.2">
      <c r="AR1879">
        <v>1871</v>
      </c>
      <c r="AS1879">
        <v>53</v>
      </c>
      <c r="AT1879">
        <v>3</v>
      </c>
      <c r="AU1879">
        <v>-9.4576861500600504</v>
      </c>
      <c r="AV1879">
        <v>1.0931799763740036E-80</v>
      </c>
    </row>
    <row r="1880" spans="44:48" x14ac:dyDescent="0.2">
      <c r="AR1880">
        <v>1872</v>
      </c>
      <c r="AS1880">
        <v>54</v>
      </c>
      <c r="AT1880">
        <v>3</v>
      </c>
      <c r="AU1880">
        <v>-9.4267456187427037</v>
      </c>
      <c r="AV1880">
        <v>3.4539686421476313E-80</v>
      </c>
    </row>
    <row r="1881" spans="44:48" x14ac:dyDescent="0.2">
      <c r="AR1881">
        <v>1873</v>
      </c>
      <c r="AS1881">
        <v>55</v>
      </c>
      <c r="AT1881">
        <v>3</v>
      </c>
      <c r="AU1881">
        <v>-9.3958050874253587</v>
      </c>
      <c r="AV1881">
        <v>1.0873694163631187E-79</v>
      </c>
    </row>
    <row r="1882" spans="44:48" x14ac:dyDescent="0.2">
      <c r="AR1882">
        <v>1874</v>
      </c>
      <c r="AS1882">
        <v>56</v>
      </c>
      <c r="AT1882">
        <v>3</v>
      </c>
      <c r="AU1882">
        <v>-9.3648645561080119</v>
      </c>
      <c r="AV1882">
        <v>3.4108909779612618E-79</v>
      </c>
    </row>
    <row r="1883" spans="44:48" x14ac:dyDescent="0.2">
      <c r="AR1883">
        <v>1875</v>
      </c>
      <c r="AS1883">
        <v>57</v>
      </c>
      <c r="AT1883">
        <v>3</v>
      </c>
      <c r="AU1883">
        <v>-9.3339240247906652</v>
      </c>
      <c r="AV1883">
        <v>1.0660818855191144E-78</v>
      </c>
    </row>
    <row r="1884" spans="44:48" x14ac:dyDescent="0.2">
      <c r="AR1884">
        <v>1876</v>
      </c>
      <c r="AS1884">
        <v>58</v>
      </c>
      <c r="AT1884">
        <v>3</v>
      </c>
      <c r="AU1884">
        <v>-9.3029834934733184</v>
      </c>
      <c r="AV1884">
        <v>3.3200550967748686E-78</v>
      </c>
    </row>
    <row r="1885" spans="44:48" x14ac:dyDescent="0.2">
      <c r="AR1885">
        <v>1877</v>
      </c>
      <c r="AS1885">
        <v>59</v>
      </c>
      <c r="AT1885">
        <v>3</v>
      </c>
      <c r="AU1885">
        <v>-9.2720429621559735</v>
      </c>
      <c r="AV1885">
        <v>1.0302248446759421E-77</v>
      </c>
    </row>
    <row r="1886" spans="44:48" x14ac:dyDescent="0.2">
      <c r="AR1886">
        <v>1878</v>
      </c>
      <c r="AS1886">
        <v>60</v>
      </c>
      <c r="AT1886">
        <v>3</v>
      </c>
      <c r="AU1886">
        <v>-9.2411024308386267</v>
      </c>
      <c r="AV1886">
        <v>3.1853029827196188E-77</v>
      </c>
    </row>
    <row r="1887" spans="44:48" x14ac:dyDescent="0.2">
      <c r="AR1887">
        <v>1879</v>
      </c>
      <c r="AS1887">
        <v>61</v>
      </c>
      <c r="AT1887">
        <v>3</v>
      </c>
      <c r="AU1887">
        <v>-9.2101618995212799</v>
      </c>
      <c r="AV1887">
        <v>9.8129927664660541E-77</v>
      </c>
    </row>
    <row r="1888" spans="44:48" x14ac:dyDescent="0.2">
      <c r="AR1888">
        <v>1880</v>
      </c>
      <c r="AS1888">
        <v>62</v>
      </c>
      <c r="AT1888">
        <v>3</v>
      </c>
      <c r="AU1888">
        <v>-9.1792213682039332</v>
      </c>
      <c r="AV1888">
        <v>3.0122028168685722E-76</v>
      </c>
    </row>
    <row r="1889" spans="44:48" x14ac:dyDescent="0.2">
      <c r="AR1889">
        <v>1881</v>
      </c>
      <c r="AS1889">
        <v>63</v>
      </c>
      <c r="AT1889">
        <v>3</v>
      </c>
      <c r="AU1889">
        <v>-9.1482808368865882</v>
      </c>
      <c r="AV1889">
        <v>9.2129548560427093E-76</v>
      </c>
    </row>
    <row r="1890" spans="44:48" x14ac:dyDescent="0.2">
      <c r="AR1890">
        <v>1882</v>
      </c>
      <c r="AS1890">
        <v>64</v>
      </c>
      <c r="AT1890">
        <v>3</v>
      </c>
      <c r="AU1890">
        <v>-9.1173403055692415</v>
      </c>
      <c r="AV1890">
        <v>2.8076675141564772E-75</v>
      </c>
    </row>
    <row r="1891" spans="44:48" x14ac:dyDescent="0.2">
      <c r="AR1891">
        <v>1883</v>
      </c>
      <c r="AS1891">
        <v>65</v>
      </c>
      <c r="AT1891">
        <v>3</v>
      </c>
      <c r="AU1891">
        <v>-9.0863997742518947</v>
      </c>
      <c r="AV1891">
        <v>8.5255893881224977E-75</v>
      </c>
    </row>
    <row r="1892" spans="44:48" x14ac:dyDescent="0.2">
      <c r="AR1892">
        <v>1884</v>
      </c>
      <c r="AS1892">
        <v>66</v>
      </c>
      <c r="AT1892">
        <v>3</v>
      </c>
      <c r="AU1892">
        <v>-9.0554592429345497</v>
      </c>
      <c r="AV1892">
        <v>2.5794977210252634E-74</v>
      </c>
    </row>
    <row r="1893" spans="44:48" x14ac:dyDescent="0.2">
      <c r="AR1893">
        <v>1885</v>
      </c>
      <c r="AS1893">
        <v>67</v>
      </c>
      <c r="AT1893">
        <v>3</v>
      </c>
      <c r="AU1893">
        <v>-9.024518711617203</v>
      </c>
      <c r="AV1893">
        <v>7.7763873657747568E-74</v>
      </c>
    </row>
    <row r="1894" spans="44:48" x14ac:dyDescent="0.2">
      <c r="AR1894">
        <v>1886</v>
      </c>
      <c r="AS1894">
        <v>68</v>
      </c>
      <c r="AT1894">
        <v>3</v>
      </c>
      <c r="AU1894">
        <v>-8.9935781802998562</v>
      </c>
      <c r="AV1894">
        <v>2.3358912758965909E-73</v>
      </c>
    </row>
    <row r="1895" spans="44:48" x14ac:dyDescent="0.2">
      <c r="AR1895">
        <v>1887</v>
      </c>
      <c r="AS1895">
        <v>69</v>
      </c>
      <c r="AT1895">
        <v>3</v>
      </c>
      <c r="AU1895">
        <v>-8.9626376489825095</v>
      </c>
      <c r="AV1895">
        <v>6.9913229590273467E-73</v>
      </c>
    </row>
    <row r="1896" spans="44:48" x14ac:dyDescent="0.2">
      <c r="AR1896">
        <v>1888</v>
      </c>
      <c r="AS1896">
        <v>70</v>
      </c>
      <c r="AT1896">
        <v>3</v>
      </c>
      <c r="AU1896">
        <v>-8.9316971176651627</v>
      </c>
      <c r="AV1896">
        <v>2.0849618150994228E-72</v>
      </c>
    </row>
    <row r="1897" spans="44:48" x14ac:dyDescent="0.2">
      <c r="AR1897">
        <v>1889</v>
      </c>
      <c r="AS1897">
        <v>71</v>
      </c>
      <c r="AT1897">
        <v>3</v>
      </c>
      <c r="AU1897">
        <v>-8.9007565863478177</v>
      </c>
      <c r="AV1897">
        <v>6.1953928144643241E-72</v>
      </c>
    </row>
    <row r="1898" spans="44:48" x14ac:dyDescent="0.2">
      <c r="AR1898">
        <v>1890</v>
      </c>
      <c r="AS1898">
        <v>72</v>
      </c>
      <c r="AT1898">
        <v>3</v>
      </c>
      <c r="AU1898">
        <v>-8.869816055030471</v>
      </c>
      <c r="AV1898">
        <v>1.8343051740622444E-71</v>
      </c>
    </row>
    <row r="1899" spans="44:48" x14ac:dyDescent="0.2">
      <c r="AR1899">
        <v>1891</v>
      </c>
      <c r="AS1899">
        <v>73</v>
      </c>
      <c r="AT1899">
        <v>3</v>
      </c>
      <c r="AU1899">
        <v>-8.8388755237131242</v>
      </c>
      <c r="AV1899">
        <v>5.411358860560027E-71</v>
      </c>
    </row>
    <row r="1900" spans="44:48" x14ac:dyDescent="0.2">
      <c r="AR1900">
        <v>1892</v>
      </c>
      <c r="AS1900">
        <v>74</v>
      </c>
      <c r="AT1900">
        <v>3</v>
      </c>
      <c r="AU1900">
        <v>-8.8079349923957793</v>
      </c>
      <c r="AV1900">
        <v>1.5906443286214837E-70</v>
      </c>
    </row>
    <row r="1901" spans="44:48" x14ac:dyDescent="0.2">
      <c r="AR1901">
        <v>1893</v>
      </c>
      <c r="AS1901">
        <v>75</v>
      </c>
      <c r="AT1901">
        <v>3</v>
      </c>
      <c r="AU1901">
        <v>-8.7769944610784325</v>
      </c>
      <c r="AV1901">
        <v>4.6587759865141098E-70</v>
      </c>
    </row>
    <row r="1902" spans="44:48" x14ac:dyDescent="0.2">
      <c r="AR1902">
        <v>1894</v>
      </c>
      <c r="AS1902">
        <v>76</v>
      </c>
      <c r="AT1902">
        <v>3</v>
      </c>
      <c r="AU1902">
        <v>-8.7460539297610858</v>
      </c>
      <c r="AV1902">
        <v>1.3595731410554596E-69</v>
      </c>
    </row>
    <row r="1903" spans="44:48" x14ac:dyDescent="0.2">
      <c r="AR1903">
        <v>1895</v>
      </c>
      <c r="AS1903">
        <v>77</v>
      </c>
      <c r="AT1903">
        <v>3</v>
      </c>
      <c r="AU1903">
        <v>-8.7151133984437408</v>
      </c>
      <c r="AV1903">
        <v>3.9533505493407267E-69</v>
      </c>
    </row>
    <row r="1904" spans="44:48" x14ac:dyDescent="0.2">
      <c r="AR1904">
        <v>1896</v>
      </c>
      <c r="AS1904">
        <v>78</v>
      </c>
      <c r="AT1904">
        <v>3</v>
      </c>
      <c r="AU1904">
        <v>-8.684172867126394</v>
      </c>
      <c r="AV1904">
        <v>1.1454076411034291E-68</v>
      </c>
    </row>
    <row r="1905" spans="44:48" x14ac:dyDescent="0.2">
      <c r="AR1905">
        <v>1897</v>
      </c>
      <c r="AS1905">
        <v>79</v>
      </c>
      <c r="AT1905">
        <v>3</v>
      </c>
      <c r="AU1905">
        <v>-8.6532323358090473</v>
      </c>
      <c r="AV1905">
        <v>3.3066393342134144E-68</v>
      </c>
    </row>
    <row r="1906" spans="44:48" x14ac:dyDescent="0.2">
      <c r="AR1906">
        <v>1898</v>
      </c>
      <c r="AS1906">
        <v>80</v>
      </c>
      <c r="AT1906">
        <v>3</v>
      </c>
      <c r="AU1906">
        <v>-8.6222918044917005</v>
      </c>
      <c r="AV1906">
        <v>9.5114248389189186E-68</v>
      </c>
    </row>
    <row r="1907" spans="44:48" x14ac:dyDescent="0.2">
      <c r="AR1907">
        <v>1899</v>
      </c>
      <c r="AS1907">
        <v>81</v>
      </c>
      <c r="AT1907">
        <v>3</v>
      </c>
      <c r="AU1907">
        <v>-8.5913512731743538</v>
      </c>
      <c r="AV1907">
        <v>2.7260657999402907E-67</v>
      </c>
    </row>
    <row r="1908" spans="44:48" x14ac:dyDescent="0.2">
      <c r="AR1908">
        <v>1900</v>
      </c>
      <c r="AS1908">
        <v>82</v>
      </c>
      <c r="AT1908">
        <v>3</v>
      </c>
      <c r="AU1908">
        <v>-8.5604107418570088</v>
      </c>
      <c r="AV1908">
        <v>7.7850084709157253E-67</v>
      </c>
    </row>
    <row r="1909" spans="44:48" x14ac:dyDescent="0.2">
      <c r="AR1909">
        <v>1901</v>
      </c>
      <c r="AS1909">
        <v>83</v>
      </c>
      <c r="AT1909">
        <v>3</v>
      </c>
      <c r="AU1909">
        <v>-8.529470210539662</v>
      </c>
      <c r="AV1909">
        <v>2.2152046060855445E-66</v>
      </c>
    </row>
    <row r="1910" spans="44:48" x14ac:dyDescent="0.2">
      <c r="AR1910">
        <v>1902</v>
      </c>
      <c r="AS1910">
        <v>84</v>
      </c>
      <c r="AT1910">
        <v>3</v>
      </c>
      <c r="AU1910">
        <v>-8.4985296792223153</v>
      </c>
      <c r="AV1910">
        <v>6.2805923121045047E-66</v>
      </c>
    </row>
    <row r="1911" spans="44:48" x14ac:dyDescent="0.2">
      <c r="AR1911">
        <v>1903</v>
      </c>
      <c r="AS1911">
        <v>85</v>
      </c>
      <c r="AT1911">
        <v>3</v>
      </c>
      <c r="AU1911">
        <v>-8.4675891479049703</v>
      </c>
      <c r="AV1911">
        <v>1.7742685803570002E-65</v>
      </c>
    </row>
    <row r="1912" spans="44:48" x14ac:dyDescent="0.2">
      <c r="AR1912">
        <v>1904</v>
      </c>
      <c r="AS1912">
        <v>86</v>
      </c>
      <c r="AT1912">
        <v>3</v>
      </c>
      <c r="AU1912">
        <v>-8.4366486165876236</v>
      </c>
      <c r="AV1912">
        <v>4.9942481998360121E-65</v>
      </c>
    </row>
    <row r="1913" spans="44:48" x14ac:dyDescent="0.2">
      <c r="AR1913">
        <v>1905</v>
      </c>
      <c r="AS1913">
        <v>87</v>
      </c>
      <c r="AT1913">
        <v>3</v>
      </c>
      <c r="AU1913">
        <v>-8.4057080852702768</v>
      </c>
      <c r="AV1913">
        <v>1.4007250089991455E-64</v>
      </c>
    </row>
    <row r="1914" spans="44:48" x14ac:dyDescent="0.2">
      <c r="AR1914">
        <v>1906</v>
      </c>
      <c r="AS1914">
        <v>88</v>
      </c>
      <c r="AT1914">
        <v>3</v>
      </c>
      <c r="AU1914">
        <v>-8.3747675539529318</v>
      </c>
      <c r="AV1914">
        <v>3.9144220120955479E-64</v>
      </c>
    </row>
    <row r="1915" spans="44:48" x14ac:dyDescent="0.2">
      <c r="AR1915">
        <v>1907</v>
      </c>
      <c r="AS1915">
        <v>89</v>
      </c>
      <c r="AT1915">
        <v>3</v>
      </c>
      <c r="AU1915">
        <v>-8.3438270226355851</v>
      </c>
      <c r="AV1915">
        <v>1.0899696576365807E-63</v>
      </c>
    </row>
    <row r="1916" spans="44:48" x14ac:dyDescent="0.2">
      <c r="AR1916">
        <v>1908</v>
      </c>
      <c r="AS1916">
        <v>90</v>
      </c>
      <c r="AT1916">
        <v>3</v>
      </c>
      <c r="AU1916">
        <v>-8.3128864913182383</v>
      </c>
      <c r="AV1916">
        <v>3.024079282045792E-63</v>
      </c>
    </row>
    <row r="1917" spans="44:48" x14ac:dyDescent="0.2">
      <c r="AR1917">
        <v>1909</v>
      </c>
      <c r="AS1917">
        <v>91</v>
      </c>
      <c r="AT1917">
        <v>3</v>
      </c>
      <c r="AU1917">
        <v>-8.2819459600008916</v>
      </c>
      <c r="AV1917">
        <v>8.3599549775530124E-63</v>
      </c>
    </row>
    <row r="1918" spans="44:48" x14ac:dyDescent="0.2">
      <c r="AR1918">
        <v>1910</v>
      </c>
      <c r="AS1918">
        <v>92</v>
      </c>
      <c r="AT1918">
        <v>3</v>
      </c>
      <c r="AU1918">
        <v>-8.2510054286835448</v>
      </c>
      <c r="AV1918">
        <v>2.3027495465067531E-62</v>
      </c>
    </row>
    <row r="1919" spans="44:48" x14ac:dyDescent="0.2">
      <c r="AR1919">
        <v>1911</v>
      </c>
      <c r="AS1919">
        <v>93</v>
      </c>
      <c r="AT1919">
        <v>3</v>
      </c>
      <c r="AU1919">
        <v>-8.2200648973661998</v>
      </c>
      <c r="AV1919">
        <v>6.3200639612319229E-62</v>
      </c>
    </row>
    <row r="1920" spans="44:48" x14ac:dyDescent="0.2">
      <c r="AR1920">
        <v>1912</v>
      </c>
      <c r="AS1920">
        <v>94</v>
      </c>
      <c r="AT1920">
        <v>3</v>
      </c>
      <c r="AU1920">
        <v>-8.1891243660488531</v>
      </c>
      <c r="AV1920">
        <v>1.7283362653418599E-61</v>
      </c>
    </row>
    <row r="1921" spans="44:48" x14ac:dyDescent="0.2">
      <c r="AR1921">
        <v>1913</v>
      </c>
      <c r="AS1921">
        <v>95</v>
      </c>
      <c r="AT1921">
        <v>3</v>
      </c>
      <c r="AU1921">
        <v>-8.1581838347315063</v>
      </c>
      <c r="AV1921">
        <v>4.7094155468836893E-61</v>
      </c>
    </row>
    <row r="1922" spans="44:48" x14ac:dyDescent="0.2">
      <c r="AR1922">
        <v>1914</v>
      </c>
      <c r="AS1922">
        <v>96</v>
      </c>
      <c r="AT1922">
        <v>3</v>
      </c>
      <c r="AU1922">
        <v>-8.1272433034141613</v>
      </c>
      <c r="AV1922">
        <v>1.2786090815769618E-60</v>
      </c>
    </row>
    <row r="1923" spans="44:48" x14ac:dyDescent="0.2">
      <c r="AR1923">
        <v>1915</v>
      </c>
      <c r="AS1923">
        <v>97</v>
      </c>
      <c r="AT1923">
        <v>3</v>
      </c>
      <c r="AU1923">
        <v>-8.0963027720968146</v>
      </c>
      <c r="AV1923">
        <v>3.4589203188913352E-60</v>
      </c>
    </row>
    <row r="1924" spans="44:48" x14ac:dyDescent="0.2">
      <c r="AR1924">
        <v>1916</v>
      </c>
      <c r="AS1924">
        <v>98</v>
      </c>
      <c r="AT1924">
        <v>3</v>
      </c>
      <c r="AU1924">
        <v>-8.0653622407794678</v>
      </c>
      <c r="AV1924">
        <v>9.3234217775051494E-60</v>
      </c>
    </row>
    <row r="1925" spans="44:48" x14ac:dyDescent="0.2">
      <c r="AR1925">
        <v>1917</v>
      </c>
      <c r="AS1925">
        <v>99</v>
      </c>
      <c r="AT1925">
        <v>3</v>
      </c>
      <c r="AU1925">
        <v>-8.0344217094621229</v>
      </c>
      <c r="AV1925">
        <v>2.5040448693083858E-59</v>
      </c>
    </row>
    <row r="1926" spans="44:48" x14ac:dyDescent="0.2">
      <c r="AR1926">
        <v>1918</v>
      </c>
      <c r="AS1926">
        <v>100</v>
      </c>
      <c r="AT1926">
        <v>3</v>
      </c>
      <c r="AU1926">
        <v>-8.0034811781447761</v>
      </c>
      <c r="AV1926">
        <v>6.7010195181630528E-59</v>
      </c>
    </row>
    <row r="1927" spans="44:48" x14ac:dyDescent="0.2">
      <c r="AR1927">
        <v>1919</v>
      </c>
      <c r="AS1927">
        <v>101</v>
      </c>
      <c r="AT1927">
        <v>3</v>
      </c>
      <c r="AU1927">
        <v>-7.9725406468274294</v>
      </c>
      <c r="AV1927">
        <v>1.7867823770278942E-58</v>
      </c>
    </row>
    <row r="1928" spans="44:48" x14ac:dyDescent="0.2">
      <c r="AR1928">
        <v>1920</v>
      </c>
      <c r="AS1928">
        <v>102</v>
      </c>
      <c r="AT1928">
        <v>3</v>
      </c>
      <c r="AU1928">
        <v>-7.9416001155100826</v>
      </c>
      <c r="AV1928">
        <v>4.7471662245993643E-58</v>
      </c>
    </row>
    <row r="1929" spans="44:48" x14ac:dyDescent="0.2">
      <c r="AR1929">
        <v>1921</v>
      </c>
      <c r="AS1929">
        <v>103</v>
      </c>
      <c r="AT1929">
        <v>3</v>
      </c>
      <c r="AU1929">
        <v>-7.9106595841927367</v>
      </c>
      <c r="AV1929">
        <v>1.2566930662002624E-57</v>
      </c>
    </row>
    <row r="1930" spans="44:48" x14ac:dyDescent="0.2">
      <c r="AR1930">
        <v>1922</v>
      </c>
      <c r="AS1930">
        <v>104</v>
      </c>
      <c r="AT1930">
        <v>3</v>
      </c>
      <c r="AU1930">
        <v>-7.8797190528753909</v>
      </c>
      <c r="AV1930">
        <v>3.3147898463662011E-57</v>
      </c>
    </row>
    <row r="1931" spans="44:48" x14ac:dyDescent="0.2">
      <c r="AR1931">
        <v>1923</v>
      </c>
      <c r="AS1931">
        <v>105</v>
      </c>
      <c r="AT1931">
        <v>3</v>
      </c>
      <c r="AU1931">
        <v>-7.8487785215580441</v>
      </c>
      <c r="AV1931">
        <v>8.7119381208696113E-57</v>
      </c>
    </row>
    <row r="1932" spans="44:48" x14ac:dyDescent="0.2">
      <c r="AR1932">
        <v>1924</v>
      </c>
      <c r="AS1932">
        <v>106</v>
      </c>
      <c r="AT1932">
        <v>3</v>
      </c>
      <c r="AU1932">
        <v>-7.8178379902406974</v>
      </c>
      <c r="AV1932">
        <v>2.2814216860118924E-56</v>
      </c>
    </row>
    <row r="1933" spans="44:48" x14ac:dyDescent="0.2">
      <c r="AR1933">
        <v>1925</v>
      </c>
      <c r="AS1933">
        <v>107</v>
      </c>
      <c r="AT1933">
        <v>3</v>
      </c>
      <c r="AU1933">
        <v>-7.7868974589233515</v>
      </c>
      <c r="AV1933">
        <v>5.952896749225243E-56</v>
      </c>
    </row>
    <row r="1934" spans="44:48" x14ac:dyDescent="0.2">
      <c r="AR1934">
        <v>1926</v>
      </c>
      <c r="AS1934">
        <v>108</v>
      </c>
      <c r="AT1934">
        <v>3</v>
      </c>
      <c r="AU1934">
        <v>-7.7559569276060056</v>
      </c>
      <c r="AV1934">
        <v>1.5476870034019303E-55</v>
      </c>
    </row>
    <row r="1935" spans="44:48" x14ac:dyDescent="0.2">
      <c r="AR1935">
        <v>1927</v>
      </c>
      <c r="AS1935">
        <v>109</v>
      </c>
      <c r="AT1935">
        <v>3</v>
      </c>
      <c r="AU1935">
        <v>-7.7250163962886589</v>
      </c>
      <c r="AV1935">
        <v>4.0093126340050309E-55</v>
      </c>
    </row>
    <row r="1936" spans="44:48" x14ac:dyDescent="0.2">
      <c r="AR1936">
        <v>1928</v>
      </c>
      <c r="AS1936">
        <v>110</v>
      </c>
      <c r="AT1936">
        <v>3</v>
      </c>
      <c r="AU1936">
        <v>-7.694075864971313</v>
      </c>
      <c r="AV1936">
        <v>1.0348769420389884E-54</v>
      </c>
    </row>
    <row r="1937" spans="44:48" x14ac:dyDescent="0.2">
      <c r="AR1937">
        <v>1929</v>
      </c>
      <c r="AS1937">
        <v>111</v>
      </c>
      <c r="AT1937">
        <v>3</v>
      </c>
      <c r="AU1937">
        <v>-7.6631353336539672</v>
      </c>
      <c r="AV1937">
        <v>2.6615798491844735E-54</v>
      </c>
    </row>
    <row r="1938" spans="44:48" x14ac:dyDescent="0.2">
      <c r="AR1938">
        <v>1930</v>
      </c>
      <c r="AS1938">
        <v>112</v>
      </c>
      <c r="AT1938">
        <v>3</v>
      </c>
      <c r="AU1938">
        <v>-7.6321948023366204</v>
      </c>
      <c r="AV1938">
        <v>6.8205954383486623E-54</v>
      </c>
    </row>
    <row r="1939" spans="44:48" x14ac:dyDescent="0.2">
      <c r="AR1939">
        <v>1931</v>
      </c>
      <c r="AS1939">
        <v>113</v>
      </c>
      <c r="AT1939">
        <v>3</v>
      </c>
      <c r="AU1939">
        <v>-7.6012542710192736</v>
      </c>
      <c r="AV1939">
        <v>1.7415545483810685E-53</v>
      </c>
    </row>
    <row r="1940" spans="44:48" x14ac:dyDescent="0.2">
      <c r="AR1940">
        <v>1932</v>
      </c>
      <c r="AS1940">
        <v>114</v>
      </c>
      <c r="AT1940">
        <v>3</v>
      </c>
      <c r="AU1940">
        <v>-7.5703137397019278</v>
      </c>
      <c r="AV1940">
        <v>4.4308176250764073E-53</v>
      </c>
    </row>
    <row r="1941" spans="44:48" x14ac:dyDescent="0.2">
      <c r="AR1941">
        <v>1933</v>
      </c>
      <c r="AS1941">
        <v>115</v>
      </c>
      <c r="AT1941">
        <v>3</v>
      </c>
      <c r="AU1941">
        <v>-7.5393732083845819</v>
      </c>
      <c r="AV1941">
        <v>1.1232144152831884E-52</v>
      </c>
    </row>
    <row r="1942" spans="44:48" x14ac:dyDescent="0.2">
      <c r="AR1942">
        <v>1934</v>
      </c>
      <c r="AS1942">
        <v>116</v>
      </c>
      <c r="AT1942">
        <v>3</v>
      </c>
      <c r="AU1942">
        <v>-7.5084326770672352</v>
      </c>
      <c r="AV1942">
        <v>2.8370922908020588E-52</v>
      </c>
    </row>
    <row r="1943" spans="44:48" x14ac:dyDescent="0.2">
      <c r="AR1943">
        <v>1935</v>
      </c>
      <c r="AS1943">
        <v>117</v>
      </c>
      <c r="AT1943">
        <v>3</v>
      </c>
      <c r="AU1943">
        <v>-7.4774921457498884</v>
      </c>
      <c r="AV1943">
        <v>7.1402967263552053E-52</v>
      </c>
    </row>
    <row r="1944" spans="44:48" x14ac:dyDescent="0.2">
      <c r="AR1944">
        <v>1936</v>
      </c>
      <c r="AS1944">
        <v>118</v>
      </c>
      <c r="AT1944">
        <v>3</v>
      </c>
      <c r="AU1944">
        <v>-7.4465516144325425</v>
      </c>
      <c r="AV1944">
        <v>1.7905689839421796E-51</v>
      </c>
    </row>
    <row r="1945" spans="44:48" x14ac:dyDescent="0.2">
      <c r="AR1945">
        <v>1937</v>
      </c>
      <c r="AS1945">
        <v>119</v>
      </c>
      <c r="AT1945">
        <v>3</v>
      </c>
      <c r="AU1945">
        <v>-7.4156110831151967</v>
      </c>
      <c r="AV1945">
        <v>4.4740193292526419E-51</v>
      </c>
    </row>
    <row r="1946" spans="44:48" x14ac:dyDescent="0.2">
      <c r="AR1946">
        <v>1938</v>
      </c>
      <c r="AS1946">
        <v>120</v>
      </c>
      <c r="AT1946">
        <v>3</v>
      </c>
      <c r="AU1946">
        <v>-7.3846705517978499</v>
      </c>
      <c r="AV1946">
        <v>1.1138755109236945E-50</v>
      </c>
    </row>
    <row r="1947" spans="44:48" x14ac:dyDescent="0.2">
      <c r="AR1947">
        <v>1939</v>
      </c>
      <c r="AS1947">
        <v>121</v>
      </c>
      <c r="AT1947">
        <v>3</v>
      </c>
      <c r="AU1947">
        <v>-7.3537300204805032</v>
      </c>
      <c r="AV1947">
        <v>2.7631690571353121E-50</v>
      </c>
    </row>
    <row r="1948" spans="44:48" x14ac:dyDescent="0.2">
      <c r="AR1948">
        <v>1940</v>
      </c>
      <c r="AS1948">
        <v>122</v>
      </c>
      <c r="AT1948">
        <v>3</v>
      </c>
      <c r="AU1948">
        <v>-7.3227894891631573</v>
      </c>
      <c r="AV1948">
        <v>6.8298357428981811E-50</v>
      </c>
    </row>
    <row r="1949" spans="44:48" x14ac:dyDescent="0.2">
      <c r="AR1949">
        <v>1941</v>
      </c>
      <c r="AS1949">
        <v>123</v>
      </c>
      <c r="AT1949">
        <v>3</v>
      </c>
      <c r="AU1949">
        <v>-7.2918489578458114</v>
      </c>
      <c r="AV1949">
        <v>1.6820738623865436E-49</v>
      </c>
    </row>
    <row r="1950" spans="44:48" x14ac:dyDescent="0.2">
      <c r="AR1950">
        <v>1942</v>
      </c>
      <c r="AS1950">
        <v>124</v>
      </c>
      <c r="AT1950">
        <v>3</v>
      </c>
      <c r="AU1950">
        <v>-7.2609084265284647</v>
      </c>
      <c r="AV1950">
        <v>4.1277355613165093E-49</v>
      </c>
    </row>
    <row r="1951" spans="44:48" x14ac:dyDescent="0.2">
      <c r="AR1951">
        <v>1943</v>
      </c>
      <c r="AS1951">
        <v>125</v>
      </c>
      <c r="AT1951">
        <v>3</v>
      </c>
      <c r="AU1951">
        <v>-7.2299678952111188</v>
      </c>
      <c r="AV1951">
        <v>1.0092776884065007E-48</v>
      </c>
    </row>
    <row r="1952" spans="44:48" x14ac:dyDescent="0.2">
      <c r="AR1952">
        <v>1944</v>
      </c>
      <c r="AS1952">
        <v>126</v>
      </c>
      <c r="AT1952">
        <v>3</v>
      </c>
      <c r="AU1952">
        <v>-7.199027363893773</v>
      </c>
      <c r="AV1952">
        <v>2.4589034681814454E-48</v>
      </c>
    </row>
    <row r="1953" spans="44:48" x14ac:dyDescent="0.2">
      <c r="AR1953">
        <v>1945</v>
      </c>
      <c r="AS1953">
        <v>127</v>
      </c>
      <c r="AT1953">
        <v>3</v>
      </c>
      <c r="AU1953">
        <v>-7.1680868325764262</v>
      </c>
      <c r="AV1953">
        <v>5.9690372284279862E-48</v>
      </c>
    </row>
    <row r="1954" spans="44:48" x14ac:dyDescent="0.2">
      <c r="AR1954">
        <v>1946</v>
      </c>
      <c r="AS1954">
        <v>128</v>
      </c>
      <c r="AT1954">
        <v>3</v>
      </c>
      <c r="AU1954">
        <v>-7.1371463012590795</v>
      </c>
      <c r="AV1954">
        <v>1.443773601650614E-47</v>
      </c>
    </row>
    <row r="1955" spans="44:48" x14ac:dyDescent="0.2">
      <c r="AR1955">
        <v>1947</v>
      </c>
      <c r="AS1955">
        <v>129</v>
      </c>
      <c r="AT1955">
        <v>3</v>
      </c>
      <c r="AU1955">
        <v>-7.1062057699417336</v>
      </c>
      <c r="AV1955">
        <v>3.4795726390788419E-47</v>
      </c>
    </row>
    <row r="1956" spans="44:48" x14ac:dyDescent="0.2">
      <c r="AR1956">
        <v>1948</v>
      </c>
      <c r="AS1956">
        <v>130</v>
      </c>
      <c r="AT1956">
        <v>3</v>
      </c>
      <c r="AU1956">
        <v>-7.0752652386243877</v>
      </c>
      <c r="AV1956">
        <v>8.3557361696117891E-47</v>
      </c>
    </row>
    <row r="1957" spans="44:48" x14ac:dyDescent="0.2">
      <c r="AR1957">
        <v>1949</v>
      </c>
      <c r="AS1957">
        <v>131</v>
      </c>
      <c r="AT1957">
        <v>3</v>
      </c>
      <c r="AU1957">
        <v>-7.044324707307041</v>
      </c>
      <c r="AV1957">
        <v>1.9992887928943999E-46</v>
      </c>
    </row>
    <row r="1958" spans="44:48" x14ac:dyDescent="0.2">
      <c r="AR1958">
        <v>1950</v>
      </c>
      <c r="AS1958">
        <v>132</v>
      </c>
      <c r="AT1958">
        <v>3</v>
      </c>
      <c r="AU1958">
        <v>-7.0133841759896951</v>
      </c>
      <c r="AV1958">
        <v>4.7664862602271251E-46</v>
      </c>
    </row>
    <row r="1959" spans="44:48" x14ac:dyDescent="0.2">
      <c r="AR1959">
        <v>1951</v>
      </c>
      <c r="AS1959">
        <v>133</v>
      </c>
      <c r="AT1959">
        <v>3</v>
      </c>
      <c r="AU1959">
        <v>-6.9824436446723483</v>
      </c>
      <c r="AV1959">
        <v>1.1322782384658742E-45</v>
      </c>
    </row>
    <row r="1960" spans="44:48" x14ac:dyDescent="0.2">
      <c r="AR1960">
        <v>1952</v>
      </c>
      <c r="AS1960">
        <v>134</v>
      </c>
      <c r="AT1960">
        <v>3</v>
      </c>
      <c r="AU1960">
        <v>-6.9515031133550025</v>
      </c>
      <c r="AV1960">
        <v>2.6800319831221933E-45</v>
      </c>
    </row>
    <row r="1961" spans="44:48" x14ac:dyDescent="0.2">
      <c r="AR1961">
        <v>1953</v>
      </c>
      <c r="AS1961">
        <v>135</v>
      </c>
      <c r="AT1961">
        <v>3</v>
      </c>
      <c r="AU1961">
        <v>-6.9205625820376557</v>
      </c>
      <c r="AV1961">
        <v>6.3206070951882761E-45</v>
      </c>
    </row>
    <row r="1962" spans="44:48" x14ac:dyDescent="0.2">
      <c r="AR1962">
        <v>1954</v>
      </c>
      <c r="AS1962">
        <v>136</v>
      </c>
      <c r="AT1962">
        <v>3</v>
      </c>
      <c r="AU1962">
        <v>-6.8896220507203099</v>
      </c>
      <c r="AV1962">
        <v>1.4852843771079541E-44</v>
      </c>
    </row>
    <row r="1963" spans="44:48" x14ac:dyDescent="0.2">
      <c r="AR1963">
        <v>1955</v>
      </c>
      <c r="AS1963">
        <v>137</v>
      </c>
      <c r="AT1963">
        <v>3</v>
      </c>
      <c r="AU1963">
        <v>-6.8586815194029631</v>
      </c>
      <c r="AV1963">
        <v>3.4777025419806003E-44</v>
      </c>
    </row>
    <row r="1964" spans="44:48" x14ac:dyDescent="0.2">
      <c r="AR1964">
        <v>1956</v>
      </c>
      <c r="AS1964">
        <v>138</v>
      </c>
      <c r="AT1964">
        <v>3</v>
      </c>
      <c r="AU1964">
        <v>-6.8277409880856172</v>
      </c>
      <c r="AV1964">
        <v>8.1134815660428212E-44</v>
      </c>
    </row>
    <row r="1965" spans="44:48" x14ac:dyDescent="0.2">
      <c r="AR1965">
        <v>1957</v>
      </c>
      <c r="AS1965">
        <v>139</v>
      </c>
      <c r="AT1965">
        <v>3</v>
      </c>
      <c r="AU1965">
        <v>-6.7968004567682705</v>
      </c>
      <c r="AV1965">
        <v>1.8860537958357762E-43</v>
      </c>
    </row>
    <row r="1966" spans="44:48" x14ac:dyDescent="0.2">
      <c r="AR1966">
        <v>1958</v>
      </c>
      <c r="AS1966">
        <v>140</v>
      </c>
      <c r="AT1966">
        <v>3</v>
      </c>
      <c r="AU1966">
        <v>-6.7658599254509246</v>
      </c>
      <c r="AV1966">
        <v>4.3685056252802812E-43</v>
      </c>
    </row>
    <row r="1967" spans="44:48" x14ac:dyDescent="0.2">
      <c r="AR1967">
        <v>1959</v>
      </c>
      <c r="AS1967">
        <v>141</v>
      </c>
      <c r="AT1967">
        <v>3</v>
      </c>
      <c r="AU1967">
        <v>-6.7349193941335779</v>
      </c>
      <c r="AV1967">
        <v>1.0081931068974035E-42</v>
      </c>
    </row>
    <row r="1968" spans="44:48" x14ac:dyDescent="0.2">
      <c r="AR1968">
        <v>1960</v>
      </c>
      <c r="AS1968">
        <v>142</v>
      </c>
      <c r="AT1968">
        <v>3</v>
      </c>
      <c r="AU1968">
        <v>-6.703978862816232</v>
      </c>
      <c r="AV1968">
        <v>2.3183902916126293E-42</v>
      </c>
    </row>
    <row r="1969" spans="44:48" x14ac:dyDescent="0.2">
      <c r="AR1969">
        <v>1961</v>
      </c>
      <c r="AS1969">
        <v>143</v>
      </c>
      <c r="AT1969">
        <v>3</v>
      </c>
      <c r="AU1969">
        <v>-6.6730383314988861</v>
      </c>
      <c r="AV1969">
        <v>5.3120404859853061E-42</v>
      </c>
    </row>
    <row r="1970" spans="44:48" x14ac:dyDescent="0.2">
      <c r="AR1970">
        <v>1962</v>
      </c>
      <c r="AS1970">
        <v>144</v>
      </c>
      <c r="AT1970">
        <v>3</v>
      </c>
      <c r="AU1970">
        <v>-6.6420978001815394</v>
      </c>
      <c r="AV1970">
        <v>1.2127414023784201E-41</v>
      </c>
    </row>
    <row r="1971" spans="44:48" x14ac:dyDescent="0.2">
      <c r="AR1971">
        <v>1963</v>
      </c>
      <c r="AS1971">
        <v>145</v>
      </c>
      <c r="AT1971">
        <v>3</v>
      </c>
      <c r="AU1971">
        <v>-6.6111572688641935</v>
      </c>
      <c r="AV1971">
        <v>2.758716253657488E-41</v>
      </c>
    </row>
    <row r="1972" spans="44:48" x14ac:dyDescent="0.2">
      <c r="AR1972">
        <v>1964</v>
      </c>
      <c r="AS1972">
        <v>146</v>
      </c>
      <c r="AT1972">
        <v>3</v>
      </c>
      <c r="AU1972">
        <v>-6.5802167375468468</v>
      </c>
      <c r="AV1972">
        <v>6.2528478914700354E-41</v>
      </c>
    </row>
    <row r="1973" spans="44:48" x14ac:dyDescent="0.2">
      <c r="AR1973">
        <v>1965</v>
      </c>
      <c r="AS1973">
        <v>147</v>
      </c>
      <c r="AT1973">
        <v>3</v>
      </c>
      <c r="AU1973">
        <v>-6.5492762062295009</v>
      </c>
      <c r="AV1973">
        <v>1.4121495618496795E-40</v>
      </c>
    </row>
    <row r="1974" spans="44:48" x14ac:dyDescent="0.2">
      <c r="AR1974">
        <v>1966</v>
      </c>
      <c r="AS1974">
        <v>148</v>
      </c>
      <c r="AT1974">
        <v>3</v>
      </c>
      <c r="AU1974">
        <v>-6.5183356749121542</v>
      </c>
      <c r="AV1974">
        <v>3.177719275710278E-40</v>
      </c>
    </row>
    <row r="1975" spans="44:48" x14ac:dyDescent="0.2">
      <c r="AR1975">
        <v>1967</v>
      </c>
      <c r="AS1975">
        <v>149</v>
      </c>
      <c r="AT1975">
        <v>3</v>
      </c>
      <c r="AU1975">
        <v>-6.4873951435948083</v>
      </c>
      <c r="AV1975">
        <v>7.1249588805546711E-40</v>
      </c>
    </row>
    <row r="1976" spans="44:48" x14ac:dyDescent="0.2">
      <c r="AR1976">
        <v>1968</v>
      </c>
      <c r="AS1976">
        <v>150</v>
      </c>
      <c r="AT1976">
        <v>3</v>
      </c>
      <c r="AU1976">
        <v>-6.4564546122774615</v>
      </c>
      <c r="AV1976">
        <v>1.5917732329868587E-39</v>
      </c>
    </row>
    <row r="1977" spans="44:48" x14ac:dyDescent="0.2">
      <c r="AR1977">
        <v>1969</v>
      </c>
      <c r="AS1977">
        <v>151</v>
      </c>
      <c r="AT1977">
        <v>3</v>
      </c>
      <c r="AU1977">
        <v>-6.4255140809601157</v>
      </c>
      <c r="AV1977">
        <v>3.5433335281216505E-39</v>
      </c>
    </row>
    <row r="1978" spans="44:48" x14ac:dyDescent="0.2">
      <c r="AR1978">
        <v>1970</v>
      </c>
      <c r="AS1978">
        <v>152</v>
      </c>
      <c r="AT1978">
        <v>3</v>
      </c>
      <c r="AU1978">
        <v>-6.3945735496427689</v>
      </c>
      <c r="AV1978">
        <v>7.8591372117207993E-39</v>
      </c>
    </row>
    <row r="1979" spans="44:48" x14ac:dyDescent="0.2">
      <c r="AR1979">
        <v>1971</v>
      </c>
      <c r="AS1979">
        <v>153</v>
      </c>
      <c r="AT1979">
        <v>3</v>
      </c>
      <c r="AU1979">
        <v>-6.3636330183254231</v>
      </c>
      <c r="AV1979">
        <v>1.7368795817854983E-38</v>
      </c>
    </row>
    <row r="1980" spans="44:48" x14ac:dyDescent="0.2">
      <c r="AR1980">
        <v>1972</v>
      </c>
      <c r="AS1980">
        <v>154</v>
      </c>
      <c r="AT1980">
        <v>3</v>
      </c>
      <c r="AU1980">
        <v>-6.3326924870080763</v>
      </c>
      <c r="AV1980">
        <v>3.8246927233208055E-38</v>
      </c>
    </row>
    <row r="1981" spans="44:48" x14ac:dyDescent="0.2">
      <c r="AR1981">
        <v>1973</v>
      </c>
      <c r="AS1981">
        <v>155</v>
      </c>
      <c r="AT1981">
        <v>3</v>
      </c>
      <c r="AU1981">
        <v>-6.3017519556907304</v>
      </c>
      <c r="AV1981">
        <v>8.3918051340454907E-38</v>
      </c>
    </row>
    <row r="1982" spans="44:48" x14ac:dyDescent="0.2">
      <c r="AR1982">
        <v>1974</v>
      </c>
      <c r="AS1982">
        <v>156</v>
      </c>
      <c r="AT1982">
        <v>3</v>
      </c>
      <c r="AU1982">
        <v>-6.2708114243733846</v>
      </c>
      <c r="AV1982">
        <v>1.8346204608191061E-37</v>
      </c>
    </row>
    <row r="1983" spans="44:48" x14ac:dyDescent="0.2">
      <c r="AR1983">
        <v>1975</v>
      </c>
      <c r="AS1983">
        <v>157</v>
      </c>
      <c r="AT1983">
        <v>3</v>
      </c>
      <c r="AU1983">
        <v>-6.2398708930560378</v>
      </c>
      <c r="AV1983">
        <v>3.9964011572088057E-37</v>
      </c>
    </row>
    <row r="1984" spans="44:48" x14ac:dyDescent="0.2">
      <c r="AR1984">
        <v>1976</v>
      </c>
      <c r="AS1984">
        <v>158</v>
      </c>
      <c r="AT1984">
        <v>3</v>
      </c>
      <c r="AU1984">
        <v>-6.2089303617386919</v>
      </c>
      <c r="AV1984">
        <v>8.6740899322856906E-37</v>
      </c>
    </row>
    <row r="1985" spans="44:48" x14ac:dyDescent="0.2">
      <c r="AR1985">
        <v>1977</v>
      </c>
      <c r="AS1985">
        <v>159</v>
      </c>
      <c r="AT1985">
        <v>3</v>
      </c>
      <c r="AU1985">
        <v>-6.1779898304213452</v>
      </c>
      <c r="AV1985">
        <v>1.8759046773126885E-36</v>
      </c>
    </row>
    <row r="1986" spans="44:48" x14ac:dyDescent="0.2">
      <c r="AR1986">
        <v>1978</v>
      </c>
      <c r="AS1986">
        <v>160</v>
      </c>
      <c r="AT1986">
        <v>3</v>
      </c>
      <c r="AU1986">
        <v>-6.1470492991039993</v>
      </c>
      <c r="AV1986">
        <v>4.0423099732947065E-36</v>
      </c>
    </row>
    <row r="1987" spans="44:48" x14ac:dyDescent="0.2">
      <c r="AR1987">
        <v>1979</v>
      </c>
      <c r="AS1987">
        <v>161</v>
      </c>
      <c r="AT1987">
        <v>3</v>
      </c>
      <c r="AU1987">
        <v>-6.1161087677866526</v>
      </c>
      <c r="AV1987">
        <v>8.6792152876385942E-36</v>
      </c>
    </row>
    <row r="1988" spans="44:48" x14ac:dyDescent="0.2">
      <c r="AR1988">
        <v>1980</v>
      </c>
      <c r="AS1988">
        <v>162</v>
      </c>
      <c r="AT1988">
        <v>3</v>
      </c>
      <c r="AU1988">
        <v>-6.0851682364693067</v>
      </c>
      <c r="AV1988">
        <v>1.8567922312420973E-35</v>
      </c>
    </row>
    <row r="1989" spans="44:48" x14ac:dyDescent="0.2">
      <c r="AR1989">
        <v>1981</v>
      </c>
      <c r="AS1989">
        <v>163</v>
      </c>
      <c r="AT1989">
        <v>3</v>
      </c>
      <c r="AU1989">
        <v>-6.05422770515196</v>
      </c>
      <c r="AV1989">
        <v>3.9580216075707137E-35</v>
      </c>
    </row>
    <row r="1990" spans="44:48" x14ac:dyDescent="0.2">
      <c r="AR1990">
        <v>1982</v>
      </c>
      <c r="AS1990">
        <v>164</v>
      </c>
      <c r="AT1990">
        <v>3</v>
      </c>
      <c r="AU1990">
        <v>-6.0232871738346141</v>
      </c>
      <c r="AV1990">
        <v>8.406689601377079E-35</v>
      </c>
    </row>
    <row r="1991" spans="44:48" x14ac:dyDescent="0.2">
      <c r="AR1991">
        <v>1983</v>
      </c>
      <c r="AS1991">
        <v>165</v>
      </c>
      <c r="AT1991">
        <v>3</v>
      </c>
      <c r="AU1991">
        <v>-5.9923466425172673</v>
      </c>
      <c r="AV1991">
        <v>1.7791143600538415E-34</v>
      </c>
    </row>
    <row r="1992" spans="44:48" x14ac:dyDescent="0.2">
      <c r="AR1992">
        <v>1984</v>
      </c>
      <c r="AS1992">
        <v>166</v>
      </c>
      <c r="AT1992">
        <v>3</v>
      </c>
      <c r="AU1992">
        <v>-5.9614061111999215</v>
      </c>
      <c r="AV1992">
        <v>3.7515843802736396E-34</v>
      </c>
    </row>
    <row r="1993" spans="44:48" x14ac:dyDescent="0.2">
      <c r="AR1993">
        <v>1985</v>
      </c>
      <c r="AS1993">
        <v>167</v>
      </c>
      <c r="AT1993">
        <v>3</v>
      </c>
      <c r="AU1993">
        <v>-5.9304655798825747</v>
      </c>
      <c r="AV1993">
        <v>7.882383743537154E-34</v>
      </c>
    </row>
    <row r="1994" spans="44:48" x14ac:dyDescent="0.2">
      <c r="AR1994">
        <v>1986</v>
      </c>
      <c r="AS1994">
        <v>168</v>
      </c>
      <c r="AT1994">
        <v>3</v>
      </c>
      <c r="AU1994">
        <v>-5.8995250485652289</v>
      </c>
      <c r="AV1994">
        <v>1.6501842220816512E-33</v>
      </c>
    </row>
    <row r="1995" spans="44:48" x14ac:dyDescent="0.2">
      <c r="AR1995">
        <v>1987</v>
      </c>
      <c r="AS1995">
        <v>169</v>
      </c>
      <c r="AT1995">
        <v>3</v>
      </c>
      <c r="AU1995">
        <v>-5.868584517247883</v>
      </c>
      <c r="AV1995">
        <v>3.442225264554766E-33</v>
      </c>
    </row>
    <row r="1996" spans="44:48" x14ac:dyDescent="0.2">
      <c r="AR1996">
        <v>1988</v>
      </c>
      <c r="AS1996">
        <v>170</v>
      </c>
      <c r="AT1996">
        <v>3</v>
      </c>
      <c r="AU1996">
        <v>-5.8376439859305362</v>
      </c>
      <c r="AV1996">
        <v>7.1544811940734797E-33</v>
      </c>
    </row>
    <row r="1997" spans="44:48" x14ac:dyDescent="0.2">
      <c r="AR1997">
        <v>1989</v>
      </c>
      <c r="AS1997">
        <v>171</v>
      </c>
      <c r="AT1997">
        <v>3</v>
      </c>
      <c r="AU1997">
        <v>-5.8067034546131904</v>
      </c>
      <c r="AV1997">
        <v>1.4816615343929662E-32</v>
      </c>
    </row>
    <row r="1998" spans="44:48" x14ac:dyDescent="0.2">
      <c r="AR1998">
        <v>1990</v>
      </c>
      <c r="AS1998">
        <v>172</v>
      </c>
      <c r="AT1998">
        <v>3</v>
      </c>
      <c r="AU1998">
        <v>-5.7757629232958436</v>
      </c>
      <c r="AV1998">
        <v>3.0573972261918527E-32</v>
      </c>
    </row>
    <row r="1999" spans="44:48" x14ac:dyDescent="0.2">
      <c r="AR1999">
        <v>1991</v>
      </c>
      <c r="AS1999">
        <v>173</v>
      </c>
      <c r="AT1999">
        <v>3</v>
      </c>
      <c r="AU1999">
        <v>-5.7448223919784978</v>
      </c>
      <c r="AV1999">
        <v>6.2861787961669839E-32</v>
      </c>
    </row>
    <row r="2000" spans="44:48" x14ac:dyDescent="0.2">
      <c r="AR2000">
        <v>1992</v>
      </c>
      <c r="AS2000">
        <v>174</v>
      </c>
      <c r="AT2000">
        <v>3</v>
      </c>
      <c r="AU2000">
        <v>-5.713881860661151</v>
      </c>
      <c r="AV2000">
        <v>1.2878153363359778E-31</v>
      </c>
    </row>
    <row r="2001" spans="44:48" x14ac:dyDescent="0.2">
      <c r="AR2001">
        <v>1993</v>
      </c>
      <c r="AS2001">
        <v>175</v>
      </c>
      <c r="AT2001">
        <v>3</v>
      </c>
      <c r="AU2001">
        <v>-5.6829413293438051</v>
      </c>
      <c r="AV2001">
        <v>2.628769197057267E-31</v>
      </c>
    </row>
    <row r="2002" spans="44:48" x14ac:dyDescent="0.2">
      <c r="AR2002">
        <v>1994</v>
      </c>
      <c r="AS2002">
        <v>176</v>
      </c>
      <c r="AT2002">
        <v>3</v>
      </c>
      <c r="AU2002">
        <v>-5.6520007980264584</v>
      </c>
      <c r="AV2002">
        <v>5.3466692972230112E-31</v>
      </c>
    </row>
    <row r="2003" spans="44:48" x14ac:dyDescent="0.2">
      <c r="AR2003">
        <v>1995</v>
      </c>
      <c r="AS2003">
        <v>177</v>
      </c>
      <c r="AT2003">
        <v>3</v>
      </c>
      <c r="AU2003">
        <v>-5.6210602667091125</v>
      </c>
      <c r="AV2003">
        <v>1.0835430971697764E-30</v>
      </c>
    </row>
    <row r="2004" spans="44:48" x14ac:dyDescent="0.2">
      <c r="AR2004">
        <v>1996</v>
      </c>
      <c r="AS2004">
        <v>178</v>
      </c>
      <c r="AT2004">
        <v>3</v>
      </c>
      <c r="AU2004">
        <v>-5.5901197353917658</v>
      </c>
      <c r="AV2004">
        <v>2.1879684626591805E-30</v>
      </c>
    </row>
    <row r="2005" spans="44:48" x14ac:dyDescent="0.2">
      <c r="AR2005">
        <v>1997</v>
      </c>
      <c r="AS2005">
        <v>179</v>
      </c>
      <c r="AT2005">
        <v>3</v>
      </c>
      <c r="AU2005">
        <v>-5.5591792040744199</v>
      </c>
      <c r="AV2005">
        <v>4.402181324103353E-30</v>
      </c>
    </row>
    <row r="2006" spans="44:48" x14ac:dyDescent="0.2">
      <c r="AR2006">
        <v>1998</v>
      </c>
      <c r="AS2006">
        <v>180</v>
      </c>
      <c r="AT2006">
        <v>3</v>
      </c>
      <c r="AU2006">
        <v>-5.5282386727570731</v>
      </c>
      <c r="AV2006">
        <v>8.8252455404621644E-30</v>
      </c>
    </row>
    <row r="2007" spans="44:48" x14ac:dyDescent="0.2">
      <c r="AR2007">
        <v>1999</v>
      </c>
      <c r="AS2007">
        <v>181</v>
      </c>
      <c r="AT2007">
        <v>3</v>
      </c>
      <c r="AU2007">
        <v>-5.4972981414397273</v>
      </c>
      <c r="AV2007">
        <v>1.7628593724116251E-29</v>
      </c>
    </row>
    <row r="2008" spans="44:48" x14ac:dyDescent="0.2">
      <c r="AR2008">
        <v>2000</v>
      </c>
      <c r="AS2008">
        <v>182</v>
      </c>
      <c r="AT2008">
        <v>3</v>
      </c>
      <c r="AU2008">
        <v>-5.4663576101223814</v>
      </c>
      <c r="AV2008">
        <v>3.5086539885410302E-29</v>
      </c>
    </row>
    <row r="2009" spans="44:48" x14ac:dyDescent="0.2">
      <c r="AR2009">
        <v>2001</v>
      </c>
      <c r="AS2009">
        <v>183</v>
      </c>
      <c r="AT2009">
        <v>3</v>
      </c>
      <c r="AU2009">
        <v>-5.4354170788050347</v>
      </c>
      <c r="AV2009">
        <v>6.9581760963893275E-29</v>
      </c>
    </row>
    <row r="2010" spans="44:48" x14ac:dyDescent="0.2">
      <c r="AR2010">
        <v>2002</v>
      </c>
      <c r="AS2010">
        <v>184</v>
      </c>
      <c r="AT2010">
        <v>3</v>
      </c>
      <c r="AU2010">
        <v>-5.4044765474876888</v>
      </c>
      <c r="AV2010">
        <v>1.3749353903528582E-28</v>
      </c>
    </row>
    <row r="2011" spans="44:48" x14ac:dyDescent="0.2">
      <c r="AR2011">
        <v>2003</v>
      </c>
      <c r="AS2011">
        <v>185</v>
      </c>
      <c r="AT2011">
        <v>3</v>
      </c>
      <c r="AU2011">
        <v>-5.373536016170342</v>
      </c>
      <c r="AV2011">
        <v>2.7070804779164636E-28</v>
      </c>
    </row>
    <row r="2012" spans="44:48" x14ac:dyDescent="0.2">
      <c r="AR2012">
        <v>2004</v>
      </c>
      <c r="AS2012">
        <v>186</v>
      </c>
      <c r="AT2012">
        <v>3</v>
      </c>
      <c r="AU2012">
        <v>-5.3425954848529962</v>
      </c>
      <c r="AV2012">
        <v>5.3107033685419797E-28</v>
      </c>
    </row>
    <row r="2013" spans="44:48" x14ac:dyDescent="0.2">
      <c r="AR2013">
        <v>2005</v>
      </c>
      <c r="AS2013">
        <v>187</v>
      </c>
      <c r="AT2013">
        <v>3</v>
      </c>
      <c r="AU2013">
        <v>-5.3116549535356494</v>
      </c>
      <c r="AV2013">
        <v>1.0380897981463519E-27</v>
      </c>
    </row>
    <row r="2014" spans="44:48" x14ac:dyDescent="0.2">
      <c r="AR2014">
        <v>2006</v>
      </c>
      <c r="AS2014">
        <v>188</v>
      </c>
      <c r="AT2014">
        <v>3</v>
      </c>
      <c r="AU2014">
        <v>-5.2807144222183036</v>
      </c>
      <c r="AV2014">
        <v>2.0218540523690235E-27</v>
      </c>
    </row>
    <row r="2015" spans="44:48" x14ac:dyDescent="0.2">
      <c r="AR2015">
        <v>2007</v>
      </c>
      <c r="AS2015">
        <v>189</v>
      </c>
      <c r="AT2015">
        <v>3</v>
      </c>
      <c r="AU2015">
        <v>-5.2497738909009568</v>
      </c>
      <c r="AV2015">
        <v>3.9237080344619988E-27</v>
      </c>
    </row>
    <row r="2016" spans="44:48" x14ac:dyDescent="0.2">
      <c r="AR2016">
        <v>2008</v>
      </c>
      <c r="AS2016">
        <v>190</v>
      </c>
      <c r="AT2016">
        <v>3</v>
      </c>
      <c r="AU2016">
        <v>-5.2188333595836109</v>
      </c>
      <c r="AV2016">
        <v>7.5870957673460612E-27</v>
      </c>
    </row>
    <row r="2017" spans="44:48" x14ac:dyDescent="0.2">
      <c r="AR2017">
        <v>2009</v>
      </c>
      <c r="AS2017">
        <v>191</v>
      </c>
      <c r="AT2017">
        <v>3</v>
      </c>
      <c r="AU2017">
        <v>-5.1878928282662642</v>
      </c>
      <c r="AV2017">
        <v>1.4617949232333858E-26</v>
      </c>
    </row>
    <row r="2018" spans="44:48" x14ac:dyDescent="0.2">
      <c r="AR2018">
        <v>2010</v>
      </c>
      <c r="AS2018">
        <v>192</v>
      </c>
      <c r="AT2018">
        <v>3</v>
      </c>
      <c r="AU2018">
        <v>-5.1569522969489183</v>
      </c>
      <c r="AV2018">
        <v>2.8062692260736657E-26</v>
      </c>
    </row>
    <row r="2019" spans="44:48" x14ac:dyDescent="0.2">
      <c r="AR2019">
        <v>2011</v>
      </c>
      <c r="AS2019">
        <v>193</v>
      </c>
      <c r="AT2019">
        <v>3</v>
      </c>
      <c r="AU2019">
        <v>-5.1260117656315725</v>
      </c>
      <c r="AV2019">
        <v>5.3678975623840615E-26</v>
      </c>
    </row>
    <row r="2020" spans="44:48" x14ac:dyDescent="0.2">
      <c r="AR2020">
        <v>2012</v>
      </c>
      <c r="AS2020">
        <v>194</v>
      </c>
      <c r="AT2020">
        <v>3</v>
      </c>
      <c r="AU2020">
        <v>-5.0950712343142257</v>
      </c>
      <c r="AV2020">
        <v>1.0230835606402061E-25</v>
      </c>
    </row>
    <row r="2021" spans="44:48" x14ac:dyDescent="0.2">
      <c r="AR2021">
        <v>2013</v>
      </c>
      <c r="AS2021">
        <v>195</v>
      </c>
      <c r="AT2021">
        <v>3</v>
      </c>
      <c r="AU2021">
        <v>-5.0641307029968798</v>
      </c>
      <c r="AV2021">
        <v>1.942897969113472E-25</v>
      </c>
    </row>
    <row r="2022" spans="44:48" x14ac:dyDescent="0.2">
      <c r="AR2022">
        <v>2014</v>
      </c>
      <c r="AS2022">
        <v>196</v>
      </c>
      <c r="AT2022">
        <v>3</v>
      </c>
      <c r="AU2022">
        <v>-5.0331901716795331</v>
      </c>
      <c r="AV2022">
        <v>3.6763841369266722E-25</v>
      </c>
    </row>
    <row r="2023" spans="44:48" x14ac:dyDescent="0.2">
      <c r="AR2023">
        <v>2015</v>
      </c>
      <c r="AS2023">
        <v>197</v>
      </c>
      <c r="AT2023">
        <v>3</v>
      </c>
      <c r="AU2023">
        <v>-5.0022496403621872</v>
      </c>
      <c r="AV2023">
        <v>6.9314448782495761E-25</v>
      </c>
    </row>
    <row r="2024" spans="44:48" x14ac:dyDescent="0.2">
      <c r="AR2024">
        <v>2016</v>
      </c>
      <c r="AS2024">
        <v>198</v>
      </c>
      <c r="AT2024">
        <v>3</v>
      </c>
      <c r="AU2024">
        <v>-4.9713091090448405</v>
      </c>
      <c r="AV2024">
        <v>1.3021429545145297E-24</v>
      </c>
    </row>
    <row r="2025" spans="44:48" x14ac:dyDescent="0.2">
      <c r="AR2025">
        <v>2017</v>
      </c>
      <c r="AS2025">
        <v>199</v>
      </c>
      <c r="AT2025">
        <v>3</v>
      </c>
      <c r="AU2025">
        <v>-4.9403685777274946</v>
      </c>
      <c r="AV2025">
        <v>2.4373929924027111E-24</v>
      </c>
    </row>
    <row r="2026" spans="44:48" x14ac:dyDescent="0.2">
      <c r="AR2026">
        <v>2018</v>
      </c>
      <c r="AS2026">
        <v>200</v>
      </c>
      <c r="AT2026">
        <v>3</v>
      </c>
      <c r="AU2026">
        <v>-4.9094280464101479</v>
      </c>
      <c r="AV2026">
        <v>4.5459478792519041E-24</v>
      </c>
    </row>
    <row r="2027" spans="44:48" x14ac:dyDescent="0.2">
      <c r="AR2027">
        <v>2019</v>
      </c>
      <c r="AS2027">
        <v>201</v>
      </c>
      <c r="AT2027">
        <v>3</v>
      </c>
      <c r="AU2027">
        <v>-4.878487515092802</v>
      </c>
      <c r="AV2027">
        <v>8.4480280499117357E-24</v>
      </c>
    </row>
    <row r="2028" spans="44:48" x14ac:dyDescent="0.2">
      <c r="AR2028">
        <v>2020</v>
      </c>
      <c r="AS2028">
        <v>202</v>
      </c>
      <c r="AT2028">
        <v>3</v>
      </c>
      <c r="AU2028">
        <v>-4.8475469837754552</v>
      </c>
      <c r="AV2028">
        <v>1.5642935098072859E-23</v>
      </c>
    </row>
    <row r="2029" spans="44:48" x14ac:dyDescent="0.2">
      <c r="AR2029">
        <v>2021</v>
      </c>
      <c r="AS2029">
        <v>203</v>
      </c>
      <c r="AT2029">
        <v>3</v>
      </c>
      <c r="AU2029">
        <v>-4.8166064524581094</v>
      </c>
      <c r="AV2029">
        <v>2.8861117363385686E-23</v>
      </c>
    </row>
    <row r="2030" spans="44:48" x14ac:dyDescent="0.2">
      <c r="AR2030">
        <v>2022</v>
      </c>
      <c r="AS2030">
        <v>204</v>
      </c>
      <c r="AT2030">
        <v>3</v>
      </c>
      <c r="AU2030">
        <v>-4.7856659211407626</v>
      </c>
      <c r="AV2030">
        <v>5.3056676186832068E-23</v>
      </c>
    </row>
    <row r="2031" spans="44:48" x14ac:dyDescent="0.2">
      <c r="AR2031">
        <v>2023</v>
      </c>
      <c r="AS2031">
        <v>205</v>
      </c>
      <c r="AT2031">
        <v>3</v>
      </c>
      <c r="AU2031">
        <v>-4.7547253898234167</v>
      </c>
      <c r="AV2031">
        <v>9.7184932927889367E-23</v>
      </c>
    </row>
    <row r="2032" spans="44:48" x14ac:dyDescent="0.2">
      <c r="AR2032">
        <v>2024</v>
      </c>
      <c r="AS2032">
        <v>206</v>
      </c>
      <c r="AT2032">
        <v>3</v>
      </c>
      <c r="AU2032">
        <v>-4.7237848585060709</v>
      </c>
      <c r="AV2032">
        <v>1.7737395108477165E-22</v>
      </c>
    </row>
    <row r="2033" spans="44:48" x14ac:dyDescent="0.2">
      <c r="AR2033">
        <v>2025</v>
      </c>
      <c r="AS2033">
        <v>207</v>
      </c>
      <c r="AT2033">
        <v>3</v>
      </c>
      <c r="AU2033">
        <v>-4.6928443271887241</v>
      </c>
      <c r="AV2033">
        <v>3.2256165772126957E-22</v>
      </c>
    </row>
    <row r="2034" spans="44:48" x14ac:dyDescent="0.2">
      <c r="AR2034">
        <v>2026</v>
      </c>
      <c r="AS2034">
        <v>208</v>
      </c>
      <c r="AT2034">
        <v>3</v>
      </c>
      <c r="AU2034">
        <v>-4.6619037958713783</v>
      </c>
      <c r="AV2034">
        <v>5.8447729603095451E-22</v>
      </c>
    </row>
    <row r="2035" spans="44:48" x14ac:dyDescent="0.2">
      <c r="AR2035">
        <v>2027</v>
      </c>
      <c r="AS2035">
        <v>209</v>
      </c>
      <c r="AT2035">
        <v>3</v>
      </c>
      <c r="AU2035">
        <v>-4.6309632645540315</v>
      </c>
      <c r="AV2035">
        <v>1.0552480303085364E-21</v>
      </c>
    </row>
    <row r="2036" spans="44:48" x14ac:dyDescent="0.2">
      <c r="AR2036">
        <v>2028</v>
      </c>
      <c r="AS2036">
        <v>210</v>
      </c>
      <c r="AT2036">
        <v>3</v>
      </c>
      <c r="AU2036">
        <v>-4.6000227332366856</v>
      </c>
      <c r="AV2036">
        <v>1.8983376264350328E-21</v>
      </c>
    </row>
    <row r="2037" spans="44:48" x14ac:dyDescent="0.2">
      <c r="AR2037">
        <v>2029</v>
      </c>
      <c r="AS2037">
        <v>211</v>
      </c>
      <c r="AT2037">
        <v>3</v>
      </c>
      <c r="AU2037">
        <v>-4.5690822019193389</v>
      </c>
      <c r="AV2037">
        <v>3.4027054971400135E-21</v>
      </c>
    </row>
    <row r="2038" spans="44:48" x14ac:dyDescent="0.2">
      <c r="AR2038">
        <v>2030</v>
      </c>
      <c r="AS2038">
        <v>212</v>
      </c>
      <c r="AT2038">
        <v>3</v>
      </c>
      <c r="AU2038">
        <v>-4.538141670601993</v>
      </c>
      <c r="AV2038">
        <v>6.0772523568092968E-21</v>
      </c>
    </row>
    <row r="2039" spans="44:48" x14ac:dyDescent="0.2">
      <c r="AR2039">
        <v>2031</v>
      </c>
      <c r="AS2039">
        <v>213</v>
      </c>
      <c r="AT2039">
        <v>3</v>
      </c>
      <c r="AU2039">
        <v>-4.5072011392846463</v>
      </c>
      <c r="AV2039">
        <v>1.0814891827845049E-20</v>
      </c>
    </row>
    <row r="2040" spans="44:48" x14ac:dyDescent="0.2">
      <c r="AR2040">
        <v>2032</v>
      </c>
      <c r="AS2040">
        <v>214</v>
      </c>
      <c r="AT2040">
        <v>3</v>
      </c>
      <c r="AU2040">
        <v>-4.4762606079673004</v>
      </c>
      <c r="AV2040">
        <v>1.9176488762732384E-20</v>
      </c>
    </row>
    <row r="2041" spans="44:48" x14ac:dyDescent="0.2">
      <c r="AR2041">
        <v>2033</v>
      </c>
      <c r="AS2041">
        <v>215</v>
      </c>
      <c r="AT2041">
        <v>3</v>
      </c>
      <c r="AU2041">
        <v>-4.4453200766499537</v>
      </c>
      <c r="AV2041">
        <v>3.3880358869420538E-20</v>
      </c>
    </row>
    <row r="2042" spans="44:48" x14ac:dyDescent="0.2">
      <c r="AR2042">
        <v>2034</v>
      </c>
      <c r="AS2042">
        <v>216</v>
      </c>
      <c r="AT2042">
        <v>3</v>
      </c>
      <c r="AU2042">
        <v>-4.4143795453326078</v>
      </c>
      <c r="AV2042">
        <v>5.9642922343140842E-20</v>
      </c>
    </row>
    <row r="2043" spans="44:48" x14ac:dyDescent="0.2">
      <c r="AR2043">
        <v>2035</v>
      </c>
      <c r="AS2043">
        <v>217</v>
      </c>
      <c r="AT2043">
        <v>3</v>
      </c>
      <c r="AU2043">
        <v>-4.383439014015261</v>
      </c>
      <c r="AV2043">
        <v>1.0461689555961217E-19</v>
      </c>
    </row>
    <row r="2044" spans="44:48" x14ac:dyDescent="0.2">
      <c r="AR2044">
        <v>2036</v>
      </c>
      <c r="AS2044">
        <v>218</v>
      </c>
      <c r="AT2044">
        <v>3</v>
      </c>
      <c r="AU2044">
        <v>-4.3524984826979152</v>
      </c>
      <c r="AV2044">
        <v>1.828423285612615E-19</v>
      </c>
    </row>
    <row r="2045" spans="44:48" x14ac:dyDescent="0.2">
      <c r="AR2045">
        <v>2037</v>
      </c>
      <c r="AS2045">
        <v>219</v>
      </c>
      <c r="AT2045">
        <v>3</v>
      </c>
      <c r="AU2045">
        <v>-4.3215579513805693</v>
      </c>
      <c r="AV2045">
        <v>3.1840777194913472E-19</v>
      </c>
    </row>
    <row r="2046" spans="44:48" x14ac:dyDescent="0.2">
      <c r="AR2046">
        <v>2038</v>
      </c>
      <c r="AS2046">
        <v>220</v>
      </c>
      <c r="AT2046">
        <v>3</v>
      </c>
      <c r="AU2046">
        <v>-4.2906174200632226</v>
      </c>
      <c r="AV2046">
        <v>5.5248765348407913E-19</v>
      </c>
    </row>
    <row r="2047" spans="44:48" x14ac:dyDescent="0.2">
      <c r="AR2047">
        <v>2039</v>
      </c>
      <c r="AS2047">
        <v>221</v>
      </c>
      <c r="AT2047">
        <v>3</v>
      </c>
      <c r="AU2047">
        <v>-4.2596768887458767</v>
      </c>
      <c r="AV2047">
        <v>9.5519820097579032E-19</v>
      </c>
    </row>
    <row r="2048" spans="44:48" x14ac:dyDescent="0.2">
      <c r="AR2048">
        <v>2040</v>
      </c>
      <c r="AS2048">
        <v>222</v>
      </c>
      <c r="AT2048">
        <v>3</v>
      </c>
      <c r="AU2048">
        <v>-4.2287363574285299</v>
      </c>
      <c r="AV2048">
        <v>1.6454944264768442E-18</v>
      </c>
    </row>
    <row r="2049" spans="44:48" x14ac:dyDescent="0.2">
      <c r="AR2049">
        <v>2041</v>
      </c>
      <c r="AS2049">
        <v>223</v>
      </c>
      <c r="AT2049">
        <v>3</v>
      </c>
      <c r="AU2049">
        <v>-4.1977958261111841</v>
      </c>
      <c r="AV2049">
        <v>2.8244333871427717E-18</v>
      </c>
    </row>
    <row r="2050" spans="44:48" x14ac:dyDescent="0.2">
      <c r="AR2050">
        <v>2042</v>
      </c>
      <c r="AS2050">
        <v>224</v>
      </c>
      <c r="AT2050">
        <v>3</v>
      </c>
      <c r="AU2050">
        <v>-4.1668552947938373</v>
      </c>
      <c r="AV2050">
        <v>4.8305686523202149E-18</v>
      </c>
    </row>
    <row r="2051" spans="44:48" x14ac:dyDescent="0.2">
      <c r="AR2051">
        <v>2043</v>
      </c>
      <c r="AS2051">
        <v>225</v>
      </c>
      <c r="AT2051">
        <v>3</v>
      </c>
      <c r="AU2051">
        <v>-4.1359147634764915</v>
      </c>
      <c r="AV2051">
        <v>8.2318449555280905E-18</v>
      </c>
    </row>
    <row r="2052" spans="44:48" x14ac:dyDescent="0.2">
      <c r="AR2052">
        <v>2044</v>
      </c>
      <c r="AS2052">
        <v>226</v>
      </c>
      <c r="AT2052">
        <v>3</v>
      </c>
      <c r="AU2052">
        <v>-4.1049742321591447</v>
      </c>
      <c r="AV2052">
        <v>1.3977455121301018E-17</v>
      </c>
    </row>
    <row r="2053" spans="44:48" x14ac:dyDescent="0.2">
      <c r="AR2053">
        <v>2045</v>
      </c>
      <c r="AS2053">
        <v>227</v>
      </c>
      <c r="AT2053">
        <v>3</v>
      </c>
      <c r="AU2053">
        <v>-4.0740337008417988</v>
      </c>
      <c r="AV2053">
        <v>2.3647815706850847E-17</v>
      </c>
    </row>
    <row r="2054" spans="44:48" x14ac:dyDescent="0.2">
      <c r="AR2054">
        <v>2046</v>
      </c>
      <c r="AS2054">
        <v>228</v>
      </c>
      <c r="AT2054">
        <v>3</v>
      </c>
      <c r="AU2054">
        <v>-4.0430931695244521</v>
      </c>
      <c r="AV2054">
        <v>3.9864466741591183E-17</v>
      </c>
    </row>
    <row r="2055" spans="44:48" x14ac:dyDescent="0.2">
      <c r="AR2055">
        <v>2047</v>
      </c>
      <c r="AS2055">
        <v>229</v>
      </c>
      <c r="AT2055">
        <v>3</v>
      </c>
      <c r="AU2055">
        <v>-4.0121526382071062</v>
      </c>
      <c r="AV2055">
        <v>6.6959605611060019E-17</v>
      </c>
    </row>
    <row r="2056" spans="44:48" x14ac:dyDescent="0.2">
      <c r="AR2056">
        <v>2048</v>
      </c>
      <c r="AS2056">
        <v>230</v>
      </c>
      <c r="AT2056">
        <v>3</v>
      </c>
      <c r="AU2056">
        <v>-3.9812121068897595</v>
      </c>
      <c r="AV2056">
        <v>1.1206546982436194E-16</v>
      </c>
    </row>
    <row r="2057" spans="44:48" x14ac:dyDescent="0.2">
      <c r="AR2057">
        <v>2049</v>
      </c>
      <c r="AS2057">
        <v>231</v>
      </c>
      <c r="AT2057">
        <v>3</v>
      </c>
      <c r="AU2057">
        <v>-3.9502715755724136</v>
      </c>
      <c r="AV2057">
        <v>1.8687996606738388E-16</v>
      </c>
    </row>
    <row r="2058" spans="44:48" x14ac:dyDescent="0.2">
      <c r="AR2058">
        <v>2050</v>
      </c>
      <c r="AS2058">
        <v>232</v>
      </c>
      <c r="AT2058">
        <v>3</v>
      </c>
      <c r="AU2058">
        <v>-3.9193310442550677</v>
      </c>
      <c r="AV2058">
        <v>3.1051721196564798E-16</v>
      </c>
    </row>
    <row r="2059" spans="44:48" x14ac:dyDescent="0.2">
      <c r="AR2059">
        <v>2051</v>
      </c>
      <c r="AS2059">
        <v>233</v>
      </c>
      <c r="AT2059">
        <v>3</v>
      </c>
      <c r="AU2059">
        <v>-3.888390512937721</v>
      </c>
      <c r="AV2059">
        <v>5.1409172200426662E-16</v>
      </c>
    </row>
    <row r="2060" spans="44:48" x14ac:dyDescent="0.2">
      <c r="AR2060">
        <v>2052</v>
      </c>
      <c r="AS2060">
        <v>234</v>
      </c>
      <c r="AT2060">
        <v>3</v>
      </c>
      <c r="AU2060">
        <v>-3.8574499816203751</v>
      </c>
      <c r="AV2060">
        <v>8.4806188473601359E-16</v>
      </c>
    </row>
    <row r="2061" spans="44:48" x14ac:dyDescent="0.2">
      <c r="AR2061">
        <v>2053</v>
      </c>
      <c r="AS2061">
        <v>235</v>
      </c>
      <c r="AT2061">
        <v>3</v>
      </c>
      <c r="AU2061">
        <v>-3.8265094503030284</v>
      </c>
      <c r="AV2061">
        <v>1.3939477005709536E-15</v>
      </c>
    </row>
    <row r="2062" spans="44:48" x14ac:dyDescent="0.2">
      <c r="AR2062">
        <v>2054</v>
      </c>
      <c r="AS2062">
        <v>236</v>
      </c>
      <c r="AT2062">
        <v>3</v>
      </c>
      <c r="AU2062">
        <v>-3.7955689189856825</v>
      </c>
      <c r="AV2062">
        <v>2.2829553415886459E-15</v>
      </c>
    </row>
    <row r="2063" spans="44:48" x14ac:dyDescent="0.2">
      <c r="AR2063">
        <v>2055</v>
      </c>
      <c r="AS2063">
        <v>237</v>
      </c>
      <c r="AT2063">
        <v>3</v>
      </c>
      <c r="AU2063">
        <v>-3.7646283876683357</v>
      </c>
      <c r="AV2063">
        <v>3.7254638490602368E-15</v>
      </c>
    </row>
    <row r="2064" spans="44:48" x14ac:dyDescent="0.2">
      <c r="AR2064">
        <v>2056</v>
      </c>
      <c r="AS2064">
        <v>238</v>
      </c>
      <c r="AT2064">
        <v>3</v>
      </c>
      <c r="AU2064">
        <v>-3.7336878563509899</v>
      </c>
      <c r="AV2064">
        <v>6.0575260723534241E-15</v>
      </c>
    </row>
    <row r="2065" spans="44:48" x14ac:dyDescent="0.2">
      <c r="AR2065">
        <v>2057</v>
      </c>
      <c r="AS2065">
        <v>239</v>
      </c>
      <c r="AT2065">
        <v>3</v>
      </c>
      <c r="AU2065">
        <v>-3.7027473250336431</v>
      </c>
      <c r="AV2065">
        <v>9.8139136370293789E-15</v>
      </c>
    </row>
    <row r="2066" spans="44:48" x14ac:dyDescent="0.2">
      <c r="AR2066">
        <v>2058</v>
      </c>
      <c r="AS2066">
        <v>240</v>
      </c>
      <c r="AT2066">
        <v>3</v>
      </c>
      <c r="AU2066">
        <v>-3.6718067937162973</v>
      </c>
      <c r="AV2066">
        <v>1.584240723495532E-14</v>
      </c>
    </row>
    <row r="2067" spans="44:48" x14ac:dyDescent="0.2">
      <c r="AR2067">
        <v>2059</v>
      </c>
      <c r="AS2067">
        <v>241</v>
      </c>
      <c r="AT2067">
        <v>3</v>
      </c>
      <c r="AU2067">
        <v>-3.6408662623989505</v>
      </c>
      <c r="AV2067">
        <v>2.5481918064228765E-14</v>
      </c>
    </row>
    <row r="2068" spans="44:48" x14ac:dyDescent="0.2">
      <c r="AR2068">
        <v>2060</v>
      </c>
      <c r="AS2068">
        <v>242</v>
      </c>
      <c r="AT2068">
        <v>3</v>
      </c>
      <c r="AU2068">
        <v>-3.6099257310816046</v>
      </c>
      <c r="AV2068">
        <v>4.0838996143732347E-14</v>
      </c>
    </row>
    <row r="2069" spans="44:48" x14ac:dyDescent="0.2">
      <c r="AR2069">
        <v>2061</v>
      </c>
      <c r="AS2069">
        <v>243</v>
      </c>
      <c r="AT2069">
        <v>3</v>
      </c>
      <c r="AU2069">
        <v>-3.5789851997642579</v>
      </c>
      <c r="AV2069">
        <v>6.5215376023461302E-14</v>
      </c>
    </row>
    <row r="2070" spans="44:48" x14ac:dyDescent="0.2">
      <c r="AR2070">
        <v>2062</v>
      </c>
      <c r="AS2070">
        <v>244</v>
      </c>
      <c r="AT2070">
        <v>3</v>
      </c>
      <c r="AU2070">
        <v>-3.548044668446912</v>
      </c>
      <c r="AV2070">
        <v>1.0376644742356254E-13</v>
      </c>
    </row>
    <row r="2071" spans="44:48" x14ac:dyDescent="0.2">
      <c r="AR2071">
        <v>2063</v>
      </c>
      <c r="AS2071">
        <v>245</v>
      </c>
      <c r="AT2071">
        <v>3</v>
      </c>
      <c r="AU2071">
        <v>-3.5171041371295662</v>
      </c>
      <c r="AV2071">
        <v>1.6451136096411448E-13</v>
      </c>
    </row>
    <row r="2072" spans="44:48" x14ac:dyDescent="0.2">
      <c r="AR2072">
        <v>2064</v>
      </c>
      <c r="AS2072">
        <v>246</v>
      </c>
      <c r="AT2072">
        <v>3</v>
      </c>
      <c r="AU2072">
        <v>-3.4861636058122194</v>
      </c>
      <c r="AV2072">
        <v>2.5987640074003775E-13</v>
      </c>
    </row>
    <row r="2073" spans="44:48" x14ac:dyDescent="0.2">
      <c r="AR2073">
        <v>2065</v>
      </c>
      <c r="AS2073">
        <v>247</v>
      </c>
      <c r="AT2073">
        <v>3</v>
      </c>
      <c r="AU2073">
        <v>-3.4552230744948735</v>
      </c>
      <c r="AV2073">
        <v>4.0904377934728224E-13</v>
      </c>
    </row>
    <row r="2074" spans="44:48" x14ac:dyDescent="0.2">
      <c r="AR2074">
        <v>2066</v>
      </c>
      <c r="AS2074">
        <v>248</v>
      </c>
      <c r="AT2074">
        <v>3</v>
      </c>
      <c r="AU2074">
        <v>-3.4242825431775268</v>
      </c>
      <c r="AV2074">
        <v>6.415119381544108E-13</v>
      </c>
    </row>
    <row r="2075" spans="44:48" x14ac:dyDescent="0.2">
      <c r="AR2075">
        <v>2067</v>
      </c>
      <c r="AS2075">
        <v>249</v>
      </c>
      <c r="AT2075">
        <v>3</v>
      </c>
      <c r="AU2075">
        <v>-3.3933420118601809</v>
      </c>
      <c r="AV2075">
        <v>1.0024707144780094E-12</v>
      </c>
    </row>
    <row r="2076" spans="44:48" x14ac:dyDescent="0.2">
      <c r="AR2076">
        <v>2068</v>
      </c>
      <c r="AS2076">
        <v>250</v>
      </c>
      <c r="AT2076">
        <v>3</v>
      </c>
      <c r="AU2076">
        <v>-3.3624014805428342</v>
      </c>
      <c r="AV2076">
        <v>1.5608840651844556E-12</v>
      </c>
    </row>
    <row r="2077" spans="44:48" x14ac:dyDescent="0.2">
      <c r="AR2077">
        <v>2069</v>
      </c>
      <c r="AS2077">
        <v>251</v>
      </c>
      <c r="AT2077">
        <v>3</v>
      </c>
      <c r="AU2077">
        <v>-3.3314609492254883</v>
      </c>
      <c r="AV2077">
        <v>2.4215954998590763E-12</v>
      </c>
    </row>
    <row r="2078" spans="44:48" x14ac:dyDescent="0.2">
      <c r="AR2078">
        <v>2070</v>
      </c>
      <c r="AS2078">
        <v>252</v>
      </c>
      <c r="AT2078">
        <v>3</v>
      </c>
      <c r="AU2078">
        <v>-3.3005204179081415</v>
      </c>
      <c r="AV2078">
        <v>3.7433855187038486E-12</v>
      </c>
    </row>
    <row r="2079" spans="44:48" x14ac:dyDescent="0.2">
      <c r="AR2079">
        <v>2071</v>
      </c>
      <c r="AS2079">
        <v>253</v>
      </c>
      <c r="AT2079">
        <v>3</v>
      </c>
      <c r="AU2079">
        <v>-3.2695798865907957</v>
      </c>
      <c r="AV2079">
        <v>5.7657991818552244E-12</v>
      </c>
    </row>
    <row r="2080" spans="44:48" x14ac:dyDescent="0.2">
      <c r="AR2080">
        <v>2072</v>
      </c>
      <c r="AS2080">
        <v>254</v>
      </c>
      <c r="AT2080">
        <v>3</v>
      </c>
      <c r="AU2080">
        <v>-3.2386393552734489</v>
      </c>
      <c r="AV2080">
        <v>8.8488425899420504E-12</v>
      </c>
    </row>
    <row r="2081" spans="44:48" x14ac:dyDescent="0.2">
      <c r="AR2081">
        <v>2073</v>
      </c>
      <c r="AS2081">
        <v>255</v>
      </c>
      <c r="AT2081">
        <v>3</v>
      </c>
      <c r="AU2081">
        <v>-3.2076988239561031</v>
      </c>
      <c r="AV2081">
        <v>1.3531483995106699E-11</v>
      </c>
    </row>
    <row r="2082" spans="44:48" x14ac:dyDescent="0.2">
      <c r="AR2082">
        <v>2074</v>
      </c>
      <c r="AS2082">
        <v>256</v>
      </c>
      <c r="AT2082">
        <v>3</v>
      </c>
      <c r="AU2082">
        <v>-3.1767582926387563</v>
      </c>
      <c r="AV2082">
        <v>2.0617518264543899E-11</v>
      </c>
    </row>
    <row r="2083" spans="44:48" x14ac:dyDescent="0.2">
      <c r="AR2083">
        <v>2075</v>
      </c>
      <c r="AS2083">
        <v>257</v>
      </c>
      <c r="AT2083">
        <v>3</v>
      </c>
      <c r="AU2083">
        <v>-3.1458177613214104</v>
      </c>
      <c r="AV2083">
        <v>3.1301081901428378E-11</v>
      </c>
    </row>
    <row r="2084" spans="44:48" x14ac:dyDescent="0.2">
      <c r="AR2084">
        <v>2076</v>
      </c>
      <c r="AS2084">
        <v>258</v>
      </c>
      <c r="AT2084">
        <v>3</v>
      </c>
      <c r="AU2084">
        <v>-3.1148772300040646</v>
      </c>
      <c r="AV2084">
        <v>4.7349381567039077E-11</v>
      </c>
    </row>
    <row r="2085" spans="44:48" x14ac:dyDescent="0.2">
      <c r="AR2085">
        <v>2077</v>
      </c>
      <c r="AS2085">
        <v>259</v>
      </c>
      <c r="AT2085">
        <v>3</v>
      </c>
      <c r="AU2085">
        <v>-3.0839366986867178</v>
      </c>
      <c r="AV2085">
        <v>7.1367629922365865E-11</v>
      </c>
    </row>
    <row r="2086" spans="44:48" x14ac:dyDescent="0.2">
      <c r="AR2086">
        <v>2078</v>
      </c>
      <c r="AS2086">
        <v>260</v>
      </c>
      <c r="AT2086">
        <v>3</v>
      </c>
      <c r="AU2086">
        <v>-3.052996167369372</v>
      </c>
      <c r="AV2086">
        <v>1.071816007219558E-10</v>
      </c>
    </row>
    <row r="2087" spans="44:48" x14ac:dyDescent="0.2">
      <c r="AR2087">
        <v>2079</v>
      </c>
      <c r="AS2087">
        <v>261</v>
      </c>
      <c r="AT2087">
        <v>3</v>
      </c>
      <c r="AU2087">
        <v>-3.0220556360520252</v>
      </c>
      <c r="AV2087">
        <v>1.6038775351604465E-10</v>
      </c>
    </row>
    <row r="2088" spans="44:48" x14ac:dyDescent="0.2">
      <c r="AR2088">
        <v>2080</v>
      </c>
      <c r="AS2088">
        <v>262</v>
      </c>
      <c r="AT2088">
        <v>3</v>
      </c>
      <c r="AU2088">
        <v>-2.9911151047346785</v>
      </c>
      <c r="AV2088">
        <v>2.3914107175028608E-10</v>
      </c>
    </row>
    <row r="2089" spans="44:48" x14ac:dyDescent="0.2">
      <c r="AR2089">
        <v>2081</v>
      </c>
      <c r="AS2089">
        <v>263</v>
      </c>
      <c r="AT2089">
        <v>3</v>
      </c>
      <c r="AU2089">
        <v>-2.9601745734173335</v>
      </c>
      <c r="AV2089">
        <v>3.5527867401410222E-10</v>
      </c>
    </row>
    <row r="2090" spans="44:48" x14ac:dyDescent="0.2">
      <c r="AR2090">
        <v>2082</v>
      </c>
      <c r="AS2090">
        <v>264</v>
      </c>
      <c r="AT2090">
        <v>3</v>
      </c>
      <c r="AU2090">
        <v>-2.9292340420999867</v>
      </c>
      <c r="AV2090">
        <v>5.2591566680388684E-10</v>
      </c>
    </row>
    <row r="2091" spans="44:48" x14ac:dyDescent="0.2">
      <c r="AR2091">
        <v>2083</v>
      </c>
      <c r="AS2091">
        <v>265</v>
      </c>
      <c r="AT2091">
        <v>3</v>
      </c>
      <c r="AU2091">
        <v>-2.89829351078264</v>
      </c>
      <c r="AV2091">
        <v>7.757022993823483E-10</v>
      </c>
    </row>
    <row r="2092" spans="44:48" x14ac:dyDescent="0.2">
      <c r="AR2092">
        <v>2084</v>
      </c>
      <c r="AS2092">
        <v>266</v>
      </c>
      <c r="AT2092">
        <v>3</v>
      </c>
      <c r="AU2092">
        <v>-2.8673529794652932</v>
      </c>
      <c r="AV2092">
        <v>1.1400031473166232E-9</v>
      </c>
    </row>
    <row r="2093" spans="44:48" x14ac:dyDescent="0.2">
      <c r="AR2093">
        <v>2085</v>
      </c>
      <c r="AS2093">
        <v>267</v>
      </c>
      <c r="AT2093">
        <v>3</v>
      </c>
      <c r="AU2093">
        <v>-2.8364124481479482</v>
      </c>
      <c r="AV2093">
        <v>1.6693562330510783E-9</v>
      </c>
    </row>
    <row r="2094" spans="44:48" x14ac:dyDescent="0.2">
      <c r="AR2094">
        <v>2086</v>
      </c>
      <c r="AS2094">
        <v>268</v>
      </c>
      <c r="AT2094">
        <v>3</v>
      </c>
      <c r="AU2094">
        <v>-2.8054719168306015</v>
      </c>
      <c r="AV2094">
        <v>2.4357011261619589E-9</v>
      </c>
    </row>
    <row r="2095" spans="44:48" x14ac:dyDescent="0.2">
      <c r="AR2095">
        <v>2087</v>
      </c>
      <c r="AS2095">
        <v>269</v>
      </c>
      <c r="AT2095">
        <v>3</v>
      </c>
      <c r="AU2095">
        <v>-2.7745313855132547</v>
      </c>
      <c r="AV2095">
        <v>3.5410411362361472E-9</v>
      </c>
    </row>
    <row r="2096" spans="44:48" x14ac:dyDescent="0.2">
      <c r="AR2096">
        <v>2088</v>
      </c>
      <c r="AS2096">
        <v>270</v>
      </c>
      <c r="AT2096">
        <v>3</v>
      </c>
      <c r="AU2096">
        <v>-2.7435908541959098</v>
      </c>
      <c r="AV2096">
        <v>5.1294399297945134E-9</v>
      </c>
    </row>
    <row r="2097" spans="44:48" x14ac:dyDescent="0.2">
      <c r="AR2097">
        <v>2089</v>
      </c>
      <c r="AS2097">
        <v>271</v>
      </c>
      <c r="AT2097">
        <v>3</v>
      </c>
      <c r="AU2097">
        <v>-2.712650322878563</v>
      </c>
      <c r="AV2097">
        <v>7.4035655450836414E-9</v>
      </c>
    </row>
    <row r="2098" spans="44:48" x14ac:dyDescent="0.2">
      <c r="AR2098">
        <v>2090</v>
      </c>
      <c r="AS2098">
        <v>272</v>
      </c>
      <c r="AT2098">
        <v>3</v>
      </c>
      <c r="AU2098">
        <v>-2.6817097915612162</v>
      </c>
      <c r="AV2098">
        <v>1.0647408196486974E-8</v>
      </c>
    </row>
    <row r="2099" spans="44:48" x14ac:dyDescent="0.2">
      <c r="AR2099">
        <v>2091</v>
      </c>
      <c r="AS2099">
        <v>273</v>
      </c>
      <c r="AT2099">
        <v>3</v>
      </c>
      <c r="AU2099">
        <v>-2.6507692602438695</v>
      </c>
      <c r="AV2099">
        <v>1.5257342095971611E-8</v>
      </c>
    </row>
    <row r="2100" spans="44:48" x14ac:dyDescent="0.2">
      <c r="AR2100">
        <v>2092</v>
      </c>
      <c r="AS2100">
        <v>274</v>
      </c>
      <c r="AT2100">
        <v>3</v>
      </c>
      <c r="AU2100">
        <v>-2.6198287289265245</v>
      </c>
      <c r="AV2100">
        <v>2.1784413146742626E-8</v>
      </c>
    </row>
    <row r="2101" spans="44:48" x14ac:dyDescent="0.2">
      <c r="AR2101">
        <v>2093</v>
      </c>
      <c r="AS2101">
        <v>275</v>
      </c>
      <c r="AT2101">
        <v>3</v>
      </c>
      <c r="AU2101">
        <v>-2.5888881976091778</v>
      </c>
      <c r="AV2101">
        <v>3.0991660580601038E-8</v>
      </c>
    </row>
    <row r="2102" spans="44:48" x14ac:dyDescent="0.2">
      <c r="AR2102">
        <v>2094</v>
      </c>
      <c r="AS2102">
        <v>276</v>
      </c>
      <c r="AT2102">
        <v>3</v>
      </c>
      <c r="AU2102">
        <v>-2.557947666291831</v>
      </c>
      <c r="AV2102">
        <v>4.3931479588581578E-8</v>
      </c>
    </row>
    <row r="2103" spans="44:48" x14ac:dyDescent="0.2">
      <c r="AR2103">
        <v>2095</v>
      </c>
      <c r="AS2103">
        <v>277</v>
      </c>
      <c r="AT2103">
        <v>3</v>
      </c>
      <c r="AU2103">
        <v>-2.5270071349744843</v>
      </c>
      <c r="AV2103">
        <v>6.2049575511139077E-8</v>
      </c>
    </row>
    <row r="2104" spans="44:48" x14ac:dyDescent="0.2">
      <c r="AR2104">
        <v>2096</v>
      </c>
      <c r="AS2104">
        <v>278</v>
      </c>
      <c r="AT2104">
        <v>3</v>
      </c>
      <c r="AU2104">
        <v>-2.4960666036571393</v>
      </c>
      <c r="AV2104">
        <v>8.7324036083342913E-8</v>
      </c>
    </row>
    <row r="2105" spans="44:48" x14ac:dyDescent="0.2">
      <c r="AR2105">
        <v>2097</v>
      </c>
      <c r="AS2105">
        <v>279</v>
      </c>
      <c r="AT2105">
        <v>3</v>
      </c>
      <c r="AU2105">
        <v>-2.4651260723397925</v>
      </c>
      <c r="AV2105">
        <v>1.2245056327919658E-7</v>
      </c>
    </row>
    <row r="2106" spans="44:48" x14ac:dyDescent="0.2">
      <c r="AR2106">
        <v>2098</v>
      </c>
      <c r="AS2106">
        <v>280</v>
      </c>
      <c r="AT2106">
        <v>3</v>
      </c>
      <c r="AU2106">
        <v>-2.4341855410224458</v>
      </c>
      <c r="AV2106">
        <v>1.7108808893639832E-7</v>
      </c>
    </row>
    <row r="2107" spans="44:48" x14ac:dyDescent="0.2">
      <c r="AR2107">
        <v>2099</v>
      </c>
      <c r="AS2107">
        <v>281</v>
      </c>
      <c r="AT2107">
        <v>3</v>
      </c>
      <c r="AU2107">
        <v>-2.403245009705099</v>
      </c>
      <c r="AV2107">
        <v>2.381830018406993E-7</v>
      </c>
    </row>
    <row r="2108" spans="44:48" x14ac:dyDescent="0.2">
      <c r="AR2108">
        <v>2100</v>
      </c>
      <c r="AS2108">
        <v>282</v>
      </c>
      <c r="AT2108">
        <v>3</v>
      </c>
      <c r="AU2108">
        <v>-2.372304478387754</v>
      </c>
      <c r="AV2108">
        <v>3.3039521941158407E-7</v>
      </c>
    </row>
    <row r="2109" spans="44:48" x14ac:dyDescent="0.2">
      <c r="AR2109">
        <v>2101</v>
      </c>
      <c r="AS2109">
        <v>283</v>
      </c>
      <c r="AT2109">
        <v>3</v>
      </c>
      <c r="AU2109">
        <v>-2.3413639470704073</v>
      </c>
      <c r="AV2109">
        <v>4.5665555633988906E-7</v>
      </c>
    </row>
    <row r="2110" spans="44:48" x14ac:dyDescent="0.2">
      <c r="AR2110">
        <v>2102</v>
      </c>
      <c r="AS2110">
        <v>284</v>
      </c>
      <c r="AT2110">
        <v>3</v>
      </c>
      <c r="AU2110">
        <v>-2.3104234157530605</v>
      </c>
      <c r="AV2110">
        <v>6.2889152036869118E-7</v>
      </c>
    </row>
    <row r="2111" spans="44:48" x14ac:dyDescent="0.2">
      <c r="AR2111">
        <v>2103</v>
      </c>
      <c r="AS2111">
        <v>285</v>
      </c>
      <c r="AT2111">
        <v>3</v>
      </c>
      <c r="AU2111">
        <v>-2.2794828844357156</v>
      </c>
      <c r="AV2111">
        <v>8.6296808157871343E-7</v>
      </c>
    </row>
    <row r="2112" spans="44:48" x14ac:dyDescent="0.2">
      <c r="AR2112">
        <v>2104</v>
      </c>
      <c r="AS2112">
        <v>286</v>
      </c>
      <c r="AT2112">
        <v>3</v>
      </c>
      <c r="AU2112">
        <v>-2.2485423531183688</v>
      </c>
      <c r="AV2112">
        <v>1.1799014311514867E-6</v>
      </c>
    </row>
    <row r="2113" spans="44:48" x14ac:dyDescent="0.2">
      <c r="AR2113">
        <v>2105</v>
      </c>
      <c r="AS2113">
        <v>287</v>
      </c>
      <c r="AT2113">
        <v>3</v>
      </c>
      <c r="AU2113">
        <v>-2.2176018218010221</v>
      </c>
      <c r="AV2113">
        <v>1.607417618205062E-6</v>
      </c>
    </row>
    <row r="2114" spans="44:48" x14ac:dyDescent="0.2">
      <c r="AR2114">
        <v>2106</v>
      </c>
      <c r="AS2114">
        <v>288</v>
      </c>
      <c r="AT2114">
        <v>3</v>
      </c>
      <c r="AU2114">
        <v>-2.1866612904836753</v>
      </c>
      <c r="AV2114">
        <v>2.181944609865257E-6</v>
      </c>
    </row>
    <row r="2115" spans="44:48" x14ac:dyDescent="0.2">
      <c r="AR2115">
        <v>2107</v>
      </c>
      <c r="AS2115">
        <v>289</v>
      </c>
      <c r="AT2115">
        <v>3</v>
      </c>
      <c r="AU2115">
        <v>-2.1557207591663303</v>
      </c>
      <c r="AV2115">
        <v>2.9511461667028861E-6</v>
      </c>
    </row>
    <row r="2116" spans="44:48" x14ac:dyDescent="0.2">
      <c r="AR2116">
        <v>2108</v>
      </c>
      <c r="AS2116">
        <v>290</v>
      </c>
      <c r="AT2116">
        <v>3</v>
      </c>
      <c r="AU2116">
        <v>-2.1247802278489836</v>
      </c>
      <c r="AV2116">
        <v>3.977129385667748E-6</v>
      </c>
    </row>
    <row r="2117" spans="44:48" x14ac:dyDescent="0.2">
      <c r="AR2117">
        <v>2109</v>
      </c>
      <c r="AS2117">
        <v>291</v>
      </c>
      <c r="AT2117">
        <v>3</v>
      </c>
      <c r="AU2117">
        <v>-2.0938396965316368</v>
      </c>
      <c r="AV2117">
        <v>5.3404852608676254E-6</v>
      </c>
    </row>
    <row r="2118" spans="44:48" x14ac:dyDescent="0.2">
      <c r="AR2118">
        <v>2110</v>
      </c>
      <c r="AS2118">
        <v>292</v>
      </c>
      <c r="AT2118">
        <v>3</v>
      </c>
      <c r="AU2118">
        <v>-2.0628991652142901</v>
      </c>
      <c r="AV2118">
        <v>7.145353557992456E-6</v>
      </c>
    </row>
    <row r="2119" spans="44:48" x14ac:dyDescent="0.2">
      <c r="AR2119">
        <v>2111</v>
      </c>
      <c r="AS2119">
        <v>293</v>
      </c>
      <c r="AT2119">
        <v>3</v>
      </c>
      <c r="AU2119">
        <v>-2.0319586338969451</v>
      </c>
      <c r="AV2119">
        <v>9.5257400590258488E-6</v>
      </c>
    </row>
    <row r="2120" spans="44:48" x14ac:dyDescent="0.2">
      <c r="AR2120">
        <v>2112</v>
      </c>
      <c r="AS2120">
        <v>294</v>
      </c>
      <c r="AT2120">
        <v>3</v>
      </c>
      <c r="AU2120">
        <v>-2.0010181025795983</v>
      </c>
      <c r="AV2120">
        <v>1.2653356106032177E-5</v>
      </c>
    </row>
    <row r="2121" spans="44:48" x14ac:dyDescent="0.2">
      <c r="AR2121">
        <v>2113</v>
      </c>
      <c r="AS2121">
        <v>295</v>
      </c>
      <c r="AT2121">
        <v>3</v>
      </c>
      <c r="AU2121">
        <v>-1.9700775712622516</v>
      </c>
      <c r="AV2121">
        <v>1.67472975410972E-5</v>
      </c>
    </row>
    <row r="2122" spans="44:48" x14ac:dyDescent="0.2">
      <c r="AR2122">
        <v>2114</v>
      </c>
      <c r="AS2122">
        <v>296</v>
      </c>
      <c r="AT2122">
        <v>3</v>
      </c>
      <c r="AU2122">
        <v>-1.9391370399449066</v>
      </c>
      <c r="AV2122">
        <v>2.2085932631057966E-5</v>
      </c>
    </row>
    <row r="2123" spans="44:48" x14ac:dyDescent="0.2">
      <c r="AR2123">
        <v>2115</v>
      </c>
      <c r="AS2123">
        <v>297</v>
      </c>
      <c r="AT2123">
        <v>3</v>
      </c>
      <c r="AU2123">
        <v>-1.9081965086275599</v>
      </c>
      <c r="AV2123">
        <v>2.9021426195115978E-5</v>
      </c>
    </row>
    <row r="2124" spans="44:48" x14ac:dyDescent="0.2">
      <c r="AR2124">
        <v>2116</v>
      </c>
      <c r="AS2124">
        <v>298</v>
      </c>
      <c r="AT2124">
        <v>3</v>
      </c>
      <c r="AU2124">
        <v>-1.8772559773102131</v>
      </c>
      <c r="AV2124">
        <v>3.7997389460433022E-5</v>
      </c>
    </row>
    <row r="2125" spans="44:48" x14ac:dyDescent="0.2">
      <c r="AR2125">
        <v>2117</v>
      </c>
      <c r="AS2125">
        <v>299</v>
      </c>
      <c r="AT2125">
        <v>3</v>
      </c>
      <c r="AU2125">
        <v>-1.8463154459928663</v>
      </c>
      <c r="AV2125">
        <v>4.9570211350393561E-5</v>
      </c>
    </row>
    <row r="2126" spans="44:48" x14ac:dyDescent="0.2">
      <c r="AR2126">
        <v>2118</v>
      </c>
      <c r="AS2126">
        <v>300</v>
      </c>
      <c r="AT2126">
        <v>3</v>
      </c>
      <c r="AU2126">
        <v>-1.8153749146755214</v>
      </c>
      <c r="AV2126">
        <v>6.4434695737534885E-5</v>
      </c>
    </row>
    <row r="2127" spans="44:48" x14ac:dyDescent="0.2">
      <c r="AR2127">
        <v>2119</v>
      </c>
      <c r="AS2127">
        <v>301</v>
      </c>
      <c r="AT2127">
        <v>3</v>
      </c>
      <c r="AU2127">
        <v>-1.7844343833581746</v>
      </c>
      <c r="AV2127">
        <v>8.3454698944902963E-5</v>
      </c>
    </row>
    <row r="2128" spans="44:48" x14ac:dyDescent="0.2">
      <c r="AR2128">
        <v>2120</v>
      </c>
      <c r="AS2128">
        <v>302</v>
      </c>
      <c r="AT2128">
        <v>3</v>
      </c>
      <c r="AU2128">
        <v>-1.7534938520408279</v>
      </c>
      <c r="AV2128">
        <v>1.0769953015501566E-4</v>
      </c>
    </row>
    <row r="2129" spans="44:48" x14ac:dyDescent="0.2">
      <c r="AR2129">
        <v>2121</v>
      </c>
      <c r="AS2129">
        <v>303</v>
      </c>
      <c r="AT2129">
        <v>3</v>
      </c>
      <c r="AU2129">
        <v>-1.7225533207234811</v>
      </c>
      <c r="AV2129">
        <v>1.3848694143149215E-4</v>
      </c>
    </row>
    <row r="2130" spans="44:48" x14ac:dyDescent="0.2">
      <c r="AR2130">
        <v>2122</v>
      </c>
      <c r="AS2130">
        <v>304</v>
      </c>
      <c r="AT2130">
        <v>3</v>
      </c>
      <c r="AU2130">
        <v>-1.6916127894061361</v>
      </c>
      <c r="AV2130">
        <v>1.7743359010288272E-4</v>
      </c>
    </row>
    <row r="2131" spans="44:48" x14ac:dyDescent="0.2">
      <c r="AR2131">
        <v>2123</v>
      </c>
      <c r="AS2131">
        <v>305</v>
      </c>
      <c r="AT2131">
        <v>3</v>
      </c>
      <c r="AU2131">
        <v>-1.6606722580887894</v>
      </c>
      <c r="AV2131">
        <v>2.265138998604361E-4</v>
      </c>
    </row>
    <row r="2132" spans="44:48" x14ac:dyDescent="0.2">
      <c r="AR2132">
        <v>2124</v>
      </c>
      <c r="AS2132">
        <v>306</v>
      </c>
      <c r="AT2132">
        <v>3</v>
      </c>
      <c r="AU2132">
        <v>-1.6297317267714426</v>
      </c>
      <c r="AV2132">
        <v>2.8812827284314046E-4</v>
      </c>
    </row>
    <row r="2133" spans="44:48" x14ac:dyDescent="0.2">
      <c r="AR2133">
        <v>2125</v>
      </c>
      <c r="AS2133">
        <v>307</v>
      </c>
      <c r="AT2133">
        <v>3</v>
      </c>
      <c r="AU2133">
        <v>-1.5987911954540959</v>
      </c>
      <c r="AV2133">
        <v>3.651816071921458E-4</v>
      </c>
    </row>
    <row r="2134" spans="44:48" x14ac:dyDescent="0.2">
      <c r="AR2134">
        <v>2126</v>
      </c>
      <c r="AS2134">
        <v>308</v>
      </c>
      <c r="AT2134">
        <v>3</v>
      </c>
      <c r="AU2134">
        <v>-1.5678506641367509</v>
      </c>
      <c r="AV2134">
        <v>4.6117304626804945E-4</v>
      </c>
    </row>
    <row r="2135" spans="44:48" x14ac:dyDescent="0.2">
      <c r="AR2135">
        <v>2127</v>
      </c>
      <c r="AS2135">
        <v>309</v>
      </c>
      <c r="AT2135">
        <v>3</v>
      </c>
      <c r="AU2135">
        <v>-1.5369101328194041</v>
      </c>
      <c r="AV2135">
        <v>5.8029781949447067E-4</v>
      </c>
    </row>
    <row r="2136" spans="44:48" x14ac:dyDescent="0.2">
      <c r="AR2136">
        <v>2128</v>
      </c>
      <c r="AS2136">
        <v>310</v>
      </c>
      <c r="AT2136">
        <v>3</v>
      </c>
      <c r="AU2136">
        <v>-1.5059696015020574</v>
      </c>
      <c r="AV2136">
        <v>7.275619226638925E-4</v>
      </c>
    </row>
    <row r="2137" spans="44:48" x14ac:dyDescent="0.2">
      <c r="AR2137">
        <v>2129</v>
      </c>
      <c r="AS2137">
        <v>311</v>
      </c>
      <c r="AT2137">
        <v>3</v>
      </c>
      <c r="AU2137">
        <v>-1.4750290701847124</v>
      </c>
      <c r="AV2137">
        <v>9.0891021926645642E-4</v>
      </c>
    </row>
    <row r="2138" spans="44:48" x14ac:dyDescent="0.2">
      <c r="AR2138">
        <v>2130</v>
      </c>
      <c r="AS2138">
        <v>312</v>
      </c>
      <c r="AT2138">
        <v>3</v>
      </c>
      <c r="AU2138">
        <v>-1.4440885388673657</v>
      </c>
      <c r="AV2138">
        <v>1.1313683157196451E-3</v>
      </c>
    </row>
    <row r="2139" spans="44:48" x14ac:dyDescent="0.2">
      <c r="AR2139">
        <v>2131</v>
      </c>
      <c r="AS2139">
        <v>313</v>
      </c>
      <c r="AT2139">
        <v>3</v>
      </c>
      <c r="AU2139">
        <v>-1.4131480075500189</v>
      </c>
      <c r="AV2139">
        <v>1.403198264385417E-3</v>
      </c>
    </row>
    <row r="2140" spans="44:48" x14ac:dyDescent="0.2">
      <c r="AR2140">
        <v>2132</v>
      </c>
      <c r="AS2140">
        <v>314</v>
      </c>
      <c r="AT2140">
        <v>3</v>
      </c>
      <c r="AU2140">
        <v>-1.3822074762326721</v>
      </c>
      <c r="AV2140">
        <v>1.7340677718609423E-3</v>
      </c>
    </row>
    <row r="2141" spans="44:48" x14ac:dyDescent="0.2">
      <c r="AR2141">
        <v>2133</v>
      </c>
      <c r="AS2141">
        <v>315</v>
      </c>
      <c r="AT2141">
        <v>3</v>
      </c>
      <c r="AU2141">
        <v>-1.3512669449153272</v>
      </c>
      <c r="AV2141">
        <v>2.135232130436847E-3</v>
      </c>
    </row>
    <row r="2142" spans="44:48" x14ac:dyDescent="0.2">
      <c r="AR2142">
        <v>2134</v>
      </c>
      <c r="AS2142">
        <v>316</v>
      </c>
      <c r="AT2142">
        <v>3</v>
      </c>
      <c r="AU2142">
        <v>-1.3203264135979804</v>
      </c>
      <c r="AV2142">
        <v>2.6197275439582587E-3</v>
      </c>
    </row>
    <row r="2143" spans="44:48" x14ac:dyDescent="0.2">
      <c r="AR2143">
        <v>2135</v>
      </c>
      <c r="AS2143">
        <v>317</v>
      </c>
      <c r="AT2143">
        <v>3</v>
      </c>
      <c r="AU2143">
        <v>-1.2893858822806337</v>
      </c>
      <c r="AV2143">
        <v>3.2025738842666267E-3</v>
      </c>
    </row>
    <row r="2144" spans="44:48" x14ac:dyDescent="0.2">
      <c r="AR2144">
        <v>2136</v>
      </c>
      <c r="AS2144">
        <v>318</v>
      </c>
      <c r="AT2144">
        <v>3</v>
      </c>
      <c r="AU2144">
        <v>-1.2584453509632869</v>
      </c>
      <c r="AV2144">
        <v>3.9009841928347756E-3</v>
      </c>
    </row>
    <row r="2145" spans="44:48" x14ac:dyDescent="0.2">
      <c r="AR2145">
        <v>2137</v>
      </c>
      <c r="AS2145">
        <v>319</v>
      </c>
      <c r="AT2145">
        <v>3</v>
      </c>
      <c r="AU2145">
        <v>-1.2275048196459419</v>
      </c>
      <c r="AV2145">
        <v>4.7345774399189166E-3</v>
      </c>
    </row>
    <row r="2146" spans="44:48" x14ac:dyDescent="0.2">
      <c r="AR2146">
        <v>2138</v>
      </c>
      <c r="AS2146">
        <v>320</v>
      </c>
      <c r="AT2146">
        <v>3</v>
      </c>
      <c r="AU2146">
        <v>-1.1965642883285952</v>
      </c>
      <c r="AV2146">
        <v>5.7255901808832129E-3</v>
      </c>
    </row>
    <row r="2147" spans="44:48" x14ac:dyDescent="0.2">
      <c r="AR2147">
        <v>2139</v>
      </c>
      <c r="AS2147">
        <v>321</v>
      </c>
      <c r="AT2147">
        <v>3</v>
      </c>
      <c r="AU2147">
        <v>-1.1656237570112484</v>
      </c>
      <c r="AV2147">
        <v>6.899081821781913E-3</v>
      </c>
    </row>
    <row r="2148" spans="44:48" x14ac:dyDescent="0.2">
      <c r="AR2148">
        <v>2140</v>
      </c>
      <c r="AS2148">
        <v>322</v>
      </c>
      <c r="AT2148">
        <v>3</v>
      </c>
      <c r="AU2148">
        <v>-1.1346832256939035</v>
      </c>
      <c r="AV2148">
        <v>8.2831272449088722E-3</v>
      </c>
    </row>
    <row r="2149" spans="44:48" x14ac:dyDescent="0.2">
      <c r="AR2149">
        <v>2141</v>
      </c>
      <c r="AS2149">
        <v>323</v>
      </c>
      <c r="AT2149">
        <v>3</v>
      </c>
      <c r="AU2149">
        <v>-1.1037426943765567</v>
      </c>
      <c r="AV2149">
        <v>9.9089895768592982E-3</v>
      </c>
    </row>
    <row r="2150" spans="44:48" x14ac:dyDescent="0.2">
      <c r="AR2150">
        <v>2142</v>
      </c>
      <c r="AS2150">
        <v>324</v>
      </c>
      <c r="AT2150">
        <v>3</v>
      </c>
      <c r="AU2150">
        <v>-1.0728021630592099</v>
      </c>
      <c r="AV2150">
        <v>1.1811264939737422E-2</v>
      </c>
    </row>
    <row r="2151" spans="44:48" x14ac:dyDescent="0.2">
      <c r="AR2151">
        <v>2143</v>
      </c>
      <c r="AS2151">
        <v>325</v>
      </c>
      <c r="AT2151">
        <v>3</v>
      </c>
      <c r="AU2151">
        <v>-1.0418616317418632</v>
      </c>
      <c r="AV2151">
        <v>1.402799014938981E-2</v>
      </c>
    </row>
    <row r="2152" spans="44:48" x14ac:dyDescent="0.2">
      <c r="AR2152">
        <v>2144</v>
      </c>
      <c r="AS2152">
        <v>326</v>
      </c>
      <c r="AT2152">
        <v>3</v>
      </c>
      <c r="AU2152">
        <v>-1.0109211004245182</v>
      </c>
      <c r="AV2152">
        <v>1.6600703557212434E-2</v>
      </c>
    </row>
    <row r="2153" spans="44:48" x14ac:dyDescent="0.2">
      <c r="AR2153">
        <v>2145</v>
      </c>
      <c r="AS2153">
        <v>327</v>
      </c>
      <c r="AT2153">
        <v>3</v>
      </c>
      <c r="AU2153">
        <v>-0.97998056910717146</v>
      </c>
      <c r="AV2153">
        <v>1.9574448623006349E-2</v>
      </c>
    </row>
    <row r="2154" spans="44:48" x14ac:dyDescent="0.2">
      <c r="AR2154">
        <v>2146</v>
      </c>
      <c r="AS2154">
        <v>328</v>
      </c>
      <c r="AT2154">
        <v>3</v>
      </c>
      <c r="AU2154">
        <v>-0.94904003778982471</v>
      </c>
      <c r="AV2154">
        <v>2.2997709407684447E-2</v>
      </c>
    </row>
    <row r="2155" spans="44:48" x14ac:dyDescent="0.2">
      <c r="AR2155">
        <v>2147</v>
      </c>
      <c r="AS2155">
        <v>329</v>
      </c>
      <c r="AT2155">
        <v>3</v>
      </c>
      <c r="AU2155">
        <v>-0.91809950647247796</v>
      </c>
      <c r="AV2155">
        <v>2.6922267040266512E-2</v>
      </c>
    </row>
    <row r="2156" spans="44:48" x14ac:dyDescent="0.2">
      <c r="AR2156">
        <v>2148</v>
      </c>
      <c r="AS2156">
        <v>330</v>
      </c>
      <c r="AT2156">
        <v>3</v>
      </c>
      <c r="AU2156">
        <v>-0.88715897515513298</v>
      </c>
      <c r="AV2156">
        <v>3.1402966397143552E-2</v>
      </c>
    </row>
    <row r="2157" spans="44:48" x14ac:dyDescent="0.2">
      <c r="AR2157">
        <v>2149</v>
      </c>
      <c r="AS2157">
        <v>331</v>
      </c>
      <c r="AT2157">
        <v>3</v>
      </c>
      <c r="AU2157">
        <v>-0.85621844383778623</v>
      </c>
      <c r="AV2157">
        <v>3.6497382784075279E-2</v>
      </c>
    </row>
    <row r="2158" spans="44:48" x14ac:dyDescent="0.2">
      <c r="AR2158">
        <v>2150</v>
      </c>
      <c r="AS2158">
        <v>332</v>
      </c>
      <c r="AT2158">
        <v>3</v>
      </c>
      <c r="AU2158">
        <v>-0.82527791252043947</v>
      </c>
      <c r="AV2158">
        <v>4.2265379378512283E-2</v>
      </c>
    </row>
    <row r="2159" spans="44:48" x14ac:dyDescent="0.2">
      <c r="AR2159">
        <v>2151</v>
      </c>
      <c r="AS2159">
        <v>333</v>
      </c>
      <c r="AT2159">
        <v>3</v>
      </c>
      <c r="AU2159">
        <v>-0.79433738120309272</v>
      </c>
      <c r="AV2159">
        <v>4.8768547609197729E-2</v>
      </c>
    </row>
    <row r="2160" spans="44:48" x14ac:dyDescent="0.2">
      <c r="AR2160">
        <v>2152</v>
      </c>
      <c r="AS2160">
        <v>334</v>
      </c>
      <c r="AT2160">
        <v>3</v>
      </c>
      <c r="AU2160">
        <v>-0.76339684988574774</v>
      </c>
      <c r="AV2160">
        <v>5.6069524547946357E-2</v>
      </c>
    </row>
    <row r="2161" spans="44:48" x14ac:dyDescent="0.2">
      <c r="AR2161">
        <v>2153</v>
      </c>
      <c r="AS2161">
        <v>335</v>
      </c>
      <c r="AT2161">
        <v>3</v>
      </c>
      <c r="AU2161">
        <v>-0.73245631856840099</v>
      </c>
      <c r="AV2161">
        <v>6.4231183777262779E-2</v>
      </c>
    </row>
    <row r="2162" spans="44:48" x14ac:dyDescent="0.2">
      <c r="AR2162">
        <v>2154</v>
      </c>
      <c r="AS2162">
        <v>336</v>
      </c>
      <c r="AT2162">
        <v>3</v>
      </c>
      <c r="AU2162">
        <v>-0.70151578725105423</v>
      </c>
      <c r="AV2162">
        <v>7.3315699072179399E-2</v>
      </c>
    </row>
    <row r="2163" spans="44:48" x14ac:dyDescent="0.2">
      <c r="AR2163">
        <v>2155</v>
      </c>
      <c r="AS2163">
        <v>337</v>
      </c>
      <c r="AT2163">
        <v>3</v>
      </c>
      <c r="AU2163">
        <v>-0.67057525593370926</v>
      </c>
      <c r="AV2163">
        <v>8.3383483571057349E-2</v>
      </c>
    </row>
    <row r="2164" spans="44:48" x14ac:dyDescent="0.2">
      <c r="AR2164">
        <v>2156</v>
      </c>
      <c r="AS2164">
        <v>338</v>
      </c>
      <c r="AT2164">
        <v>3</v>
      </c>
      <c r="AU2164">
        <v>-0.6396347246163625</v>
      </c>
      <c r="AV2164">
        <v>9.4492010862148951E-2</v>
      </c>
    </row>
    <row r="2165" spans="44:48" x14ac:dyDescent="0.2">
      <c r="AR2165">
        <v>2157</v>
      </c>
      <c r="AS2165">
        <v>339</v>
      </c>
      <c r="AT2165">
        <v>3</v>
      </c>
      <c r="AU2165">
        <v>-0.60869419329901575</v>
      </c>
      <c r="AV2165">
        <v>0.10669452851175554</v>
      </c>
    </row>
    <row r="2166" spans="44:48" x14ac:dyDescent="0.2">
      <c r="AR2166">
        <v>2158</v>
      </c>
      <c r="AS2166">
        <v>340</v>
      </c>
      <c r="AT2166">
        <v>3</v>
      </c>
      <c r="AU2166">
        <v>-0.577753661981669</v>
      </c>
      <c r="AV2166">
        <v>0.12003867891378539</v>
      </c>
    </row>
    <row r="2167" spans="44:48" x14ac:dyDescent="0.2">
      <c r="AR2167">
        <v>2159</v>
      </c>
      <c r="AS2167">
        <v>341</v>
      </c>
      <c r="AT2167">
        <v>3</v>
      </c>
      <c r="AU2167">
        <v>-0.54681313066432402</v>
      </c>
      <c r="AV2167">
        <v>0.13456504683455942</v>
      </c>
    </row>
    <row r="2168" spans="44:48" x14ac:dyDescent="0.2">
      <c r="AR2168">
        <v>2160</v>
      </c>
      <c r="AS2168">
        <v>342</v>
      </c>
      <c r="AT2168">
        <v>3</v>
      </c>
      <c r="AU2168">
        <v>-0.51587259934697727</v>
      </c>
      <c r="AV2168">
        <v>0.15030565752501152</v>
      </c>
    </row>
    <row r="2169" spans="44:48" x14ac:dyDescent="0.2">
      <c r="AR2169">
        <v>2161</v>
      </c>
      <c r="AS2169">
        <v>343</v>
      </c>
      <c r="AT2169">
        <v>3</v>
      </c>
      <c r="AU2169">
        <v>-0.48493206802963051</v>
      </c>
      <c r="AV2169">
        <v>0.16728245362081898</v>
      </c>
    </row>
    <row r="2170" spans="44:48" x14ac:dyDescent="0.2">
      <c r="AR2170">
        <v>2162</v>
      </c>
      <c r="AS2170">
        <v>344</v>
      </c>
      <c r="AT2170">
        <v>3</v>
      </c>
      <c r="AU2170">
        <v>-0.45399153671228376</v>
      </c>
      <c r="AV2170">
        <v>0.18550578308134735</v>
      </c>
    </row>
    <row r="2171" spans="44:48" x14ac:dyDescent="0.2">
      <c r="AR2171">
        <v>2163</v>
      </c>
      <c r="AS2171">
        <v>345</v>
      </c>
      <c r="AT2171">
        <v>3</v>
      </c>
      <c r="AU2171">
        <v>-0.42305100539493878</v>
      </c>
      <c r="AV2171">
        <v>0.204972933953424</v>
      </c>
    </row>
    <row r="2172" spans="44:48" x14ac:dyDescent="0.2">
      <c r="AR2172">
        <v>2164</v>
      </c>
      <c r="AS2172">
        <v>346</v>
      </c>
      <c r="AT2172">
        <v>3</v>
      </c>
      <c r="AU2172">
        <v>-0.39211047407759203</v>
      </c>
      <c r="AV2172">
        <v>0.22566675460635288</v>
      </c>
    </row>
    <row r="2173" spans="44:48" x14ac:dyDescent="0.2">
      <c r="AR2173">
        <v>2165</v>
      </c>
      <c r="AS2173">
        <v>347</v>
      </c>
      <c r="AT2173">
        <v>3</v>
      </c>
      <c r="AU2173">
        <v>-0.36116994276024528</v>
      </c>
      <c r="AV2173">
        <v>0.2475544000951776</v>
      </c>
    </row>
    <row r="2174" spans="44:48" x14ac:dyDescent="0.2">
      <c r="AR2174">
        <v>2166</v>
      </c>
      <c r="AS2174">
        <v>348</v>
      </c>
      <c r="AT2174">
        <v>3</v>
      </c>
      <c r="AU2174">
        <v>-0.3302294114429003</v>
      </c>
      <c r="AV2174">
        <v>0.2705862463076148</v>
      </c>
    </row>
    <row r="2175" spans="44:48" x14ac:dyDescent="0.2">
      <c r="AR2175">
        <v>2167</v>
      </c>
      <c r="AS2175">
        <v>349</v>
      </c>
      <c r="AT2175">
        <v>3</v>
      </c>
      <c r="AU2175">
        <v>-0.29928888012555355</v>
      </c>
      <c r="AV2175">
        <v>0.29469501339429049</v>
      </c>
    </row>
    <row r="2176" spans="44:48" x14ac:dyDescent="0.2">
      <c r="AR2176">
        <v>2168</v>
      </c>
      <c r="AS2176">
        <v>350</v>
      </c>
      <c r="AT2176">
        <v>3</v>
      </c>
      <c r="AU2176">
        <v>-0.26834834880820679</v>
      </c>
      <c r="AV2176">
        <v>0.31979513855882385</v>
      </c>
    </row>
    <row r="2177" spans="44:48" x14ac:dyDescent="0.2">
      <c r="AR2177">
        <v>2169</v>
      </c>
      <c r="AS2177">
        <v>351</v>
      </c>
      <c r="AT2177">
        <v>3</v>
      </c>
      <c r="AU2177">
        <v>-0.23740781749086004</v>
      </c>
      <c r="AV2177">
        <v>0.34578243551706378</v>
      </c>
    </row>
    <row r="2178" spans="44:48" x14ac:dyDescent="0.2">
      <c r="AR2178">
        <v>2170</v>
      </c>
      <c r="AS2178">
        <v>352</v>
      </c>
      <c r="AT2178">
        <v>3</v>
      </c>
      <c r="AU2178">
        <v>-0.20646728617351506</v>
      </c>
      <c r="AV2178">
        <v>0.37253407378950065</v>
      </c>
    </row>
    <row r="2179" spans="44:48" x14ac:dyDescent="0.2">
      <c r="AR2179">
        <v>2171</v>
      </c>
      <c r="AS2179">
        <v>353</v>
      </c>
      <c r="AT2179">
        <v>3</v>
      </c>
      <c r="AU2179">
        <v>-0.17552675485616831</v>
      </c>
      <c r="AV2179">
        <v>0.39990890548249641</v>
      </c>
    </row>
    <row r="2180" spans="44:48" x14ac:dyDescent="0.2">
      <c r="AR2180">
        <v>2172</v>
      </c>
      <c r="AS2180">
        <v>354</v>
      </c>
      <c r="AT2180">
        <v>3</v>
      </c>
      <c r="AU2180">
        <v>-0.14458622353882156</v>
      </c>
      <c r="AV2180">
        <v>0.42774816040950359</v>
      </c>
    </row>
    <row r="2181" spans="44:48" x14ac:dyDescent="0.2">
      <c r="AR2181">
        <v>2173</v>
      </c>
      <c r="AS2181">
        <v>355</v>
      </c>
      <c r="AT2181">
        <v>3</v>
      </c>
      <c r="AU2181">
        <v>-0.1136456922214748</v>
      </c>
      <c r="AV2181">
        <v>0.45587652242434146</v>
      </c>
    </row>
    <row r="2182" spans="44:48" x14ac:dyDescent="0.2">
      <c r="AR2182">
        <v>2174</v>
      </c>
      <c r="AS2182">
        <v>356</v>
      </c>
      <c r="AT2182">
        <v>3</v>
      </c>
      <c r="AU2182">
        <v>-8.2705160904129826E-2</v>
      </c>
      <c r="AV2182">
        <v>0.48410359085961963</v>
      </c>
    </row>
    <row r="2183" spans="44:48" x14ac:dyDescent="0.2">
      <c r="AR2183">
        <v>2175</v>
      </c>
      <c r="AS2183">
        <v>357</v>
      </c>
      <c r="AT2183">
        <v>3</v>
      </c>
      <c r="AU2183">
        <v>-5.1764629586783073E-2</v>
      </c>
      <c r="AV2183">
        <v>0.51222572121044585</v>
      </c>
    </row>
    <row r="2184" spans="44:48" x14ac:dyDescent="0.2">
      <c r="AR2184">
        <v>2176</v>
      </c>
      <c r="AS2184">
        <v>358</v>
      </c>
      <c r="AT2184">
        <v>3</v>
      </c>
      <c r="AU2184">
        <v>-2.082409826943632E-2</v>
      </c>
      <c r="AV2184">
        <v>0.54002822894742275</v>
      </c>
    </row>
    <row r="2185" spans="44:48" x14ac:dyDescent="0.2">
      <c r="AR2185">
        <v>2177</v>
      </c>
      <c r="AS2185">
        <v>359</v>
      </c>
      <c r="AT2185">
        <v>3</v>
      </c>
      <c r="AU2185">
        <v>1.0116433047910434E-2</v>
      </c>
      <c r="AV2185">
        <v>0.56728792989230148</v>
      </c>
    </row>
    <row r="2186" spans="44:48" x14ac:dyDescent="0.2">
      <c r="AR2186">
        <v>2178</v>
      </c>
      <c r="AS2186">
        <v>360</v>
      </c>
      <c r="AT2186">
        <v>3</v>
      </c>
      <c r="AU2186">
        <v>4.1056964365255411E-2</v>
      </c>
      <c r="AV2186">
        <v>0.59377598028018774</v>
      </c>
    </row>
    <row r="2187" spans="44:48" x14ac:dyDescent="0.2">
      <c r="AR2187">
        <v>2179</v>
      </c>
      <c r="AS2187">
        <v>361</v>
      </c>
      <c r="AT2187">
        <v>3</v>
      </c>
      <c r="AU2187">
        <v>7.1997495682602164E-2</v>
      </c>
      <c r="AV2187">
        <v>0.61926096981553003</v>
      </c>
    </row>
    <row r="2188" spans="44:48" x14ac:dyDescent="0.2">
      <c r="AR2188">
        <v>2180</v>
      </c>
      <c r="AS2188">
        <v>362</v>
      </c>
      <c r="AT2188">
        <v>3</v>
      </c>
      <c r="AU2188">
        <v>0.10293802699994892</v>
      </c>
      <c r="AV2188">
        <v>0.64351221205863973</v>
      </c>
    </row>
    <row r="2189" spans="44:48" x14ac:dyDescent="0.2">
      <c r="AR2189">
        <v>2181</v>
      </c>
      <c r="AS2189">
        <v>363</v>
      </c>
      <c r="AT2189">
        <v>3</v>
      </c>
      <c r="AU2189">
        <v>0.13387855831729389</v>
      </c>
      <c r="AV2189">
        <v>0.66630316869691841</v>
      </c>
    </row>
    <row r="2190" spans="44:48" x14ac:dyDescent="0.2">
      <c r="AR2190">
        <v>2182</v>
      </c>
      <c r="AS2190">
        <v>364</v>
      </c>
      <c r="AT2190">
        <v>3</v>
      </c>
      <c r="AU2190">
        <v>0.16481908963464065</v>
      </c>
      <c r="AV2190">
        <v>0.68741493797514608</v>
      </c>
    </row>
    <row r="2191" spans="44:48" x14ac:dyDescent="0.2">
      <c r="AR2191">
        <v>2183</v>
      </c>
      <c r="AS2191">
        <v>365</v>
      </c>
      <c r="AT2191">
        <v>3</v>
      </c>
      <c r="AU2191">
        <v>0.1957596209519874</v>
      </c>
      <c r="AV2191">
        <v>0.7066397330568116</v>
      </c>
    </row>
    <row r="2192" spans="44:48" x14ac:dyDescent="0.2">
      <c r="AR2192">
        <v>2184</v>
      </c>
      <c r="AS2192">
        <v>366</v>
      </c>
      <c r="AT2192">
        <v>3</v>
      </c>
      <c r="AU2192">
        <v>0.22670015226933415</v>
      </c>
      <c r="AV2192">
        <v>0.72378427358467334</v>
      </c>
    </row>
    <row r="2193" spans="44:48" x14ac:dyDescent="0.2">
      <c r="AR2193">
        <v>2185</v>
      </c>
      <c r="AS2193">
        <v>367</v>
      </c>
      <c r="AT2193">
        <v>3</v>
      </c>
      <c r="AU2193">
        <v>0.25764068358667913</v>
      </c>
      <c r="AV2193">
        <v>0.73867301336014191</v>
      </c>
    </row>
    <row r="2194" spans="44:48" x14ac:dyDescent="0.2">
      <c r="AR2194">
        <v>2186</v>
      </c>
      <c r="AS2194">
        <v>368</v>
      </c>
      <c r="AT2194">
        <v>3</v>
      </c>
      <c r="AU2194">
        <v>0.28858121490402588</v>
      </c>
      <c r="AV2194">
        <v>0.7511511289513777</v>
      </c>
    </row>
    <row r="2195" spans="44:48" x14ac:dyDescent="0.2">
      <c r="AR2195">
        <v>2187</v>
      </c>
      <c r="AS2195">
        <v>369</v>
      </c>
      <c r="AT2195">
        <v>3</v>
      </c>
      <c r="AU2195">
        <v>0.31952174622137264</v>
      </c>
      <c r="AV2195">
        <v>0.76108719817367387</v>
      </c>
    </row>
    <row r="2196" spans="44:48" x14ac:dyDescent="0.2">
      <c r="AR2196">
        <v>2188</v>
      </c>
      <c r="AS2196">
        <v>370</v>
      </c>
      <c r="AT2196">
        <v>3</v>
      </c>
      <c r="AU2196">
        <v>0.35046227753871939</v>
      </c>
      <c r="AV2196">
        <v>0.76837550368599972</v>
      </c>
    </row>
    <row r="2197" spans="44:48" x14ac:dyDescent="0.2">
      <c r="AR2197">
        <v>2189</v>
      </c>
      <c r="AS2197">
        <v>371</v>
      </c>
      <c r="AT2197">
        <v>3</v>
      </c>
      <c r="AU2197">
        <v>0.38140280885606437</v>
      </c>
      <c r="AV2197">
        <v>0.77293790525700246</v>
      </c>
    </row>
    <row r="2198" spans="44:48" x14ac:dyDescent="0.2">
      <c r="AR2198">
        <v>2190</v>
      </c>
      <c r="AS2198">
        <v>372</v>
      </c>
      <c r="AT2198">
        <v>3</v>
      </c>
      <c r="AU2198">
        <v>0.41234334017341112</v>
      </c>
      <c r="AV2198">
        <v>0.77472523433896479</v>
      </c>
    </row>
    <row r="2199" spans="44:48" x14ac:dyDescent="0.2">
      <c r="AR2199">
        <v>2191</v>
      </c>
      <c r="AS2199">
        <v>373</v>
      </c>
      <c r="AT2199">
        <v>3</v>
      </c>
      <c r="AU2199">
        <v>0.44328387149075787</v>
      </c>
      <c r="AV2199">
        <v>0.77371817614751548</v>
      </c>
    </row>
    <row r="2200" spans="44:48" x14ac:dyDescent="0.2">
      <c r="AR2200">
        <v>2192</v>
      </c>
      <c r="AS2200">
        <v>374</v>
      </c>
      <c r="AT2200">
        <v>3</v>
      </c>
      <c r="AU2200">
        <v>0.47422440280810285</v>
      </c>
      <c r="AV2200">
        <v>0.76992761711948443</v>
      </c>
    </row>
    <row r="2201" spans="44:48" x14ac:dyDescent="0.2">
      <c r="AR2201">
        <v>2193</v>
      </c>
      <c r="AS2201">
        <v>375</v>
      </c>
      <c r="AT2201">
        <v>3</v>
      </c>
      <c r="AU2201">
        <v>0.50516493412544961</v>
      </c>
      <c r="AV2201">
        <v>0.76339444900870657</v>
      </c>
    </row>
    <row r="2202" spans="44:48" x14ac:dyDescent="0.2">
      <c r="AR2202">
        <v>2194</v>
      </c>
      <c r="AS2202">
        <v>376</v>
      </c>
      <c r="AT2202">
        <v>3</v>
      </c>
      <c r="AU2202">
        <v>0.53610546544279636</v>
      </c>
      <c r="AV2202">
        <v>0.75418883454933738</v>
      </c>
    </row>
    <row r="2203" spans="44:48" x14ac:dyDescent="0.2">
      <c r="AR2203">
        <v>2195</v>
      </c>
      <c r="AS2203">
        <v>377</v>
      </c>
      <c r="AT2203">
        <v>3</v>
      </c>
      <c r="AU2203">
        <v>0.56704599676014311</v>
      </c>
      <c r="AV2203">
        <v>0.74240895312669952</v>
      </c>
    </row>
    <row r="2204" spans="44:48" x14ac:dyDescent="0.2">
      <c r="AR2204">
        <v>2196</v>
      </c>
      <c r="AS2204">
        <v>378</v>
      </c>
      <c r="AT2204">
        <v>3</v>
      </c>
      <c r="AU2204">
        <v>0.59798652807748809</v>
      </c>
      <c r="AV2204">
        <v>0.7281792578115025</v>
      </c>
    </row>
    <row r="2205" spans="44:48" x14ac:dyDescent="0.2">
      <c r="AR2205">
        <v>2197</v>
      </c>
      <c r="AS2205">
        <v>379</v>
      </c>
      <c r="AT2205">
        <v>3</v>
      </c>
      <c r="AU2205">
        <v>0.62892705939483484</v>
      </c>
      <c r="AV2205">
        <v>0.71164828702253247</v>
      </c>
    </row>
    <row r="2206" spans="44:48" x14ac:dyDescent="0.2">
      <c r="AR2206">
        <v>2198</v>
      </c>
      <c r="AS2206">
        <v>380</v>
      </c>
      <c r="AT2206">
        <v>3</v>
      </c>
      <c r="AU2206">
        <v>0.6598675907121816</v>
      </c>
      <c r="AV2206">
        <v>0.6929860846131124</v>
      </c>
    </row>
    <row r="2207" spans="44:48" x14ac:dyDescent="0.2">
      <c r="AR2207">
        <v>2199</v>
      </c>
      <c r="AS2207">
        <v>381</v>
      </c>
      <c r="AT2207">
        <v>3</v>
      </c>
      <c r="AU2207">
        <v>0.69080812202952835</v>
      </c>
      <c r="AV2207">
        <v>0.67238129100890964</v>
      </c>
    </row>
    <row r="2208" spans="44:48" x14ac:dyDescent="0.2">
      <c r="AR2208">
        <v>2200</v>
      </c>
      <c r="AS2208">
        <v>382</v>
      </c>
      <c r="AT2208">
        <v>3</v>
      </c>
      <c r="AU2208">
        <v>0.72174865334687333</v>
      </c>
      <c r="AV2208">
        <v>0.65003797490567938</v>
      </c>
    </row>
    <row r="2209" spans="44:48" x14ac:dyDescent="0.2">
      <c r="AR2209">
        <v>2201</v>
      </c>
      <c r="AS2209">
        <v>383</v>
      </c>
      <c r="AT2209">
        <v>3</v>
      </c>
      <c r="AU2209">
        <v>0.75268918466422008</v>
      </c>
      <c r="AV2209">
        <v>0.62617227978592804</v>
      </c>
    </row>
    <row r="2210" spans="44:48" x14ac:dyDescent="0.2">
      <c r="AR2210">
        <v>2202</v>
      </c>
      <c r="AS2210">
        <v>384</v>
      </c>
      <c r="AT2210">
        <v>3</v>
      </c>
      <c r="AU2210">
        <v>0.78362971598156683</v>
      </c>
      <c r="AV2210">
        <v>0.60100896203374532</v>
      </c>
    </row>
    <row r="2211" spans="44:48" x14ac:dyDescent="0.2">
      <c r="AR2211">
        <v>2203</v>
      </c>
      <c r="AS2211">
        <v>385</v>
      </c>
      <c r="AT2211">
        <v>3</v>
      </c>
      <c r="AU2211">
        <v>0.81457024729891181</v>
      </c>
      <c r="AV2211">
        <v>0.57477789769901844</v>
      </c>
    </row>
    <row r="2212" spans="44:48" x14ac:dyDescent="0.2">
      <c r="AR2212">
        <v>2204</v>
      </c>
      <c r="AS2212">
        <v>386</v>
      </c>
      <c r="AT2212">
        <v>3</v>
      </c>
      <c r="AU2212">
        <v>0.84551077861625856</v>
      </c>
      <c r="AV2212">
        <v>0.54771063304798817</v>
      </c>
    </row>
    <row r="2213" spans="44:48" x14ac:dyDescent="0.2">
      <c r="AR2213">
        <v>2205</v>
      </c>
      <c r="AS2213">
        <v>387</v>
      </c>
      <c r="AT2213">
        <v>3</v>
      </c>
      <c r="AU2213">
        <v>0.87645130993360532</v>
      </c>
      <c r="AV2213">
        <v>0.52003705007356404</v>
      </c>
    </row>
    <row r="2214" spans="44:48" x14ac:dyDescent="0.2">
      <c r="AR2214">
        <v>2206</v>
      </c>
      <c r="AS2214">
        <v>388</v>
      </c>
      <c r="AT2214">
        <v>3</v>
      </c>
      <c r="AU2214">
        <v>0.90739184125095207</v>
      </c>
      <c r="AV2214">
        <v>0.49198221233012829</v>
      </c>
    </row>
    <row r="2215" spans="44:48" x14ac:dyDescent="0.2">
      <c r="AR2215">
        <v>2207</v>
      </c>
      <c r="AS2215">
        <v>389</v>
      </c>
      <c r="AT2215">
        <v>3</v>
      </c>
      <c r="AU2215">
        <v>0.93833237256829705</v>
      </c>
      <c r="AV2215">
        <v>0.46376344906474687</v>
      </c>
    </row>
    <row r="2216" spans="44:48" x14ac:dyDescent="0.2">
      <c r="AR2216">
        <v>2208</v>
      </c>
      <c r="AS2216">
        <v>390</v>
      </c>
      <c r="AT2216">
        <v>3</v>
      </c>
      <c r="AU2216">
        <v>0.9692729038856438</v>
      </c>
      <c r="AV2216">
        <v>0.43558772694465164</v>
      </c>
    </row>
    <row r="2217" spans="44:48" x14ac:dyDescent="0.2">
      <c r="AR2217">
        <v>2209</v>
      </c>
      <c r="AS2217">
        <v>391</v>
      </c>
      <c r="AT2217">
        <v>3</v>
      </c>
      <c r="AU2217">
        <v>1.0002134352029906</v>
      </c>
      <c r="AV2217">
        <v>0.40764934906534384</v>
      </c>
    </row>
    <row r="2218" spans="44:48" x14ac:dyDescent="0.2">
      <c r="AR2218">
        <v>2210</v>
      </c>
      <c r="AS2218">
        <v>392</v>
      </c>
      <c r="AT2218">
        <v>3</v>
      </c>
      <c r="AU2218">
        <v>1.0311539665203373</v>
      </c>
      <c r="AV2218">
        <v>0.38012801071616109</v>
      </c>
    </row>
    <row r="2219" spans="44:48" x14ac:dyDescent="0.2">
      <c r="AR2219">
        <v>2211</v>
      </c>
      <c r="AS2219">
        <v>393</v>
      </c>
      <c r="AT2219">
        <v>3</v>
      </c>
      <c r="AU2219">
        <v>1.0620944978376823</v>
      </c>
      <c r="AV2219">
        <v>0.35318723093427495</v>
      </c>
    </row>
    <row r="2220" spans="44:48" x14ac:dyDescent="0.2">
      <c r="AR2220">
        <v>2212</v>
      </c>
      <c r="AS2220">
        <v>394</v>
      </c>
      <c r="AT2220">
        <v>3</v>
      </c>
      <c r="AU2220">
        <v>1.093035029155029</v>
      </c>
      <c r="AV2220">
        <v>0.32697316853513053</v>
      </c>
    </row>
    <row r="2221" spans="44:48" x14ac:dyDescent="0.2">
      <c r="AR2221">
        <v>2213</v>
      </c>
      <c r="AS2221">
        <v>395</v>
      </c>
      <c r="AT2221">
        <v>3</v>
      </c>
      <c r="AU2221">
        <v>1.1239755604723758</v>
      </c>
      <c r="AV2221">
        <v>0.30161382138473608</v>
      </c>
    </row>
    <row r="2222" spans="44:48" x14ac:dyDescent="0.2">
      <c r="AR2222">
        <v>2214</v>
      </c>
      <c r="AS2222">
        <v>396</v>
      </c>
      <c r="AT2222">
        <v>3</v>
      </c>
      <c r="AU2222">
        <v>1.1549160917897225</v>
      </c>
      <c r="AV2222">
        <v>0.27721859845911995</v>
      </c>
    </row>
    <row r="2223" spans="44:48" x14ac:dyDescent="0.2">
      <c r="AR2223">
        <v>2215</v>
      </c>
      <c r="AS2223">
        <v>397</v>
      </c>
      <c r="AT2223">
        <v>3</v>
      </c>
      <c r="AU2223">
        <v>1.1858566231070675</v>
      </c>
      <c r="AV2223">
        <v>0.25387824595790709</v>
      </c>
    </row>
    <row r="2224" spans="44:48" x14ac:dyDescent="0.2">
      <c r="AR2224">
        <v>2216</v>
      </c>
      <c r="AS2224">
        <v>398</v>
      </c>
      <c r="AT2224">
        <v>3</v>
      </c>
      <c r="AU2224">
        <v>1.2167971544244143</v>
      </c>
      <c r="AV2224">
        <v>0.23166510159165946</v>
      </c>
    </row>
    <row r="2225" spans="44:48" x14ac:dyDescent="0.2">
      <c r="AR2225">
        <v>2217</v>
      </c>
      <c r="AS2225">
        <v>399</v>
      </c>
      <c r="AT2225">
        <v>3</v>
      </c>
      <c r="AU2225">
        <v>1.247737685741761</v>
      </c>
      <c r="AV2225">
        <v>0.21063364528299022</v>
      </c>
    </row>
    <row r="2226" spans="44:48" x14ac:dyDescent="0.2">
      <c r="AR2226">
        <v>2218</v>
      </c>
      <c r="AS2226">
        <v>400</v>
      </c>
      <c r="AT2226">
        <v>3</v>
      </c>
      <c r="AU2226">
        <v>1.278678217059106</v>
      </c>
      <c r="AV2226">
        <v>0.19082130999153865</v>
      </c>
    </row>
    <row r="2227" spans="44:48" x14ac:dyDescent="0.2">
      <c r="AR2227">
        <v>2219</v>
      </c>
      <c r="AS2227">
        <v>401</v>
      </c>
      <c r="AT2227">
        <v>3</v>
      </c>
      <c r="AU2227">
        <v>1.3096187483764528</v>
      </c>
      <c r="AV2227">
        <v>0.17224951322197454</v>
      </c>
    </row>
    <row r="2228" spans="44:48" x14ac:dyDescent="0.2">
      <c r="AR2228">
        <v>2220</v>
      </c>
      <c r="AS2228">
        <v>402</v>
      </c>
      <c r="AT2228">
        <v>3</v>
      </c>
      <c r="AU2228">
        <v>1.3405592796937995</v>
      </c>
      <c r="AV2228">
        <v>0.15492486798146643</v>
      </c>
    </row>
    <row r="2229" spans="44:48" x14ac:dyDescent="0.2">
      <c r="AR2229">
        <v>2221</v>
      </c>
      <c r="AS2229">
        <v>403</v>
      </c>
      <c r="AT2229">
        <v>3</v>
      </c>
      <c r="AU2229">
        <v>1.3714998110111463</v>
      </c>
      <c r="AV2229">
        <v>0.13884053145306263</v>
      </c>
    </row>
    <row r="2230" spans="44:48" x14ac:dyDescent="0.2">
      <c r="AR2230">
        <v>2222</v>
      </c>
      <c r="AS2230">
        <v>404</v>
      </c>
      <c r="AT2230">
        <v>3</v>
      </c>
      <c r="AU2230">
        <v>1.4024403423284912</v>
      </c>
      <c r="AV2230">
        <v>0.12397765034051637</v>
      </c>
    </row>
    <row r="2231" spans="44:48" x14ac:dyDescent="0.2">
      <c r="AR2231">
        <v>2223</v>
      </c>
      <c r="AS2231">
        <v>405</v>
      </c>
      <c r="AT2231">
        <v>3</v>
      </c>
      <c r="AU2231">
        <v>1.433380873645838</v>
      </c>
      <c r="AV2231">
        <v>0.11030686358342211</v>
      </c>
    </row>
    <row r="2232" spans="44:48" x14ac:dyDescent="0.2">
      <c r="AR2232">
        <v>2224</v>
      </c>
      <c r="AS2232">
        <v>406</v>
      </c>
      <c r="AT2232">
        <v>3</v>
      </c>
      <c r="AU2232">
        <v>1.4643214049631847</v>
      </c>
      <c r="AV2232">
        <v>9.7789825781687656E-2</v>
      </c>
    </row>
    <row r="2233" spans="44:48" x14ac:dyDescent="0.2">
      <c r="AR2233">
        <v>2225</v>
      </c>
      <c r="AS2233">
        <v>407</v>
      </c>
      <c r="AT2233">
        <v>3</v>
      </c>
      <c r="AU2233">
        <v>1.4952619362805315</v>
      </c>
      <c r="AV2233">
        <v>8.6380718032942949E-2</v>
      </c>
    </row>
    <row r="2234" spans="44:48" x14ac:dyDescent="0.2">
      <c r="AR2234">
        <v>2226</v>
      </c>
      <c r="AS2234">
        <v>408</v>
      </c>
      <c r="AT2234">
        <v>3</v>
      </c>
      <c r="AU2234">
        <v>1.5262024675978765</v>
      </c>
      <c r="AV2234">
        <v>7.6027716796521316E-2</v>
      </c>
    </row>
    <row r="2235" spans="44:48" x14ac:dyDescent="0.2">
      <c r="AR2235">
        <v>2227</v>
      </c>
      <c r="AS2235">
        <v>409</v>
      </c>
      <c r="AT2235">
        <v>3</v>
      </c>
      <c r="AU2235">
        <v>1.5571429989152232</v>
      </c>
      <c r="AV2235">
        <v>6.6674395674565956E-2</v>
      </c>
    </row>
    <row r="2236" spans="44:48" x14ac:dyDescent="0.2">
      <c r="AR2236">
        <v>2228</v>
      </c>
      <c r="AS2236">
        <v>410</v>
      </c>
      <c r="AT2236">
        <v>3</v>
      </c>
      <c r="AU2236">
        <v>1.58808353023257</v>
      </c>
      <c r="AV2236">
        <v>5.826103947343781E-2</v>
      </c>
    </row>
    <row r="2237" spans="44:48" x14ac:dyDescent="0.2">
      <c r="AR2237">
        <v>2229</v>
      </c>
      <c r="AS2237">
        <v>411</v>
      </c>
      <c r="AT2237">
        <v>3</v>
      </c>
      <c r="AU2237">
        <v>1.619024061549915</v>
      </c>
      <c r="AV2237">
        <v>5.0725854418347767E-2</v>
      </c>
    </row>
    <row r="2238" spans="44:48" x14ac:dyDescent="0.2">
      <c r="AR2238">
        <v>2230</v>
      </c>
      <c r="AS2238">
        <v>412</v>
      </c>
      <c r="AT2238">
        <v>3</v>
      </c>
      <c r="AU2238">
        <v>1.6499645928672617</v>
      </c>
      <c r="AV2238">
        <v>4.4006062799768146E-2</v>
      </c>
    </row>
    <row r="2239" spans="44:48" x14ac:dyDescent="0.2">
      <c r="AR2239">
        <v>2231</v>
      </c>
      <c r="AS2239">
        <v>413</v>
      </c>
      <c r="AT2239">
        <v>3</v>
      </c>
      <c r="AU2239">
        <v>1.6809051241846085</v>
      </c>
      <c r="AV2239">
        <v>3.8038874510717011E-2</v>
      </c>
    </row>
    <row r="2240" spans="44:48" x14ac:dyDescent="0.2">
      <c r="AR2240">
        <v>2232</v>
      </c>
      <c r="AS2240">
        <v>414</v>
      </c>
      <c r="AT2240">
        <v>3</v>
      </c>
      <c r="AU2240">
        <v>1.7118456555019552</v>
      </c>
      <c r="AV2240">
        <v>3.2762331790949908E-2</v>
      </c>
    </row>
    <row r="2241" spans="44:48" x14ac:dyDescent="0.2">
      <c r="AR2241">
        <v>2233</v>
      </c>
      <c r="AS2241">
        <v>415</v>
      </c>
      <c r="AT2241">
        <v>3</v>
      </c>
      <c r="AU2241">
        <v>1.7427861868193002</v>
      </c>
      <c r="AV2241">
        <v>2.8116026952219215E-2</v>
      </c>
    </row>
    <row r="2242" spans="44:48" x14ac:dyDescent="0.2">
      <c r="AR2242">
        <v>2234</v>
      </c>
      <c r="AS2242">
        <v>416</v>
      </c>
      <c r="AT2242">
        <v>3</v>
      </c>
      <c r="AU2242">
        <v>1.773726718136647</v>
      </c>
      <c r="AV2242">
        <v>2.4041695865828518E-2</v>
      </c>
    </row>
    <row r="2243" spans="44:48" x14ac:dyDescent="0.2">
      <c r="AR2243">
        <v>2235</v>
      </c>
      <c r="AS2243">
        <v>417</v>
      </c>
      <c r="AT2243">
        <v>3</v>
      </c>
      <c r="AU2243">
        <v>1.8046672494539937</v>
      </c>
      <c r="AV2243">
        <v>2.0483692519565971E-2</v>
      </c>
    </row>
    <row r="2244" spans="44:48" x14ac:dyDescent="0.2">
      <c r="AR2244">
        <v>2236</v>
      </c>
      <c r="AS2244">
        <v>418</v>
      </c>
      <c r="AT2244">
        <v>3</v>
      </c>
      <c r="AU2244">
        <v>1.8356077807713405</v>
      </c>
      <c r="AV2244">
        <v>1.7389351985655936E-2</v>
      </c>
    </row>
    <row r="2245" spans="44:48" x14ac:dyDescent="0.2">
      <c r="AR2245">
        <v>2237</v>
      </c>
      <c r="AS2245">
        <v>419</v>
      </c>
      <c r="AT2245">
        <v>3</v>
      </c>
      <c r="AU2245">
        <v>1.8665483120886854</v>
      </c>
      <c r="AV2245">
        <v>1.4709250692379034E-2</v>
      </c>
    </row>
    <row r="2246" spans="44:48" x14ac:dyDescent="0.2">
      <c r="AR2246">
        <v>2238</v>
      </c>
      <c r="AS2246">
        <v>420</v>
      </c>
      <c r="AT2246">
        <v>3</v>
      </c>
      <c r="AU2246">
        <v>1.8974888434060322</v>
      </c>
      <c r="AV2246">
        <v>1.239737398215782E-2</v>
      </c>
    </row>
    <row r="2247" spans="44:48" x14ac:dyDescent="0.2">
      <c r="AR2247">
        <v>2239</v>
      </c>
      <c r="AS2247">
        <v>421</v>
      </c>
      <c r="AT2247">
        <v>3</v>
      </c>
      <c r="AU2247">
        <v>1.9284293747233789</v>
      </c>
      <c r="AV2247">
        <v>1.041120160296023E-2</v>
      </c>
    </row>
    <row r="2248" spans="44:48" x14ac:dyDescent="0.2">
      <c r="AR2248">
        <v>2240</v>
      </c>
      <c r="AS2248">
        <v>422</v>
      </c>
      <c r="AT2248">
        <v>3</v>
      </c>
      <c r="AU2248">
        <v>1.9593699060407257</v>
      </c>
      <c r="AV2248">
        <v>8.7117220615574968E-3</v>
      </c>
    </row>
    <row r="2249" spans="44:48" x14ac:dyDescent="0.2">
      <c r="AR2249">
        <v>2241</v>
      </c>
      <c r="AS2249">
        <v>423</v>
      </c>
      <c r="AT2249">
        <v>3</v>
      </c>
      <c r="AU2249">
        <v>1.9903104373580707</v>
      </c>
      <c r="AV2249">
        <v>7.2633867163206193E-3</v>
      </c>
    </row>
    <row r="2250" spans="44:48" x14ac:dyDescent="0.2">
      <c r="AR2250">
        <v>2242</v>
      </c>
      <c r="AS2250">
        <v>424</v>
      </c>
      <c r="AT2250">
        <v>3</v>
      </c>
      <c r="AU2250">
        <v>2.0212509686754174</v>
      </c>
      <c r="AV2250">
        <v>6.034014156974573E-3</v>
      </c>
    </row>
    <row r="2251" spans="44:48" x14ac:dyDescent="0.2">
      <c r="AR2251">
        <v>2243</v>
      </c>
      <c r="AS2251">
        <v>425</v>
      </c>
      <c r="AT2251">
        <v>3</v>
      </c>
      <c r="AU2251">
        <v>2.0521914999927642</v>
      </c>
      <c r="AV2251">
        <v>4.9946548630973517E-3</v>
      </c>
    </row>
    <row r="2252" spans="44:48" x14ac:dyDescent="0.2">
      <c r="AR2252">
        <v>2244</v>
      </c>
      <c r="AS2252">
        <v>426</v>
      </c>
      <c r="AT2252">
        <v>3</v>
      </c>
      <c r="AU2252">
        <v>2.0831320313101092</v>
      </c>
      <c r="AV2252">
        <v>4.1194254049607588E-3</v>
      </c>
    </row>
    <row r="2253" spans="44:48" x14ac:dyDescent="0.2">
      <c r="AR2253">
        <v>2245</v>
      </c>
      <c r="AS2253">
        <v>427</v>
      </c>
      <c r="AT2253">
        <v>3</v>
      </c>
      <c r="AU2253">
        <v>2.1140725626274559</v>
      </c>
      <c r="AV2253">
        <v>3.3853205994651306E-3</v>
      </c>
    </row>
    <row r="2254" spans="44:48" x14ac:dyDescent="0.2">
      <c r="AR2254">
        <v>2246</v>
      </c>
      <c r="AS2254">
        <v>428</v>
      </c>
      <c r="AT2254">
        <v>3</v>
      </c>
      <c r="AU2254">
        <v>2.1450130939448027</v>
      </c>
      <c r="AV2254">
        <v>2.7720111060579632E-3</v>
      </c>
    </row>
    <row r="2255" spans="44:48" x14ac:dyDescent="0.2">
      <c r="AR2255">
        <v>2247</v>
      </c>
      <c r="AS2255">
        <v>429</v>
      </c>
      <c r="AT2255">
        <v>3</v>
      </c>
      <c r="AU2255">
        <v>2.1759536252621494</v>
      </c>
      <c r="AV2255">
        <v>2.261632983114506E-3</v>
      </c>
    </row>
    <row r="2256" spans="44:48" x14ac:dyDescent="0.2">
      <c r="AR2256">
        <v>2248</v>
      </c>
      <c r="AS2256">
        <v>430</v>
      </c>
      <c r="AT2256">
        <v>3</v>
      </c>
      <c r="AU2256">
        <v>2.2068941565794944</v>
      </c>
      <c r="AV2256">
        <v>1.8385747590073959E-3</v>
      </c>
    </row>
    <row r="2257" spans="44:48" x14ac:dyDescent="0.2">
      <c r="AR2257">
        <v>2249</v>
      </c>
      <c r="AS2257">
        <v>431</v>
      </c>
      <c r="AT2257">
        <v>3</v>
      </c>
      <c r="AU2257">
        <v>2.2378346878968411</v>
      </c>
      <c r="AV2257">
        <v>1.4892666326998363E-3</v>
      </c>
    </row>
    <row r="2258" spans="44:48" x14ac:dyDescent="0.2">
      <c r="AR2258">
        <v>2250</v>
      </c>
      <c r="AS2258">
        <v>432</v>
      </c>
      <c r="AT2258">
        <v>3</v>
      </c>
      <c r="AU2258">
        <v>2.2687752192141879</v>
      </c>
      <c r="AV2258">
        <v>1.2019755288943687E-3</v>
      </c>
    </row>
    <row r="2259" spans="44:48" x14ac:dyDescent="0.2">
      <c r="AR2259">
        <v>2251</v>
      </c>
      <c r="AS2259">
        <v>433</v>
      </c>
      <c r="AT2259">
        <v>3</v>
      </c>
      <c r="AU2259">
        <v>2.2997157505315347</v>
      </c>
      <c r="AV2259">
        <v>9.6660890955983466E-4</v>
      </c>
    </row>
    <row r="2260" spans="44:48" x14ac:dyDescent="0.2">
      <c r="AR2260">
        <v>2252</v>
      </c>
      <c r="AS2260">
        <v>434</v>
      </c>
      <c r="AT2260">
        <v>3</v>
      </c>
      <c r="AU2260">
        <v>2.3306562818488796</v>
      </c>
      <c r="AV2260">
        <v>7.7452949876881502E-4</v>
      </c>
    </row>
    <row r="2261" spans="44:48" x14ac:dyDescent="0.2">
      <c r="AR2261">
        <v>2253</v>
      </c>
      <c r="AS2261">
        <v>435</v>
      </c>
      <c r="AT2261">
        <v>3</v>
      </c>
      <c r="AU2261">
        <v>2.3615968131662264</v>
      </c>
      <c r="AV2261">
        <v>6.183824181993096E-4</v>
      </c>
    </row>
    <row r="2262" spans="44:48" x14ac:dyDescent="0.2">
      <c r="AR2262">
        <v>2254</v>
      </c>
      <c r="AS2262">
        <v>436</v>
      </c>
      <c r="AT2262">
        <v>3</v>
      </c>
      <c r="AU2262">
        <v>2.3925373444835731</v>
      </c>
      <c r="AV2262">
        <v>4.9193565930053559E-4</v>
      </c>
    </row>
    <row r="2263" spans="44:48" x14ac:dyDescent="0.2">
      <c r="AR2263">
        <v>2255</v>
      </c>
      <c r="AS2263">
        <v>437</v>
      </c>
      <c r="AT2263">
        <v>3</v>
      </c>
      <c r="AU2263">
        <v>2.4234778758009181</v>
      </c>
      <c r="AV2263">
        <v>3.8993433449179915E-4</v>
      </c>
    </row>
    <row r="2264" spans="44:48" x14ac:dyDescent="0.2">
      <c r="AR2264">
        <v>2256</v>
      </c>
      <c r="AS2264">
        <v>438</v>
      </c>
      <c r="AT2264">
        <v>3</v>
      </c>
      <c r="AU2264">
        <v>2.4544184071182649</v>
      </c>
      <c r="AV2264">
        <v>3.0796875062598936E-4</v>
      </c>
    </row>
    <row r="2265" spans="44:48" x14ac:dyDescent="0.2">
      <c r="AR2265">
        <v>2257</v>
      </c>
      <c r="AS2265">
        <v>439</v>
      </c>
      <c r="AT2265">
        <v>3</v>
      </c>
      <c r="AU2265">
        <v>2.4853589384356116</v>
      </c>
      <c r="AV2265">
        <v>2.4235602799341731E-4</v>
      </c>
    </row>
    <row r="2266" spans="44:48" x14ac:dyDescent="0.2">
      <c r="AR2266">
        <v>2258</v>
      </c>
      <c r="AS2266">
        <v>440</v>
      </c>
      <c r="AT2266">
        <v>3</v>
      </c>
      <c r="AU2266">
        <v>2.5162994697529584</v>
      </c>
      <c r="AV2266">
        <v>1.9003474058053448E-4</v>
      </c>
    </row>
    <row r="2267" spans="44:48" x14ac:dyDescent="0.2">
      <c r="AR2267">
        <v>2259</v>
      </c>
      <c r="AS2267">
        <v>441</v>
      </c>
      <c r="AT2267">
        <v>3</v>
      </c>
      <c r="AU2267">
        <v>2.5472400010703034</v>
      </c>
      <c r="AV2267">
        <v>1.4847187040598241E-4</v>
      </c>
    </row>
    <row r="2268" spans="44:48" x14ac:dyDescent="0.2">
      <c r="AR2268">
        <v>2260</v>
      </c>
      <c r="AS2268">
        <v>442</v>
      </c>
      <c r="AT2268">
        <v>3</v>
      </c>
      <c r="AU2268">
        <v>2.5781805323876501</v>
      </c>
      <c r="AV2268">
        <v>1.1558124233375188E-4</v>
      </c>
    </row>
    <row r="2269" spans="44:48" x14ac:dyDescent="0.2">
      <c r="AR2269">
        <v>2261</v>
      </c>
      <c r="AS2269">
        <v>443</v>
      </c>
      <c r="AT2269">
        <v>3</v>
      </c>
      <c r="AU2269">
        <v>2.6091210637049969</v>
      </c>
      <c r="AV2269">
        <v>8.9652527524949424E-5</v>
      </c>
    </row>
    <row r="2270" spans="44:48" x14ac:dyDescent="0.2">
      <c r="AR2270">
        <v>2262</v>
      </c>
      <c r="AS2270">
        <v>444</v>
      </c>
      <c r="AT2270">
        <v>3</v>
      </c>
      <c r="AU2270">
        <v>2.6400615950223436</v>
      </c>
      <c r="AV2270">
        <v>6.9289865572613672E-5</v>
      </c>
    </row>
    <row r="2271" spans="44:48" x14ac:dyDescent="0.2">
      <c r="AR2271">
        <v>2263</v>
      </c>
      <c r="AS2271">
        <v>445</v>
      </c>
      <c r="AT2271">
        <v>3</v>
      </c>
      <c r="AU2271">
        <v>2.6710021263396886</v>
      </c>
      <c r="AV2271">
        <v>5.3359149763562854E-5</v>
      </c>
    </row>
    <row r="2272" spans="44:48" x14ac:dyDescent="0.2">
      <c r="AR2272">
        <v>2264</v>
      </c>
      <c r="AS2272">
        <v>446</v>
      </c>
      <c r="AT2272">
        <v>3</v>
      </c>
      <c r="AU2272">
        <v>2.7019426576570353</v>
      </c>
      <c r="AV2272">
        <v>4.0943039846814993E-5</v>
      </c>
    </row>
    <row r="2273" spans="44:48" x14ac:dyDescent="0.2">
      <c r="AR2273">
        <v>2265</v>
      </c>
      <c r="AS2273">
        <v>447</v>
      </c>
      <c r="AT2273">
        <v>3</v>
      </c>
      <c r="AU2273">
        <v>2.7328831889743821</v>
      </c>
      <c r="AV2273">
        <v>3.13028059111742E-5</v>
      </c>
    </row>
    <row r="2274" spans="44:48" x14ac:dyDescent="0.2">
      <c r="AR2274">
        <v>2266</v>
      </c>
      <c r="AS2274">
        <v>448</v>
      </c>
      <c r="AT2274">
        <v>3</v>
      </c>
      <c r="AU2274">
        <v>2.7638237202917288</v>
      </c>
      <c r="AV2274">
        <v>2.3846160022962974E-5</v>
      </c>
    </row>
    <row r="2275" spans="44:48" x14ac:dyDescent="0.2">
      <c r="AR2275">
        <v>2267</v>
      </c>
      <c r="AS2275">
        <v>449</v>
      </c>
      <c r="AT2275">
        <v>3</v>
      </c>
      <c r="AU2275">
        <v>2.7947642516090738</v>
      </c>
      <c r="AV2275">
        <v>1.8100294486645728E-5</v>
      </c>
    </row>
    <row r="2276" spans="44:48" x14ac:dyDescent="0.2">
      <c r="AR2276">
        <v>2268</v>
      </c>
      <c r="AS2276">
        <v>450</v>
      </c>
      <c r="AT2276">
        <v>3</v>
      </c>
      <c r="AU2276">
        <v>2.8257047829264206</v>
      </c>
      <c r="AV2276">
        <v>1.3689413083627024E-5</v>
      </c>
    </row>
    <row r="2277" spans="44:48" x14ac:dyDescent="0.2">
      <c r="AR2277">
        <v>2269</v>
      </c>
      <c r="AS2277">
        <v>451</v>
      </c>
      <c r="AT2277">
        <v>3</v>
      </c>
      <c r="AU2277">
        <v>2.8566453142437673</v>
      </c>
      <c r="AV2277">
        <v>1.0316111269975473E-5</v>
      </c>
    </row>
    <row r="2278" spans="44:48" x14ac:dyDescent="0.2">
      <c r="AR2278">
        <v>2270</v>
      </c>
      <c r="AS2278">
        <v>452</v>
      </c>
      <c r="AT2278">
        <v>3</v>
      </c>
      <c r="AU2278">
        <v>2.8875858455611123</v>
      </c>
      <c r="AV2278">
        <v>7.7460305963330081E-6</v>
      </c>
    </row>
    <row r="2279" spans="44:48" x14ac:dyDescent="0.2">
      <c r="AR2279">
        <v>2271</v>
      </c>
      <c r="AS2279">
        <v>453</v>
      </c>
      <c r="AT2279">
        <v>3</v>
      </c>
      <c r="AU2279">
        <v>2.9185263768784591</v>
      </c>
      <c r="AV2279">
        <v>5.7952796760521414E-6</v>
      </c>
    </row>
    <row r="2280" spans="44:48" x14ac:dyDescent="0.2">
      <c r="AR2280">
        <v>2272</v>
      </c>
      <c r="AS2280">
        <v>454</v>
      </c>
      <c r="AT2280">
        <v>3</v>
      </c>
      <c r="AU2280">
        <v>2.9494669081958058</v>
      </c>
      <c r="AV2280">
        <v>4.3201775144808878E-6</v>
      </c>
    </row>
    <row r="2281" spans="44:48" x14ac:dyDescent="0.2">
      <c r="AR2281">
        <v>2273</v>
      </c>
      <c r="AS2281">
        <v>455</v>
      </c>
      <c r="AT2281">
        <v>3</v>
      </c>
      <c r="AU2281">
        <v>2.9804074395131526</v>
      </c>
      <c r="AV2281">
        <v>3.2089340087716945E-6</v>
      </c>
    </row>
    <row r="2282" spans="44:48" x14ac:dyDescent="0.2">
      <c r="AR2282">
        <v>2274</v>
      </c>
      <c r="AS2282">
        <v>456</v>
      </c>
      <c r="AT2282">
        <v>3</v>
      </c>
      <c r="AU2282">
        <v>3.0113479708304975</v>
      </c>
      <c r="AV2282">
        <v>2.3749363842410293E-6</v>
      </c>
    </row>
    <row r="2283" spans="44:48" x14ac:dyDescent="0.2">
      <c r="AR2283">
        <v>2275</v>
      </c>
      <c r="AS2283">
        <v>457</v>
      </c>
      <c r="AT2283">
        <v>3</v>
      </c>
      <c r="AU2283">
        <v>3.0422885021478443</v>
      </c>
      <c r="AV2283">
        <v>1.7513589945518743E-6</v>
      </c>
    </row>
    <row r="2284" spans="44:48" x14ac:dyDescent="0.2">
      <c r="AR2284">
        <v>2276</v>
      </c>
      <c r="AS2284">
        <v>458</v>
      </c>
      <c r="AT2284">
        <v>3</v>
      </c>
      <c r="AU2284">
        <v>3.0732290334651911</v>
      </c>
      <c r="AV2284">
        <v>1.2868572524334154E-6</v>
      </c>
    </row>
    <row r="2285" spans="44:48" x14ac:dyDescent="0.2">
      <c r="AR2285">
        <v>2277</v>
      </c>
      <c r="AS2285">
        <v>459</v>
      </c>
      <c r="AT2285">
        <v>3</v>
      </c>
      <c r="AU2285">
        <v>3.1041695647825378</v>
      </c>
      <c r="AV2285">
        <v>9.4214462109528128E-7</v>
      </c>
    </row>
    <row r="2286" spans="44:48" x14ac:dyDescent="0.2">
      <c r="AR2286">
        <v>2278</v>
      </c>
      <c r="AS2286">
        <v>460</v>
      </c>
      <c r="AT2286">
        <v>3</v>
      </c>
      <c r="AU2286">
        <v>3.1351100960998828</v>
      </c>
      <c r="AV2286">
        <v>6.8728485305291391E-7</v>
      </c>
    </row>
    <row r="2287" spans="44:48" x14ac:dyDescent="0.2">
      <c r="AR2287">
        <v>2279</v>
      </c>
      <c r="AS2287">
        <v>461</v>
      </c>
      <c r="AT2287">
        <v>3</v>
      </c>
      <c r="AU2287">
        <v>3.1660506274172295</v>
      </c>
      <c r="AV2287">
        <v>4.9956036418786297E-7</v>
      </c>
    </row>
    <row r="2288" spans="44:48" x14ac:dyDescent="0.2">
      <c r="AR2288">
        <v>2280</v>
      </c>
      <c r="AS2288">
        <v>462</v>
      </c>
      <c r="AT2288">
        <v>3</v>
      </c>
      <c r="AU2288">
        <v>3.1969911587345763</v>
      </c>
      <c r="AV2288">
        <v>3.6180217688271143E-7</v>
      </c>
    </row>
    <row r="2289" spans="44:48" x14ac:dyDescent="0.2">
      <c r="AR2289">
        <v>2281</v>
      </c>
      <c r="AS2289">
        <v>463</v>
      </c>
      <c r="AT2289">
        <v>3</v>
      </c>
      <c r="AU2289">
        <v>3.2279316900519213</v>
      </c>
      <c r="AV2289">
        <v>2.6108767978486768E-7</v>
      </c>
    </row>
    <row r="2290" spans="44:48" x14ac:dyDescent="0.2">
      <c r="AR2290">
        <v>2282</v>
      </c>
      <c r="AS2290">
        <v>464</v>
      </c>
      <c r="AT2290">
        <v>3</v>
      </c>
      <c r="AU2290">
        <v>3.258872221369268</v>
      </c>
      <c r="AV2290">
        <v>1.8772995808984524E-7</v>
      </c>
    </row>
    <row r="2291" spans="44:48" x14ac:dyDescent="0.2">
      <c r="AR2291">
        <v>2283</v>
      </c>
      <c r="AS2291">
        <v>465</v>
      </c>
      <c r="AT2291">
        <v>3</v>
      </c>
      <c r="AU2291">
        <v>3.2898127526866148</v>
      </c>
      <c r="AV2291">
        <v>1.3449705927540624E-7</v>
      </c>
    </row>
    <row r="2292" spans="44:48" x14ac:dyDescent="0.2">
      <c r="AR2292">
        <v>2284</v>
      </c>
      <c r="AS2292">
        <v>466</v>
      </c>
      <c r="AT2292">
        <v>3</v>
      </c>
      <c r="AU2292">
        <v>3.3207532840039615</v>
      </c>
      <c r="AV2292">
        <v>9.6011663756575183E-8</v>
      </c>
    </row>
    <row r="2293" spans="44:48" x14ac:dyDescent="0.2">
      <c r="AR2293">
        <v>2285</v>
      </c>
      <c r="AS2293">
        <v>467</v>
      </c>
      <c r="AT2293">
        <v>3</v>
      </c>
      <c r="AU2293">
        <v>3.3516938153213065</v>
      </c>
      <c r="AV2293">
        <v>6.8291586718392592E-8</v>
      </c>
    </row>
    <row r="2294" spans="44:48" x14ac:dyDescent="0.2">
      <c r="AR2294">
        <v>2286</v>
      </c>
      <c r="AS2294">
        <v>468</v>
      </c>
      <c r="AT2294">
        <v>3</v>
      </c>
      <c r="AU2294">
        <v>3.3826343466386533</v>
      </c>
      <c r="AV2294">
        <v>4.8399671337088263E-8</v>
      </c>
    </row>
    <row r="2295" spans="44:48" x14ac:dyDescent="0.2">
      <c r="AR2295">
        <v>2287</v>
      </c>
      <c r="AS2295">
        <v>469</v>
      </c>
      <c r="AT2295">
        <v>3</v>
      </c>
      <c r="AU2295">
        <v>3.413574877956</v>
      </c>
      <c r="AV2295">
        <v>3.4178234312794734E-8</v>
      </c>
    </row>
    <row r="2296" spans="44:48" x14ac:dyDescent="0.2">
      <c r="AR2296">
        <v>2288</v>
      </c>
      <c r="AS2296">
        <v>470</v>
      </c>
      <c r="AT2296">
        <v>3</v>
      </c>
      <c r="AU2296">
        <v>3.4445154092733468</v>
      </c>
      <c r="AV2296">
        <v>2.4048546589675952E-8</v>
      </c>
    </row>
    <row r="2297" spans="44:48" x14ac:dyDescent="0.2">
      <c r="AR2297">
        <v>2289</v>
      </c>
      <c r="AS2297">
        <v>471</v>
      </c>
      <c r="AT2297">
        <v>3</v>
      </c>
      <c r="AU2297">
        <v>3.4754559405906917</v>
      </c>
      <c r="AV2297">
        <v>1.6860096145667857E-8</v>
      </c>
    </row>
    <row r="2298" spans="44:48" x14ac:dyDescent="0.2">
      <c r="AR2298">
        <v>2290</v>
      </c>
      <c r="AS2298">
        <v>472</v>
      </c>
      <c r="AT2298">
        <v>3</v>
      </c>
      <c r="AU2298">
        <v>3.5063964719080385</v>
      </c>
      <c r="AV2298">
        <v>1.177777519770725E-8</v>
      </c>
    </row>
    <row r="2299" spans="44:48" x14ac:dyDescent="0.2">
      <c r="AR2299">
        <v>2291</v>
      </c>
      <c r="AS2299">
        <v>473</v>
      </c>
      <c r="AT2299">
        <v>3</v>
      </c>
      <c r="AU2299">
        <v>3.5373370032253852</v>
      </c>
      <c r="AV2299">
        <v>8.1978218387292691E-9</v>
      </c>
    </row>
    <row r="2300" spans="44:48" x14ac:dyDescent="0.2">
      <c r="AR2300">
        <v>2292</v>
      </c>
      <c r="AS2300">
        <v>474</v>
      </c>
      <c r="AT2300">
        <v>3</v>
      </c>
      <c r="AU2300">
        <v>3.568277534542732</v>
      </c>
      <c r="AV2300">
        <v>5.6854610920322074E-9</v>
      </c>
    </row>
    <row r="2301" spans="44:48" x14ac:dyDescent="0.2">
      <c r="AR2301">
        <v>2293</v>
      </c>
      <c r="AS2301">
        <v>475</v>
      </c>
      <c r="AT2301">
        <v>3</v>
      </c>
      <c r="AU2301">
        <v>3.599218065860077</v>
      </c>
      <c r="AV2301">
        <v>3.9288451239451452E-9</v>
      </c>
    </row>
    <row r="2302" spans="44:48" x14ac:dyDescent="0.2">
      <c r="AR2302">
        <v>2294</v>
      </c>
      <c r="AS2302">
        <v>476</v>
      </c>
      <c r="AT2302">
        <v>3</v>
      </c>
      <c r="AU2302">
        <v>3.6301585971774237</v>
      </c>
      <c r="AV2302">
        <v>2.705179749164492E-9</v>
      </c>
    </row>
    <row r="2303" spans="44:48" x14ac:dyDescent="0.2">
      <c r="AR2303">
        <v>2295</v>
      </c>
      <c r="AS2303">
        <v>477</v>
      </c>
      <c r="AT2303">
        <v>3</v>
      </c>
      <c r="AU2303">
        <v>3.6610991284947705</v>
      </c>
      <c r="AV2303">
        <v>1.8559204079100069E-9</v>
      </c>
    </row>
    <row r="2304" spans="44:48" x14ac:dyDescent="0.2">
      <c r="AR2304">
        <v>2296</v>
      </c>
      <c r="AS2304">
        <v>478</v>
      </c>
      <c r="AT2304">
        <v>3</v>
      </c>
      <c r="AU2304">
        <v>3.6920396598121155</v>
      </c>
      <c r="AV2304">
        <v>1.2686872291651108E-9</v>
      </c>
    </row>
    <row r="2305" spans="44:48" x14ac:dyDescent="0.2">
      <c r="AR2305">
        <v>2297</v>
      </c>
      <c r="AS2305">
        <v>479</v>
      </c>
      <c r="AT2305">
        <v>3</v>
      </c>
      <c r="AU2305">
        <v>3.7229801911294622</v>
      </c>
      <c r="AV2305">
        <v>8.641353870975771E-10</v>
      </c>
    </row>
    <row r="2306" spans="44:48" x14ac:dyDescent="0.2">
      <c r="AR2306">
        <v>2298</v>
      </c>
      <c r="AS2306">
        <v>480</v>
      </c>
      <c r="AT2306">
        <v>3</v>
      </c>
      <c r="AU2306">
        <v>3.753920722446809</v>
      </c>
      <c r="AV2306">
        <v>5.8646353449194628E-10</v>
      </c>
    </row>
    <row r="2307" spans="44:48" x14ac:dyDescent="0.2">
      <c r="AR2307">
        <v>2299</v>
      </c>
      <c r="AS2307">
        <v>481</v>
      </c>
      <c r="AT2307">
        <v>3</v>
      </c>
      <c r="AU2307">
        <v>3.7848612537641557</v>
      </c>
      <c r="AV2307">
        <v>3.9658130527239229E-10</v>
      </c>
    </row>
    <row r="2308" spans="44:48" x14ac:dyDescent="0.2">
      <c r="AR2308">
        <v>2300</v>
      </c>
      <c r="AS2308">
        <v>482</v>
      </c>
      <c r="AT2308">
        <v>3</v>
      </c>
      <c r="AU2308">
        <v>3.8158017850815007</v>
      </c>
      <c r="AV2308">
        <v>2.6721169592394953E-10</v>
      </c>
    </row>
    <row r="2309" spans="44:48" x14ac:dyDescent="0.2">
      <c r="AR2309">
        <v>2301</v>
      </c>
      <c r="AS2309">
        <v>483</v>
      </c>
      <c r="AT2309">
        <v>3</v>
      </c>
      <c r="AU2309">
        <v>3.8467423163988474</v>
      </c>
      <c r="AV2309">
        <v>1.7939514692257165E-10</v>
      </c>
    </row>
    <row r="2310" spans="44:48" x14ac:dyDescent="0.2">
      <c r="AR2310">
        <v>2302</v>
      </c>
      <c r="AS2310">
        <v>484</v>
      </c>
      <c r="AT2310">
        <v>3</v>
      </c>
      <c r="AU2310">
        <v>3.8776828477161942</v>
      </c>
      <c r="AV2310">
        <v>1.2000460673427901E-10</v>
      </c>
    </row>
    <row r="2311" spans="44:48" x14ac:dyDescent="0.2">
      <c r="AR2311">
        <v>2303</v>
      </c>
      <c r="AS2311">
        <v>485</v>
      </c>
      <c r="AT2311">
        <v>3</v>
      </c>
      <c r="AU2311">
        <v>3.908623379033541</v>
      </c>
      <c r="AV2311">
        <v>7.9986583529794459E-11</v>
      </c>
    </row>
    <row r="2312" spans="44:48" x14ac:dyDescent="0.2">
      <c r="AR2312">
        <v>2304</v>
      </c>
      <c r="AS2312">
        <v>486</v>
      </c>
      <c r="AT2312">
        <v>3</v>
      </c>
      <c r="AU2312">
        <v>3.9395639103508859</v>
      </c>
      <c r="AV2312">
        <v>5.3121261194301777E-11</v>
      </c>
    </row>
    <row r="2313" spans="44:48" x14ac:dyDescent="0.2">
      <c r="AR2313">
        <v>2305</v>
      </c>
      <c r="AS2313">
        <v>487</v>
      </c>
      <c r="AT2313">
        <v>3</v>
      </c>
      <c r="AU2313">
        <v>3.9705044416682327</v>
      </c>
      <c r="AV2313">
        <v>3.5152127018667194E-11</v>
      </c>
    </row>
    <row r="2314" spans="44:48" x14ac:dyDescent="0.2">
      <c r="AR2314">
        <v>2306</v>
      </c>
      <c r="AS2314">
        <v>488</v>
      </c>
      <c r="AT2314">
        <v>3</v>
      </c>
      <c r="AU2314">
        <v>4.0014449729855794</v>
      </c>
      <c r="AV2314">
        <v>2.3177513434383268E-11</v>
      </c>
    </row>
    <row r="2315" spans="44:48" x14ac:dyDescent="0.2">
      <c r="AR2315">
        <v>2307</v>
      </c>
      <c r="AS2315">
        <v>489</v>
      </c>
      <c r="AT2315">
        <v>3</v>
      </c>
      <c r="AU2315">
        <v>4.0323855043029244</v>
      </c>
      <c r="AV2315">
        <v>1.5226990447102637E-11</v>
      </c>
    </row>
    <row r="2316" spans="44:48" x14ac:dyDescent="0.2">
      <c r="AR2316">
        <v>2308</v>
      </c>
      <c r="AS2316">
        <v>490</v>
      </c>
      <c r="AT2316">
        <v>3</v>
      </c>
      <c r="AU2316">
        <v>4.0633260356202712</v>
      </c>
      <c r="AV2316">
        <v>9.9676621711988442E-12</v>
      </c>
    </row>
    <row r="2317" spans="44:48" x14ac:dyDescent="0.2">
      <c r="AR2317">
        <v>2309</v>
      </c>
      <c r="AS2317">
        <v>491</v>
      </c>
      <c r="AT2317">
        <v>3</v>
      </c>
      <c r="AU2317">
        <v>4.0942665669376179</v>
      </c>
      <c r="AV2317">
        <v>6.5013649623675947E-12</v>
      </c>
    </row>
    <row r="2318" spans="44:48" x14ac:dyDescent="0.2">
      <c r="AR2318">
        <v>2310</v>
      </c>
      <c r="AS2318">
        <v>492</v>
      </c>
      <c r="AT2318">
        <v>3</v>
      </c>
      <c r="AU2318">
        <v>4.1252070982549647</v>
      </c>
      <c r="AV2318">
        <v>4.2252049870468337E-12</v>
      </c>
    </row>
    <row r="2319" spans="44:48" x14ac:dyDescent="0.2">
      <c r="AR2319">
        <v>2311</v>
      </c>
      <c r="AS2319">
        <v>493</v>
      </c>
      <c r="AT2319">
        <v>3</v>
      </c>
      <c r="AU2319">
        <v>4.1561476295723097</v>
      </c>
      <c r="AV2319">
        <v>2.7360436532514323E-12</v>
      </c>
    </row>
    <row r="2320" spans="44:48" x14ac:dyDescent="0.2">
      <c r="AR2320">
        <v>2312</v>
      </c>
      <c r="AS2320">
        <v>494</v>
      </c>
      <c r="AT2320">
        <v>3</v>
      </c>
      <c r="AU2320">
        <v>4.1870881608896564</v>
      </c>
      <c r="AV2320">
        <v>1.7653477236421209E-12</v>
      </c>
    </row>
    <row r="2321" spans="44:48" x14ac:dyDescent="0.2">
      <c r="AR2321">
        <v>2313</v>
      </c>
      <c r="AS2321">
        <v>495</v>
      </c>
      <c r="AT2321">
        <v>3</v>
      </c>
      <c r="AU2321">
        <v>4.2180286922070032</v>
      </c>
      <c r="AV2321">
        <v>1.1349311151571997E-12</v>
      </c>
    </row>
    <row r="2322" spans="44:48" x14ac:dyDescent="0.2">
      <c r="AR2322">
        <v>2314</v>
      </c>
      <c r="AS2322">
        <v>496</v>
      </c>
      <c r="AT2322">
        <v>3</v>
      </c>
      <c r="AU2322">
        <v>4.2489692235243499</v>
      </c>
      <c r="AV2322">
        <v>7.2701060292719094E-13</v>
      </c>
    </row>
    <row r="2323" spans="44:48" x14ac:dyDescent="0.2">
      <c r="AR2323">
        <v>2315</v>
      </c>
      <c r="AS2323">
        <v>497</v>
      </c>
      <c r="AT2323">
        <v>3</v>
      </c>
      <c r="AU2323">
        <v>4.2799097548416949</v>
      </c>
      <c r="AV2323">
        <v>4.6402778715472634E-13</v>
      </c>
    </row>
    <row r="2324" spans="44:48" x14ac:dyDescent="0.2">
      <c r="AR2324">
        <v>2316</v>
      </c>
      <c r="AS2324">
        <v>498</v>
      </c>
      <c r="AT2324">
        <v>3</v>
      </c>
      <c r="AU2324">
        <v>4.3108502861590416</v>
      </c>
      <c r="AV2324">
        <v>2.9510681054305735E-13</v>
      </c>
    </row>
    <row r="2325" spans="44:48" x14ac:dyDescent="0.2">
      <c r="AR2325">
        <v>2317</v>
      </c>
      <c r="AS2325">
        <v>499</v>
      </c>
      <c r="AT2325">
        <v>3</v>
      </c>
      <c r="AU2325">
        <v>4.3417908174763884</v>
      </c>
      <c r="AV2325">
        <v>1.8700209754905712E-13</v>
      </c>
    </row>
    <row r="2326" spans="44:48" x14ac:dyDescent="0.2">
      <c r="AR2326">
        <v>2318</v>
      </c>
      <c r="AS2326">
        <v>500</v>
      </c>
      <c r="AT2326">
        <v>3</v>
      </c>
      <c r="AU2326">
        <v>4.3727313487937352</v>
      </c>
      <c r="AV2326">
        <v>1.1807167509227242E-13</v>
      </c>
    </row>
    <row r="2327" spans="44:48" x14ac:dyDescent="0.2">
      <c r="AR2327">
        <v>2319</v>
      </c>
      <c r="AS2327">
        <v>501</v>
      </c>
      <c r="AT2327">
        <v>3</v>
      </c>
      <c r="AU2327">
        <v>4.4036718801110801</v>
      </c>
      <c r="AV2327">
        <v>7.4280868439670876E-14</v>
      </c>
    </row>
    <row r="2328" spans="44:48" x14ac:dyDescent="0.2">
      <c r="AR2328">
        <v>2320</v>
      </c>
      <c r="AS2328">
        <v>502</v>
      </c>
      <c r="AT2328">
        <v>3</v>
      </c>
      <c r="AU2328">
        <v>4.4346124114284269</v>
      </c>
      <c r="AV2328">
        <v>4.656292152021027E-14</v>
      </c>
    </row>
    <row r="2329" spans="44:48" x14ac:dyDescent="0.2">
      <c r="AR2329">
        <v>2321</v>
      </c>
      <c r="AS2329">
        <v>503</v>
      </c>
      <c r="AT2329">
        <v>3</v>
      </c>
      <c r="AU2329">
        <v>4.4655529427457736</v>
      </c>
      <c r="AV2329">
        <v>2.9082750124755592E-14</v>
      </c>
    </row>
    <row r="2330" spans="44:48" x14ac:dyDescent="0.2">
      <c r="AR2330">
        <v>2322</v>
      </c>
      <c r="AS2330">
        <v>504</v>
      </c>
      <c r="AT2330">
        <v>3</v>
      </c>
      <c r="AU2330">
        <v>4.4964934740631186</v>
      </c>
      <c r="AV2330">
        <v>1.80993393714928E-14</v>
      </c>
    </row>
    <row r="2331" spans="44:48" x14ac:dyDescent="0.2">
      <c r="AR2331">
        <v>2323</v>
      </c>
      <c r="AS2331">
        <v>505</v>
      </c>
      <c r="AT2331">
        <v>3</v>
      </c>
      <c r="AU2331">
        <v>4.5274340053804654</v>
      </c>
      <c r="AV2331">
        <v>1.1223336286947096E-14</v>
      </c>
    </row>
    <row r="2332" spans="44:48" x14ac:dyDescent="0.2">
      <c r="AR2332">
        <v>2324</v>
      </c>
      <c r="AS2332">
        <v>506</v>
      </c>
      <c r="AT2332">
        <v>3</v>
      </c>
      <c r="AU2332">
        <v>4.5583745366978121</v>
      </c>
      <c r="AV2332">
        <v>6.934469299088017E-15</v>
      </c>
    </row>
    <row r="2333" spans="44:48" x14ac:dyDescent="0.2">
      <c r="AR2333">
        <v>2325</v>
      </c>
      <c r="AS2333">
        <v>507</v>
      </c>
      <c r="AT2333">
        <v>3</v>
      </c>
      <c r="AU2333">
        <v>4.5893150680151589</v>
      </c>
      <c r="AV2333">
        <v>4.2691015415106667E-15</v>
      </c>
    </row>
    <row r="2334" spans="44:48" x14ac:dyDescent="0.2">
      <c r="AR2334">
        <v>2326</v>
      </c>
      <c r="AS2334">
        <v>508</v>
      </c>
      <c r="AT2334">
        <v>3</v>
      </c>
      <c r="AU2334">
        <v>4.6202555993325038</v>
      </c>
      <c r="AV2334">
        <v>2.6187361345776994E-15</v>
      </c>
    </row>
    <row r="2335" spans="44:48" x14ac:dyDescent="0.2">
      <c r="AR2335">
        <v>2327</v>
      </c>
      <c r="AS2335">
        <v>509</v>
      </c>
      <c r="AT2335">
        <v>3</v>
      </c>
      <c r="AU2335">
        <v>4.6511961306498506</v>
      </c>
      <c r="AV2335">
        <v>1.6005859420868905E-15</v>
      </c>
    </row>
    <row r="2336" spans="44:48" x14ac:dyDescent="0.2">
      <c r="AR2336">
        <v>2328</v>
      </c>
      <c r="AS2336">
        <v>510</v>
      </c>
      <c r="AT2336">
        <v>3</v>
      </c>
      <c r="AU2336">
        <v>4.6821366619671974</v>
      </c>
      <c r="AV2336">
        <v>9.7476125103844018E-16</v>
      </c>
    </row>
    <row r="2337" spans="44:48" x14ac:dyDescent="0.2">
      <c r="AR2337">
        <v>2329</v>
      </c>
      <c r="AS2337">
        <v>511</v>
      </c>
      <c r="AT2337">
        <v>3</v>
      </c>
      <c r="AU2337">
        <v>4.7130771932845441</v>
      </c>
      <c r="AV2337">
        <v>5.9149287331741131E-16</v>
      </c>
    </row>
    <row r="2338" spans="44:48" x14ac:dyDescent="0.2">
      <c r="AR2338">
        <v>2330</v>
      </c>
      <c r="AS2338">
        <v>512</v>
      </c>
      <c r="AT2338">
        <v>3</v>
      </c>
      <c r="AU2338">
        <v>4.7440177246018891</v>
      </c>
      <c r="AV2338">
        <v>3.5762904023361655E-16</v>
      </c>
    </row>
    <row r="2339" spans="44:48" x14ac:dyDescent="0.2">
      <c r="AR2339">
        <v>2331</v>
      </c>
      <c r="AS2339">
        <v>513</v>
      </c>
      <c r="AT2339">
        <v>3</v>
      </c>
      <c r="AU2339">
        <v>4.7749582559192358</v>
      </c>
      <c r="AV2339">
        <v>2.1545076437140993E-16</v>
      </c>
    </row>
    <row r="2340" spans="44:48" x14ac:dyDescent="0.2">
      <c r="AR2340">
        <v>2332</v>
      </c>
      <c r="AS2340">
        <v>514</v>
      </c>
      <c r="AT2340">
        <v>3</v>
      </c>
      <c r="AU2340">
        <v>4.8058987872365826</v>
      </c>
      <c r="AV2340">
        <v>1.2932881622692014E-16</v>
      </c>
    </row>
    <row r="2341" spans="44:48" x14ac:dyDescent="0.2">
      <c r="AR2341">
        <v>2333</v>
      </c>
      <c r="AS2341">
        <v>515</v>
      </c>
      <c r="AT2341">
        <v>3</v>
      </c>
      <c r="AU2341">
        <v>4.8368393185539276</v>
      </c>
      <c r="AV2341">
        <v>7.7352537813667861E-17</v>
      </c>
    </row>
    <row r="2342" spans="44:48" x14ac:dyDescent="0.2">
      <c r="AR2342">
        <v>2334</v>
      </c>
      <c r="AS2342">
        <v>516</v>
      </c>
      <c r="AT2342">
        <v>3</v>
      </c>
      <c r="AU2342">
        <v>4.8677798498712743</v>
      </c>
      <c r="AV2342">
        <v>4.6098397912079322E-17</v>
      </c>
    </row>
    <row r="2343" spans="44:48" x14ac:dyDescent="0.2">
      <c r="AR2343">
        <v>2335</v>
      </c>
      <c r="AS2343">
        <v>517</v>
      </c>
      <c r="AT2343">
        <v>3</v>
      </c>
      <c r="AU2343">
        <v>4.8987203811886211</v>
      </c>
      <c r="AV2343">
        <v>2.7373422398974551E-17</v>
      </c>
    </row>
    <row r="2344" spans="44:48" x14ac:dyDescent="0.2">
      <c r="AR2344">
        <v>2336</v>
      </c>
      <c r="AS2344">
        <v>518</v>
      </c>
      <c r="AT2344">
        <v>3</v>
      </c>
      <c r="AU2344">
        <v>4.9296609125059678</v>
      </c>
      <c r="AV2344">
        <v>1.6195873163024101E-17</v>
      </c>
    </row>
    <row r="2345" spans="44:48" x14ac:dyDescent="0.2">
      <c r="AR2345">
        <v>2337</v>
      </c>
      <c r="AS2345">
        <v>519</v>
      </c>
      <c r="AT2345">
        <v>3</v>
      </c>
      <c r="AU2345">
        <v>4.9606014438233128</v>
      </c>
      <c r="AV2345">
        <v>9.5479829770395664E-18</v>
      </c>
    </row>
    <row r="2346" spans="44:48" x14ac:dyDescent="0.2">
      <c r="AR2346">
        <v>2338</v>
      </c>
      <c r="AS2346">
        <v>520</v>
      </c>
      <c r="AT2346">
        <v>3</v>
      </c>
      <c r="AU2346">
        <v>4.9915419751406613</v>
      </c>
      <c r="AV2346">
        <v>5.6085540078812933E-18</v>
      </c>
    </row>
    <row r="2347" spans="44:48" x14ac:dyDescent="0.2">
      <c r="AR2347">
        <v>2339</v>
      </c>
      <c r="AS2347">
        <v>521</v>
      </c>
      <c r="AT2347">
        <v>3</v>
      </c>
      <c r="AU2347">
        <v>5.0224825064580063</v>
      </c>
      <c r="AV2347">
        <v>3.2826318406642527E-18</v>
      </c>
    </row>
    <row r="2348" spans="44:48" x14ac:dyDescent="0.2">
      <c r="AR2348">
        <v>2340</v>
      </c>
      <c r="AS2348">
        <v>522</v>
      </c>
      <c r="AT2348">
        <v>3</v>
      </c>
      <c r="AU2348">
        <v>5.0534230377753513</v>
      </c>
      <c r="AV2348">
        <v>1.9143681066756655E-18</v>
      </c>
    </row>
    <row r="2349" spans="44:48" x14ac:dyDescent="0.2">
      <c r="AR2349">
        <v>2341</v>
      </c>
      <c r="AS2349">
        <v>523</v>
      </c>
      <c r="AT2349">
        <v>3</v>
      </c>
      <c r="AU2349">
        <v>5.0843635690926998</v>
      </c>
      <c r="AV2349">
        <v>1.1123993440815791E-18</v>
      </c>
    </row>
    <row r="2350" spans="44:48" x14ac:dyDescent="0.2">
      <c r="AR2350">
        <v>2342</v>
      </c>
      <c r="AS2350">
        <v>524</v>
      </c>
      <c r="AT2350">
        <v>3</v>
      </c>
      <c r="AU2350">
        <v>5.1153041004100448</v>
      </c>
      <c r="AV2350">
        <v>6.4406247866439652E-19</v>
      </c>
    </row>
    <row r="2351" spans="44:48" x14ac:dyDescent="0.2">
      <c r="AR2351">
        <v>2343</v>
      </c>
      <c r="AS2351">
        <v>525</v>
      </c>
      <c r="AT2351">
        <v>3</v>
      </c>
      <c r="AU2351">
        <v>5.1462446317273898</v>
      </c>
      <c r="AV2351">
        <v>3.715585635377788E-19</v>
      </c>
    </row>
    <row r="2352" spans="44:48" x14ac:dyDescent="0.2">
      <c r="AR2352">
        <v>2344</v>
      </c>
      <c r="AS2352">
        <v>526</v>
      </c>
      <c r="AT2352">
        <v>3</v>
      </c>
      <c r="AU2352">
        <v>5.1771851630447383</v>
      </c>
      <c r="AV2352">
        <v>2.135790018455232E-19</v>
      </c>
    </row>
    <row r="2353" spans="44:48" x14ac:dyDescent="0.2">
      <c r="AR2353">
        <v>2345</v>
      </c>
      <c r="AS2353">
        <v>527</v>
      </c>
      <c r="AT2353">
        <v>3</v>
      </c>
      <c r="AU2353">
        <v>5.2081256943620833</v>
      </c>
      <c r="AV2353">
        <v>1.2232686084647615E-19</v>
      </c>
    </row>
    <row r="2354" spans="44:48" x14ac:dyDescent="0.2">
      <c r="AR2354">
        <v>2346</v>
      </c>
      <c r="AS2354">
        <v>528</v>
      </c>
      <c r="AT2354">
        <v>3</v>
      </c>
      <c r="AU2354">
        <v>5.2390662256794283</v>
      </c>
      <c r="AV2354">
        <v>6.9809915234133974E-20</v>
      </c>
    </row>
    <row r="2355" spans="44:48" x14ac:dyDescent="0.2">
      <c r="AR2355">
        <v>2347</v>
      </c>
      <c r="AS2355">
        <v>529</v>
      </c>
      <c r="AT2355">
        <v>3</v>
      </c>
      <c r="AU2355">
        <v>5.2700067569967768</v>
      </c>
      <c r="AV2355">
        <v>3.969578470724648E-20</v>
      </c>
    </row>
    <row r="2356" spans="44:48" x14ac:dyDescent="0.2">
      <c r="AR2356">
        <v>2348</v>
      </c>
      <c r="AS2356">
        <v>530</v>
      </c>
      <c r="AT2356">
        <v>3</v>
      </c>
      <c r="AU2356">
        <v>5.3009472883141218</v>
      </c>
      <c r="AV2356">
        <v>2.2490736297774047E-20</v>
      </c>
    </row>
    <row r="2357" spans="44:48" x14ac:dyDescent="0.2">
      <c r="AR2357">
        <v>2349</v>
      </c>
      <c r="AS2357">
        <v>531</v>
      </c>
      <c r="AT2357">
        <v>3</v>
      </c>
      <c r="AU2357">
        <v>5.3318878196314703</v>
      </c>
      <c r="AV2357">
        <v>1.2696819823997189E-20</v>
      </c>
    </row>
    <row r="2358" spans="44:48" x14ac:dyDescent="0.2">
      <c r="AR2358">
        <v>2350</v>
      </c>
      <c r="AS2358">
        <v>532</v>
      </c>
      <c r="AT2358">
        <v>3</v>
      </c>
      <c r="AU2358">
        <v>5.3628283509488153</v>
      </c>
      <c r="AV2358">
        <v>7.1419736094637019E-21</v>
      </c>
    </row>
    <row r="2359" spans="44:48" x14ac:dyDescent="0.2">
      <c r="AR2359">
        <v>2351</v>
      </c>
      <c r="AS2359">
        <v>533</v>
      </c>
      <c r="AT2359">
        <v>3</v>
      </c>
      <c r="AU2359">
        <v>5.3937688822661602</v>
      </c>
      <c r="AV2359">
        <v>4.0028888094831858E-21</v>
      </c>
    </row>
    <row r="2360" spans="44:48" x14ac:dyDescent="0.2">
      <c r="AR2360">
        <v>2352</v>
      </c>
      <c r="AS2360">
        <v>534</v>
      </c>
      <c r="AT2360">
        <v>3</v>
      </c>
      <c r="AU2360">
        <v>5.4247094135835088</v>
      </c>
      <c r="AV2360">
        <v>2.2354286533662892E-21</v>
      </c>
    </row>
    <row r="2361" spans="44:48" x14ac:dyDescent="0.2">
      <c r="AR2361">
        <v>2353</v>
      </c>
      <c r="AS2361">
        <v>535</v>
      </c>
      <c r="AT2361">
        <v>3</v>
      </c>
      <c r="AU2361">
        <v>5.4556499449008538</v>
      </c>
      <c r="AV2361">
        <v>1.2438846292264787E-21</v>
      </c>
    </row>
    <row r="2362" spans="44:48" x14ac:dyDescent="0.2">
      <c r="AR2362">
        <v>2354</v>
      </c>
      <c r="AS2362">
        <v>536</v>
      </c>
      <c r="AT2362">
        <v>3</v>
      </c>
      <c r="AU2362">
        <v>5.4865904762181987</v>
      </c>
      <c r="AV2362">
        <v>6.8965420779176062E-22</v>
      </c>
    </row>
    <row r="2363" spans="44:48" x14ac:dyDescent="0.2">
      <c r="AR2363">
        <v>2355</v>
      </c>
      <c r="AS2363">
        <v>537</v>
      </c>
      <c r="AT2363">
        <v>3</v>
      </c>
      <c r="AU2363">
        <v>5.5175310075355473</v>
      </c>
      <c r="AV2363">
        <v>3.8099096836105872E-22</v>
      </c>
    </row>
    <row r="2364" spans="44:48" x14ac:dyDescent="0.2">
      <c r="AR2364">
        <v>2356</v>
      </c>
      <c r="AS2364">
        <v>538</v>
      </c>
      <c r="AT2364">
        <v>3</v>
      </c>
      <c r="AU2364">
        <v>5.5484715388528922</v>
      </c>
      <c r="AV2364">
        <v>2.0971523044355351E-22</v>
      </c>
    </row>
    <row r="2365" spans="44:48" x14ac:dyDescent="0.2">
      <c r="AR2365">
        <v>2357</v>
      </c>
      <c r="AS2365">
        <v>539</v>
      </c>
      <c r="AT2365">
        <v>3</v>
      </c>
      <c r="AU2365">
        <v>5.5794120701702372</v>
      </c>
      <c r="AV2365">
        <v>1.1502103324513309E-22</v>
      </c>
    </row>
    <row r="2366" spans="44:48" x14ac:dyDescent="0.2">
      <c r="AR2366">
        <v>2358</v>
      </c>
      <c r="AS2366">
        <v>540</v>
      </c>
      <c r="AT2366">
        <v>3</v>
      </c>
      <c r="AU2366">
        <v>5.6103526014875857</v>
      </c>
      <c r="AV2366">
        <v>6.2857421020906523E-23</v>
      </c>
    </row>
    <row r="2367" spans="44:48" x14ac:dyDescent="0.2">
      <c r="AR2367">
        <v>2359</v>
      </c>
      <c r="AS2367">
        <v>541</v>
      </c>
      <c r="AT2367">
        <v>3</v>
      </c>
      <c r="AU2367">
        <v>5.6412931328049307</v>
      </c>
      <c r="AV2367">
        <v>3.4226922644888053E-23</v>
      </c>
    </row>
    <row r="2368" spans="44:48" x14ac:dyDescent="0.2">
      <c r="AR2368">
        <v>2360</v>
      </c>
      <c r="AS2368">
        <v>542</v>
      </c>
      <c r="AT2368">
        <v>3</v>
      </c>
      <c r="AU2368">
        <v>5.6722336641222793</v>
      </c>
      <c r="AV2368">
        <v>1.8569967747188585E-23</v>
      </c>
    </row>
    <row r="2369" spans="44:48" x14ac:dyDescent="0.2">
      <c r="AR2369">
        <v>2361</v>
      </c>
      <c r="AS2369">
        <v>543</v>
      </c>
      <c r="AT2369">
        <v>3</v>
      </c>
      <c r="AU2369">
        <v>5.7031741954396242</v>
      </c>
      <c r="AV2369">
        <v>1.0038907364887964E-23</v>
      </c>
    </row>
    <row r="2370" spans="44:48" x14ac:dyDescent="0.2">
      <c r="AR2370">
        <v>2362</v>
      </c>
      <c r="AS2370">
        <v>544</v>
      </c>
      <c r="AT2370">
        <v>3</v>
      </c>
      <c r="AU2370">
        <v>5.7341147267569692</v>
      </c>
      <c r="AV2370">
        <v>5.4074653498426089E-24</v>
      </c>
    </row>
    <row r="2371" spans="44:48" x14ac:dyDescent="0.2">
      <c r="AR2371">
        <v>2363</v>
      </c>
      <c r="AS2371">
        <v>545</v>
      </c>
      <c r="AT2371">
        <v>3</v>
      </c>
      <c r="AU2371">
        <v>5.7650552580743177</v>
      </c>
      <c r="AV2371">
        <v>2.9022381384127135E-24</v>
      </c>
    </row>
    <row r="2372" spans="44:48" x14ac:dyDescent="0.2">
      <c r="AR2372">
        <v>2364</v>
      </c>
      <c r="AS2372">
        <v>546</v>
      </c>
      <c r="AT2372">
        <v>3</v>
      </c>
      <c r="AU2372">
        <v>5.7959957893916627</v>
      </c>
      <c r="AV2372">
        <v>1.5520451310857259E-24</v>
      </c>
    </row>
    <row r="2373" spans="44:48" x14ac:dyDescent="0.2">
      <c r="AR2373">
        <v>2365</v>
      </c>
      <c r="AS2373">
        <v>547</v>
      </c>
      <c r="AT2373">
        <v>3</v>
      </c>
      <c r="AU2373">
        <v>5.8269363207090077</v>
      </c>
      <c r="AV2373">
        <v>8.270040716094479E-25</v>
      </c>
    </row>
    <row r="2374" spans="44:48" x14ac:dyDescent="0.2">
      <c r="AR2374">
        <v>2366</v>
      </c>
      <c r="AS2374">
        <v>548</v>
      </c>
      <c r="AT2374">
        <v>3</v>
      </c>
      <c r="AU2374">
        <v>5.8578768520263562</v>
      </c>
      <c r="AV2374">
        <v>4.3907928761766245E-25</v>
      </c>
    </row>
    <row r="2375" spans="44:48" x14ac:dyDescent="0.2">
      <c r="AR2375">
        <v>2367</v>
      </c>
      <c r="AS2375">
        <v>549</v>
      </c>
      <c r="AT2375">
        <v>3</v>
      </c>
      <c r="AU2375">
        <v>5.8888173833437012</v>
      </c>
      <c r="AV2375">
        <v>2.3227916452922929E-25</v>
      </c>
    </row>
    <row r="2376" spans="44:48" x14ac:dyDescent="0.2">
      <c r="AR2376">
        <v>2368</v>
      </c>
      <c r="AS2376">
        <v>550</v>
      </c>
      <c r="AT2376">
        <v>3</v>
      </c>
      <c r="AU2376">
        <v>5.9197579146610497</v>
      </c>
      <c r="AV2376">
        <v>1.2243612069365149E-25</v>
      </c>
    </row>
    <row r="2377" spans="44:48" x14ac:dyDescent="0.2">
      <c r="AR2377">
        <v>2369</v>
      </c>
      <c r="AS2377">
        <v>551</v>
      </c>
      <c r="AT2377">
        <v>3</v>
      </c>
      <c r="AU2377">
        <v>5.9506984459783947</v>
      </c>
      <c r="AV2377">
        <v>6.4304426234315917E-26</v>
      </c>
    </row>
    <row r="2378" spans="44:48" x14ac:dyDescent="0.2">
      <c r="AR2378">
        <v>2370</v>
      </c>
      <c r="AS2378">
        <v>552</v>
      </c>
      <c r="AT2378">
        <v>3</v>
      </c>
      <c r="AU2378">
        <v>5.9816389772957397</v>
      </c>
      <c r="AV2378">
        <v>3.3651480469819851E-26</v>
      </c>
    </row>
    <row r="2379" spans="44:48" x14ac:dyDescent="0.2">
      <c r="AR2379">
        <v>2371</v>
      </c>
      <c r="AS2379">
        <v>553</v>
      </c>
      <c r="AT2379">
        <v>3</v>
      </c>
      <c r="AU2379">
        <v>6.0125795086130882</v>
      </c>
      <c r="AV2379">
        <v>1.7546862968128068E-26</v>
      </c>
    </row>
    <row r="2380" spans="44:48" x14ac:dyDescent="0.2">
      <c r="AR2380">
        <v>2372</v>
      </c>
      <c r="AS2380">
        <v>554</v>
      </c>
      <c r="AT2380">
        <v>3</v>
      </c>
      <c r="AU2380">
        <v>6.0435200399304332</v>
      </c>
      <c r="AV2380">
        <v>9.116471838174486E-27</v>
      </c>
    </row>
    <row r="2381" spans="44:48" x14ac:dyDescent="0.2">
      <c r="AR2381">
        <v>2373</v>
      </c>
      <c r="AS2381">
        <v>555</v>
      </c>
      <c r="AT2381">
        <v>3</v>
      </c>
      <c r="AU2381">
        <v>6.0744605712477782</v>
      </c>
      <c r="AV2381">
        <v>4.7193925882077414E-27</v>
      </c>
    </row>
    <row r="2382" spans="44:48" x14ac:dyDescent="0.2">
      <c r="AR2382">
        <v>2374</v>
      </c>
      <c r="AS2382">
        <v>556</v>
      </c>
      <c r="AT2382">
        <v>3</v>
      </c>
      <c r="AU2382">
        <v>6.1054011025651267</v>
      </c>
      <c r="AV2382">
        <v>2.4343186073152664E-27</v>
      </c>
    </row>
    <row r="2383" spans="44:48" x14ac:dyDescent="0.2">
      <c r="AR2383">
        <v>2375</v>
      </c>
      <c r="AS2383">
        <v>557</v>
      </c>
      <c r="AT2383">
        <v>3</v>
      </c>
      <c r="AU2383">
        <v>6.1363416338824717</v>
      </c>
      <c r="AV2383">
        <v>1.2511250871366653E-27</v>
      </c>
    </row>
    <row r="2384" spans="44:48" x14ac:dyDescent="0.2">
      <c r="AR2384">
        <v>2376</v>
      </c>
      <c r="AS2384">
        <v>558</v>
      </c>
      <c r="AT2384">
        <v>3</v>
      </c>
      <c r="AU2384">
        <v>6.1672821651998166</v>
      </c>
      <c r="AV2384">
        <v>6.4070195245767933E-28</v>
      </c>
    </row>
    <row r="2385" spans="44:48" x14ac:dyDescent="0.2">
      <c r="AR2385">
        <v>2377</v>
      </c>
      <c r="AS2385">
        <v>559</v>
      </c>
      <c r="AT2385">
        <v>3</v>
      </c>
      <c r="AU2385">
        <v>6.1982226965171652</v>
      </c>
      <c r="AV2385">
        <v>3.2692141017022802E-28</v>
      </c>
    </row>
    <row r="2386" spans="44:48" x14ac:dyDescent="0.2">
      <c r="AR2386">
        <v>2378</v>
      </c>
      <c r="AS2386">
        <v>560</v>
      </c>
      <c r="AT2386">
        <v>3</v>
      </c>
      <c r="AU2386">
        <v>6.2291632278345102</v>
      </c>
      <c r="AV2386">
        <v>1.6621211694034338E-28</v>
      </c>
    </row>
    <row r="2387" spans="44:48" x14ac:dyDescent="0.2">
      <c r="AR2387">
        <v>2379</v>
      </c>
      <c r="AS2387">
        <v>561</v>
      </c>
      <c r="AT2387">
        <v>3</v>
      </c>
      <c r="AU2387">
        <v>6.2601037591518587</v>
      </c>
      <c r="AV2387">
        <v>8.4200369889472912E-29</v>
      </c>
    </row>
    <row r="2388" spans="44:48" x14ac:dyDescent="0.2">
      <c r="AR2388">
        <v>2380</v>
      </c>
      <c r="AS2388">
        <v>562</v>
      </c>
      <c r="AT2388">
        <v>3</v>
      </c>
      <c r="AU2388">
        <v>6.2910442904692037</v>
      </c>
      <c r="AV2388">
        <v>4.2500820948991285E-29</v>
      </c>
    </row>
    <row r="2389" spans="44:48" x14ac:dyDescent="0.2">
      <c r="AR2389">
        <v>2381</v>
      </c>
      <c r="AS2389">
        <v>563</v>
      </c>
      <c r="AT2389">
        <v>3</v>
      </c>
      <c r="AU2389">
        <v>6.3219848217865486</v>
      </c>
      <c r="AV2389">
        <v>2.1375320726062824E-29</v>
      </c>
    </row>
    <row r="2390" spans="44:48" x14ac:dyDescent="0.2">
      <c r="AR2390">
        <v>2382</v>
      </c>
      <c r="AS2390">
        <v>564</v>
      </c>
      <c r="AT2390">
        <v>3</v>
      </c>
      <c r="AU2390">
        <v>6.3529253531038972</v>
      </c>
      <c r="AV2390">
        <v>1.0711738497340964E-29</v>
      </c>
    </row>
    <row r="2391" spans="44:48" x14ac:dyDescent="0.2">
      <c r="AR2391">
        <v>2383</v>
      </c>
      <c r="AS2391">
        <v>565</v>
      </c>
      <c r="AT2391">
        <v>3</v>
      </c>
      <c r="AU2391">
        <v>6.3838658844212421</v>
      </c>
      <c r="AV2391">
        <v>5.3485897165779927E-30</v>
      </c>
    </row>
    <row r="2392" spans="44:48" x14ac:dyDescent="0.2">
      <c r="AR2392">
        <v>2384</v>
      </c>
      <c r="AS2392">
        <v>566</v>
      </c>
      <c r="AT2392">
        <v>3</v>
      </c>
      <c r="AU2392">
        <v>6.4148064157385871</v>
      </c>
      <c r="AV2392">
        <v>2.661035138414957E-30</v>
      </c>
    </row>
    <row r="2393" spans="44:48" x14ac:dyDescent="0.2">
      <c r="AR2393">
        <v>2385</v>
      </c>
      <c r="AS2393">
        <v>567</v>
      </c>
      <c r="AT2393">
        <v>3</v>
      </c>
      <c r="AU2393">
        <v>6.4457469470559356</v>
      </c>
      <c r="AV2393">
        <v>1.3191492500168263E-30</v>
      </c>
    </row>
    <row r="2394" spans="44:48" x14ac:dyDescent="0.2">
      <c r="AR2394">
        <v>2386</v>
      </c>
      <c r="AS2394">
        <v>568</v>
      </c>
      <c r="AT2394">
        <v>3</v>
      </c>
      <c r="AU2394">
        <v>6.4766874783732806</v>
      </c>
      <c r="AV2394">
        <v>6.5158227487313327E-31</v>
      </c>
    </row>
    <row r="2395" spans="44:48" x14ac:dyDescent="0.2">
      <c r="AR2395">
        <v>2387</v>
      </c>
      <c r="AS2395">
        <v>569</v>
      </c>
      <c r="AT2395">
        <v>3</v>
      </c>
      <c r="AU2395">
        <v>6.5076280096906256</v>
      </c>
      <c r="AV2395">
        <v>3.2068348121133344E-31</v>
      </c>
    </row>
    <row r="2396" spans="44:48" x14ac:dyDescent="0.2">
      <c r="AR2396">
        <v>2388</v>
      </c>
      <c r="AS2396">
        <v>570</v>
      </c>
      <c r="AT2396">
        <v>3</v>
      </c>
      <c r="AU2396">
        <v>6.5385685410079741</v>
      </c>
      <c r="AV2396">
        <v>1.5725914804508973E-31</v>
      </c>
    </row>
    <row r="2397" spans="44:48" x14ac:dyDescent="0.2">
      <c r="AR2397">
        <v>2389</v>
      </c>
      <c r="AS2397">
        <v>571</v>
      </c>
      <c r="AT2397">
        <v>3</v>
      </c>
      <c r="AU2397">
        <v>6.5695090723253191</v>
      </c>
      <c r="AV2397">
        <v>7.6839980994473269E-32</v>
      </c>
    </row>
    <row r="2398" spans="44:48" x14ac:dyDescent="0.2">
      <c r="AR2398">
        <v>2390</v>
      </c>
      <c r="AS2398">
        <v>572</v>
      </c>
      <c r="AT2398">
        <v>3</v>
      </c>
      <c r="AU2398">
        <v>6.6004496036426676</v>
      </c>
      <c r="AV2398">
        <v>3.7410247392730281E-32</v>
      </c>
    </row>
    <row r="2399" spans="44:48" x14ac:dyDescent="0.2">
      <c r="AR2399">
        <v>2391</v>
      </c>
      <c r="AS2399">
        <v>573</v>
      </c>
      <c r="AT2399">
        <v>3</v>
      </c>
      <c r="AU2399">
        <v>6.6313901349600126</v>
      </c>
      <c r="AV2399">
        <v>1.8147880579602614E-32</v>
      </c>
    </row>
    <row r="2400" spans="44:48" x14ac:dyDescent="0.2">
      <c r="AR2400">
        <v>2392</v>
      </c>
      <c r="AS2400">
        <v>574</v>
      </c>
      <c r="AT2400">
        <v>3</v>
      </c>
      <c r="AU2400">
        <v>6.6623306662773576</v>
      </c>
      <c r="AV2400">
        <v>8.7718914051994466E-33</v>
      </c>
    </row>
    <row r="2401" spans="44:48" x14ac:dyDescent="0.2">
      <c r="AR2401">
        <v>2393</v>
      </c>
      <c r="AS2401">
        <v>575</v>
      </c>
      <c r="AT2401">
        <v>3</v>
      </c>
      <c r="AU2401">
        <v>6.6932711975947061</v>
      </c>
      <c r="AV2401">
        <v>4.2246679643652326E-33</v>
      </c>
    </row>
    <row r="2402" spans="44:48" x14ac:dyDescent="0.2">
      <c r="AR2402">
        <v>2394</v>
      </c>
      <c r="AS2402">
        <v>576</v>
      </c>
      <c r="AT2402">
        <v>3</v>
      </c>
      <c r="AU2402">
        <v>6.7242117289120511</v>
      </c>
      <c r="AV2402">
        <v>2.0273275285478882E-33</v>
      </c>
    </row>
    <row r="2403" spans="44:48" x14ac:dyDescent="0.2">
      <c r="AR2403">
        <v>2395</v>
      </c>
      <c r="AS2403">
        <v>577</v>
      </c>
      <c r="AT2403">
        <v>3</v>
      </c>
      <c r="AU2403">
        <v>6.7551522602293961</v>
      </c>
      <c r="AV2403">
        <v>9.69364821200609E-34</v>
      </c>
    </row>
    <row r="2404" spans="44:48" x14ac:dyDescent="0.2">
      <c r="AR2404">
        <v>2396</v>
      </c>
      <c r="AS2404">
        <v>578</v>
      </c>
      <c r="AT2404">
        <v>3</v>
      </c>
      <c r="AU2404">
        <v>6.7860927915467446</v>
      </c>
      <c r="AV2404">
        <v>4.6183048122031026E-34</v>
      </c>
    </row>
    <row r="2405" spans="44:48" x14ac:dyDescent="0.2">
      <c r="AR2405">
        <v>2397</v>
      </c>
      <c r="AS2405">
        <v>579</v>
      </c>
      <c r="AT2405">
        <v>3</v>
      </c>
      <c r="AU2405">
        <v>6.8170333228640896</v>
      </c>
      <c r="AV2405">
        <v>2.1923502233693178E-34</v>
      </c>
    </row>
    <row r="2406" spans="44:48" x14ac:dyDescent="0.2">
      <c r="AR2406">
        <v>2398</v>
      </c>
      <c r="AS2406">
        <v>580</v>
      </c>
      <c r="AT2406">
        <v>3</v>
      </c>
      <c r="AU2406">
        <v>6.8479738541814346</v>
      </c>
      <c r="AV2406">
        <v>1.0369773579289972E-34</v>
      </c>
    </row>
    <row r="2407" spans="44:48" x14ac:dyDescent="0.2">
      <c r="AR2407">
        <v>2399</v>
      </c>
      <c r="AS2407">
        <v>581</v>
      </c>
      <c r="AT2407">
        <v>3</v>
      </c>
      <c r="AU2407">
        <v>6.8789143854987831</v>
      </c>
      <c r="AV2407">
        <v>4.8872056680398143E-35</v>
      </c>
    </row>
    <row r="2408" spans="44:48" x14ac:dyDescent="0.2">
      <c r="AR2408">
        <v>2400</v>
      </c>
      <c r="AS2408">
        <v>582</v>
      </c>
      <c r="AT2408">
        <v>3</v>
      </c>
      <c r="AU2408">
        <v>6.9098549168161281</v>
      </c>
      <c r="AV2408">
        <v>2.295006706510356E-35</v>
      </c>
    </row>
    <row r="2409" spans="44:48" x14ac:dyDescent="0.2">
      <c r="AR2409">
        <v>2401</v>
      </c>
      <c r="AS2409">
        <v>583</v>
      </c>
      <c r="AT2409">
        <v>3</v>
      </c>
      <c r="AU2409">
        <v>6.9407954481334766</v>
      </c>
      <c r="AV2409">
        <v>1.0738393228685852E-35</v>
      </c>
    </row>
    <row r="2410" spans="44:48" x14ac:dyDescent="0.2">
      <c r="AR2410">
        <v>2402</v>
      </c>
      <c r="AS2410">
        <v>584</v>
      </c>
      <c r="AT2410">
        <v>3</v>
      </c>
      <c r="AU2410">
        <v>6.9717359794508216</v>
      </c>
      <c r="AV2410">
        <v>5.0064127155849212E-36</v>
      </c>
    </row>
    <row r="2411" spans="44:48" x14ac:dyDescent="0.2">
      <c r="AR2411">
        <v>2403</v>
      </c>
      <c r="AS2411">
        <v>585</v>
      </c>
      <c r="AT2411">
        <v>3</v>
      </c>
      <c r="AU2411">
        <v>7.0026765107681666</v>
      </c>
      <c r="AV2411">
        <v>2.3256587802575928E-36</v>
      </c>
    </row>
    <row r="2412" spans="44:48" x14ac:dyDescent="0.2">
      <c r="AR2412">
        <v>2404</v>
      </c>
      <c r="AS2412">
        <v>586</v>
      </c>
      <c r="AT2412">
        <v>3</v>
      </c>
      <c r="AU2412">
        <v>7.0336170420855151</v>
      </c>
      <c r="AV2412">
        <v>1.0764586289278132E-36</v>
      </c>
    </row>
    <row r="2413" spans="44:48" x14ac:dyDescent="0.2">
      <c r="AR2413">
        <v>2405</v>
      </c>
      <c r="AS2413">
        <v>587</v>
      </c>
      <c r="AT2413">
        <v>3</v>
      </c>
      <c r="AU2413">
        <v>7.0645575734028601</v>
      </c>
      <c r="AV2413">
        <v>4.9645591847075971E-37</v>
      </c>
    </row>
    <row r="2414" spans="44:48" x14ac:dyDescent="0.2">
      <c r="AR2414">
        <v>2406</v>
      </c>
      <c r="AS2414">
        <v>588</v>
      </c>
      <c r="AT2414">
        <v>3</v>
      </c>
      <c r="AU2414">
        <v>7.095498104720205</v>
      </c>
      <c r="AV2414">
        <v>2.2813716622145709E-37</v>
      </c>
    </row>
    <row r="2415" spans="44:48" x14ac:dyDescent="0.2">
      <c r="AR2415">
        <v>2407</v>
      </c>
      <c r="AS2415">
        <v>589</v>
      </c>
      <c r="AT2415">
        <v>3</v>
      </c>
      <c r="AU2415">
        <v>7.1264386360375536</v>
      </c>
      <c r="AV2415">
        <v>1.0445840593935145E-37</v>
      </c>
    </row>
    <row r="2416" spans="44:48" x14ac:dyDescent="0.2">
      <c r="AR2416">
        <v>2408</v>
      </c>
      <c r="AS2416">
        <v>590</v>
      </c>
      <c r="AT2416">
        <v>3</v>
      </c>
      <c r="AU2416">
        <v>7.1573791673548985</v>
      </c>
      <c r="AV2416">
        <v>4.7656566176794019E-38</v>
      </c>
    </row>
    <row r="2417" spans="44:48" x14ac:dyDescent="0.2">
      <c r="AR2417">
        <v>2409</v>
      </c>
      <c r="AS2417">
        <v>591</v>
      </c>
      <c r="AT2417">
        <v>3</v>
      </c>
      <c r="AU2417">
        <v>7.1883196986722435</v>
      </c>
      <c r="AV2417">
        <v>2.1663773204434962E-38</v>
      </c>
    </row>
    <row r="2418" spans="44:48" x14ac:dyDescent="0.2">
      <c r="AR2418">
        <v>2410</v>
      </c>
      <c r="AS2418">
        <v>592</v>
      </c>
      <c r="AT2418">
        <v>3</v>
      </c>
      <c r="AU2418">
        <v>7.219260229989592</v>
      </c>
      <c r="AV2418">
        <v>9.812449968372086E-39</v>
      </c>
    </row>
    <row r="2419" spans="44:48" x14ac:dyDescent="0.2">
      <c r="AR2419">
        <v>2411</v>
      </c>
      <c r="AS2419">
        <v>593</v>
      </c>
      <c r="AT2419">
        <v>3</v>
      </c>
      <c r="AU2419">
        <v>7.250200761306937</v>
      </c>
      <c r="AV2419">
        <v>4.4284608689619828E-39</v>
      </c>
    </row>
    <row r="2420" spans="44:48" x14ac:dyDescent="0.2">
      <c r="AR2420">
        <v>2412</v>
      </c>
      <c r="AS2420">
        <v>594</v>
      </c>
      <c r="AT2420">
        <v>3</v>
      </c>
      <c r="AU2420">
        <v>7.2811412926242856</v>
      </c>
      <c r="AV2420">
        <v>1.9914076391636714E-39</v>
      </c>
    </row>
    <row r="2421" spans="44:48" x14ac:dyDescent="0.2">
      <c r="AR2421">
        <v>2413</v>
      </c>
      <c r="AS2421">
        <v>595</v>
      </c>
      <c r="AT2421">
        <v>3</v>
      </c>
      <c r="AU2421">
        <v>7.3120818239416305</v>
      </c>
      <c r="AV2421">
        <v>8.9227664827571755E-40</v>
      </c>
    </row>
    <row r="2422" spans="44:48" x14ac:dyDescent="0.2">
      <c r="AR2422">
        <v>2414</v>
      </c>
      <c r="AS2422">
        <v>596</v>
      </c>
      <c r="AT2422">
        <v>3</v>
      </c>
      <c r="AU2422">
        <v>7.3430223552589755</v>
      </c>
      <c r="AV2422">
        <v>3.9835556340957914E-40</v>
      </c>
    </row>
    <row r="2423" spans="44:48" x14ac:dyDescent="0.2">
      <c r="AR2423">
        <v>2415</v>
      </c>
      <c r="AS2423">
        <v>597</v>
      </c>
      <c r="AT2423">
        <v>3</v>
      </c>
      <c r="AU2423">
        <v>7.373962886576324</v>
      </c>
      <c r="AV2423">
        <v>1.7720429653811304E-40</v>
      </c>
    </row>
    <row r="2424" spans="44:48" x14ac:dyDescent="0.2">
      <c r="AR2424">
        <v>2416</v>
      </c>
      <c r="AS2424">
        <v>598</v>
      </c>
      <c r="AT2424">
        <v>3</v>
      </c>
      <c r="AU2424">
        <v>7.404903417893669</v>
      </c>
      <c r="AV2424">
        <v>7.8543384179416021E-41</v>
      </c>
    </row>
    <row r="2425" spans="44:48" x14ac:dyDescent="0.2">
      <c r="AR2425">
        <v>2417</v>
      </c>
      <c r="AS2425">
        <v>599</v>
      </c>
      <c r="AT2425">
        <v>3</v>
      </c>
      <c r="AU2425">
        <v>7.435843949211014</v>
      </c>
      <c r="AV2425">
        <v>3.4687817278726302E-41</v>
      </c>
    </row>
    <row r="2426" spans="44:48" x14ac:dyDescent="0.2">
      <c r="AR2426">
        <v>2418</v>
      </c>
      <c r="AS2426">
        <v>600</v>
      </c>
      <c r="AT2426">
        <v>3</v>
      </c>
      <c r="AU2426">
        <v>7.4667844805283625</v>
      </c>
      <c r="AV2426">
        <v>1.526428046671093E-41</v>
      </c>
    </row>
    <row r="2427" spans="44:48" x14ac:dyDescent="0.2">
      <c r="AR2427">
        <v>2419</v>
      </c>
      <c r="AS2427">
        <v>601</v>
      </c>
      <c r="AT2427">
        <v>3</v>
      </c>
      <c r="AU2427">
        <v>7.4977250118457075</v>
      </c>
      <c r="AV2427">
        <v>6.6927977726011554E-42</v>
      </c>
    </row>
    <row r="2428" spans="44:48" x14ac:dyDescent="0.2">
      <c r="AR2428">
        <v>2420</v>
      </c>
      <c r="AS2428">
        <v>602</v>
      </c>
      <c r="AT2428">
        <v>3</v>
      </c>
      <c r="AU2428">
        <v>7.528665543163056</v>
      </c>
      <c r="AV2428">
        <v>2.923957591392496E-42</v>
      </c>
    </row>
    <row r="2429" spans="44:48" x14ac:dyDescent="0.2">
      <c r="AR2429">
        <v>2421</v>
      </c>
      <c r="AS2429">
        <v>603</v>
      </c>
      <c r="AT2429">
        <v>3</v>
      </c>
      <c r="AU2429">
        <v>7.559606074480401</v>
      </c>
      <c r="AV2429">
        <v>1.2728183776458223E-42</v>
      </c>
    </row>
    <row r="2430" spans="44:48" x14ac:dyDescent="0.2">
      <c r="AR2430">
        <v>2422</v>
      </c>
      <c r="AS2430">
        <v>604</v>
      </c>
      <c r="AT2430">
        <v>3</v>
      </c>
      <c r="AU2430">
        <v>7.590546605797746</v>
      </c>
      <c r="AV2430">
        <v>5.5206956588565158E-43</v>
      </c>
    </row>
    <row r="2431" spans="44:48" x14ac:dyDescent="0.2">
      <c r="AR2431">
        <v>2423</v>
      </c>
      <c r="AS2431">
        <v>605</v>
      </c>
      <c r="AT2431">
        <v>3</v>
      </c>
      <c r="AU2431">
        <v>7.6214871371150945</v>
      </c>
      <c r="AV2431">
        <v>2.3859051606007149E-43</v>
      </c>
    </row>
    <row r="2432" spans="44:48" x14ac:dyDescent="0.2">
      <c r="AR2432">
        <v>2424</v>
      </c>
      <c r="AS2432">
        <v>606</v>
      </c>
      <c r="AT2432">
        <v>3</v>
      </c>
      <c r="AU2432">
        <v>7.6524276684324395</v>
      </c>
      <c r="AV2432">
        <v>1.0274117966092057E-43</v>
      </c>
    </row>
    <row r="2433" spans="44:48" x14ac:dyDescent="0.2">
      <c r="AR2433">
        <v>2425</v>
      </c>
      <c r="AS2433">
        <v>607</v>
      </c>
      <c r="AT2433">
        <v>3</v>
      </c>
      <c r="AU2433">
        <v>7.6833681997497845</v>
      </c>
      <c r="AV2433">
        <v>4.408267299509543E-44</v>
      </c>
    </row>
    <row r="2434" spans="44:48" x14ac:dyDescent="0.2">
      <c r="AR2434">
        <v>2426</v>
      </c>
      <c r="AS2434">
        <v>608</v>
      </c>
      <c r="AT2434">
        <v>3</v>
      </c>
      <c r="AU2434">
        <v>7.714308731067133</v>
      </c>
      <c r="AV2434">
        <v>1.8846178242610478E-44</v>
      </c>
    </row>
    <row r="2435" spans="44:48" x14ac:dyDescent="0.2">
      <c r="AR2435">
        <v>2427</v>
      </c>
      <c r="AS2435">
        <v>609</v>
      </c>
      <c r="AT2435">
        <v>3</v>
      </c>
      <c r="AU2435">
        <v>7.745249262384478</v>
      </c>
      <c r="AV2435">
        <v>8.0280611004078177E-45</v>
      </c>
    </row>
    <row r="2436" spans="44:48" x14ac:dyDescent="0.2">
      <c r="AR2436">
        <v>2428</v>
      </c>
      <c r="AS2436">
        <v>610</v>
      </c>
      <c r="AT2436">
        <v>3</v>
      </c>
      <c r="AU2436">
        <v>7.7761897937018229</v>
      </c>
      <c r="AV2436">
        <v>3.4074543423318668E-45</v>
      </c>
    </row>
    <row r="2437" spans="44:48" x14ac:dyDescent="0.2">
      <c r="AR2437">
        <v>2429</v>
      </c>
      <c r="AS2437">
        <v>611</v>
      </c>
      <c r="AT2437">
        <v>3</v>
      </c>
      <c r="AU2437">
        <v>7.8071303250191715</v>
      </c>
      <c r="AV2437">
        <v>1.4410578733165705E-45</v>
      </c>
    </row>
    <row r="2438" spans="44:48" x14ac:dyDescent="0.2">
      <c r="AR2438">
        <v>2430</v>
      </c>
      <c r="AS2438">
        <v>612</v>
      </c>
      <c r="AT2438">
        <v>3</v>
      </c>
      <c r="AU2438">
        <v>7.8380708563365165</v>
      </c>
      <c r="AV2438">
        <v>6.0724619334392203E-46</v>
      </c>
    </row>
    <row r="2439" spans="44:48" x14ac:dyDescent="0.2">
      <c r="AR2439">
        <v>2431</v>
      </c>
      <c r="AS2439">
        <v>613</v>
      </c>
      <c r="AT2439">
        <v>3</v>
      </c>
      <c r="AU2439">
        <v>7.869011387653865</v>
      </c>
      <c r="AV2439">
        <v>2.549647730059612E-46</v>
      </c>
    </row>
    <row r="2440" spans="44:48" x14ac:dyDescent="0.2">
      <c r="AR2440">
        <v>2432</v>
      </c>
      <c r="AS2440">
        <v>614</v>
      </c>
      <c r="AT2440">
        <v>3</v>
      </c>
      <c r="AU2440">
        <v>7.89995191897121</v>
      </c>
      <c r="AV2440">
        <v>1.0666638123302316E-46</v>
      </c>
    </row>
    <row r="2441" spans="44:48" x14ac:dyDescent="0.2">
      <c r="AR2441">
        <v>2433</v>
      </c>
      <c r="AS2441">
        <v>615</v>
      </c>
      <c r="AT2441">
        <v>3</v>
      </c>
      <c r="AU2441">
        <v>7.9308924502885549</v>
      </c>
      <c r="AV2441">
        <v>4.4463837622416363E-47</v>
      </c>
    </row>
    <row r="2442" spans="44:48" x14ac:dyDescent="0.2">
      <c r="AR2442">
        <v>2434</v>
      </c>
      <c r="AS2442">
        <v>616</v>
      </c>
      <c r="AT2442">
        <v>3</v>
      </c>
      <c r="AU2442">
        <v>7.9618329816059035</v>
      </c>
      <c r="AV2442">
        <v>1.8467934543338763E-47</v>
      </c>
    </row>
    <row r="2443" spans="44:48" x14ac:dyDescent="0.2">
      <c r="AR2443">
        <v>2435</v>
      </c>
      <c r="AS2443">
        <v>617</v>
      </c>
      <c r="AT2443">
        <v>3</v>
      </c>
      <c r="AU2443">
        <v>7.9927735129232484</v>
      </c>
      <c r="AV2443">
        <v>7.6429621866301938E-48</v>
      </c>
    </row>
    <row r="2444" spans="44:48" x14ac:dyDescent="0.2">
      <c r="AR2444">
        <v>2436</v>
      </c>
      <c r="AS2444">
        <v>618</v>
      </c>
      <c r="AT2444">
        <v>3</v>
      </c>
      <c r="AU2444">
        <v>8.0237140442405934</v>
      </c>
      <c r="AV2444">
        <v>3.1516435748824414E-48</v>
      </c>
    </row>
    <row r="2445" spans="44:48" x14ac:dyDescent="0.2">
      <c r="AR2445">
        <v>2437</v>
      </c>
      <c r="AS2445">
        <v>619</v>
      </c>
      <c r="AT2445">
        <v>3</v>
      </c>
      <c r="AU2445">
        <v>8.054654575557942</v>
      </c>
      <c r="AV2445">
        <v>1.2949246053098806E-48</v>
      </c>
    </row>
    <row r="2446" spans="44:48" x14ac:dyDescent="0.2">
      <c r="AR2446">
        <v>2438</v>
      </c>
      <c r="AS2446">
        <v>620</v>
      </c>
      <c r="AT2446">
        <v>3</v>
      </c>
      <c r="AU2446">
        <v>8.0855951068752869</v>
      </c>
      <c r="AV2446">
        <v>5.3013181805581386E-49</v>
      </c>
    </row>
    <row r="2447" spans="44:48" x14ac:dyDescent="0.2">
      <c r="AR2447">
        <v>2439</v>
      </c>
      <c r="AS2447">
        <v>621</v>
      </c>
      <c r="AT2447">
        <v>3</v>
      </c>
      <c r="AU2447">
        <v>8.1165356381926319</v>
      </c>
      <c r="AV2447">
        <v>2.1624957371529792E-49</v>
      </c>
    </row>
    <row r="2448" spans="44:48" x14ac:dyDescent="0.2">
      <c r="AR2448">
        <v>2440</v>
      </c>
      <c r="AS2448">
        <v>622</v>
      </c>
      <c r="AT2448">
        <v>3</v>
      </c>
      <c r="AU2448">
        <v>8.1474761695099804</v>
      </c>
      <c r="AV2448">
        <v>8.7893882791150474E-50</v>
      </c>
    </row>
    <row r="2449" spans="44:48" x14ac:dyDescent="0.2">
      <c r="AR2449">
        <v>2441</v>
      </c>
      <c r="AS2449">
        <v>623</v>
      </c>
      <c r="AT2449">
        <v>3</v>
      </c>
      <c r="AU2449">
        <v>8.1784167008273254</v>
      </c>
      <c r="AV2449">
        <v>3.5595413440984282E-50</v>
      </c>
    </row>
    <row r="2450" spans="44:48" x14ac:dyDescent="0.2">
      <c r="AR2450">
        <v>2442</v>
      </c>
      <c r="AS2450">
        <v>624</v>
      </c>
      <c r="AT2450">
        <v>3</v>
      </c>
      <c r="AU2450">
        <v>8.2093572321446739</v>
      </c>
      <c r="AV2450">
        <v>1.4363538215302673E-50</v>
      </c>
    </row>
    <row r="2451" spans="44:48" x14ac:dyDescent="0.2">
      <c r="AR2451">
        <v>2443</v>
      </c>
      <c r="AS2451">
        <v>625</v>
      </c>
      <c r="AT2451">
        <v>3</v>
      </c>
      <c r="AU2451">
        <v>8.2402977634620189</v>
      </c>
      <c r="AV2451">
        <v>5.7751175422587584E-51</v>
      </c>
    </row>
    <row r="2452" spans="44:48" x14ac:dyDescent="0.2">
      <c r="AR2452">
        <v>2444</v>
      </c>
      <c r="AS2452">
        <v>626</v>
      </c>
      <c r="AT2452">
        <v>3</v>
      </c>
      <c r="AU2452">
        <v>8.2712382947793639</v>
      </c>
      <c r="AV2452">
        <v>2.3136210281369639E-51</v>
      </c>
    </row>
    <row r="2453" spans="44:48" x14ac:dyDescent="0.2">
      <c r="AR2453">
        <v>2445</v>
      </c>
      <c r="AS2453">
        <v>627</v>
      </c>
      <c r="AT2453">
        <v>3</v>
      </c>
      <c r="AU2453">
        <v>8.3021788260967124</v>
      </c>
      <c r="AV2453">
        <v>9.2353980603361014E-52</v>
      </c>
    </row>
    <row r="2454" spans="44:48" x14ac:dyDescent="0.2">
      <c r="AR2454">
        <v>2446</v>
      </c>
      <c r="AS2454">
        <v>628</v>
      </c>
      <c r="AT2454">
        <v>3</v>
      </c>
      <c r="AU2454">
        <v>8.3331193574140574</v>
      </c>
      <c r="AV2454">
        <v>3.6732544739754949E-52</v>
      </c>
    </row>
    <row r="2455" spans="44:48" x14ac:dyDescent="0.2">
      <c r="AR2455">
        <v>2447</v>
      </c>
      <c r="AS2455">
        <v>629</v>
      </c>
      <c r="AT2455">
        <v>3</v>
      </c>
      <c r="AU2455">
        <v>8.3640598887314024</v>
      </c>
      <c r="AV2455">
        <v>1.4557218968726013E-52</v>
      </c>
    </row>
    <row r="2456" spans="44:48" x14ac:dyDescent="0.2">
      <c r="AR2456">
        <v>2448</v>
      </c>
      <c r="AS2456">
        <v>630</v>
      </c>
      <c r="AT2456">
        <v>3</v>
      </c>
      <c r="AU2456">
        <v>8.3950004200487509</v>
      </c>
      <c r="AV2456">
        <v>5.748278673065677E-53</v>
      </c>
    </row>
    <row r="2457" spans="44:48" x14ac:dyDescent="0.2">
      <c r="AR2457">
        <v>2449</v>
      </c>
      <c r="AS2457">
        <v>631</v>
      </c>
      <c r="AT2457">
        <v>3</v>
      </c>
      <c r="AU2457">
        <v>8.4259409513660959</v>
      </c>
      <c r="AV2457">
        <v>2.2616698841284619E-53</v>
      </c>
    </row>
    <row r="2458" spans="44:48" x14ac:dyDescent="0.2">
      <c r="AR2458">
        <v>2450</v>
      </c>
      <c r="AS2458">
        <v>632</v>
      </c>
      <c r="AT2458">
        <v>3</v>
      </c>
      <c r="AU2458">
        <v>8.4568814826834409</v>
      </c>
      <c r="AV2458">
        <v>8.8665081393501823E-54</v>
      </c>
    </row>
    <row r="2459" spans="44:48" x14ac:dyDescent="0.2">
      <c r="AR2459">
        <v>2451</v>
      </c>
      <c r="AS2459">
        <v>633</v>
      </c>
      <c r="AT2459">
        <v>3</v>
      </c>
      <c r="AU2459">
        <v>8.4878220140007894</v>
      </c>
      <c r="AV2459">
        <v>3.463442805831168E-54</v>
      </c>
    </row>
    <row r="2460" spans="44:48" x14ac:dyDescent="0.2">
      <c r="AR2460">
        <v>2452</v>
      </c>
      <c r="AS2460">
        <v>634</v>
      </c>
      <c r="AT2460">
        <v>3</v>
      </c>
      <c r="AU2460">
        <v>8.5187625453181344</v>
      </c>
      <c r="AV2460">
        <v>1.3480171719267876E-54</v>
      </c>
    </row>
    <row r="2461" spans="44:48" x14ac:dyDescent="0.2">
      <c r="AR2461">
        <v>2453</v>
      </c>
      <c r="AS2461">
        <v>635</v>
      </c>
      <c r="AT2461">
        <v>3</v>
      </c>
      <c r="AU2461">
        <v>8.5497030766354829</v>
      </c>
      <c r="AV2461">
        <v>5.2277502331764642E-55</v>
      </c>
    </row>
    <row r="2462" spans="44:48" x14ac:dyDescent="0.2">
      <c r="AR2462">
        <v>2454</v>
      </c>
      <c r="AS2462">
        <v>636</v>
      </c>
      <c r="AT2462">
        <v>3</v>
      </c>
      <c r="AU2462">
        <v>8.5806436079528279</v>
      </c>
      <c r="AV2462">
        <v>2.0200691522979062E-55</v>
      </c>
    </row>
    <row r="2463" spans="44:48" x14ac:dyDescent="0.2">
      <c r="AR2463">
        <v>2455</v>
      </c>
      <c r="AS2463">
        <v>637</v>
      </c>
      <c r="AT2463">
        <v>3</v>
      </c>
      <c r="AU2463">
        <v>8.6115841392701729</v>
      </c>
      <c r="AV2463">
        <v>7.7776723666642863E-56</v>
      </c>
    </row>
    <row r="2464" spans="44:48" x14ac:dyDescent="0.2">
      <c r="AR2464">
        <v>2456</v>
      </c>
      <c r="AS2464">
        <v>638</v>
      </c>
      <c r="AT2464">
        <v>3</v>
      </c>
      <c r="AU2464">
        <v>8.6425246705875214</v>
      </c>
      <c r="AV2464">
        <v>2.9837680114818228E-56</v>
      </c>
    </row>
    <row r="2465" spans="44:48" x14ac:dyDescent="0.2">
      <c r="AR2465">
        <v>2457</v>
      </c>
      <c r="AS2465">
        <v>639</v>
      </c>
      <c r="AT2465">
        <v>3</v>
      </c>
      <c r="AU2465">
        <v>8.6734652019048664</v>
      </c>
      <c r="AV2465">
        <v>1.1405451021145678E-56</v>
      </c>
    </row>
    <row r="2466" spans="44:48" x14ac:dyDescent="0.2">
      <c r="AR2466">
        <v>2458</v>
      </c>
      <c r="AS2466">
        <v>640</v>
      </c>
      <c r="AT2466">
        <v>3</v>
      </c>
      <c r="AU2466">
        <v>8.7044057332222113</v>
      </c>
      <c r="AV2466">
        <v>4.3440205915423857E-57</v>
      </c>
    </row>
    <row r="2467" spans="44:48" x14ac:dyDescent="0.2">
      <c r="AR2467">
        <v>2459</v>
      </c>
      <c r="AS2467">
        <v>641</v>
      </c>
      <c r="AT2467">
        <v>3</v>
      </c>
      <c r="AU2467">
        <v>8.7353462645395599</v>
      </c>
      <c r="AV2467">
        <v>1.6485544188352089E-57</v>
      </c>
    </row>
    <row r="2468" spans="44:48" x14ac:dyDescent="0.2">
      <c r="AR2468">
        <v>2460</v>
      </c>
      <c r="AS2468">
        <v>642</v>
      </c>
      <c r="AT2468">
        <v>3</v>
      </c>
      <c r="AU2468">
        <v>8.7662867958569048</v>
      </c>
      <c r="AV2468">
        <v>6.2337115364220668E-58</v>
      </c>
    </row>
    <row r="2469" spans="44:48" x14ac:dyDescent="0.2">
      <c r="AR2469">
        <v>2461</v>
      </c>
      <c r="AS2469">
        <v>643</v>
      </c>
      <c r="AT2469">
        <v>3</v>
      </c>
      <c r="AU2469">
        <v>8.7972273271742498</v>
      </c>
      <c r="AV2469">
        <v>2.3486706270348152E-58</v>
      </c>
    </row>
    <row r="2470" spans="44:48" x14ac:dyDescent="0.2">
      <c r="AR2470">
        <v>2462</v>
      </c>
      <c r="AS2470">
        <v>644</v>
      </c>
      <c r="AT2470">
        <v>3</v>
      </c>
      <c r="AU2470">
        <v>8.8281678584915984</v>
      </c>
      <c r="AV2470">
        <v>8.8171764604924203E-59</v>
      </c>
    </row>
    <row r="2471" spans="44:48" x14ac:dyDescent="0.2">
      <c r="AR2471">
        <v>2463</v>
      </c>
      <c r="AS2471">
        <v>645</v>
      </c>
      <c r="AT2471">
        <v>3</v>
      </c>
      <c r="AU2471">
        <v>8.8591083898089433</v>
      </c>
      <c r="AV2471">
        <v>3.2981389602747238E-59</v>
      </c>
    </row>
    <row r="2472" spans="44:48" x14ac:dyDescent="0.2">
      <c r="AR2472">
        <v>2464</v>
      </c>
      <c r="AS2472">
        <v>646</v>
      </c>
      <c r="AT2472">
        <v>3</v>
      </c>
      <c r="AU2472">
        <v>8.8900489211262919</v>
      </c>
      <c r="AV2472">
        <v>1.2292504281747708E-59</v>
      </c>
    </row>
    <row r="2473" spans="44:48" x14ac:dyDescent="0.2">
      <c r="AR2473">
        <v>2465</v>
      </c>
      <c r="AS2473">
        <v>647</v>
      </c>
      <c r="AT2473">
        <v>3</v>
      </c>
      <c r="AU2473">
        <v>8.9209894524436368</v>
      </c>
      <c r="AV2473">
        <v>4.5650315969072821E-60</v>
      </c>
    </row>
    <row r="2474" spans="44:48" x14ac:dyDescent="0.2">
      <c r="AR2474">
        <v>2466</v>
      </c>
      <c r="AS2474">
        <v>648</v>
      </c>
      <c r="AT2474">
        <v>3</v>
      </c>
      <c r="AU2474">
        <v>8.9519299837609818</v>
      </c>
      <c r="AV2474">
        <v>1.6891927495272951E-60</v>
      </c>
    </row>
    <row r="2475" spans="44:48" x14ac:dyDescent="0.2">
      <c r="AR2475">
        <v>2467</v>
      </c>
      <c r="AS2475">
        <v>649</v>
      </c>
      <c r="AT2475">
        <v>3</v>
      </c>
      <c r="AU2475">
        <v>8.9828705150783303</v>
      </c>
      <c r="AV2475">
        <v>6.2279717022538326E-61</v>
      </c>
    </row>
    <row r="2476" spans="44:48" x14ac:dyDescent="0.2">
      <c r="AR2476">
        <v>2468</v>
      </c>
      <c r="AS2476">
        <v>650</v>
      </c>
      <c r="AT2476">
        <v>3</v>
      </c>
      <c r="AU2476">
        <v>9.0138110463956753</v>
      </c>
      <c r="AV2476">
        <v>2.2879474946897311E-61</v>
      </c>
    </row>
    <row r="2477" spans="44:48" x14ac:dyDescent="0.2">
      <c r="AR2477">
        <v>2469</v>
      </c>
      <c r="AS2477">
        <v>651</v>
      </c>
      <c r="AT2477">
        <v>3</v>
      </c>
      <c r="AU2477">
        <v>9.0447515777130203</v>
      </c>
      <c r="AV2477">
        <v>8.3748585013405211E-62</v>
      </c>
    </row>
    <row r="2478" spans="44:48" x14ac:dyDescent="0.2">
      <c r="AR2478">
        <v>2470</v>
      </c>
      <c r="AS2478">
        <v>652</v>
      </c>
      <c r="AT2478">
        <v>3</v>
      </c>
      <c r="AU2478">
        <v>9.0756921090303688</v>
      </c>
      <c r="AV2478">
        <v>3.0545054445391325E-62</v>
      </c>
    </row>
    <row r="2479" spans="44:48" x14ac:dyDescent="0.2">
      <c r="AR2479">
        <v>2471</v>
      </c>
      <c r="AS2479">
        <v>653</v>
      </c>
      <c r="AT2479">
        <v>3</v>
      </c>
      <c r="AU2479">
        <v>9.1066326403477138</v>
      </c>
      <c r="AV2479">
        <v>1.1100341251370227E-62</v>
      </c>
    </row>
    <row r="2480" spans="44:48" x14ac:dyDescent="0.2">
      <c r="AR2480">
        <v>2472</v>
      </c>
      <c r="AS2480">
        <v>654</v>
      </c>
      <c r="AT2480">
        <v>3</v>
      </c>
      <c r="AU2480">
        <v>9.1375731716650588</v>
      </c>
      <c r="AV2480">
        <v>4.019423414607873E-63</v>
      </c>
    </row>
    <row r="2481" spans="44:48" x14ac:dyDescent="0.2">
      <c r="AR2481">
        <v>2473</v>
      </c>
      <c r="AS2481">
        <v>655</v>
      </c>
      <c r="AT2481">
        <v>3</v>
      </c>
      <c r="AU2481">
        <v>9.1685137029824073</v>
      </c>
      <c r="AV2481">
        <v>1.4501842601921577E-63</v>
      </c>
    </row>
    <row r="2482" spans="44:48" x14ac:dyDescent="0.2">
      <c r="AR2482">
        <v>2474</v>
      </c>
      <c r="AS2482">
        <v>656</v>
      </c>
      <c r="AT2482">
        <v>3</v>
      </c>
      <c r="AU2482">
        <v>9.1994542342997523</v>
      </c>
      <c r="AV2482">
        <v>5.2133228096704019E-64</v>
      </c>
    </row>
    <row r="2483" spans="44:48" x14ac:dyDescent="0.2">
      <c r="AR2483">
        <v>2475</v>
      </c>
      <c r="AS2483">
        <v>657</v>
      </c>
      <c r="AT2483">
        <v>3</v>
      </c>
      <c r="AU2483">
        <v>9.2303947656171008</v>
      </c>
      <c r="AV2483">
        <v>1.8674029851346229E-64</v>
      </c>
    </row>
    <row r="2484" spans="44:48" x14ac:dyDescent="0.2">
      <c r="AR2484">
        <v>2476</v>
      </c>
      <c r="AS2484">
        <v>658</v>
      </c>
      <c r="AT2484">
        <v>3</v>
      </c>
      <c r="AU2484">
        <v>9.2613352969344458</v>
      </c>
      <c r="AV2484">
        <v>6.6648975999897333E-65</v>
      </c>
    </row>
    <row r="2485" spans="44:48" x14ac:dyDescent="0.2">
      <c r="AR2485">
        <v>2477</v>
      </c>
      <c r="AS2485">
        <v>659</v>
      </c>
      <c r="AT2485">
        <v>3</v>
      </c>
      <c r="AU2485">
        <v>9.2922758282517908</v>
      </c>
      <c r="AV2485">
        <v>2.3701777397516089E-65</v>
      </c>
    </row>
    <row r="2486" spans="44:48" x14ac:dyDescent="0.2">
      <c r="AR2486">
        <v>2478</v>
      </c>
      <c r="AS2486">
        <v>660</v>
      </c>
      <c r="AT2486">
        <v>3</v>
      </c>
      <c r="AU2486">
        <v>9.3232163595691393</v>
      </c>
      <c r="AV2486">
        <v>8.3984733780788036E-66</v>
      </c>
    </row>
    <row r="2487" spans="44:48" x14ac:dyDescent="0.2">
      <c r="AR2487">
        <v>2479</v>
      </c>
      <c r="AS2487">
        <v>661</v>
      </c>
      <c r="AT2487">
        <v>3</v>
      </c>
      <c r="AU2487">
        <v>9.3541568908864843</v>
      </c>
      <c r="AV2487">
        <v>2.9651849419585266E-66</v>
      </c>
    </row>
    <row r="2488" spans="44:48" x14ac:dyDescent="0.2">
      <c r="AR2488">
        <v>2480</v>
      </c>
      <c r="AS2488">
        <v>662</v>
      </c>
      <c r="AT2488">
        <v>3</v>
      </c>
      <c r="AU2488">
        <v>9.3850974222038293</v>
      </c>
      <c r="AV2488">
        <v>1.0431222840043352E-66</v>
      </c>
    </row>
    <row r="2489" spans="44:48" x14ac:dyDescent="0.2">
      <c r="AR2489">
        <v>2481</v>
      </c>
      <c r="AS2489">
        <v>663</v>
      </c>
      <c r="AT2489">
        <v>3</v>
      </c>
      <c r="AU2489">
        <v>9.4160379535211778</v>
      </c>
      <c r="AV2489">
        <v>3.6563744176694468E-67</v>
      </c>
    </row>
    <row r="2490" spans="44:48" x14ac:dyDescent="0.2">
      <c r="AR2490">
        <v>2482</v>
      </c>
      <c r="AS2490">
        <v>664</v>
      </c>
      <c r="AT2490">
        <v>3</v>
      </c>
      <c r="AU2490">
        <v>9.4469784848385228</v>
      </c>
      <c r="AV2490">
        <v>1.2770211829043691E-67</v>
      </c>
    </row>
    <row r="2491" spans="44:48" x14ac:dyDescent="0.2">
      <c r="AR2491">
        <v>2483</v>
      </c>
      <c r="AS2491">
        <v>665</v>
      </c>
      <c r="AT2491">
        <v>3</v>
      </c>
      <c r="AU2491">
        <v>9.4779190161558713</v>
      </c>
      <c r="AV2491">
        <v>4.4440357307281685E-68</v>
      </c>
    </row>
    <row r="2492" spans="44:48" x14ac:dyDescent="0.2">
      <c r="AR2492">
        <v>2484</v>
      </c>
      <c r="AS2492">
        <v>666</v>
      </c>
      <c r="AT2492">
        <v>3</v>
      </c>
      <c r="AU2492">
        <v>9.5088595474732163</v>
      </c>
      <c r="AV2492">
        <v>1.5409515500899072E-68</v>
      </c>
    </row>
    <row r="2493" spans="44:48" x14ac:dyDescent="0.2">
      <c r="AR2493">
        <v>2485</v>
      </c>
      <c r="AS2493">
        <v>667</v>
      </c>
      <c r="AT2493">
        <v>3</v>
      </c>
      <c r="AU2493">
        <v>9.5398000787905612</v>
      </c>
      <c r="AV2493">
        <v>5.3239311096887951E-69</v>
      </c>
    </row>
    <row r="2494" spans="44:48" x14ac:dyDescent="0.2">
      <c r="AR2494">
        <v>2486</v>
      </c>
      <c r="AS2494">
        <v>668</v>
      </c>
      <c r="AT2494">
        <v>3</v>
      </c>
      <c r="AU2494">
        <v>9.5707406101079098</v>
      </c>
      <c r="AV2494">
        <v>1.8327695951903631E-69</v>
      </c>
    </row>
    <row r="2495" spans="44:48" x14ac:dyDescent="0.2">
      <c r="AR2495">
        <v>2487</v>
      </c>
      <c r="AS2495">
        <v>669</v>
      </c>
      <c r="AT2495">
        <v>3</v>
      </c>
      <c r="AU2495">
        <v>9.6016811414252548</v>
      </c>
      <c r="AV2495">
        <v>6.2865925999326437E-70</v>
      </c>
    </row>
    <row r="2496" spans="44:48" x14ac:dyDescent="0.2">
      <c r="AR2496">
        <v>2488</v>
      </c>
      <c r="AS2496">
        <v>670</v>
      </c>
      <c r="AT2496">
        <v>3</v>
      </c>
      <c r="AU2496">
        <v>9.6326216727425997</v>
      </c>
      <c r="AV2496">
        <v>2.1485960038303178E-70</v>
      </c>
    </row>
    <row r="2497" spans="44:48" x14ac:dyDescent="0.2">
      <c r="AR2497">
        <v>2489</v>
      </c>
      <c r="AS2497">
        <v>671</v>
      </c>
      <c r="AT2497">
        <v>3</v>
      </c>
      <c r="AU2497">
        <v>9.6635622040599483</v>
      </c>
      <c r="AV2497">
        <v>7.3168847008895727E-71</v>
      </c>
    </row>
    <row r="2498" spans="44:48" x14ac:dyDescent="0.2">
      <c r="AR2498">
        <v>2490</v>
      </c>
      <c r="AS2498">
        <v>672</v>
      </c>
      <c r="AT2498">
        <v>3</v>
      </c>
      <c r="AU2498">
        <v>9.6945027353772932</v>
      </c>
      <c r="AV2498">
        <v>2.4827309630490573E-71</v>
      </c>
    </row>
    <row r="2499" spans="44:48" x14ac:dyDescent="0.2">
      <c r="AR2499">
        <v>2491</v>
      </c>
      <c r="AS2499">
        <v>673</v>
      </c>
      <c r="AT2499">
        <v>3</v>
      </c>
      <c r="AU2499">
        <v>9.7254432666946382</v>
      </c>
      <c r="AV2499">
        <v>8.3939255074323321E-72</v>
      </c>
    </row>
    <row r="2500" spans="44:48" x14ac:dyDescent="0.2">
      <c r="AR2500">
        <v>2492</v>
      </c>
      <c r="AS2500">
        <v>674</v>
      </c>
      <c r="AT2500">
        <v>3</v>
      </c>
      <c r="AU2500">
        <v>9.7563837980119867</v>
      </c>
      <c r="AV2500">
        <v>2.8276949881143204E-72</v>
      </c>
    </row>
    <row r="2501" spans="44:48" x14ac:dyDescent="0.2">
      <c r="AR2501">
        <v>2493</v>
      </c>
      <c r="AS2501">
        <v>675</v>
      </c>
      <c r="AT2501">
        <v>3</v>
      </c>
      <c r="AU2501">
        <v>9.7873243293293317</v>
      </c>
      <c r="AV2501">
        <v>9.4914379879218832E-73</v>
      </c>
    </row>
    <row r="2502" spans="44:48" x14ac:dyDescent="0.2">
      <c r="AR2502">
        <v>2494</v>
      </c>
      <c r="AS2502">
        <v>676</v>
      </c>
      <c r="AT2502">
        <v>3</v>
      </c>
      <c r="AU2502">
        <v>9.8182648606466802</v>
      </c>
      <c r="AV2502">
        <v>3.1744132875075456E-73</v>
      </c>
    </row>
    <row r="2503" spans="44:48" x14ac:dyDescent="0.2">
      <c r="AR2503">
        <v>2495</v>
      </c>
      <c r="AS2503">
        <v>677</v>
      </c>
      <c r="AT2503">
        <v>3</v>
      </c>
      <c r="AU2503">
        <v>9.8492053919640252</v>
      </c>
      <c r="AV2503">
        <v>1.0578569002784088E-73</v>
      </c>
    </row>
    <row r="2504" spans="44:48" x14ac:dyDescent="0.2">
      <c r="AR2504">
        <v>2496</v>
      </c>
      <c r="AS2504">
        <v>678</v>
      </c>
      <c r="AT2504">
        <v>3</v>
      </c>
      <c r="AU2504">
        <v>9.8801459232813702</v>
      </c>
      <c r="AV2504">
        <v>3.5125489027352336E-74</v>
      </c>
    </row>
    <row r="2505" spans="44:48" x14ac:dyDescent="0.2">
      <c r="AR2505">
        <v>2497</v>
      </c>
      <c r="AS2505">
        <v>679</v>
      </c>
      <c r="AT2505">
        <v>3</v>
      </c>
      <c r="AU2505">
        <v>9.9110864545987187</v>
      </c>
      <c r="AV2505">
        <v>1.1621169525921255E-74</v>
      </c>
    </row>
    <row r="2506" spans="44:48" x14ac:dyDescent="0.2">
      <c r="AR2506">
        <v>2498</v>
      </c>
      <c r="AS2506">
        <v>680</v>
      </c>
      <c r="AT2506">
        <v>3</v>
      </c>
      <c r="AU2506">
        <v>9.9420269859160637</v>
      </c>
      <c r="AV2506">
        <v>3.8309747981460575E-75</v>
      </c>
    </row>
    <row r="2507" spans="44:48" x14ac:dyDescent="0.2">
      <c r="AR2507">
        <v>2499</v>
      </c>
      <c r="AS2507">
        <v>681</v>
      </c>
      <c r="AT2507">
        <v>3</v>
      </c>
      <c r="AU2507">
        <v>9.9729675172334087</v>
      </c>
      <c r="AV2507">
        <v>1.2583479751492706E-75</v>
      </c>
    </row>
    <row r="2508" spans="44:48" x14ac:dyDescent="0.2">
      <c r="AR2508">
        <v>2500</v>
      </c>
      <c r="AS2508">
        <v>682</v>
      </c>
      <c r="AT2508">
        <v>3</v>
      </c>
      <c r="AU2508">
        <v>10.003908048550757</v>
      </c>
      <c r="AV2508">
        <v>4.1183591302362269E-76</v>
      </c>
    </row>
    <row r="2509" spans="44:48" x14ac:dyDescent="0.2">
      <c r="AR2509">
        <v>2501</v>
      </c>
      <c r="AS2509">
        <v>683</v>
      </c>
      <c r="AT2509">
        <v>3</v>
      </c>
      <c r="AU2509">
        <v>10.034848579868102</v>
      </c>
      <c r="AV2509">
        <v>1.3430113326091124E-76</v>
      </c>
    </row>
    <row r="2510" spans="44:48" x14ac:dyDescent="0.2">
      <c r="AR2510">
        <v>2502</v>
      </c>
      <c r="AS2510">
        <v>684</v>
      </c>
      <c r="AT2510">
        <v>3</v>
      </c>
      <c r="AU2510">
        <v>10.065789111185447</v>
      </c>
      <c r="AV2510">
        <v>4.3638231359189574E-77</v>
      </c>
    </row>
    <row r="2511" spans="44:48" x14ac:dyDescent="0.2">
      <c r="AR2511">
        <v>2503</v>
      </c>
      <c r="AS2511">
        <v>685</v>
      </c>
      <c r="AT2511">
        <v>3</v>
      </c>
      <c r="AU2511">
        <v>10.096729642502796</v>
      </c>
      <c r="AV2511">
        <v>1.412819253749288E-77</v>
      </c>
    </row>
    <row r="2512" spans="44:48" x14ac:dyDescent="0.2">
      <c r="AR2512">
        <v>2504</v>
      </c>
      <c r="AS2512">
        <v>686</v>
      </c>
      <c r="AT2512">
        <v>3</v>
      </c>
      <c r="AU2512">
        <v>10.127670173820141</v>
      </c>
      <c r="AV2512">
        <v>4.5576195595462584E-78</v>
      </c>
    </row>
    <row r="2513" spans="44:48" x14ac:dyDescent="0.2">
      <c r="AR2513">
        <v>2505</v>
      </c>
      <c r="AS2513">
        <v>687</v>
      </c>
      <c r="AT2513">
        <v>3</v>
      </c>
      <c r="AU2513">
        <v>10.158610705137489</v>
      </c>
      <c r="AV2513">
        <v>1.464945732396822E-78</v>
      </c>
    </row>
    <row r="2514" spans="44:48" x14ac:dyDescent="0.2">
      <c r="AR2514">
        <v>2506</v>
      </c>
      <c r="AS2514">
        <v>688</v>
      </c>
      <c r="AT2514">
        <v>3</v>
      </c>
      <c r="AU2514">
        <v>10.189551236454834</v>
      </c>
      <c r="AV2514">
        <v>4.6917731415515387E-79</v>
      </c>
    </row>
    <row r="2515" spans="44:48" x14ac:dyDescent="0.2">
      <c r="AR2515">
        <v>2507</v>
      </c>
      <c r="AS2515">
        <v>689</v>
      </c>
      <c r="AT2515">
        <v>3</v>
      </c>
      <c r="AU2515">
        <v>10.220491767772179</v>
      </c>
      <c r="AV2515">
        <v>1.4972160490645258E-79</v>
      </c>
    </row>
    <row r="2516" spans="44:48" x14ac:dyDescent="0.2">
      <c r="AR2516">
        <v>2508</v>
      </c>
      <c r="AS2516">
        <v>690</v>
      </c>
      <c r="AT2516">
        <v>3</v>
      </c>
      <c r="AU2516">
        <v>10.251432299089528</v>
      </c>
      <c r="AV2516">
        <v>4.7606246825377121E-80</v>
      </c>
    </row>
    <row r="2517" spans="44:48" x14ac:dyDescent="0.2">
      <c r="AR2517">
        <v>2509</v>
      </c>
      <c r="AS2517">
        <v>691</v>
      </c>
      <c r="AT2517">
        <v>3</v>
      </c>
      <c r="AU2517">
        <v>10.282372830406873</v>
      </c>
      <c r="AV2517">
        <v>1.5082572282944796E-80</v>
      </c>
    </row>
    <row r="2518" spans="44:48" x14ac:dyDescent="0.2">
      <c r="AR2518">
        <v>2510</v>
      </c>
      <c r="AS2518">
        <v>692</v>
      </c>
      <c r="AT2518">
        <v>3</v>
      </c>
      <c r="AU2518">
        <v>10.313313361724218</v>
      </c>
      <c r="AV2518">
        <v>4.7612270016406949E-81</v>
      </c>
    </row>
    <row r="2519" spans="44:48" x14ac:dyDescent="0.2">
      <c r="AR2519">
        <v>2511</v>
      </c>
      <c r="AS2519">
        <v>693</v>
      </c>
      <c r="AT2519">
        <v>3</v>
      </c>
      <c r="AU2519">
        <v>10.344253893041566</v>
      </c>
      <c r="AV2519">
        <v>1.4975949316421365E-81</v>
      </c>
    </row>
    <row r="2520" spans="44:48" x14ac:dyDescent="0.2">
      <c r="AR2520">
        <v>2512</v>
      </c>
      <c r="AS2520">
        <v>694</v>
      </c>
      <c r="AT2520">
        <v>3</v>
      </c>
      <c r="AU2520">
        <v>10.375194424358911</v>
      </c>
      <c r="AV2520">
        <v>4.6935541906788522E-82</v>
      </c>
    </row>
    <row r="2521" spans="44:48" x14ac:dyDescent="0.2">
      <c r="AR2521">
        <v>2513</v>
      </c>
      <c r="AS2521">
        <v>695</v>
      </c>
      <c r="AT2521">
        <v>3</v>
      </c>
      <c r="AU2521">
        <v>10.406134955676256</v>
      </c>
      <c r="AV2521">
        <v>1.4656872588381436E-82</v>
      </c>
    </row>
    <row r="2522" spans="44:48" x14ac:dyDescent="0.2">
      <c r="AR2522">
        <v>2514</v>
      </c>
      <c r="AS2522">
        <v>696</v>
      </c>
      <c r="AT2522">
        <v>3</v>
      </c>
      <c r="AU2522">
        <v>10.437075486993605</v>
      </c>
      <c r="AV2522">
        <v>4.5605034626370134E-83</v>
      </c>
    </row>
    <row r="2523" spans="44:48" x14ac:dyDescent="0.2">
      <c r="AR2523">
        <v>2515</v>
      </c>
      <c r="AS2523">
        <v>697</v>
      </c>
      <c r="AT2523">
        <v>3</v>
      </c>
      <c r="AU2523">
        <v>10.46801601831095</v>
      </c>
      <c r="AV2523">
        <v>1.4138921010633473E-83</v>
      </c>
    </row>
    <row r="2524" spans="44:48" x14ac:dyDescent="0.2">
      <c r="AR2524">
        <v>2516</v>
      </c>
      <c r="AS2524">
        <v>698</v>
      </c>
      <c r="AT2524">
        <v>3</v>
      </c>
      <c r="AU2524">
        <v>10.498956549628298</v>
      </c>
      <c r="AV2524">
        <v>4.3676894107230887E-84</v>
      </c>
    </row>
    <row r="2525" spans="44:48" x14ac:dyDescent="0.2">
      <c r="AR2525">
        <v>2517</v>
      </c>
      <c r="AS2525">
        <v>699</v>
      </c>
      <c r="AT2525">
        <v>3</v>
      </c>
      <c r="AU2525">
        <v>10.529897080945643</v>
      </c>
      <c r="AV2525">
        <v>1.3443712880516474E-84</v>
      </c>
    </row>
    <row r="2526" spans="44:48" x14ac:dyDescent="0.2">
      <c r="AR2526">
        <v>2518</v>
      </c>
      <c r="AS2526">
        <v>700</v>
      </c>
      <c r="AT2526">
        <v>3</v>
      </c>
      <c r="AU2526">
        <v>10.560837612262988</v>
      </c>
      <c r="AV2526">
        <v>4.1230510353087535E-85</v>
      </c>
    </row>
    <row r="2527" spans="44:48" x14ac:dyDescent="0.2">
      <c r="AR2527">
        <v>2519</v>
      </c>
      <c r="AS2527">
        <v>701</v>
      </c>
      <c r="AT2527">
        <v>3</v>
      </c>
      <c r="AU2527">
        <v>10.591778143580337</v>
      </c>
      <c r="AV2527">
        <v>1.259940956619264E-85</v>
      </c>
    </row>
    <row r="2528" spans="44:48" x14ac:dyDescent="0.2">
      <c r="AR2528">
        <v>2520</v>
      </c>
      <c r="AS2528">
        <v>702</v>
      </c>
      <c r="AT2528">
        <v>3</v>
      </c>
      <c r="AU2528">
        <v>10.622718674897682</v>
      </c>
      <c r="AV2528">
        <v>3.8363098596153364E-86</v>
      </c>
    </row>
    <row r="2529" spans="44:48" x14ac:dyDescent="0.2">
      <c r="AR2529">
        <v>2521</v>
      </c>
      <c r="AS2529">
        <v>703</v>
      </c>
      <c r="AT2529">
        <v>3</v>
      </c>
      <c r="AU2529">
        <v>10.653659206215027</v>
      </c>
      <c r="AV2529">
        <v>1.163882567587774E-86</v>
      </c>
    </row>
    <row r="2530" spans="44:48" x14ac:dyDescent="0.2">
      <c r="AR2530">
        <v>2522</v>
      </c>
      <c r="AS2530">
        <v>704</v>
      </c>
      <c r="AT2530">
        <v>3</v>
      </c>
      <c r="AU2530">
        <v>10.684599737532375</v>
      </c>
      <c r="AV2530">
        <v>3.5183306371297239E-87</v>
      </c>
    </row>
    <row r="2531" spans="44:48" x14ac:dyDescent="0.2">
      <c r="AR2531">
        <v>2523</v>
      </c>
      <c r="AS2531">
        <v>705</v>
      </c>
      <c r="AT2531">
        <v>3</v>
      </c>
      <c r="AU2531">
        <v>10.71554026884972</v>
      </c>
      <c r="AV2531">
        <v>1.0597322179407459E-87</v>
      </c>
    </row>
    <row r="2532" spans="44:48" x14ac:dyDescent="0.2">
      <c r="AR2532">
        <v>2524</v>
      </c>
      <c r="AS2532">
        <v>706</v>
      </c>
      <c r="AT2532">
        <v>3</v>
      </c>
      <c r="AU2532">
        <v>10.746480800167065</v>
      </c>
      <c r="AV2532">
        <v>3.1804430761972825E-88</v>
      </c>
    </row>
    <row r="2533" spans="44:48" x14ac:dyDescent="0.2">
      <c r="AR2533">
        <v>2525</v>
      </c>
      <c r="AS2533">
        <v>707</v>
      </c>
      <c r="AT2533">
        <v>3</v>
      </c>
      <c r="AU2533">
        <v>10.777421331484414</v>
      </c>
      <c r="AV2533">
        <v>9.510670093903296E-89</v>
      </c>
    </row>
    <row r="2534" spans="44:48" x14ac:dyDescent="0.2">
      <c r="AR2534">
        <v>2526</v>
      </c>
      <c r="AS2534">
        <v>708</v>
      </c>
      <c r="AT2534">
        <v>3</v>
      </c>
      <c r="AU2534">
        <v>10.808361862801759</v>
      </c>
      <c r="AV2534">
        <v>2.8337831166272766E-89</v>
      </c>
    </row>
    <row r="2535" spans="44:48" x14ac:dyDescent="0.2">
      <c r="AR2535">
        <v>2527</v>
      </c>
      <c r="AS2535">
        <v>709</v>
      </c>
      <c r="AT2535">
        <v>3</v>
      </c>
      <c r="AU2535">
        <v>10.839302394119107</v>
      </c>
      <c r="AV2535">
        <v>8.4130622240475566E-90</v>
      </c>
    </row>
    <row r="2536" spans="44:48" x14ac:dyDescent="0.2">
      <c r="AR2536">
        <v>2528</v>
      </c>
      <c r="AS2536">
        <v>710</v>
      </c>
      <c r="AT2536">
        <v>3</v>
      </c>
      <c r="AU2536">
        <v>10.870242925436452</v>
      </c>
      <c r="AV2536">
        <v>2.4887059994310749E-90</v>
      </c>
    </row>
    <row r="2537" spans="44:48" x14ac:dyDescent="0.2">
      <c r="AR2537">
        <v>2529</v>
      </c>
      <c r="AS2537">
        <v>711</v>
      </c>
      <c r="AT2537">
        <v>3</v>
      </c>
      <c r="AU2537">
        <v>10.901183456753797</v>
      </c>
      <c r="AV2537">
        <v>7.3354217663251468E-91</v>
      </c>
    </row>
    <row r="2538" spans="44:48" x14ac:dyDescent="0.2">
      <c r="AR2538">
        <v>2530</v>
      </c>
      <c r="AS2538">
        <v>712</v>
      </c>
      <c r="AT2538">
        <v>3</v>
      </c>
      <c r="AU2538">
        <v>10.932123988071146</v>
      </c>
      <c r="AV2538">
        <v>2.1543119261498898E-91</v>
      </c>
    </row>
    <row r="2539" spans="44:48" x14ac:dyDescent="0.2">
      <c r="AR2539">
        <v>2531</v>
      </c>
      <c r="AS2539">
        <v>713</v>
      </c>
      <c r="AT2539">
        <v>3</v>
      </c>
      <c r="AU2539">
        <v>10.963064519388491</v>
      </c>
      <c r="AV2539">
        <v>6.3041143605167483E-92</v>
      </c>
    </row>
    <row r="2540" spans="44:48" x14ac:dyDescent="0.2">
      <c r="AR2540">
        <v>2532</v>
      </c>
      <c r="AS2540">
        <v>714</v>
      </c>
      <c r="AT2540">
        <v>3</v>
      </c>
      <c r="AU2540">
        <v>10.994005050705836</v>
      </c>
      <c r="AV2540">
        <v>1.8381103536439572E-92</v>
      </c>
    </row>
    <row r="2541" spans="44:48" x14ac:dyDescent="0.2">
      <c r="AR2541">
        <v>2533</v>
      </c>
      <c r="AS2541">
        <v>715</v>
      </c>
      <c r="AT2541">
        <v>3</v>
      </c>
      <c r="AU2541">
        <v>11.024945582023184</v>
      </c>
      <c r="AV2541">
        <v>5.3401207941164514E-93</v>
      </c>
    </row>
    <row r="2542" spans="44:48" x14ac:dyDescent="0.2">
      <c r="AR2542">
        <v>2534</v>
      </c>
      <c r="AS2542">
        <v>716</v>
      </c>
      <c r="AT2542">
        <v>3</v>
      </c>
      <c r="AU2542">
        <v>11.055886113340529</v>
      </c>
      <c r="AV2542">
        <v>1.545833026483879E-93</v>
      </c>
    </row>
    <row r="2543" spans="44:48" x14ac:dyDescent="0.2">
      <c r="AR2543">
        <v>2535</v>
      </c>
      <c r="AS2543">
        <v>717</v>
      </c>
      <c r="AT2543">
        <v>3</v>
      </c>
      <c r="AU2543">
        <v>11.086826644657878</v>
      </c>
      <c r="AV2543">
        <v>4.4586777366286724E-94</v>
      </c>
    </row>
    <row r="2544" spans="44:48" x14ac:dyDescent="0.2">
      <c r="AR2544">
        <v>2536</v>
      </c>
      <c r="AS2544">
        <v>718</v>
      </c>
      <c r="AT2544">
        <v>3</v>
      </c>
      <c r="AU2544">
        <v>11.117767175975223</v>
      </c>
      <c r="AV2544">
        <v>1.2813907563166752E-94</v>
      </c>
    </row>
    <row r="2545" spans="44:48" x14ac:dyDescent="0.2">
      <c r="AR2545">
        <v>2537</v>
      </c>
      <c r="AS2545">
        <v>719</v>
      </c>
      <c r="AT2545">
        <v>3</v>
      </c>
      <c r="AU2545">
        <v>11.148707707292568</v>
      </c>
      <c r="AV2545">
        <v>3.6693495966034491E-95</v>
      </c>
    </row>
    <row r="2546" spans="44:48" x14ac:dyDescent="0.2">
      <c r="AR2546">
        <v>2538</v>
      </c>
      <c r="AS2546">
        <v>720</v>
      </c>
      <c r="AT2546">
        <v>3</v>
      </c>
      <c r="AU2546">
        <v>11.179648238609916</v>
      </c>
      <c r="AV2546">
        <v>1.0469564010996799E-95</v>
      </c>
    </row>
    <row r="2547" spans="44:48" x14ac:dyDescent="0.2">
      <c r="AR2547">
        <v>2539</v>
      </c>
      <c r="AS2547">
        <v>721</v>
      </c>
      <c r="AT2547">
        <v>3</v>
      </c>
      <c r="AU2547">
        <v>11.210588769927261</v>
      </c>
      <c r="AV2547">
        <v>2.9764603607361986E-96</v>
      </c>
    </row>
    <row r="2548" spans="44:48" x14ac:dyDescent="0.2">
      <c r="AR2548">
        <v>2540</v>
      </c>
      <c r="AS2548">
        <v>722</v>
      </c>
      <c r="AT2548">
        <v>3</v>
      </c>
      <c r="AU2548">
        <v>11.241529301244606</v>
      </c>
      <c r="AV2548">
        <v>8.4314760554286555E-97</v>
      </c>
    </row>
    <row r="2549" spans="44:48" x14ac:dyDescent="0.2">
      <c r="AR2549">
        <v>2541</v>
      </c>
      <c r="AS2549">
        <v>723</v>
      </c>
      <c r="AT2549">
        <v>3</v>
      </c>
      <c r="AU2549">
        <v>11.272469832561955</v>
      </c>
      <c r="AV2549">
        <v>2.3797926561697454E-97</v>
      </c>
    </row>
    <row r="2550" spans="44:48" x14ac:dyDescent="0.2">
      <c r="AR2550">
        <v>2542</v>
      </c>
      <c r="AS2550">
        <v>724</v>
      </c>
      <c r="AT2550">
        <v>3</v>
      </c>
      <c r="AU2550">
        <v>11.3034103638793</v>
      </c>
      <c r="AV2550">
        <v>6.6927812441567853E-98</v>
      </c>
    </row>
    <row r="2551" spans="44:48" x14ac:dyDescent="0.2">
      <c r="AR2551">
        <v>2543</v>
      </c>
      <c r="AS2551">
        <v>725</v>
      </c>
      <c r="AT2551">
        <v>3</v>
      </c>
      <c r="AU2551">
        <v>11.334350895196645</v>
      </c>
      <c r="AV2551">
        <v>1.8754528125222723E-98</v>
      </c>
    </row>
    <row r="2552" spans="44:48" x14ac:dyDescent="0.2">
      <c r="AR2552">
        <v>2544</v>
      </c>
      <c r="AS2552">
        <v>726</v>
      </c>
      <c r="AT2552">
        <v>3</v>
      </c>
      <c r="AU2552">
        <v>11.365291426513993</v>
      </c>
      <c r="AV2552">
        <v>5.2364583557994608E-99</v>
      </c>
    </row>
    <row r="2553" spans="44:48" x14ac:dyDescent="0.2">
      <c r="AR2553">
        <v>2545</v>
      </c>
      <c r="AS2553">
        <v>727</v>
      </c>
      <c r="AT2553">
        <v>3</v>
      </c>
      <c r="AU2553">
        <v>11.396231957831338</v>
      </c>
      <c r="AV2553">
        <v>1.456804142593237E-99</v>
      </c>
    </row>
    <row r="2554" spans="44:48" x14ac:dyDescent="0.2">
      <c r="AR2554">
        <v>2546</v>
      </c>
      <c r="AS2554">
        <v>728</v>
      </c>
      <c r="AT2554">
        <v>3</v>
      </c>
      <c r="AU2554">
        <v>11.427172489148687</v>
      </c>
      <c r="AV2554">
        <v>4.038282366898704E-100</v>
      </c>
    </row>
    <row r="2555" spans="44:48" x14ac:dyDescent="0.2">
      <c r="AR2555">
        <v>2547</v>
      </c>
      <c r="AS2555">
        <v>729</v>
      </c>
      <c r="AT2555">
        <v>3</v>
      </c>
      <c r="AU2555">
        <v>11.458113020466032</v>
      </c>
      <c r="AV2555">
        <v>1.1153834564905924E-100</v>
      </c>
    </row>
    <row r="2556" spans="44:48" x14ac:dyDescent="0.2">
      <c r="AR2556">
        <v>2548</v>
      </c>
      <c r="AS2556">
        <v>730</v>
      </c>
      <c r="AT2556">
        <v>3</v>
      </c>
      <c r="AU2556">
        <v>11.489053551783377</v>
      </c>
      <c r="AV2556">
        <v>3.069613639422215E-101</v>
      </c>
    </row>
    <row r="2557" spans="44:48" x14ac:dyDescent="0.2">
      <c r="AR2557">
        <v>2549</v>
      </c>
      <c r="AS2557">
        <v>731</v>
      </c>
      <c r="AT2557">
        <v>3</v>
      </c>
      <c r="AU2557">
        <v>11.519994083100725</v>
      </c>
      <c r="AV2557">
        <v>8.417347063237047E-102</v>
      </c>
    </row>
    <row r="2558" spans="44:48" x14ac:dyDescent="0.2">
      <c r="AR2558">
        <v>2550</v>
      </c>
      <c r="AS2558">
        <v>732</v>
      </c>
      <c r="AT2558">
        <v>3</v>
      </c>
      <c r="AU2558">
        <v>11.55093461441807</v>
      </c>
      <c r="AV2558">
        <v>2.2998459879335329E-102</v>
      </c>
    </row>
    <row r="2559" spans="44:48" x14ac:dyDescent="0.2">
      <c r="AR2559">
        <v>2551</v>
      </c>
      <c r="AS2559">
        <v>733</v>
      </c>
      <c r="AT2559">
        <v>3</v>
      </c>
      <c r="AU2559">
        <v>11.581875145735415</v>
      </c>
      <c r="AV2559">
        <v>6.2611523969784323E-103</v>
      </c>
    </row>
    <row r="2560" spans="44:48" x14ac:dyDescent="0.2">
      <c r="AR2560">
        <v>2552</v>
      </c>
      <c r="AS2560">
        <v>734</v>
      </c>
      <c r="AT2560">
        <v>3</v>
      </c>
      <c r="AU2560">
        <v>11.612815677052764</v>
      </c>
      <c r="AV2560">
        <v>1.6984070997410036E-103</v>
      </c>
    </row>
    <row r="2561" spans="44:48" x14ac:dyDescent="0.2">
      <c r="AR2561">
        <v>2553</v>
      </c>
      <c r="AS2561">
        <v>735</v>
      </c>
      <c r="AT2561">
        <v>3</v>
      </c>
      <c r="AU2561">
        <v>11.643756208370108</v>
      </c>
      <c r="AV2561">
        <v>4.5905140370010156E-104</v>
      </c>
    </row>
    <row r="2562" spans="44:48" x14ac:dyDescent="0.2">
      <c r="AR2562">
        <v>2554</v>
      </c>
      <c r="AS2562">
        <v>736</v>
      </c>
      <c r="AT2562">
        <v>3</v>
      </c>
      <c r="AU2562">
        <v>11.674696739687453</v>
      </c>
      <c r="AV2562">
        <v>1.2362686150372066E-104</v>
      </c>
    </row>
    <row r="2563" spans="44:48" x14ac:dyDescent="0.2">
      <c r="AR2563">
        <v>2555</v>
      </c>
      <c r="AS2563">
        <v>737</v>
      </c>
      <c r="AT2563">
        <v>3</v>
      </c>
      <c r="AU2563">
        <v>11.705637271004802</v>
      </c>
      <c r="AV2563">
        <v>3.3173887648585674E-105</v>
      </c>
    </row>
    <row r="2564" spans="44:48" x14ac:dyDescent="0.2">
      <c r="AR2564">
        <v>2556</v>
      </c>
      <c r="AS2564">
        <v>738</v>
      </c>
      <c r="AT2564">
        <v>3</v>
      </c>
      <c r="AU2564">
        <v>11.736577802322147</v>
      </c>
      <c r="AV2564">
        <v>8.8697605590147003E-106</v>
      </c>
    </row>
    <row r="2565" spans="44:48" x14ac:dyDescent="0.2">
      <c r="AR2565">
        <v>2557</v>
      </c>
      <c r="AS2565">
        <v>739</v>
      </c>
      <c r="AT2565">
        <v>3</v>
      </c>
      <c r="AU2565">
        <v>11.767518333639496</v>
      </c>
      <c r="AV2565">
        <v>2.3629766163312201E-106</v>
      </c>
    </row>
    <row r="2566" spans="44:48" x14ac:dyDescent="0.2">
      <c r="AR2566">
        <v>2558</v>
      </c>
      <c r="AS2566">
        <v>740</v>
      </c>
      <c r="AT2566">
        <v>3</v>
      </c>
      <c r="AU2566">
        <v>11.79845886495684</v>
      </c>
      <c r="AV2566">
        <v>6.2724752006970733E-107</v>
      </c>
    </row>
    <row r="2567" spans="44:48" x14ac:dyDescent="0.2">
      <c r="AR2567">
        <v>2559</v>
      </c>
      <c r="AS2567">
        <v>741</v>
      </c>
      <c r="AT2567">
        <v>3</v>
      </c>
      <c r="AU2567">
        <v>11.829399396274185</v>
      </c>
      <c r="AV2567">
        <v>1.6590156508634283E-107</v>
      </c>
    </row>
    <row r="2568" spans="44:48" x14ac:dyDescent="0.2">
      <c r="AR2568">
        <v>2560</v>
      </c>
      <c r="AS2568">
        <v>742</v>
      </c>
      <c r="AT2568">
        <v>3</v>
      </c>
      <c r="AU2568">
        <v>11.860339927591534</v>
      </c>
      <c r="AV2568">
        <v>4.3721395412620998E-108</v>
      </c>
    </row>
    <row r="2569" spans="44:48" x14ac:dyDescent="0.2">
      <c r="AR2569">
        <v>2561</v>
      </c>
      <c r="AS2569">
        <v>743</v>
      </c>
      <c r="AT2569">
        <v>3</v>
      </c>
      <c r="AU2569">
        <v>11.891280458908879</v>
      </c>
      <c r="AV2569">
        <v>1.148073114988245E-108</v>
      </c>
    </row>
    <row r="2570" spans="44:48" x14ac:dyDescent="0.2">
      <c r="AR2570">
        <v>2562</v>
      </c>
      <c r="AS2570">
        <v>744</v>
      </c>
      <c r="AT2570">
        <v>3</v>
      </c>
      <c r="AU2570">
        <v>11.922220990226224</v>
      </c>
      <c r="AV2570">
        <v>3.0038419676367336E-109</v>
      </c>
    </row>
    <row r="2571" spans="44:48" x14ac:dyDescent="0.2">
      <c r="AR2571">
        <v>2563</v>
      </c>
      <c r="AS2571">
        <v>745</v>
      </c>
      <c r="AT2571">
        <v>3</v>
      </c>
      <c r="AU2571">
        <v>11.953161521543572</v>
      </c>
      <c r="AV2571">
        <v>7.8309890291155643E-110</v>
      </c>
    </row>
    <row r="2572" spans="44:48" x14ac:dyDescent="0.2">
      <c r="AR2572">
        <v>2564</v>
      </c>
      <c r="AS2572">
        <v>746</v>
      </c>
      <c r="AT2572">
        <v>3</v>
      </c>
      <c r="AU2572">
        <v>11.984102052860917</v>
      </c>
      <c r="AV2572">
        <v>2.0341742461665928E-110</v>
      </c>
    </row>
    <row r="2573" spans="44:48" x14ac:dyDescent="0.2">
      <c r="AR2573">
        <v>2565</v>
      </c>
      <c r="AS2573">
        <v>747</v>
      </c>
      <c r="AT2573">
        <v>3</v>
      </c>
      <c r="AU2573">
        <v>12.015042584178262</v>
      </c>
      <c r="AV2573">
        <v>5.2649189369439917E-111</v>
      </c>
    </row>
    <row r="2574" spans="44:48" x14ac:dyDescent="0.2">
      <c r="AR2574">
        <v>2566</v>
      </c>
      <c r="AS2574">
        <v>748</v>
      </c>
      <c r="AT2574">
        <v>3</v>
      </c>
      <c r="AU2574">
        <v>12.045983115495611</v>
      </c>
      <c r="AV2574">
        <v>1.3577731843232297E-111</v>
      </c>
    </row>
    <row r="2575" spans="44:48" x14ac:dyDescent="0.2">
      <c r="AR2575">
        <v>2567</v>
      </c>
      <c r="AS2575">
        <v>749</v>
      </c>
      <c r="AT2575">
        <v>3</v>
      </c>
      <c r="AU2575">
        <v>12.076923646812956</v>
      </c>
      <c r="AV2575">
        <v>3.4889501699807684E-112</v>
      </c>
    </row>
    <row r="2576" spans="44:48" x14ac:dyDescent="0.2">
      <c r="AR2576">
        <v>2568</v>
      </c>
      <c r="AS2576">
        <v>750</v>
      </c>
      <c r="AT2576">
        <v>3</v>
      </c>
      <c r="AU2576">
        <v>12.107864178130304</v>
      </c>
      <c r="AV2576">
        <v>8.9329377493969182E-113</v>
      </c>
    </row>
    <row r="2577" spans="44:48" x14ac:dyDescent="0.2">
      <c r="AR2577">
        <v>2569</v>
      </c>
      <c r="AS2577">
        <v>751</v>
      </c>
      <c r="AT2577">
        <v>3</v>
      </c>
      <c r="AU2577">
        <v>12.138804709447649</v>
      </c>
      <c r="AV2577">
        <v>2.2789030491300794E-113</v>
      </c>
    </row>
    <row r="2578" spans="44:48" x14ac:dyDescent="0.2">
      <c r="AR2578">
        <v>2570</v>
      </c>
      <c r="AS2578">
        <v>752</v>
      </c>
      <c r="AT2578">
        <v>3</v>
      </c>
      <c r="AU2578">
        <v>12.169745240764994</v>
      </c>
      <c r="AV2578">
        <v>5.7928114458744599E-114</v>
      </c>
    </row>
    <row r="2579" spans="44:48" x14ac:dyDescent="0.2">
      <c r="AR2579">
        <v>2571</v>
      </c>
      <c r="AS2579">
        <v>753</v>
      </c>
      <c r="AT2579">
        <v>3</v>
      </c>
      <c r="AU2579">
        <v>12.200685772082343</v>
      </c>
      <c r="AV2579">
        <v>1.4671851979618062E-114</v>
      </c>
    </row>
    <row r="2580" spans="44:48" x14ac:dyDescent="0.2">
      <c r="AR2580">
        <v>2572</v>
      </c>
      <c r="AS2580">
        <v>754</v>
      </c>
      <c r="AT2580">
        <v>3</v>
      </c>
      <c r="AU2580">
        <v>12.231626303399688</v>
      </c>
      <c r="AV2580">
        <v>3.7026484725776707E-115</v>
      </c>
    </row>
    <row r="2581" spans="44:48" x14ac:dyDescent="0.2">
      <c r="AR2581">
        <v>2573</v>
      </c>
      <c r="AS2581">
        <v>755</v>
      </c>
      <c r="AT2581">
        <v>3</v>
      </c>
      <c r="AU2581">
        <v>12.262566834717033</v>
      </c>
      <c r="AV2581">
        <v>9.3104790874521018E-116</v>
      </c>
    </row>
    <row r="2582" spans="44:48" x14ac:dyDescent="0.2">
      <c r="AR2582">
        <v>2574</v>
      </c>
      <c r="AS2582">
        <v>756</v>
      </c>
      <c r="AT2582">
        <v>3</v>
      </c>
      <c r="AU2582">
        <v>12.293507366034381</v>
      </c>
      <c r="AV2582">
        <v>2.3327251773293893E-116</v>
      </c>
    </row>
    <row r="2583" spans="44:48" x14ac:dyDescent="0.2">
      <c r="AR2583">
        <v>2575</v>
      </c>
      <c r="AS2583">
        <v>757</v>
      </c>
      <c r="AT2583">
        <v>3</v>
      </c>
      <c r="AU2583">
        <v>12.324447897351726</v>
      </c>
      <c r="AV2583">
        <v>5.8235408436056129E-117</v>
      </c>
    </row>
    <row r="2584" spans="44:48" x14ac:dyDescent="0.2">
      <c r="AR2584">
        <v>2576</v>
      </c>
      <c r="AS2584">
        <v>758</v>
      </c>
      <c r="AT2584">
        <v>3</v>
      </c>
      <c r="AU2584">
        <v>12.355388428669071</v>
      </c>
      <c r="AV2584">
        <v>1.4485806375927591E-117</v>
      </c>
    </row>
    <row r="2585" spans="44:48" x14ac:dyDescent="0.2">
      <c r="AR2585">
        <v>2577</v>
      </c>
      <c r="AS2585">
        <v>759</v>
      </c>
      <c r="AT2585">
        <v>3</v>
      </c>
      <c r="AU2585">
        <v>12.38632895998642</v>
      </c>
      <c r="AV2585">
        <v>3.5902957687909539E-118</v>
      </c>
    </row>
    <row r="2586" spans="44:48" x14ac:dyDescent="0.2">
      <c r="AR2586">
        <v>2578</v>
      </c>
      <c r="AS2586">
        <v>760</v>
      </c>
      <c r="AT2586">
        <v>3</v>
      </c>
      <c r="AU2586">
        <v>12.417269491303765</v>
      </c>
      <c r="AV2586">
        <v>8.8664502133661478E-119</v>
      </c>
    </row>
    <row r="2587" spans="44:48" x14ac:dyDescent="0.2">
      <c r="AR2587">
        <v>2579</v>
      </c>
      <c r="AS2587">
        <v>761</v>
      </c>
      <c r="AT2587">
        <v>3</v>
      </c>
      <c r="AU2587">
        <v>12.448210022621113</v>
      </c>
      <c r="AV2587">
        <v>2.1817316578009318E-119</v>
      </c>
    </row>
    <row r="2588" spans="44:48" x14ac:dyDescent="0.2">
      <c r="AR2588">
        <v>2580</v>
      </c>
      <c r="AS2588">
        <v>762</v>
      </c>
      <c r="AT2588">
        <v>3</v>
      </c>
      <c r="AU2588">
        <v>12.479150553938458</v>
      </c>
      <c r="AV2588">
        <v>5.3491513776441203E-120</v>
      </c>
    </row>
    <row r="2589" spans="44:48" x14ac:dyDescent="0.2">
      <c r="AR2589">
        <v>2581</v>
      </c>
      <c r="AS2589">
        <v>763</v>
      </c>
      <c r="AT2589">
        <v>3</v>
      </c>
      <c r="AU2589">
        <v>12.510091085255803</v>
      </c>
      <c r="AV2589">
        <v>1.3067738776841837E-120</v>
      </c>
    </row>
    <row r="2590" spans="44:48" x14ac:dyDescent="0.2">
      <c r="AR2590">
        <v>2582</v>
      </c>
      <c r="AS2590">
        <v>764</v>
      </c>
      <c r="AT2590">
        <v>3</v>
      </c>
      <c r="AU2590">
        <v>12.541031616573152</v>
      </c>
      <c r="AV2590">
        <v>3.1808852450040588E-121</v>
      </c>
    </row>
    <row r="2591" spans="44:48" x14ac:dyDescent="0.2">
      <c r="AR2591">
        <v>2583</v>
      </c>
      <c r="AS2591">
        <v>765</v>
      </c>
      <c r="AT2591">
        <v>3</v>
      </c>
      <c r="AU2591">
        <v>12.571972147890497</v>
      </c>
      <c r="AV2591">
        <v>7.7148513057531336E-122</v>
      </c>
    </row>
    <row r="2592" spans="44:48" x14ac:dyDescent="0.2">
      <c r="AR2592">
        <v>2584</v>
      </c>
      <c r="AS2592">
        <v>766</v>
      </c>
      <c r="AT2592">
        <v>3</v>
      </c>
      <c r="AU2592">
        <v>12.602912679207842</v>
      </c>
      <c r="AV2592">
        <v>1.8644001086111996E-122</v>
      </c>
    </row>
    <row r="2593" spans="44:48" x14ac:dyDescent="0.2">
      <c r="AR2593">
        <v>2585</v>
      </c>
      <c r="AS2593">
        <v>767</v>
      </c>
      <c r="AT2593">
        <v>3</v>
      </c>
      <c r="AU2593">
        <v>12.63385321052519</v>
      </c>
      <c r="AV2593">
        <v>4.4893418853201534E-123</v>
      </c>
    </row>
    <row r="2594" spans="44:48" x14ac:dyDescent="0.2">
      <c r="AR2594">
        <v>2586</v>
      </c>
      <c r="AS2594">
        <v>768</v>
      </c>
      <c r="AT2594">
        <v>3</v>
      </c>
      <c r="AU2594">
        <v>12.664793741842535</v>
      </c>
      <c r="AV2594">
        <v>1.0771054967932859E-123</v>
      </c>
    </row>
    <row r="2595" spans="44:48" x14ac:dyDescent="0.2">
      <c r="AR2595">
        <v>2587</v>
      </c>
      <c r="AS2595">
        <v>769</v>
      </c>
      <c r="AT2595">
        <v>3</v>
      </c>
      <c r="AU2595">
        <v>12.69573427315988</v>
      </c>
      <c r="AV2595">
        <v>2.5749322422162718E-124</v>
      </c>
    </row>
    <row r="2596" spans="44:48" x14ac:dyDescent="0.2">
      <c r="AR2596">
        <v>2588</v>
      </c>
      <c r="AS2596">
        <v>770</v>
      </c>
      <c r="AT2596">
        <v>3</v>
      </c>
      <c r="AU2596">
        <v>12.726674804477229</v>
      </c>
      <c r="AV2596">
        <v>6.1334576313831053E-125</v>
      </c>
    </row>
    <row r="2597" spans="44:48" x14ac:dyDescent="0.2">
      <c r="AR2597">
        <v>2589</v>
      </c>
      <c r="AS2597">
        <v>771</v>
      </c>
      <c r="AT2597">
        <v>3</v>
      </c>
      <c r="AU2597">
        <v>12.757615335794574</v>
      </c>
      <c r="AV2597">
        <v>1.4557169372967357E-125</v>
      </c>
    </row>
    <row r="2598" spans="44:48" x14ac:dyDescent="0.2">
      <c r="AR2598">
        <v>2590</v>
      </c>
      <c r="AS2598">
        <v>772</v>
      </c>
      <c r="AT2598">
        <v>3</v>
      </c>
      <c r="AU2598">
        <v>12.788555867111922</v>
      </c>
      <c r="AV2598">
        <v>3.4425519418006746E-126</v>
      </c>
    </row>
    <row r="2599" spans="44:48" x14ac:dyDescent="0.2">
      <c r="AR2599">
        <v>2591</v>
      </c>
      <c r="AS2599">
        <v>773</v>
      </c>
      <c r="AT2599">
        <v>3</v>
      </c>
      <c r="AU2599">
        <v>12.819496398429267</v>
      </c>
      <c r="AV2599">
        <v>8.1117782417251663E-127</v>
      </c>
    </row>
    <row r="2600" spans="44:48" x14ac:dyDescent="0.2">
      <c r="AR2600">
        <v>2592</v>
      </c>
      <c r="AS2600">
        <v>774</v>
      </c>
      <c r="AT2600">
        <v>3</v>
      </c>
      <c r="AU2600">
        <v>12.850436929746612</v>
      </c>
      <c r="AV2600">
        <v>1.9045116713238986E-127</v>
      </c>
    </row>
    <row r="2601" spans="44:48" x14ac:dyDescent="0.2">
      <c r="AR2601">
        <v>2593</v>
      </c>
      <c r="AS2601">
        <v>775</v>
      </c>
      <c r="AT2601">
        <v>3</v>
      </c>
      <c r="AU2601">
        <v>12.881377461063961</v>
      </c>
      <c r="AV2601">
        <v>4.4553641770736028E-128</v>
      </c>
    </row>
    <row r="2602" spans="44:48" x14ac:dyDescent="0.2">
      <c r="AR2602">
        <v>2594</v>
      </c>
      <c r="AS2602">
        <v>776</v>
      </c>
      <c r="AT2602">
        <v>3</v>
      </c>
      <c r="AU2602">
        <v>12.912317992381306</v>
      </c>
      <c r="AV2602">
        <v>1.0385197974293531E-128</v>
      </c>
    </row>
    <row r="2603" spans="44:48" x14ac:dyDescent="0.2">
      <c r="AR2603">
        <v>2595</v>
      </c>
      <c r="AS2603">
        <v>777</v>
      </c>
      <c r="AT2603">
        <v>3</v>
      </c>
      <c r="AU2603">
        <v>12.943258523698651</v>
      </c>
      <c r="AV2603">
        <v>2.4120058259736284E-129</v>
      </c>
    </row>
    <row r="2604" spans="44:48" x14ac:dyDescent="0.2">
      <c r="AR2604">
        <v>2596</v>
      </c>
      <c r="AS2604">
        <v>778</v>
      </c>
      <c r="AT2604">
        <v>3</v>
      </c>
      <c r="AU2604">
        <v>12.974199055015999</v>
      </c>
      <c r="AV2604">
        <v>5.5817955634310196E-130</v>
      </c>
    </row>
    <row r="2605" spans="44:48" x14ac:dyDescent="0.2">
      <c r="AR2605">
        <v>2597</v>
      </c>
      <c r="AS2605">
        <v>779</v>
      </c>
      <c r="AT2605">
        <v>3</v>
      </c>
      <c r="AU2605">
        <v>13.005139586333344</v>
      </c>
      <c r="AV2605">
        <v>1.2870680246193853E-130</v>
      </c>
    </row>
    <row r="2606" spans="44:48" x14ac:dyDescent="0.2">
      <c r="AR2606">
        <v>2598</v>
      </c>
      <c r="AS2606">
        <v>780</v>
      </c>
      <c r="AT2606">
        <v>3</v>
      </c>
      <c r="AU2606">
        <v>13.036080117650693</v>
      </c>
      <c r="AV2606">
        <v>2.9570664031729222E-131</v>
      </c>
    </row>
    <row r="2607" spans="44:48" x14ac:dyDescent="0.2">
      <c r="AR2607">
        <v>2599</v>
      </c>
      <c r="AS2607">
        <v>781</v>
      </c>
      <c r="AT2607">
        <v>3</v>
      </c>
      <c r="AU2607">
        <v>13.067020648968038</v>
      </c>
      <c r="AV2607">
        <v>6.7694386123849039E-132</v>
      </c>
    </row>
    <row r="2608" spans="44:48" x14ac:dyDescent="0.2">
      <c r="AR2608">
        <v>2600</v>
      </c>
      <c r="AS2608">
        <v>782</v>
      </c>
      <c r="AT2608">
        <v>3</v>
      </c>
      <c r="AU2608">
        <v>13.097961180285383</v>
      </c>
      <c r="AV2608">
        <v>1.5441028787554168E-132</v>
      </c>
    </row>
    <row r="2609" spans="44:48" x14ac:dyDescent="0.2">
      <c r="AR2609">
        <v>2601</v>
      </c>
      <c r="AS2609">
        <v>783</v>
      </c>
      <c r="AT2609">
        <v>3</v>
      </c>
      <c r="AU2609">
        <v>13.128901711602731</v>
      </c>
      <c r="AV2609">
        <v>3.5093914382528263E-133</v>
      </c>
    </row>
    <row r="2610" spans="44:48" x14ac:dyDescent="0.2">
      <c r="AR2610">
        <v>2602</v>
      </c>
      <c r="AS2610">
        <v>784</v>
      </c>
      <c r="AT2610">
        <v>3</v>
      </c>
      <c r="AU2610">
        <v>13.159842242920076</v>
      </c>
      <c r="AV2610">
        <v>7.9472960764409987E-134</v>
      </c>
    </row>
    <row r="2611" spans="44:48" x14ac:dyDescent="0.2">
      <c r="AR2611">
        <v>2603</v>
      </c>
      <c r="AS2611">
        <v>785</v>
      </c>
      <c r="AT2611">
        <v>3</v>
      </c>
      <c r="AU2611">
        <v>13.190782774237421</v>
      </c>
      <c r="AV2611">
        <v>1.7932423007307575E-134</v>
      </c>
    </row>
    <row r="2612" spans="44:48" x14ac:dyDescent="0.2">
      <c r="AR2612">
        <v>2604</v>
      </c>
      <c r="AS2612">
        <v>786</v>
      </c>
      <c r="AT2612">
        <v>3</v>
      </c>
      <c r="AU2612">
        <v>13.22172330555477</v>
      </c>
      <c r="AV2612">
        <v>4.0317218094597958E-135</v>
      </c>
    </row>
    <row r="2613" spans="44:48" x14ac:dyDescent="0.2">
      <c r="AR2613">
        <v>2605</v>
      </c>
      <c r="AS2613">
        <v>787</v>
      </c>
      <c r="AT2613">
        <v>3</v>
      </c>
      <c r="AU2613">
        <v>13.252663836872115</v>
      </c>
      <c r="AV2613">
        <v>9.031796469157139E-136</v>
      </c>
    </row>
    <row r="2614" spans="44:48" x14ac:dyDescent="0.2">
      <c r="AR2614">
        <v>2606</v>
      </c>
      <c r="AS2614">
        <v>788</v>
      </c>
      <c r="AT2614">
        <v>3</v>
      </c>
      <c r="AU2614">
        <v>13.28360436818946</v>
      </c>
      <c r="AV2614">
        <v>2.0159962859578039E-136</v>
      </c>
    </row>
    <row r="2615" spans="44:48" x14ac:dyDescent="0.2">
      <c r="AR2615">
        <v>2607</v>
      </c>
      <c r="AS2615">
        <v>789</v>
      </c>
      <c r="AT2615">
        <v>3</v>
      </c>
      <c r="AU2615">
        <v>13.314544899506808</v>
      </c>
      <c r="AV2615">
        <v>4.4837079250602637E-137</v>
      </c>
    </row>
    <row r="2616" spans="44:48" x14ac:dyDescent="0.2">
      <c r="AR2616">
        <v>2608</v>
      </c>
      <c r="AS2616">
        <v>790</v>
      </c>
      <c r="AT2616">
        <v>3</v>
      </c>
      <c r="AU2616">
        <v>13.345485430824153</v>
      </c>
      <c r="AV2616">
        <v>9.9361216974854128E-138</v>
      </c>
    </row>
    <row r="2617" spans="44:48" x14ac:dyDescent="0.2">
      <c r="AR2617">
        <v>2609</v>
      </c>
      <c r="AS2617">
        <v>791</v>
      </c>
      <c r="AT2617">
        <v>3</v>
      </c>
      <c r="AU2617">
        <v>13.376425962141502</v>
      </c>
      <c r="AV2617">
        <v>2.1939589177192636E-138</v>
      </c>
    </row>
    <row r="2618" spans="44:48" x14ac:dyDescent="0.2">
      <c r="AR2618">
        <v>2610</v>
      </c>
      <c r="AS2618">
        <v>792</v>
      </c>
      <c r="AT2618">
        <v>3</v>
      </c>
      <c r="AU2618">
        <v>13.407366493458847</v>
      </c>
      <c r="AV2618">
        <v>4.826942008951059E-139</v>
      </c>
    </row>
    <row r="2619" spans="44:48" x14ac:dyDescent="0.2">
      <c r="AR2619">
        <v>2611</v>
      </c>
      <c r="AS2619">
        <v>793</v>
      </c>
      <c r="AT2619">
        <v>3</v>
      </c>
      <c r="AU2619">
        <v>13.438307024776192</v>
      </c>
      <c r="AV2619">
        <v>1.0581510629645057E-139</v>
      </c>
    </row>
    <row r="2620" spans="44:48" x14ac:dyDescent="0.2">
      <c r="AR2620">
        <v>2612</v>
      </c>
      <c r="AS2620">
        <v>794</v>
      </c>
      <c r="AT2620">
        <v>3</v>
      </c>
      <c r="AU2620">
        <v>13.46924755609354</v>
      </c>
      <c r="AV2620">
        <v>2.3112943893425724E-140</v>
      </c>
    </row>
    <row r="2621" spans="44:48" x14ac:dyDescent="0.2">
      <c r="AR2621">
        <v>2613</v>
      </c>
      <c r="AS2621">
        <v>795</v>
      </c>
      <c r="AT2621">
        <v>3</v>
      </c>
      <c r="AU2621">
        <v>13.500188087410885</v>
      </c>
      <c r="AV2621">
        <v>5.03031126055966E-141</v>
      </c>
    </row>
    <row r="2622" spans="44:48" x14ac:dyDescent="0.2">
      <c r="AR2622">
        <v>2614</v>
      </c>
      <c r="AS2622">
        <v>796</v>
      </c>
      <c r="AT2622">
        <v>3</v>
      </c>
      <c r="AU2622">
        <v>13.53112861872823</v>
      </c>
      <c r="AV2622">
        <v>1.0908535607286552E-141</v>
      </c>
    </row>
    <row r="2623" spans="44:48" x14ac:dyDescent="0.2">
      <c r="AR2623">
        <v>2615</v>
      </c>
      <c r="AS2623">
        <v>797</v>
      </c>
      <c r="AT2623">
        <v>3</v>
      </c>
      <c r="AU2623">
        <v>13.562069150045579</v>
      </c>
      <c r="AV2623">
        <v>2.357056807579093E-142</v>
      </c>
    </row>
    <row r="2624" spans="44:48" x14ac:dyDescent="0.2">
      <c r="AR2624">
        <v>2616</v>
      </c>
      <c r="AS2624">
        <v>798</v>
      </c>
      <c r="AT2624">
        <v>3</v>
      </c>
      <c r="AU2624">
        <v>13.593009681362924</v>
      </c>
      <c r="AV2624">
        <v>5.0746447723009102E-143</v>
      </c>
    </row>
    <row r="2625" spans="44:48" x14ac:dyDescent="0.2">
      <c r="AR2625">
        <v>2617</v>
      </c>
      <c r="AS2625">
        <v>799</v>
      </c>
      <c r="AT2625">
        <v>3</v>
      </c>
      <c r="AU2625">
        <v>13.623950212680269</v>
      </c>
      <c r="AV2625">
        <v>1.0886123205240197E-143</v>
      </c>
    </row>
    <row r="2626" spans="44:48" x14ac:dyDescent="0.2">
      <c r="AR2626">
        <v>2618</v>
      </c>
      <c r="AS2626">
        <v>800</v>
      </c>
      <c r="AT2626">
        <v>3</v>
      </c>
      <c r="AU2626">
        <v>13.654890743997617</v>
      </c>
      <c r="AV2626">
        <v>2.3268738812528587E-144</v>
      </c>
    </row>
    <row r="2627" spans="44:48" x14ac:dyDescent="0.2">
      <c r="AR2627">
        <v>2619</v>
      </c>
      <c r="AS2627">
        <v>801</v>
      </c>
      <c r="AT2627">
        <v>3</v>
      </c>
      <c r="AU2627">
        <v>13.685831275314962</v>
      </c>
      <c r="AV2627">
        <v>4.9556935824397522E-145</v>
      </c>
    </row>
    <row r="2628" spans="44:48" x14ac:dyDescent="0.2">
      <c r="AR2628">
        <v>2620</v>
      </c>
      <c r="AS2628">
        <v>802</v>
      </c>
      <c r="AT2628">
        <v>3</v>
      </c>
      <c r="AU2628">
        <v>13.716771806632311</v>
      </c>
      <c r="AV2628">
        <v>1.0516423026014325E-145</v>
      </c>
    </row>
    <row r="2629" spans="44:48" x14ac:dyDescent="0.2">
      <c r="AR2629">
        <v>2621</v>
      </c>
      <c r="AS2629">
        <v>803</v>
      </c>
      <c r="AT2629">
        <v>3</v>
      </c>
      <c r="AU2629">
        <v>13.747712337949656</v>
      </c>
      <c r="AV2629">
        <v>2.2236357643036516E-146</v>
      </c>
    </row>
    <row r="2630" spans="44:48" x14ac:dyDescent="0.2">
      <c r="AR2630">
        <v>2622</v>
      </c>
      <c r="AS2630">
        <v>804</v>
      </c>
      <c r="AT2630">
        <v>3</v>
      </c>
      <c r="AU2630">
        <v>13.778652869267001</v>
      </c>
      <c r="AV2630">
        <v>4.6848021542776287E-147</v>
      </c>
    </row>
    <row r="2631" spans="44:48" x14ac:dyDescent="0.2">
      <c r="AR2631">
        <v>2623</v>
      </c>
      <c r="AS2631">
        <v>805</v>
      </c>
      <c r="AT2631">
        <v>3</v>
      </c>
      <c r="AU2631">
        <v>13.809593400584349</v>
      </c>
      <c r="AV2631">
        <v>9.8344677430834172E-148</v>
      </c>
    </row>
    <row r="2632" spans="44:48" x14ac:dyDescent="0.2">
      <c r="AR2632">
        <v>2624</v>
      </c>
      <c r="AS2632">
        <v>806</v>
      </c>
      <c r="AT2632">
        <v>3</v>
      </c>
      <c r="AU2632">
        <v>13.840533931901694</v>
      </c>
      <c r="AV2632">
        <v>2.0570387210918972E-148</v>
      </c>
    </row>
    <row r="2633" spans="44:48" x14ac:dyDescent="0.2">
      <c r="AR2633">
        <v>2625</v>
      </c>
      <c r="AS2633">
        <v>807</v>
      </c>
      <c r="AT2633">
        <v>3</v>
      </c>
      <c r="AU2633">
        <v>13.871474463219039</v>
      </c>
      <c r="AV2633">
        <v>4.2871242906818452E-149</v>
      </c>
    </row>
    <row r="2634" spans="44:48" x14ac:dyDescent="0.2">
      <c r="AR2634">
        <v>2626</v>
      </c>
      <c r="AS2634">
        <v>808</v>
      </c>
      <c r="AT2634">
        <v>3</v>
      </c>
      <c r="AU2634">
        <v>13.902414994536388</v>
      </c>
      <c r="AV2634">
        <v>8.9026988651282571E-150</v>
      </c>
    </row>
    <row r="2635" spans="44:48" x14ac:dyDescent="0.2">
      <c r="AR2635">
        <v>2627</v>
      </c>
      <c r="AS2635">
        <v>809</v>
      </c>
      <c r="AT2635">
        <v>3</v>
      </c>
      <c r="AU2635">
        <v>13.933355525853733</v>
      </c>
      <c r="AV2635">
        <v>1.8420834203260929E-150</v>
      </c>
    </row>
    <row r="2636" spans="44:48" x14ac:dyDescent="0.2">
      <c r="AR2636">
        <v>2628</v>
      </c>
      <c r="AS2636">
        <v>810</v>
      </c>
      <c r="AT2636">
        <v>3</v>
      </c>
      <c r="AU2636">
        <v>13.964296057171078</v>
      </c>
      <c r="AV2636">
        <v>3.7977721468691778E-151</v>
      </c>
    </row>
    <row r="2637" spans="44:48" x14ac:dyDescent="0.2">
      <c r="AR2637">
        <v>2629</v>
      </c>
      <c r="AS2637">
        <v>811</v>
      </c>
      <c r="AT2637">
        <v>3</v>
      </c>
      <c r="AU2637">
        <v>13.995236588488426</v>
      </c>
      <c r="AV2637">
        <v>7.801543197006621E-152</v>
      </c>
    </row>
    <row r="2638" spans="44:48" x14ac:dyDescent="0.2">
      <c r="AR2638">
        <v>2630</v>
      </c>
      <c r="AS2638">
        <v>812</v>
      </c>
      <c r="AT2638">
        <v>3</v>
      </c>
      <c r="AU2638">
        <v>14.026177119805771</v>
      </c>
      <c r="AV2638">
        <v>1.5968500314687114E-152</v>
      </c>
    </row>
    <row r="2639" spans="44:48" x14ac:dyDescent="0.2">
      <c r="AR2639">
        <v>2631</v>
      </c>
      <c r="AS2639">
        <v>813</v>
      </c>
      <c r="AT2639">
        <v>3</v>
      </c>
      <c r="AU2639">
        <v>14.05711765112312</v>
      </c>
      <c r="AV2639">
        <v>3.2567149367723546E-153</v>
      </c>
    </row>
    <row r="2640" spans="44:48" x14ac:dyDescent="0.2">
      <c r="AR2640">
        <v>2632</v>
      </c>
      <c r="AS2640">
        <v>814</v>
      </c>
      <c r="AT2640">
        <v>3</v>
      </c>
      <c r="AU2640">
        <v>14.088058182440465</v>
      </c>
      <c r="AV2640">
        <v>6.6180091314698121E-154</v>
      </c>
    </row>
    <row r="2641" spans="44:48" x14ac:dyDescent="0.2">
      <c r="AR2641">
        <v>2633</v>
      </c>
      <c r="AS2641">
        <v>815</v>
      </c>
      <c r="AT2641">
        <v>3</v>
      </c>
      <c r="AU2641">
        <v>14.11899871375781</v>
      </c>
      <c r="AV2641">
        <v>1.3400067290886909E-154</v>
      </c>
    </row>
    <row r="2642" spans="44:48" x14ac:dyDescent="0.2">
      <c r="AR2642">
        <v>2634</v>
      </c>
      <c r="AS2642">
        <v>816</v>
      </c>
      <c r="AT2642">
        <v>3</v>
      </c>
      <c r="AU2642">
        <v>14.149939245075158</v>
      </c>
      <c r="AV2642">
        <v>2.7034515928089306E-155</v>
      </c>
    </row>
    <row r="2643" spans="44:48" x14ac:dyDescent="0.2">
      <c r="AR2643">
        <v>2635</v>
      </c>
      <c r="AS2643">
        <v>817</v>
      </c>
      <c r="AT2643">
        <v>3</v>
      </c>
      <c r="AU2643">
        <v>14.180879776392503</v>
      </c>
      <c r="AV2643">
        <v>5.4345328364630287E-156</v>
      </c>
    </row>
    <row r="2644" spans="44:48" x14ac:dyDescent="0.2">
      <c r="AR2644">
        <v>2636</v>
      </c>
      <c r="AS2644">
        <v>818</v>
      </c>
      <c r="AT2644">
        <v>3</v>
      </c>
      <c r="AU2644">
        <v>14.211820307709848</v>
      </c>
      <c r="AV2644">
        <v>1.0885235714474272E-156</v>
      </c>
    </row>
    <row r="2645" spans="44:48" x14ac:dyDescent="0.2">
      <c r="AR2645">
        <v>2637</v>
      </c>
      <c r="AS2645">
        <v>819</v>
      </c>
      <c r="AT2645">
        <v>3</v>
      </c>
      <c r="AU2645">
        <v>14.242760839027197</v>
      </c>
      <c r="AV2645">
        <v>2.1724283407731131E-157</v>
      </c>
    </row>
    <row r="2646" spans="44:48" x14ac:dyDescent="0.2">
      <c r="AR2646">
        <v>2638</v>
      </c>
      <c r="AS2646">
        <v>820</v>
      </c>
      <c r="AT2646">
        <v>3</v>
      </c>
      <c r="AU2646">
        <v>14.273701370344542</v>
      </c>
      <c r="AV2646">
        <v>4.320013290262293E-158</v>
      </c>
    </row>
    <row r="2647" spans="44:48" x14ac:dyDescent="0.2">
      <c r="AR2647">
        <v>2639</v>
      </c>
      <c r="AS2647">
        <v>821</v>
      </c>
      <c r="AT2647">
        <v>3</v>
      </c>
      <c r="AU2647">
        <v>14.304641901661887</v>
      </c>
      <c r="AV2647">
        <v>8.5596638006297505E-159</v>
      </c>
    </row>
    <row r="2648" spans="44:48" x14ac:dyDescent="0.2">
      <c r="AR2648">
        <v>2640</v>
      </c>
      <c r="AS2648">
        <v>822</v>
      </c>
      <c r="AT2648">
        <v>3</v>
      </c>
      <c r="AU2648">
        <v>14.335582432979235</v>
      </c>
      <c r="AV2648">
        <v>1.6898973798295451E-159</v>
      </c>
    </row>
    <row r="2649" spans="44:48" x14ac:dyDescent="0.2">
      <c r="AR2649">
        <v>2641</v>
      </c>
      <c r="AS2649">
        <v>823</v>
      </c>
      <c r="AT2649">
        <v>3</v>
      </c>
      <c r="AU2649">
        <v>14.36652296429658</v>
      </c>
      <c r="AV2649">
        <v>3.3242674655251018E-160</v>
      </c>
    </row>
    <row r="2650" spans="44:48" x14ac:dyDescent="0.2">
      <c r="AR2650">
        <v>2642</v>
      </c>
      <c r="AS2650">
        <v>824</v>
      </c>
      <c r="AT2650">
        <v>3</v>
      </c>
      <c r="AU2650">
        <v>14.397463495613929</v>
      </c>
      <c r="AV2650">
        <v>6.5157376116728999E-161</v>
      </c>
    </row>
    <row r="2651" spans="44:48" x14ac:dyDescent="0.2">
      <c r="AR2651">
        <v>2643</v>
      </c>
      <c r="AS2651">
        <v>825</v>
      </c>
      <c r="AT2651">
        <v>3</v>
      </c>
      <c r="AU2651">
        <v>14.428404026931274</v>
      </c>
      <c r="AV2651">
        <v>1.2725158953579609E-161</v>
      </c>
    </row>
    <row r="2652" spans="44:48" x14ac:dyDescent="0.2">
      <c r="AR2652">
        <v>2644</v>
      </c>
      <c r="AS2652">
        <v>826</v>
      </c>
      <c r="AT2652">
        <v>3</v>
      </c>
      <c r="AU2652">
        <v>14.459344558248619</v>
      </c>
      <c r="AV2652">
        <v>2.4762520385475624E-162</v>
      </c>
    </row>
    <row r="2653" spans="44:48" x14ac:dyDescent="0.2">
      <c r="AR2653">
        <v>2645</v>
      </c>
      <c r="AS2653">
        <v>827</v>
      </c>
      <c r="AT2653">
        <v>3</v>
      </c>
      <c r="AU2653">
        <v>14.490285089565967</v>
      </c>
      <c r="AV2653">
        <v>4.8012959594140574E-163</v>
      </c>
    </row>
    <row r="2654" spans="44:48" x14ac:dyDescent="0.2">
      <c r="AR2654">
        <v>2646</v>
      </c>
      <c r="AS2654">
        <v>828</v>
      </c>
      <c r="AT2654">
        <v>3</v>
      </c>
      <c r="AU2654">
        <v>14.521225620883312</v>
      </c>
      <c r="AV2654">
        <v>9.2758583904517669E-164</v>
      </c>
    </row>
    <row r="2655" spans="44:48" x14ac:dyDescent="0.2">
      <c r="AR2655">
        <v>2647</v>
      </c>
      <c r="AS2655">
        <v>829</v>
      </c>
      <c r="AT2655">
        <v>3</v>
      </c>
      <c r="AU2655">
        <v>14.552166152200657</v>
      </c>
      <c r="AV2655">
        <v>1.7855899938110429E-164</v>
      </c>
    </row>
    <row r="2656" spans="44:48" x14ac:dyDescent="0.2">
      <c r="AR2656">
        <v>2648</v>
      </c>
      <c r="AS2656">
        <v>830</v>
      </c>
      <c r="AT2656">
        <v>3</v>
      </c>
      <c r="AU2656">
        <v>14.583106683518006</v>
      </c>
      <c r="AV2656">
        <v>3.4248486054828901E-165</v>
      </c>
    </row>
    <row r="2657" spans="44:48" x14ac:dyDescent="0.2">
      <c r="AR2657">
        <v>2649</v>
      </c>
      <c r="AS2657">
        <v>831</v>
      </c>
      <c r="AT2657">
        <v>3</v>
      </c>
      <c r="AU2657">
        <v>14.614047214835351</v>
      </c>
      <c r="AV2657">
        <v>6.5453521073861822E-166</v>
      </c>
    </row>
    <row r="2658" spans="44:48" x14ac:dyDescent="0.2">
      <c r="AR2658">
        <v>2650</v>
      </c>
      <c r="AS2658">
        <v>832</v>
      </c>
      <c r="AT2658">
        <v>3</v>
      </c>
      <c r="AU2658">
        <v>14.644987746152699</v>
      </c>
      <c r="AV2658">
        <v>1.2463977363709812E-166</v>
      </c>
    </row>
    <row r="2659" spans="44:48" x14ac:dyDescent="0.2">
      <c r="AR2659">
        <v>2651</v>
      </c>
      <c r="AS2659">
        <v>833</v>
      </c>
      <c r="AT2659">
        <v>3</v>
      </c>
      <c r="AU2659">
        <v>14.675928277470044</v>
      </c>
      <c r="AV2659">
        <v>2.3648973245614904E-167</v>
      </c>
    </row>
    <row r="2660" spans="44:48" x14ac:dyDescent="0.2">
      <c r="AR2660">
        <v>2652</v>
      </c>
      <c r="AS2660">
        <v>834</v>
      </c>
      <c r="AT2660">
        <v>3</v>
      </c>
      <c r="AU2660">
        <v>14.706868808787389</v>
      </c>
      <c r="AV2660">
        <v>4.4709511989023517E-168</v>
      </c>
    </row>
    <row r="2661" spans="44:48" x14ac:dyDescent="0.2">
      <c r="AR2661">
        <v>2653</v>
      </c>
      <c r="AS2661">
        <v>835</v>
      </c>
      <c r="AT2661">
        <v>3</v>
      </c>
      <c r="AU2661">
        <v>14.737809340104738</v>
      </c>
      <c r="AV2661">
        <v>8.4220840303163617E-169</v>
      </c>
    </row>
    <row r="2662" spans="44:48" x14ac:dyDescent="0.2">
      <c r="AR2662">
        <v>2654</v>
      </c>
      <c r="AS2662">
        <v>836</v>
      </c>
      <c r="AT2662">
        <v>3</v>
      </c>
      <c r="AU2662">
        <v>14.768749871422083</v>
      </c>
      <c r="AV2662">
        <v>1.5807791975193205E-169</v>
      </c>
    </row>
    <row r="2663" spans="44:48" x14ac:dyDescent="0.2">
      <c r="AR2663">
        <v>2655</v>
      </c>
      <c r="AS2663">
        <v>837</v>
      </c>
      <c r="AT2663">
        <v>3</v>
      </c>
      <c r="AU2663">
        <v>14.799690402739428</v>
      </c>
      <c r="AV2663">
        <v>2.9563432379660153E-170</v>
      </c>
    </row>
    <row r="2664" spans="44:48" x14ac:dyDescent="0.2">
      <c r="AR2664">
        <v>2656</v>
      </c>
      <c r="AS2664">
        <v>838</v>
      </c>
      <c r="AT2664">
        <v>3</v>
      </c>
      <c r="AU2664">
        <v>14.830630934056776</v>
      </c>
      <c r="AV2664">
        <v>5.5089711681255281E-171</v>
      </c>
    </row>
    <row r="2665" spans="44:48" x14ac:dyDescent="0.2">
      <c r="AR2665">
        <v>2657</v>
      </c>
      <c r="AS2665">
        <v>839</v>
      </c>
      <c r="AT2665">
        <v>3</v>
      </c>
      <c r="AU2665">
        <v>14.861571465374121</v>
      </c>
      <c r="AV2665">
        <v>1.022864591437076E-171</v>
      </c>
    </row>
    <row r="2666" spans="44:48" x14ac:dyDescent="0.2">
      <c r="AR2666">
        <v>2658</v>
      </c>
      <c r="AS2666">
        <v>840</v>
      </c>
      <c r="AT2666">
        <v>3</v>
      </c>
      <c r="AU2666">
        <v>14.892511996691466</v>
      </c>
      <c r="AV2666">
        <v>1.8923339954944639E-172</v>
      </c>
    </row>
    <row r="2667" spans="44:48" x14ac:dyDescent="0.2">
      <c r="AR2667">
        <v>2659</v>
      </c>
      <c r="AS2667">
        <v>841</v>
      </c>
      <c r="AT2667">
        <v>3</v>
      </c>
      <c r="AU2667">
        <v>14.923452528008815</v>
      </c>
      <c r="AV2667">
        <v>3.4882647495601062E-173</v>
      </c>
    </row>
    <row r="2668" spans="44:48" x14ac:dyDescent="0.2">
      <c r="AR2668">
        <v>2660</v>
      </c>
      <c r="AS2668">
        <v>842</v>
      </c>
      <c r="AT2668">
        <v>3</v>
      </c>
      <c r="AU2668">
        <v>14.95439305932616</v>
      </c>
      <c r="AV2668">
        <v>6.4069758678247579E-174</v>
      </c>
    </row>
    <row r="2669" spans="44:48" x14ac:dyDescent="0.2">
      <c r="AR2669">
        <v>2661</v>
      </c>
      <c r="AS2669">
        <v>843</v>
      </c>
      <c r="AT2669">
        <v>3</v>
      </c>
      <c r="AU2669">
        <v>14.985333590643508</v>
      </c>
      <c r="AV2669">
        <v>1.1725428920626276E-174</v>
      </c>
    </row>
    <row r="2670" spans="44:48" x14ac:dyDescent="0.2">
      <c r="AR2670">
        <v>2662</v>
      </c>
      <c r="AS2670">
        <v>844</v>
      </c>
      <c r="AT2670">
        <v>3</v>
      </c>
      <c r="AU2670">
        <v>15.016274121960853</v>
      </c>
      <c r="AV2670">
        <v>2.1381412373701824E-175</v>
      </c>
    </row>
    <row r="2671" spans="44:48" x14ac:dyDescent="0.2">
      <c r="AR2671">
        <v>2663</v>
      </c>
      <c r="AS2671">
        <v>845</v>
      </c>
      <c r="AT2671">
        <v>3</v>
      </c>
      <c r="AU2671">
        <v>15.047214653278198</v>
      </c>
      <c r="AV2671">
        <v>3.8848659889977101E-176</v>
      </c>
    </row>
    <row r="2672" spans="44:48" x14ac:dyDescent="0.2">
      <c r="AR2672">
        <v>2664</v>
      </c>
      <c r="AS2672">
        <v>846</v>
      </c>
      <c r="AT2672">
        <v>3</v>
      </c>
      <c r="AU2672">
        <v>15.078155184595547</v>
      </c>
      <c r="AV2672">
        <v>7.0331146285770167E-177</v>
      </c>
    </row>
    <row r="2673" spans="44:48" x14ac:dyDescent="0.2">
      <c r="AR2673">
        <v>2665</v>
      </c>
      <c r="AS2673">
        <v>847</v>
      </c>
      <c r="AT2673">
        <v>3</v>
      </c>
      <c r="AU2673">
        <v>15.109095715912892</v>
      </c>
      <c r="AV2673">
        <v>1.2686778297890157E-177</v>
      </c>
    </row>
    <row r="2674" spans="44:48" x14ac:dyDescent="0.2">
      <c r="AR2674">
        <v>2666</v>
      </c>
      <c r="AS2674">
        <v>848</v>
      </c>
      <c r="AT2674">
        <v>3</v>
      </c>
      <c r="AU2674">
        <v>15.140036247230237</v>
      </c>
      <c r="AV2674">
        <v>2.2802738489426559E-178</v>
      </c>
    </row>
    <row r="2675" spans="44:48" x14ac:dyDescent="0.2">
      <c r="AR2675">
        <v>2667</v>
      </c>
      <c r="AS2675">
        <v>849</v>
      </c>
      <c r="AT2675">
        <v>3</v>
      </c>
      <c r="AU2675">
        <v>15.170976778547585</v>
      </c>
      <c r="AV2675">
        <v>4.0837078394276602E-179</v>
      </c>
    </row>
    <row r="2676" spans="44:48" x14ac:dyDescent="0.2">
      <c r="AR2676">
        <v>2668</v>
      </c>
      <c r="AS2676">
        <v>850</v>
      </c>
      <c r="AT2676">
        <v>3</v>
      </c>
      <c r="AU2676">
        <v>15.20191730986493</v>
      </c>
      <c r="AV2676">
        <v>7.2870931681362533E-180</v>
      </c>
    </row>
    <row r="2677" spans="44:48" x14ac:dyDescent="0.2">
      <c r="AR2677">
        <v>2669</v>
      </c>
      <c r="AS2677">
        <v>851</v>
      </c>
      <c r="AT2677">
        <v>3</v>
      </c>
      <c r="AU2677">
        <v>15.232857841182275</v>
      </c>
      <c r="AV2677">
        <v>1.2956448756258965E-180</v>
      </c>
    </row>
    <row r="2678" spans="44:48" x14ac:dyDescent="0.2">
      <c r="AR2678">
        <v>2670</v>
      </c>
      <c r="AS2678">
        <v>852</v>
      </c>
      <c r="AT2678">
        <v>3</v>
      </c>
      <c r="AU2678">
        <v>15.263798372499624</v>
      </c>
      <c r="AV2678">
        <v>2.295353833539463E-181</v>
      </c>
    </row>
    <row r="2679" spans="44:48" x14ac:dyDescent="0.2">
      <c r="AR2679">
        <v>2671</v>
      </c>
      <c r="AS2679">
        <v>853</v>
      </c>
      <c r="AT2679">
        <v>3</v>
      </c>
      <c r="AU2679">
        <v>15.294738903816969</v>
      </c>
      <c r="AV2679">
        <v>4.051774849425318E-182</v>
      </c>
    </row>
    <row r="2680" spans="44:48" x14ac:dyDescent="0.2">
      <c r="AR2680">
        <v>2672</v>
      </c>
      <c r="AS2680">
        <v>854</v>
      </c>
      <c r="AT2680">
        <v>3</v>
      </c>
      <c r="AU2680">
        <v>15.325679435134317</v>
      </c>
      <c r="AV2680">
        <v>7.1264454867731983E-183</v>
      </c>
    </row>
    <row r="2681" spans="44:48" x14ac:dyDescent="0.2">
      <c r="AR2681">
        <v>2673</v>
      </c>
      <c r="AS2681">
        <v>855</v>
      </c>
      <c r="AT2681">
        <v>3</v>
      </c>
      <c r="AU2681">
        <v>15.356619966451662</v>
      </c>
      <c r="AV2681">
        <v>1.2489142808578014E-183</v>
      </c>
    </row>
    <row r="2682" spans="44:48" x14ac:dyDescent="0.2">
      <c r="AR2682">
        <v>2674</v>
      </c>
      <c r="AS2682">
        <v>856</v>
      </c>
      <c r="AT2682">
        <v>3</v>
      </c>
      <c r="AU2682">
        <v>15.387560497769007</v>
      </c>
      <c r="AV2682">
        <v>2.180842474856344E-184</v>
      </c>
    </row>
    <row r="2683" spans="44:48" x14ac:dyDescent="0.2">
      <c r="AR2683">
        <v>2675</v>
      </c>
      <c r="AS2683">
        <v>857</v>
      </c>
      <c r="AT2683">
        <v>3</v>
      </c>
      <c r="AU2683">
        <v>15.418501029086356</v>
      </c>
      <c r="AV2683">
        <v>3.7944423917844128E-185</v>
      </c>
    </row>
    <row r="2684" spans="44:48" x14ac:dyDescent="0.2">
      <c r="AR2684">
        <v>2676</v>
      </c>
      <c r="AS2684">
        <v>858</v>
      </c>
      <c r="AT2684">
        <v>3</v>
      </c>
      <c r="AU2684">
        <v>15.449441560403701</v>
      </c>
      <c r="AV2684">
        <v>6.5781478648738111E-186</v>
      </c>
    </row>
    <row r="2685" spans="44:48" x14ac:dyDescent="0.2">
      <c r="AR2685">
        <v>2677</v>
      </c>
      <c r="AS2685">
        <v>859</v>
      </c>
      <c r="AT2685">
        <v>3</v>
      </c>
      <c r="AU2685">
        <v>15.480382091721046</v>
      </c>
      <c r="AV2685">
        <v>1.1362955355479557E-186</v>
      </c>
    </row>
    <row r="2686" spans="44:48" x14ac:dyDescent="0.2">
      <c r="AR2686">
        <v>2678</v>
      </c>
      <c r="AS2686">
        <v>860</v>
      </c>
      <c r="AT2686">
        <v>3</v>
      </c>
      <c r="AU2686">
        <v>15.511322623038394</v>
      </c>
      <c r="AV2686">
        <v>1.9557393342949553E-187</v>
      </c>
    </row>
    <row r="2687" spans="44:48" x14ac:dyDescent="0.2">
      <c r="AR2687">
        <v>2679</v>
      </c>
      <c r="AS2687">
        <v>861</v>
      </c>
      <c r="AT2687">
        <v>3</v>
      </c>
      <c r="AU2687">
        <v>15.542263154355739</v>
      </c>
      <c r="AV2687">
        <v>3.3539967835102807E-188</v>
      </c>
    </row>
    <row r="2688" spans="44:48" x14ac:dyDescent="0.2">
      <c r="AR2688">
        <v>2680</v>
      </c>
      <c r="AS2688">
        <v>862</v>
      </c>
      <c r="AT2688">
        <v>3</v>
      </c>
      <c r="AU2688">
        <v>15.573203685673084</v>
      </c>
      <c r="AV2688">
        <v>5.7312098985949038E-189</v>
      </c>
    </row>
    <row r="2689" spans="44:48" x14ac:dyDescent="0.2">
      <c r="AR2689">
        <v>2681</v>
      </c>
      <c r="AS2689">
        <v>863</v>
      </c>
      <c r="AT2689">
        <v>3</v>
      </c>
      <c r="AU2689">
        <v>15.604144216990433</v>
      </c>
      <c r="AV2689">
        <v>9.7580263811587744E-190</v>
      </c>
    </row>
    <row r="2690" spans="44:48" x14ac:dyDescent="0.2">
      <c r="AR2690">
        <v>2682</v>
      </c>
      <c r="AS2690">
        <v>864</v>
      </c>
      <c r="AT2690">
        <v>3</v>
      </c>
      <c r="AU2690">
        <v>15.635084748307778</v>
      </c>
      <c r="AV2690">
        <v>1.6554255838383513E-190</v>
      </c>
    </row>
    <row r="2691" spans="44:48" x14ac:dyDescent="0.2">
      <c r="AR2691">
        <v>2683</v>
      </c>
      <c r="AS2691">
        <v>865</v>
      </c>
      <c r="AT2691">
        <v>3</v>
      </c>
      <c r="AU2691">
        <v>15.666025279625126</v>
      </c>
      <c r="AV2691">
        <v>2.7982682105418185E-191</v>
      </c>
    </row>
    <row r="2692" spans="44:48" x14ac:dyDescent="0.2">
      <c r="AR2692">
        <v>2684</v>
      </c>
      <c r="AS2692">
        <v>866</v>
      </c>
      <c r="AT2692">
        <v>3</v>
      </c>
      <c r="AU2692">
        <v>15.696965810942471</v>
      </c>
      <c r="AV2692">
        <v>4.7130388089375927E-192</v>
      </c>
    </row>
    <row r="2693" spans="44:48" x14ac:dyDescent="0.2">
      <c r="AR2693">
        <v>2685</v>
      </c>
      <c r="AS2693">
        <v>867</v>
      </c>
      <c r="AT2693">
        <v>3</v>
      </c>
      <c r="AU2693">
        <v>15.727906342259816</v>
      </c>
      <c r="AV2693">
        <v>7.9094210298265948E-193</v>
      </c>
    </row>
    <row r="2694" spans="44:48" x14ac:dyDescent="0.2">
      <c r="AR2694">
        <v>2686</v>
      </c>
      <c r="AS2694">
        <v>868</v>
      </c>
      <c r="AT2694">
        <v>3</v>
      </c>
      <c r="AU2694">
        <v>15.758846873577165</v>
      </c>
      <c r="AV2694">
        <v>1.3225751967928692E-193</v>
      </c>
    </row>
    <row r="2695" spans="44:48" x14ac:dyDescent="0.2">
      <c r="AR2695">
        <v>2687</v>
      </c>
      <c r="AS2695">
        <v>869</v>
      </c>
      <c r="AT2695">
        <v>3</v>
      </c>
      <c r="AU2695">
        <v>15.789787404894509</v>
      </c>
      <c r="AV2695">
        <v>2.2035761058263267E-194</v>
      </c>
    </row>
    <row r="2696" spans="44:48" x14ac:dyDescent="0.2">
      <c r="AR2696">
        <v>2688</v>
      </c>
      <c r="AS2696">
        <v>870</v>
      </c>
      <c r="AT2696">
        <v>3</v>
      </c>
      <c r="AU2696">
        <v>15.820727936211854</v>
      </c>
      <c r="AV2696">
        <v>3.6582024511272319E-195</v>
      </c>
    </row>
    <row r="2697" spans="44:48" x14ac:dyDescent="0.2">
      <c r="AR2697">
        <v>2689</v>
      </c>
      <c r="AS2697">
        <v>871</v>
      </c>
      <c r="AT2697">
        <v>3</v>
      </c>
      <c r="AU2697">
        <v>15.851668467529203</v>
      </c>
      <c r="AV2697">
        <v>6.0511709112174302E-196</v>
      </c>
    </row>
    <row r="2698" spans="44:48" x14ac:dyDescent="0.2">
      <c r="AR2698">
        <v>2690</v>
      </c>
      <c r="AS2698">
        <v>872</v>
      </c>
      <c r="AT2698">
        <v>3</v>
      </c>
      <c r="AU2698">
        <v>15.882608998846548</v>
      </c>
      <c r="AV2698">
        <v>9.9733969271975107E-197</v>
      </c>
    </row>
    <row r="2699" spans="44:48" x14ac:dyDescent="0.2">
      <c r="AR2699">
        <v>2691</v>
      </c>
      <c r="AS2699">
        <v>873</v>
      </c>
      <c r="AT2699">
        <v>3</v>
      </c>
      <c r="AU2699">
        <v>15.913549530163893</v>
      </c>
      <c r="AV2699">
        <v>1.6378675896161772E-197</v>
      </c>
    </row>
    <row r="2700" spans="44:48" x14ac:dyDescent="0.2">
      <c r="AR2700">
        <v>2692</v>
      </c>
      <c r="AS2700">
        <v>874</v>
      </c>
      <c r="AT2700">
        <v>3</v>
      </c>
      <c r="AU2700">
        <v>15.944490061481241</v>
      </c>
      <c r="AV2700">
        <v>2.6800720876951807E-198</v>
      </c>
    </row>
    <row r="2701" spans="44:48" x14ac:dyDescent="0.2">
      <c r="AR2701">
        <v>2693</v>
      </c>
      <c r="AS2701">
        <v>875</v>
      </c>
      <c r="AT2701">
        <v>3</v>
      </c>
      <c r="AU2701">
        <v>15.975430592798586</v>
      </c>
      <c r="AV2701">
        <v>4.3696450818821618E-199</v>
      </c>
    </row>
    <row r="2702" spans="44:48" x14ac:dyDescent="0.2">
      <c r="AR2702">
        <v>2694</v>
      </c>
      <c r="AS2702">
        <v>876</v>
      </c>
      <c r="AT2702">
        <v>3</v>
      </c>
      <c r="AU2702">
        <v>16.006371124115937</v>
      </c>
      <c r="AV2702">
        <v>7.0986841396285386E-200</v>
      </c>
    </row>
    <row r="2703" spans="44:48" x14ac:dyDescent="0.2">
      <c r="AR2703">
        <v>2695</v>
      </c>
      <c r="AS2703">
        <v>877</v>
      </c>
      <c r="AT2703">
        <v>3</v>
      </c>
      <c r="AU2703">
        <v>16.037311655433278</v>
      </c>
      <c r="AV2703">
        <v>1.1490569199079549E-200</v>
      </c>
    </row>
    <row r="2704" spans="44:48" x14ac:dyDescent="0.2">
      <c r="AR2704">
        <v>2696</v>
      </c>
      <c r="AS2704">
        <v>878</v>
      </c>
      <c r="AT2704">
        <v>3</v>
      </c>
      <c r="AU2704">
        <v>16.068252186750627</v>
      </c>
      <c r="AV2704">
        <v>1.853263762052968E-201</v>
      </c>
    </row>
    <row r="2705" spans="44:48" x14ac:dyDescent="0.2">
      <c r="AR2705">
        <v>2697</v>
      </c>
      <c r="AS2705">
        <v>879</v>
      </c>
      <c r="AT2705">
        <v>3</v>
      </c>
      <c r="AU2705">
        <v>16.099192718067975</v>
      </c>
      <c r="AV2705">
        <v>2.978275893477905E-202</v>
      </c>
    </row>
    <row r="2706" spans="44:48" x14ac:dyDescent="0.2">
      <c r="AR2706">
        <v>2698</v>
      </c>
      <c r="AS2706">
        <v>880</v>
      </c>
      <c r="AT2706">
        <v>3</v>
      </c>
      <c r="AU2706">
        <v>16.130133249385317</v>
      </c>
      <c r="AV2706">
        <v>4.7689703237539674E-203</v>
      </c>
    </row>
    <row r="2707" spans="44:48" x14ac:dyDescent="0.2">
      <c r="AR2707">
        <v>2699</v>
      </c>
      <c r="AS2707">
        <v>881</v>
      </c>
      <c r="AT2707">
        <v>3</v>
      </c>
      <c r="AU2707">
        <v>16.161073780702665</v>
      </c>
      <c r="AV2707">
        <v>7.6088025592795292E-204</v>
      </c>
    </row>
    <row r="2708" spans="44:48" x14ac:dyDescent="0.2">
      <c r="AR2708">
        <v>2700</v>
      </c>
      <c r="AS2708">
        <v>882</v>
      </c>
      <c r="AT2708">
        <v>3</v>
      </c>
      <c r="AU2708">
        <v>16.192014312020014</v>
      </c>
      <c r="AV2708">
        <v>1.209595077392612E-204</v>
      </c>
    </row>
    <row r="2709" spans="44:48" x14ac:dyDescent="0.2">
      <c r="AR2709">
        <v>2701</v>
      </c>
      <c r="AS2709">
        <v>883</v>
      </c>
      <c r="AT2709">
        <v>3</v>
      </c>
      <c r="AU2709">
        <v>16.222954843337355</v>
      </c>
      <c r="AV2709">
        <v>1.9160008963474698E-205</v>
      </c>
    </row>
    <row r="2710" spans="44:48" x14ac:dyDescent="0.2">
      <c r="AR2710">
        <v>2702</v>
      </c>
      <c r="AS2710">
        <v>884</v>
      </c>
      <c r="AT2710">
        <v>3</v>
      </c>
      <c r="AU2710">
        <v>16.253895374654704</v>
      </c>
      <c r="AV2710">
        <v>3.0240112761759315E-206</v>
      </c>
    </row>
    <row r="2711" spans="44:48" x14ac:dyDescent="0.2">
      <c r="AR2711">
        <v>2703</v>
      </c>
      <c r="AS2711">
        <v>885</v>
      </c>
      <c r="AT2711">
        <v>3</v>
      </c>
      <c r="AU2711">
        <v>16.284835905972052</v>
      </c>
      <c r="AV2711">
        <v>4.7555757717918659E-207</v>
      </c>
    </row>
    <row r="2712" spans="44:48" x14ac:dyDescent="0.2">
      <c r="AR2712">
        <v>2704</v>
      </c>
      <c r="AS2712">
        <v>886</v>
      </c>
      <c r="AT2712">
        <v>3</v>
      </c>
      <c r="AU2712">
        <v>16.315776437289394</v>
      </c>
      <c r="AV2712">
        <v>7.4516904650994597E-208</v>
      </c>
    </row>
    <row r="2713" spans="44:48" x14ac:dyDescent="0.2">
      <c r="AR2713">
        <v>2705</v>
      </c>
      <c r="AS2713">
        <v>887</v>
      </c>
      <c r="AT2713">
        <v>3</v>
      </c>
      <c r="AU2713">
        <v>16.346716968606742</v>
      </c>
      <c r="AV2713">
        <v>1.1634253122649997E-208</v>
      </c>
    </row>
    <row r="2714" spans="44:48" x14ac:dyDescent="0.2">
      <c r="AR2714">
        <v>2706</v>
      </c>
      <c r="AS2714">
        <v>888</v>
      </c>
      <c r="AT2714">
        <v>3</v>
      </c>
      <c r="AU2714">
        <v>16.377657499924091</v>
      </c>
      <c r="AV2714">
        <v>1.809898463820556E-209</v>
      </c>
    </row>
    <row r="2715" spans="44:48" x14ac:dyDescent="0.2">
      <c r="AR2715">
        <v>2707</v>
      </c>
      <c r="AS2715">
        <v>889</v>
      </c>
      <c r="AT2715">
        <v>3</v>
      </c>
      <c r="AU2715">
        <v>16.408598031241432</v>
      </c>
      <c r="AV2715">
        <v>2.8054460126100902E-210</v>
      </c>
    </row>
    <row r="2716" spans="44:48" x14ac:dyDescent="0.2">
      <c r="AR2716">
        <v>2708</v>
      </c>
      <c r="AS2716">
        <v>890</v>
      </c>
      <c r="AT2716">
        <v>3</v>
      </c>
      <c r="AU2716">
        <v>16.439538562558781</v>
      </c>
      <c r="AV2716">
        <v>4.3329294826535569E-211</v>
      </c>
    </row>
    <row r="2717" spans="44:48" x14ac:dyDescent="0.2">
      <c r="AR2717">
        <v>2709</v>
      </c>
      <c r="AS2717">
        <v>891</v>
      </c>
      <c r="AT2717">
        <v>3</v>
      </c>
      <c r="AU2717">
        <v>16.470479093876129</v>
      </c>
      <c r="AV2717">
        <v>6.6679652468766388E-212</v>
      </c>
    </row>
    <row r="2718" spans="44:48" x14ac:dyDescent="0.2">
      <c r="AR2718">
        <v>2710</v>
      </c>
      <c r="AS2718">
        <v>892</v>
      </c>
      <c r="AT2718">
        <v>3</v>
      </c>
      <c r="AU2718">
        <v>16.501419625193471</v>
      </c>
      <c r="AV2718">
        <v>1.0224381253990054E-212</v>
      </c>
    </row>
    <row r="2719" spans="44:48" x14ac:dyDescent="0.2">
      <c r="AR2719">
        <v>2711</v>
      </c>
      <c r="AS2719">
        <v>893</v>
      </c>
      <c r="AT2719">
        <v>3</v>
      </c>
      <c r="AU2719">
        <v>16.532360156510819</v>
      </c>
      <c r="AV2719">
        <v>1.5621140707811163E-213</v>
      </c>
    </row>
    <row r="2720" spans="44:48" x14ac:dyDescent="0.2">
      <c r="AR2720">
        <v>2712</v>
      </c>
      <c r="AS2720">
        <v>894</v>
      </c>
      <c r="AT2720">
        <v>3</v>
      </c>
      <c r="AU2720">
        <v>16.563300687828168</v>
      </c>
      <c r="AV2720">
        <v>2.3780471129446454E-214</v>
      </c>
    </row>
    <row r="2721" spans="44:48" x14ac:dyDescent="0.2">
      <c r="AR2721">
        <v>2713</v>
      </c>
      <c r="AS2721">
        <v>895</v>
      </c>
      <c r="AT2721">
        <v>3</v>
      </c>
      <c r="AU2721">
        <v>16.594241219145516</v>
      </c>
      <c r="AV2721">
        <v>3.6071164722444645E-215</v>
      </c>
    </row>
    <row r="2722" spans="44:48" x14ac:dyDescent="0.2">
      <c r="AR2722">
        <v>2714</v>
      </c>
      <c r="AS2722">
        <v>896</v>
      </c>
      <c r="AT2722">
        <v>3</v>
      </c>
      <c r="AU2722">
        <v>16.625181750462858</v>
      </c>
      <c r="AV2722">
        <v>5.4516991091542084E-216</v>
      </c>
    </row>
    <row r="2723" spans="44:48" x14ac:dyDescent="0.2">
      <c r="AR2723">
        <v>2715</v>
      </c>
      <c r="AS2723">
        <v>897</v>
      </c>
      <c r="AT2723">
        <v>3</v>
      </c>
      <c r="AU2723">
        <v>16.656122281780206</v>
      </c>
      <c r="AV2723">
        <v>8.2098569852849291E-217</v>
      </c>
    </row>
    <row r="2724" spans="44:48" x14ac:dyDescent="0.2">
      <c r="AR2724">
        <v>2716</v>
      </c>
      <c r="AS2724">
        <v>898</v>
      </c>
      <c r="AT2724">
        <v>3</v>
      </c>
      <c r="AU2724">
        <v>16.687062813097555</v>
      </c>
      <c r="AV2724">
        <v>1.2318882323831392E-217</v>
      </c>
    </row>
    <row r="2725" spans="44:48" x14ac:dyDescent="0.2">
      <c r="AR2725">
        <v>2717</v>
      </c>
      <c r="AS2725">
        <v>899</v>
      </c>
      <c r="AT2725">
        <v>3</v>
      </c>
      <c r="AU2725">
        <v>16.718003344414896</v>
      </c>
      <c r="AV2725">
        <v>1.8417853859090289E-218</v>
      </c>
    </row>
    <row r="2726" spans="44:48" x14ac:dyDescent="0.2">
      <c r="AR2726">
        <v>2718</v>
      </c>
      <c r="AS2726">
        <v>900</v>
      </c>
      <c r="AT2726">
        <v>3</v>
      </c>
      <c r="AU2726">
        <v>16.748943875732245</v>
      </c>
      <c r="AV2726">
        <v>2.7437133714642615E-219</v>
      </c>
    </row>
    <row r="2727" spans="44:48" x14ac:dyDescent="0.2">
      <c r="AR2727">
        <v>2719</v>
      </c>
      <c r="AS2727">
        <v>901</v>
      </c>
      <c r="AT2727">
        <v>3</v>
      </c>
      <c r="AU2727">
        <v>16.779884407049593</v>
      </c>
      <c r="AV2727">
        <v>4.0725878206684511E-220</v>
      </c>
    </row>
    <row r="2728" spans="44:48" x14ac:dyDescent="0.2">
      <c r="AR2728">
        <v>2720</v>
      </c>
      <c r="AS2728">
        <v>902</v>
      </c>
      <c r="AT2728">
        <v>3</v>
      </c>
      <c r="AU2728">
        <v>16.810824938366935</v>
      </c>
      <c r="AV2728">
        <v>6.0232956066251804E-221</v>
      </c>
    </row>
    <row r="2729" spans="44:48" x14ac:dyDescent="0.2">
      <c r="AR2729">
        <v>2721</v>
      </c>
      <c r="AS2729">
        <v>903</v>
      </c>
      <c r="AT2729">
        <v>3</v>
      </c>
      <c r="AU2729">
        <v>16.841765469684283</v>
      </c>
      <c r="AV2729">
        <v>8.8762576173447078E-222</v>
      </c>
    </row>
    <row r="2730" spans="44:48" x14ac:dyDescent="0.2">
      <c r="AR2730">
        <v>2722</v>
      </c>
      <c r="AS2730">
        <v>904</v>
      </c>
      <c r="AT2730">
        <v>3</v>
      </c>
      <c r="AU2730">
        <v>16.872706001001632</v>
      </c>
      <c r="AV2730">
        <v>1.3033396881937085E-222</v>
      </c>
    </row>
    <row r="2731" spans="44:48" x14ac:dyDescent="0.2">
      <c r="AR2731">
        <v>2723</v>
      </c>
      <c r="AS2731">
        <v>905</v>
      </c>
      <c r="AT2731">
        <v>3</v>
      </c>
      <c r="AU2731">
        <v>16.903646532318973</v>
      </c>
      <c r="AV2731">
        <v>1.9068535657796271E-223</v>
      </c>
    </row>
    <row r="2732" spans="44:48" x14ac:dyDescent="0.2">
      <c r="AR2732">
        <v>2724</v>
      </c>
      <c r="AS2732">
        <v>906</v>
      </c>
      <c r="AT2732">
        <v>3</v>
      </c>
      <c r="AU2732">
        <v>16.934587063636322</v>
      </c>
      <c r="AV2732">
        <v>2.7797713051173593E-224</v>
      </c>
    </row>
    <row r="2733" spans="44:48" x14ac:dyDescent="0.2">
      <c r="AR2733">
        <v>2725</v>
      </c>
      <c r="AS2733">
        <v>907</v>
      </c>
      <c r="AT2733">
        <v>3</v>
      </c>
      <c r="AU2733">
        <v>16.96552759495367</v>
      </c>
      <c r="AV2733">
        <v>4.037688332563166E-225</v>
      </c>
    </row>
    <row r="2734" spans="44:48" x14ac:dyDescent="0.2">
      <c r="AR2734">
        <v>2726</v>
      </c>
      <c r="AS2734">
        <v>908</v>
      </c>
      <c r="AT2734">
        <v>3</v>
      </c>
      <c r="AU2734">
        <v>16.996468126271012</v>
      </c>
      <c r="AV2734">
        <v>5.8437081697068204E-226</v>
      </c>
    </row>
    <row r="2735" spans="44:48" x14ac:dyDescent="0.2">
      <c r="AR2735">
        <v>2727</v>
      </c>
      <c r="AS2735" t="e">
        <v>#N/A</v>
      </c>
      <c r="AT2735" t="e">
        <v>#N/A</v>
      </c>
      <c r="AU2735" t="e">
        <v>#N/A</v>
      </c>
      <c r="AV2735" t="e">
        <v>#N/A</v>
      </c>
    </row>
  </sheetData>
  <phoneticPr fontId="14" type="noConversion"/>
  <conditionalFormatting sqref="H54">
    <cfRule type="cellIs" dxfId="3" priority="13" operator="equal">
      <formula>"Ikke opfyldt"</formula>
    </cfRule>
  </conditionalFormatting>
  <conditionalFormatting sqref="A91:E140">
    <cfRule type="expression" dxfId="2" priority="4">
      <formula>ISBLANK($A91)</formula>
    </cfRule>
  </conditionalFormatting>
  <conditionalFormatting sqref="E55">
    <cfRule type="cellIs" dxfId="1" priority="3" operator="equal">
      <formula>"Nulhypotesen afvises"</formula>
    </cfRule>
  </conditionalFormatting>
  <conditionalFormatting sqref="K55">
    <cfRule type="cellIs" dxfId="0" priority="1" operator="equal">
      <formula>"Nulhypotesen afvises"</formula>
    </cfRule>
  </conditionalFormatting>
  <dataValidations count="4">
    <dataValidation type="decimal" allowBlank="1" showInputMessage="1" showErrorMessage="1" errorTitle="Vælg et konfidensniveau" error="Indtast et procenttal mellem 50% og 100%" promptTitle="Vælg et konfidensniveau" prompt="Indtast et procenttal mellem 50% og 100%" sqref="B5" xr:uid="{1322AC0E-596C-47A8-9EE8-60C1414BA879}">
      <formula1>0.5</formula1>
      <formula2>1</formula2>
    </dataValidation>
    <dataValidation allowBlank="1" showInputMessage="1" showErrorMessage="1" promptTitle="Kontrol af forudsætning" prompt="Viser Ikke opfyldt, hvis kontrollen har identificeret et problem med denne forudsætning. Viser Opfyldt, hvis kontrollen ikke har identificeret nogen problemer." sqref="H54" xr:uid="{DB168B59-2055-4AB1-B26F-3AE2BB2E834A}"/>
    <dataValidation allowBlank="1" showInputMessage="1" showErrorMessage="1" promptTitle="Kontrol af forudsætning" prompt="Denne forudsætning skal altid vurderes." sqref="B54 H55:H56" xr:uid="{3C8695CD-CF27-415B-AB95-EC51AA18D7EC}"/>
    <dataValidation allowBlank="1" showInputMessage="1" showErrorMessage="1" promptTitle="Kontrol af forudsætning" prompt="Denne forudsætning skal altid testes med en hypotesetest." sqref="B55" xr:uid="{2F0AB797-4326-477C-81D7-DDC9C11171BA}"/>
  </dataValidations>
  <hyperlinks>
    <hyperlink ref="B1" location="V_Manual_Sandsynlighed" display="Gå til Manual i brug af Sandsynlighed arket               " xr:uid="{36BB5471-1E63-4F9A-9B11-443535CB3292}"/>
  </hyperlinks>
  <pageMargins left="0.7" right="0.7" top="0.75" bottom="0.75" header="0.3" footer="0.3"/>
  <pageSetup paperSize="9" orientation="portrait" r:id="rId1"/>
  <drawing r:id="rId2"/>
  <legacyDrawing r:id="rId3"/>
  <extLst>
    <ext xmlns:x15="http://schemas.microsoft.com/office/spreadsheetml/2010/11/main" uri="{3A4CF648-6AED-40f4-86FF-DC5316D8AED3}">
      <x14:slicerList xmlns:x14="http://schemas.microsoft.com/office/spreadsheetml/2009/9/main">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2A967B-75D2-4208-8398-DC1BE4D20F5B}">
  <sheetPr codeName="Sheet14"/>
  <dimension ref="A1:D65"/>
  <sheetViews>
    <sheetView showGridLines="0" workbookViewId="0"/>
  </sheetViews>
  <sheetFormatPr defaultRowHeight="14.25" x14ac:dyDescent="0.2"/>
  <cols>
    <col min="1" max="1" width="37.375" customWidth="1"/>
    <col min="2" max="2" width="35.25" bestFit="1" customWidth="1"/>
    <col min="3" max="3" width="22" customWidth="1"/>
    <col min="4" max="4" width="16.75" bestFit="1" customWidth="1"/>
    <col min="5" max="7" width="10" bestFit="1" customWidth="1"/>
  </cols>
  <sheetData>
    <row r="1" spans="1:4" ht="18.75" x14ac:dyDescent="0.2">
      <c r="A1" s="1" t="s">
        <v>84</v>
      </c>
    </row>
    <row r="3" spans="1:4" x14ac:dyDescent="0.2">
      <c r="A3" s="3" t="s">
        <v>85</v>
      </c>
    </row>
    <row r="4" spans="1:4" x14ac:dyDescent="0.2">
      <c r="A4" s="23" t="s">
        <v>86</v>
      </c>
      <c r="B4" s="30">
        <f>COUNT(ANOVA_valg[Tabel ID])</f>
        <v>50</v>
      </c>
    </row>
    <row r="5" spans="1:4" x14ac:dyDescent="0.2">
      <c r="A5" s="23" t="s">
        <v>46</v>
      </c>
      <c r="B5" s="30">
        <f>COUNTA(DataTitel_liste)</f>
        <v>4</v>
      </c>
    </row>
    <row r="6" spans="1:4" x14ac:dyDescent="0.2">
      <c r="A6" s="23" t="s">
        <v>81</v>
      </c>
      <c r="B6" s="30" t="str">
        <f>IF(B5&gt;B4,"Forlæng tabellen indtil der indgår "&amp;B5^2&amp;" rækker","Tabellen behøver ikke forlænges yderligere")</f>
        <v>Tabellen behøver ikke forlænges yderligere</v>
      </c>
    </row>
    <row r="7" spans="1:4" x14ac:dyDescent="0.2">
      <c r="A7" s="23"/>
      <c r="B7" s="30"/>
    </row>
    <row r="10" spans="1:4" x14ac:dyDescent="0.2">
      <c r="A10" t="s">
        <v>87</v>
      </c>
      <c r="B10" t="s">
        <v>80</v>
      </c>
      <c r="C10" t="s">
        <v>173</v>
      </c>
      <c r="D10" t="s">
        <v>35</v>
      </c>
    </row>
    <row r="11" spans="1:4" x14ac:dyDescent="0.2">
      <c r="A11">
        <v>1</v>
      </c>
      <c r="B11">
        <f t="shared" ref="B11:B42" si="0">MOD(A11-1,$B$5)+1</f>
        <v>1</v>
      </c>
      <c r="C11" t="str" cm="1">
        <f t="array" ref="C11">INDEX(DataTitel_liste,ANOVA_valg[[#This Row],[Variabel ID]])</f>
        <v>Eksempel 1 (interval)</v>
      </c>
      <c r="D11">
        <f>_xlfn.AGGREGATE(2,5,ANOVA_valg[[#This Row],[Tabel ID]])</f>
        <v>1</v>
      </c>
    </row>
    <row r="12" spans="1:4" x14ac:dyDescent="0.2">
      <c r="A12">
        <v>2</v>
      </c>
      <c r="B12">
        <f t="shared" si="0"/>
        <v>2</v>
      </c>
      <c r="C12" t="str" cm="1">
        <f t="array" ref="C12">INDEX(DataTitel_liste,ANOVA_valg[[#This Row],[Variabel ID]])</f>
        <v>Eksempel 2 (interval)</v>
      </c>
      <c r="D12">
        <f>_xlfn.AGGREGATE(2,5,ANOVA_valg[[#This Row],[Tabel ID]])</f>
        <v>1</v>
      </c>
    </row>
    <row r="13" spans="1:4" hidden="1" x14ac:dyDescent="0.2">
      <c r="A13">
        <v>3</v>
      </c>
      <c r="B13">
        <f t="shared" si="0"/>
        <v>3</v>
      </c>
      <c r="C13" t="str" cm="1">
        <f t="array" ref="C13">INDEX(DataTitel_liste,ANOVA_valg[[#This Row],[Variabel ID]])</f>
        <v>Eksempel 3 (nominal)</v>
      </c>
      <c r="D13">
        <f>_xlfn.AGGREGATE(2,5,ANOVA_valg[[#This Row],[Tabel ID]])</f>
        <v>0</v>
      </c>
    </row>
    <row r="14" spans="1:4" x14ac:dyDescent="0.2">
      <c r="A14">
        <v>4</v>
      </c>
      <c r="B14">
        <f t="shared" si="0"/>
        <v>4</v>
      </c>
      <c r="C14" t="str" cm="1">
        <f t="array" ref="C14">INDEX(DataTitel_liste,ANOVA_valg[[#This Row],[Variabel ID]])</f>
        <v>Eksempel 4 (nominal)</v>
      </c>
      <c r="D14">
        <f>_xlfn.AGGREGATE(2,5,ANOVA_valg[[#This Row],[Tabel ID]])</f>
        <v>1</v>
      </c>
    </row>
    <row r="15" spans="1:4" x14ac:dyDescent="0.2">
      <c r="A15">
        <v>5</v>
      </c>
      <c r="B15">
        <f t="shared" si="0"/>
        <v>1</v>
      </c>
      <c r="C15" t="str" cm="1">
        <f t="array" ref="C15">INDEX(DataTitel_liste,ANOVA_valg[[#This Row],[Variabel ID]])</f>
        <v>Eksempel 1 (interval)</v>
      </c>
      <c r="D15">
        <f>_xlfn.AGGREGATE(2,5,ANOVA_valg[[#This Row],[Tabel ID]])</f>
        <v>1</v>
      </c>
    </row>
    <row r="16" spans="1:4" x14ac:dyDescent="0.2">
      <c r="A16">
        <v>6</v>
      </c>
      <c r="B16">
        <f t="shared" si="0"/>
        <v>2</v>
      </c>
      <c r="C16" t="str" cm="1">
        <f t="array" ref="C16">INDEX(DataTitel_liste,ANOVA_valg[[#This Row],[Variabel ID]])</f>
        <v>Eksempel 2 (interval)</v>
      </c>
      <c r="D16">
        <f>_xlfn.AGGREGATE(2,5,ANOVA_valg[[#This Row],[Tabel ID]])</f>
        <v>1</v>
      </c>
    </row>
    <row r="17" spans="1:4" hidden="1" x14ac:dyDescent="0.2">
      <c r="A17">
        <v>7</v>
      </c>
      <c r="B17">
        <f t="shared" si="0"/>
        <v>3</v>
      </c>
      <c r="C17" t="str" cm="1">
        <f t="array" ref="C17">INDEX(DataTitel_liste,ANOVA_valg[[#This Row],[Variabel ID]])</f>
        <v>Eksempel 3 (nominal)</v>
      </c>
      <c r="D17">
        <f>_xlfn.AGGREGATE(2,5,ANOVA_valg[[#This Row],[Tabel ID]])</f>
        <v>0</v>
      </c>
    </row>
    <row r="18" spans="1:4" x14ac:dyDescent="0.2">
      <c r="A18">
        <v>8</v>
      </c>
      <c r="B18">
        <f t="shared" si="0"/>
        <v>4</v>
      </c>
      <c r="C18" t="str" cm="1">
        <f t="array" ref="C18">INDEX(DataTitel_liste,ANOVA_valg[[#This Row],[Variabel ID]])</f>
        <v>Eksempel 4 (nominal)</v>
      </c>
      <c r="D18">
        <f>_xlfn.AGGREGATE(2,5,ANOVA_valg[[#This Row],[Tabel ID]])</f>
        <v>1</v>
      </c>
    </row>
    <row r="19" spans="1:4" x14ac:dyDescent="0.2">
      <c r="A19">
        <v>9</v>
      </c>
      <c r="B19">
        <f t="shared" si="0"/>
        <v>1</v>
      </c>
      <c r="C19" t="str" cm="1">
        <f t="array" ref="C19">INDEX(DataTitel_liste,ANOVA_valg[[#This Row],[Variabel ID]])</f>
        <v>Eksempel 1 (interval)</v>
      </c>
      <c r="D19">
        <f>_xlfn.AGGREGATE(2,5,ANOVA_valg[[#This Row],[Tabel ID]])</f>
        <v>1</v>
      </c>
    </row>
    <row r="20" spans="1:4" x14ac:dyDescent="0.2">
      <c r="A20">
        <v>10</v>
      </c>
      <c r="B20">
        <f t="shared" si="0"/>
        <v>2</v>
      </c>
      <c r="C20" t="str" cm="1">
        <f t="array" ref="C20">INDEX(DataTitel_liste,ANOVA_valg[[#This Row],[Variabel ID]])</f>
        <v>Eksempel 2 (interval)</v>
      </c>
      <c r="D20">
        <f>_xlfn.AGGREGATE(2,5,ANOVA_valg[[#This Row],[Tabel ID]])</f>
        <v>1</v>
      </c>
    </row>
    <row r="21" spans="1:4" hidden="1" x14ac:dyDescent="0.2">
      <c r="A21">
        <v>11</v>
      </c>
      <c r="B21">
        <f t="shared" si="0"/>
        <v>3</v>
      </c>
      <c r="C21" t="str" cm="1">
        <f t="array" ref="C21">INDEX(DataTitel_liste,ANOVA_valg[[#This Row],[Variabel ID]])</f>
        <v>Eksempel 3 (nominal)</v>
      </c>
      <c r="D21">
        <f>_xlfn.AGGREGATE(2,5,ANOVA_valg[[#This Row],[Tabel ID]])</f>
        <v>0</v>
      </c>
    </row>
    <row r="22" spans="1:4" x14ac:dyDescent="0.2">
      <c r="A22">
        <v>12</v>
      </c>
      <c r="B22">
        <f t="shared" si="0"/>
        <v>4</v>
      </c>
      <c r="C22" t="str" cm="1">
        <f t="array" ref="C22">INDEX(DataTitel_liste,ANOVA_valg[[#This Row],[Variabel ID]])</f>
        <v>Eksempel 4 (nominal)</v>
      </c>
      <c r="D22">
        <f>_xlfn.AGGREGATE(2,5,ANOVA_valg[[#This Row],[Tabel ID]])</f>
        <v>1</v>
      </c>
    </row>
    <row r="23" spans="1:4" x14ac:dyDescent="0.2">
      <c r="A23">
        <v>13</v>
      </c>
      <c r="B23">
        <f t="shared" si="0"/>
        <v>1</v>
      </c>
      <c r="C23" t="str" cm="1">
        <f t="array" ref="C23">INDEX(DataTitel_liste,ANOVA_valg[[#This Row],[Variabel ID]])</f>
        <v>Eksempel 1 (interval)</v>
      </c>
      <c r="D23">
        <f>_xlfn.AGGREGATE(2,5,ANOVA_valg[[#This Row],[Tabel ID]])</f>
        <v>1</v>
      </c>
    </row>
    <row r="24" spans="1:4" x14ac:dyDescent="0.2">
      <c r="A24">
        <v>14</v>
      </c>
      <c r="B24">
        <f t="shared" si="0"/>
        <v>2</v>
      </c>
      <c r="C24" t="str" cm="1">
        <f t="array" ref="C24">INDEX(DataTitel_liste,ANOVA_valg[[#This Row],[Variabel ID]])</f>
        <v>Eksempel 2 (interval)</v>
      </c>
      <c r="D24">
        <f>_xlfn.AGGREGATE(2,5,ANOVA_valg[[#This Row],[Tabel ID]])</f>
        <v>1</v>
      </c>
    </row>
    <row r="25" spans="1:4" hidden="1" x14ac:dyDescent="0.2">
      <c r="A25">
        <v>15</v>
      </c>
      <c r="B25">
        <f t="shared" si="0"/>
        <v>3</v>
      </c>
      <c r="C25" t="str" cm="1">
        <f t="array" ref="C25">INDEX(DataTitel_liste,ANOVA_valg[[#This Row],[Variabel ID]])</f>
        <v>Eksempel 3 (nominal)</v>
      </c>
      <c r="D25">
        <f>_xlfn.AGGREGATE(2,5,ANOVA_valg[[#This Row],[Tabel ID]])</f>
        <v>0</v>
      </c>
    </row>
    <row r="26" spans="1:4" x14ac:dyDescent="0.2">
      <c r="A26">
        <v>16</v>
      </c>
      <c r="B26" s="36">
        <f t="shared" si="0"/>
        <v>4</v>
      </c>
      <c r="C26" t="str" cm="1">
        <f t="array" ref="C26">INDEX(DataTitel_liste,ANOVA_valg[[#This Row],[Variabel ID]])</f>
        <v>Eksempel 4 (nominal)</v>
      </c>
      <c r="D26" s="36">
        <f>_xlfn.AGGREGATE(2,5,ANOVA_valg[[#This Row],[Tabel ID]])</f>
        <v>1</v>
      </c>
    </row>
    <row r="27" spans="1:4" x14ac:dyDescent="0.2">
      <c r="A27">
        <v>17</v>
      </c>
      <c r="B27" s="36">
        <f t="shared" si="0"/>
        <v>1</v>
      </c>
      <c r="C27" t="str" cm="1">
        <f t="array" ref="C27">INDEX(DataTitel_liste,ANOVA_valg[[#This Row],[Variabel ID]])</f>
        <v>Eksempel 1 (interval)</v>
      </c>
      <c r="D27" s="36">
        <f>_xlfn.AGGREGATE(2,5,ANOVA_valg[[#This Row],[Tabel ID]])</f>
        <v>1</v>
      </c>
    </row>
    <row r="28" spans="1:4" x14ac:dyDescent="0.2">
      <c r="A28">
        <v>18</v>
      </c>
      <c r="B28" s="36">
        <f t="shared" si="0"/>
        <v>2</v>
      </c>
      <c r="C28" t="str" cm="1">
        <f t="array" ref="C28">INDEX(DataTitel_liste,ANOVA_valg[[#This Row],[Variabel ID]])</f>
        <v>Eksempel 2 (interval)</v>
      </c>
      <c r="D28" s="36">
        <f>_xlfn.AGGREGATE(2,5,ANOVA_valg[[#This Row],[Tabel ID]])</f>
        <v>1</v>
      </c>
    </row>
    <row r="29" spans="1:4" hidden="1" x14ac:dyDescent="0.2">
      <c r="A29">
        <v>19</v>
      </c>
      <c r="B29" s="36">
        <f t="shared" si="0"/>
        <v>3</v>
      </c>
      <c r="C29" t="str" cm="1">
        <f t="array" ref="C29">INDEX(DataTitel_liste,ANOVA_valg[[#This Row],[Variabel ID]])</f>
        <v>Eksempel 3 (nominal)</v>
      </c>
      <c r="D29" s="36">
        <f>_xlfn.AGGREGATE(2,5,ANOVA_valg[[#This Row],[Tabel ID]])</f>
        <v>0</v>
      </c>
    </row>
    <row r="30" spans="1:4" x14ac:dyDescent="0.2">
      <c r="A30">
        <v>20</v>
      </c>
      <c r="B30" s="36">
        <f t="shared" si="0"/>
        <v>4</v>
      </c>
      <c r="C30" t="str" cm="1">
        <f t="array" ref="C30">INDEX(DataTitel_liste,ANOVA_valg[[#This Row],[Variabel ID]])</f>
        <v>Eksempel 4 (nominal)</v>
      </c>
      <c r="D30" s="36">
        <f>_xlfn.AGGREGATE(2,5,ANOVA_valg[[#This Row],[Tabel ID]])</f>
        <v>1</v>
      </c>
    </row>
    <row r="31" spans="1:4" x14ac:dyDescent="0.2">
      <c r="A31">
        <v>21</v>
      </c>
      <c r="B31" s="36">
        <f t="shared" si="0"/>
        <v>1</v>
      </c>
      <c r="C31" t="str" cm="1">
        <f t="array" ref="C31">INDEX(DataTitel_liste,ANOVA_valg[[#This Row],[Variabel ID]])</f>
        <v>Eksempel 1 (interval)</v>
      </c>
      <c r="D31" s="36">
        <f>_xlfn.AGGREGATE(2,5,ANOVA_valg[[#This Row],[Tabel ID]])</f>
        <v>1</v>
      </c>
    </row>
    <row r="32" spans="1:4" x14ac:dyDescent="0.2">
      <c r="A32">
        <v>22</v>
      </c>
      <c r="B32" s="36">
        <f t="shared" si="0"/>
        <v>2</v>
      </c>
      <c r="C32" t="str" cm="1">
        <f t="array" ref="C32">INDEX(DataTitel_liste,ANOVA_valg[[#This Row],[Variabel ID]])</f>
        <v>Eksempel 2 (interval)</v>
      </c>
      <c r="D32" s="36">
        <f>_xlfn.AGGREGATE(2,5,ANOVA_valg[[#This Row],[Tabel ID]])</f>
        <v>1</v>
      </c>
    </row>
    <row r="33" spans="1:4" hidden="1" x14ac:dyDescent="0.2">
      <c r="A33">
        <v>23</v>
      </c>
      <c r="B33" s="36">
        <f t="shared" si="0"/>
        <v>3</v>
      </c>
      <c r="C33" t="str" cm="1">
        <f t="array" ref="C33">INDEX(DataTitel_liste,ANOVA_valg[[#This Row],[Variabel ID]])</f>
        <v>Eksempel 3 (nominal)</v>
      </c>
      <c r="D33" s="36">
        <f>_xlfn.AGGREGATE(2,5,ANOVA_valg[[#This Row],[Tabel ID]])</f>
        <v>0</v>
      </c>
    </row>
    <row r="34" spans="1:4" x14ac:dyDescent="0.2">
      <c r="A34">
        <v>24</v>
      </c>
      <c r="B34" s="36">
        <f t="shared" si="0"/>
        <v>4</v>
      </c>
      <c r="C34" t="str" cm="1">
        <f t="array" ref="C34">INDEX(DataTitel_liste,ANOVA_valg[[#This Row],[Variabel ID]])</f>
        <v>Eksempel 4 (nominal)</v>
      </c>
      <c r="D34" s="36">
        <f>_xlfn.AGGREGATE(2,5,ANOVA_valg[[#This Row],[Tabel ID]])</f>
        <v>1</v>
      </c>
    </row>
    <row r="35" spans="1:4" x14ac:dyDescent="0.2">
      <c r="A35">
        <v>25</v>
      </c>
      <c r="B35" s="36">
        <f t="shared" si="0"/>
        <v>1</v>
      </c>
      <c r="C35" t="str" cm="1">
        <f t="array" ref="C35">INDEX(DataTitel_liste,ANOVA_valg[[#This Row],[Variabel ID]])</f>
        <v>Eksempel 1 (interval)</v>
      </c>
      <c r="D35" s="36">
        <f>_xlfn.AGGREGATE(2,5,ANOVA_valg[[#This Row],[Tabel ID]])</f>
        <v>1</v>
      </c>
    </row>
    <row r="36" spans="1:4" x14ac:dyDescent="0.2">
      <c r="A36">
        <v>26</v>
      </c>
      <c r="B36" s="36">
        <f t="shared" si="0"/>
        <v>2</v>
      </c>
      <c r="C36" t="str" cm="1">
        <f t="array" ref="C36">INDEX(DataTitel_liste,ANOVA_valg[[#This Row],[Variabel ID]])</f>
        <v>Eksempel 2 (interval)</v>
      </c>
      <c r="D36" s="36">
        <f>_xlfn.AGGREGATE(2,5,ANOVA_valg[[#This Row],[Tabel ID]])</f>
        <v>1</v>
      </c>
    </row>
    <row r="37" spans="1:4" hidden="1" x14ac:dyDescent="0.2">
      <c r="A37">
        <v>27</v>
      </c>
      <c r="B37" s="36">
        <f t="shared" si="0"/>
        <v>3</v>
      </c>
      <c r="C37" t="str" cm="1">
        <f t="array" ref="C37">INDEX(DataTitel_liste,ANOVA_valg[[#This Row],[Variabel ID]])</f>
        <v>Eksempel 3 (nominal)</v>
      </c>
      <c r="D37" s="36">
        <f>_xlfn.AGGREGATE(2,5,ANOVA_valg[[#This Row],[Tabel ID]])</f>
        <v>0</v>
      </c>
    </row>
    <row r="38" spans="1:4" x14ac:dyDescent="0.2">
      <c r="A38">
        <v>28</v>
      </c>
      <c r="B38" s="36">
        <f t="shared" si="0"/>
        <v>4</v>
      </c>
      <c r="C38" t="str" cm="1">
        <f t="array" ref="C38">INDEX(DataTitel_liste,ANOVA_valg[[#This Row],[Variabel ID]])</f>
        <v>Eksempel 4 (nominal)</v>
      </c>
      <c r="D38" s="36">
        <f>_xlfn.AGGREGATE(2,5,ANOVA_valg[[#This Row],[Tabel ID]])</f>
        <v>1</v>
      </c>
    </row>
    <row r="39" spans="1:4" x14ac:dyDescent="0.2">
      <c r="A39">
        <v>29</v>
      </c>
      <c r="B39" s="36">
        <f t="shared" si="0"/>
        <v>1</v>
      </c>
      <c r="C39" t="str" cm="1">
        <f t="array" ref="C39">INDEX(DataTitel_liste,ANOVA_valg[[#This Row],[Variabel ID]])</f>
        <v>Eksempel 1 (interval)</v>
      </c>
      <c r="D39" s="36">
        <f>_xlfn.AGGREGATE(2,5,ANOVA_valg[[#This Row],[Tabel ID]])</f>
        <v>1</v>
      </c>
    </row>
    <row r="40" spans="1:4" x14ac:dyDescent="0.2">
      <c r="A40">
        <v>30</v>
      </c>
      <c r="B40" s="36">
        <f t="shared" si="0"/>
        <v>2</v>
      </c>
      <c r="C40" t="str" cm="1">
        <f t="array" ref="C40">INDEX(DataTitel_liste,ANOVA_valg[[#This Row],[Variabel ID]])</f>
        <v>Eksempel 2 (interval)</v>
      </c>
      <c r="D40" s="36">
        <f>_xlfn.AGGREGATE(2,5,ANOVA_valg[[#This Row],[Tabel ID]])</f>
        <v>1</v>
      </c>
    </row>
    <row r="41" spans="1:4" hidden="1" x14ac:dyDescent="0.2">
      <c r="A41">
        <v>31</v>
      </c>
      <c r="B41" s="36">
        <f t="shared" si="0"/>
        <v>3</v>
      </c>
      <c r="C41" t="str" cm="1">
        <f t="array" ref="C41">INDEX(DataTitel_liste,ANOVA_valg[[#This Row],[Variabel ID]])</f>
        <v>Eksempel 3 (nominal)</v>
      </c>
      <c r="D41" s="36">
        <f>_xlfn.AGGREGATE(2,5,ANOVA_valg[[#This Row],[Tabel ID]])</f>
        <v>0</v>
      </c>
    </row>
    <row r="42" spans="1:4" x14ac:dyDescent="0.2">
      <c r="A42">
        <v>32</v>
      </c>
      <c r="B42" s="36">
        <f t="shared" si="0"/>
        <v>4</v>
      </c>
      <c r="C42" t="str" cm="1">
        <f t="array" ref="C42">INDEX(DataTitel_liste,ANOVA_valg[[#This Row],[Variabel ID]])</f>
        <v>Eksempel 4 (nominal)</v>
      </c>
      <c r="D42" s="36">
        <f>_xlfn.AGGREGATE(2,5,ANOVA_valg[[#This Row],[Tabel ID]])</f>
        <v>1</v>
      </c>
    </row>
    <row r="43" spans="1:4" x14ac:dyDescent="0.2">
      <c r="A43">
        <v>33</v>
      </c>
      <c r="B43" s="36">
        <f t="shared" ref="B43:B60" si="1">MOD(A43-1,$B$5)+1</f>
        <v>1</v>
      </c>
      <c r="C43" t="str" cm="1">
        <f t="array" ref="C43">INDEX(DataTitel_liste,ANOVA_valg[[#This Row],[Variabel ID]])</f>
        <v>Eksempel 1 (interval)</v>
      </c>
      <c r="D43" s="36">
        <f>_xlfn.AGGREGATE(2,5,ANOVA_valg[[#This Row],[Tabel ID]])</f>
        <v>1</v>
      </c>
    </row>
    <row r="44" spans="1:4" x14ac:dyDescent="0.2">
      <c r="A44">
        <v>34</v>
      </c>
      <c r="B44" s="36">
        <f t="shared" si="1"/>
        <v>2</v>
      </c>
      <c r="C44" t="str" cm="1">
        <f t="array" ref="C44">INDEX(DataTitel_liste,ANOVA_valg[[#This Row],[Variabel ID]])</f>
        <v>Eksempel 2 (interval)</v>
      </c>
      <c r="D44" s="36">
        <f>_xlfn.AGGREGATE(2,5,ANOVA_valg[[#This Row],[Tabel ID]])</f>
        <v>1</v>
      </c>
    </row>
    <row r="45" spans="1:4" hidden="1" x14ac:dyDescent="0.2">
      <c r="A45">
        <v>35</v>
      </c>
      <c r="B45" s="36">
        <f t="shared" si="1"/>
        <v>3</v>
      </c>
      <c r="C45" t="str" cm="1">
        <f t="array" ref="C45">INDEX(DataTitel_liste,ANOVA_valg[[#This Row],[Variabel ID]])</f>
        <v>Eksempel 3 (nominal)</v>
      </c>
      <c r="D45" s="36">
        <f>_xlfn.AGGREGATE(2,5,ANOVA_valg[[#This Row],[Tabel ID]])</f>
        <v>0</v>
      </c>
    </row>
    <row r="46" spans="1:4" x14ac:dyDescent="0.2">
      <c r="A46">
        <v>36</v>
      </c>
      <c r="B46" s="36">
        <f t="shared" si="1"/>
        <v>4</v>
      </c>
      <c r="C46" t="str" cm="1">
        <f t="array" ref="C46">INDEX(DataTitel_liste,ANOVA_valg[[#This Row],[Variabel ID]])</f>
        <v>Eksempel 4 (nominal)</v>
      </c>
      <c r="D46" s="36">
        <f>_xlfn.AGGREGATE(2,5,ANOVA_valg[[#This Row],[Tabel ID]])</f>
        <v>1</v>
      </c>
    </row>
    <row r="47" spans="1:4" x14ac:dyDescent="0.2">
      <c r="A47">
        <v>37</v>
      </c>
      <c r="B47" s="36">
        <f t="shared" si="1"/>
        <v>1</v>
      </c>
      <c r="C47" t="str" cm="1">
        <f t="array" ref="C47">INDEX(DataTitel_liste,ANOVA_valg[[#This Row],[Variabel ID]])</f>
        <v>Eksempel 1 (interval)</v>
      </c>
      <c r="D47" s="36">
        <f>_xlfn.AGGREGATE(2,5,ANOVA_valg[[#This Row],[Tabel ID]])</f>
        <v>1</v>
      </c>
    </row>
    <row r="48" spans="1:4" x14ac:dyDescent="0.2">
      <c r="A48">
        <v>38</v>
      </c>
      <c r="B48" s="36">
        <f t="shared" si="1"/>
        <v>2</v>
      </c>
      <c r="C48" t="str" cm="1">
        <f t="array" ref="C48">INDEX(DataTitel_liste,ANOVA_valg[[#This Row],[Variabel ID]])</f>
        <v>Eksempel 2 (interval)</v>
      </c>
      <c r="D48" s="36">
        <f>_xlfn.AGGREGATE(2,5,ANOVA_valg[[#This Row],[Tabel ID]])</f>
        <v>1</v>
      </c>
    </row>
    <row r="49" spans="1:4" hidden="1" x14ac:dyDescent="0.2">
      <c r="A49">
        <v>39</v>
      </c>
      <c r="B49" s="36">
        <f t="shared" si="1"/>
        <v>3</v>
      </c>
      <c r="C49" t="str" cm="1">
        <f t="array" ref="C49">INDEX(DataTitel_liste,ANOVA_valg[[#This Row],[Variabel ID]])</f>
        <v>Eksempel 3 (nominal)</v>
      </c>
      <c r="D49" s="36">
        <f>_xlfn.AGGREGATE(2,5,ANOVA_valg[[#This Row],[Tabel ID]])</f>
        <v>0</v>
      </c>
    </row>
    <row r="50" spans="1:4" x14ac:dyDescent="0.2">
      <c r="A50">
        <v>40</v>
      </c>
      <c r="B50" s="36">
        <f t="shared" si="1"/>
        <v>4</v>
      </c>
      <c r="C50" t="str" cm="1">
        <f t="array" ref="C50">INDEX(DataTitel_liste,ANOVA_valg[[#This Row],[Variabel ID]])</f>
        <v>Eksempel 4 (nominal)</v>
      </c>
      <c r="D50" s="36">
        <f>_xlfn.AGGREGATE(2,5,ANOVA_valg[[#This Row],[Tabel ID]])</f>
        <v>1</v>
      </c>
    </row>
    <row r="51" spans="1:4" x14ac:dyDescent="0.2">
      <c r="A51">
        <v>41</v>
      </c>
      <c r="B51" s="36">
        <f t="shared" si="1"/>
        <v>1</v>
      </c>
      <c r="C51" t="str" cm="1">
        <f t="array" ref="C51">INDEX(DataTitel_liste,ANOVA_valg[[#This Row],[Variabel ID]])</f>
        <v>Eksempel 1 (interval)</v>
      </c>
      <c r="D51" s="36">
        <f>_xlfn.AGGREGATE(2,5,ANOVA_valg[[#This Row],[Tabel ID]])</f>
        <v>1</v>
      </c>
    </row>
    <row r="52" spans="1:4" x14ac:dyDescent="0.2">
      <c r="A52">
        <v>42</v>
      </c>
      <c r="B52" s="36">
        <f t="shared" si="1"/>
        <v>2</v>
      </c>
      <c r="C52" t="str" cm="1">
        <f t="array" ref="C52">INDEX(DataTitel_liste,ANOVA_valg[[#This Row],[Variabel ID]])</f>
        <v>Eksempel 2 (interval)</v>
      </c>
      <c r="D52" s="36">
        <f>_xlfn.AGGREGATE(2,5,ANOVA_valg[[#This Row],[Tabel ID]])</f>
        <v>1</v>
      </c>
    </row>
    <row r="53" spans="1:4" hidden="1" x14ac:dyDescent="0.2">
      <c r="A53">
        <v>43</v>
      </c>
      <c r="B53" s="36">
        <f t="shared" si="1"/>
        <v>3</v>
      </c>
      <c r="C53" t="str" cm="1">
        <f t="array" ref="C53">INDEX(DataTitel_liste,ANOVA_valg[[#This Row],[Variabel ID]])</f>
        <v>Eksempel 3 (nominal)</v>
      </c>
      <c r="D53" s="36">
        <f>_xlfn.AGGREGATE(2,5,ANOVA_valg[[#This Row],[Tabel ID]])</f>
        <v>0</v>
      </c>
    </row>
    <row r="54" spans="1:4" x14ac:dyDescent="0.2">
      <c r="A54">
        <v>44</v>
      </c>
      <c r="B54" s="36">
        <f t="shared" si="1"/>
        <v>4</v>
      </c>
      <c r="C54" t="str" cm="1">
        <f t="array" ref="C54">INDEX(DataTitel_liste,ANOVA_valg[[#This Row],[Variabel ID]])</f>
        <v>Eksempel 4 (nominal)</v>
      </c>
      <c r="D54" s="36">
        <f>_xlfn.AGGREGATE(2,5,ANOVA_valg[[#This Row],[Tabel ID]])</f>
        <v>1</v>
      </c>
    </row>
    <row r="55" spans="1:4" x14ac:dyDescent="0.2">
      <c r="A55">
        <v>45</v>
      </c>
      <c r="B55" s="36">
        <f t="shared" si="1"/>
        <v>1</v>
      </c>
      <c r="C55" t="str" cm="1">
        <f t="array" ref="C55">INDEX(DataTitel_liste,ANOVA_valg[[#This Row],[Variabel ID]])</f>
        <v>Eksempel 1 (interval)</v>
      </c>
      <c r="D55" s="36">
        <f>_xlfn.AGGREGATE(2,5,ANOVA_valg[[#This Row],[Tabel ID]])</f>
        <v>1</v>
      </c>
    </row>
    <row r="56" spans="1:4" x14ac:dyDescent="0.2">
      <c r="A56">
        <v>46</v>
      </c>
      <c r="B56" s="36">
        <f t="shared" si="1"/>
        <v>2</v>
      </c>
      <c r="C56" t="str" cm="1">
        <f t="array" ref="C56">INDEX(DataTitel_liste,ANOVA_valg[[#This Row],[Variabel ID]])</f>
        <v>Eksempel 2 (interval)</v>
      </c>
      <c r="D56" s="36">
        <f>_xlfn.AGGREGATE(2,5,ANOVA_valg[[#This Row],[Tabel ID]])</f>
        <v>1</v>
      </c>
    </row>
    <row r="57" spans="1:4" hidden="1" x14ac:dyDescent="0.2">
      <c r="A57">
        <v>47</v>
      </c>
      <c r="B57" s="36">
        <f t="shared" si="1"/>
        <v>3</v>
      </c>
      <c r="C57" t="str" cm="1">
        <f t="array" ref="C57">INDEX(DataTitel_liste,ANOVA_valg[[#This Row],[Variabel ID]])</f>
        <v>Eksempel 3 (nominal)</v>
      </c>
      <c r="D57" s="36">
        <f>_xlfn.AGGREGATE(2,5,ANOVA_valg[[#This Row],[Tabel ID]])</f>
        <v>0</v>
      </c>
    </row>
    <row r="58" spans="1:4" x14ac:dyDescent="0.2">
      <c r="A58">
        <v>48</v>
      </c>
      <c r="B58" s="36">
        <f t="shared" si="1"/>
        <v>4</v>
      </c>
      <c r="C58" t="str" cm="1">
        <f t="array" ref="C58">INDEX(DataTitel_liste,ANOVA_valg[[#This Row],[Variabel ID]])</f>
        <v>Eksempel 4 (nominal)</v>
      </c>
      <c r="D58" s="36">
        <f>_xlfn.AGGREGATE(2,5,ANOVA_valg[[#This Row],[Tabel ID]])</f>
        <v>1</v>
      </c>
    </row>
    <row r="59" spans="1:4" x14ac:dyDescent="0.2">
      <c r="A59">
        <v>49</v>
      </c>
      <c r="B59" s="36">
        <f t="shared" si="1"/>
        <v>1</v>
      </c>
      <c r="C59" t="str" cm="1">
        <f t="array" ref="C59">INDEX(DataTitel_liste,ANOVA_valg[[#This Row],[Variabel ID]])</f>
        <v>Eksempel 1 (interval)</v>
      </c>
      <c r="D59" s="36">
        <f>_xlfn.AGGREGATE(2,5,ANOVA_valg[[#This Row],[Tabel ID]])</f>
        <v>1</v>
      </c>
    </row>
    <row r="60" spans="1:4" x14ac:dyDescent="0.2">
      <c r="A60">
        <v>50</v>
      </c>
      <c r="B60" s="36">
        <f t="shared" si="1"/>
        <v>2</v>
      </c>
      <c r="C60" t="str" cm="1">
        <f t="array" ref="C60">INDEX(DataTitel_liste,ANOVA_valg[[#This Row],[Variabel ID]])</f>
        <v>Eksempel 2 (interval)</v>
      </c>
      <c r="D60" s="36">
        <f>_xlfn.AGGREGATE(2,5,ANOVA_valg[[#This Row],[Tabel ID]])</f>
        <v>1</v>
      </c>
    </row>
    <row r="61" spans="1:4" x14ac:dyDescent="0.2">
      <c r="B61" s="36"/>
      <c r="C61" s="36"/>
      <c r="D61" s="36"/>
    </row>
    <row r="62" spans="1:4" x14ac:dyDescent="0.2">
      <c r="B62" s="36"/>
      <c r="C62" s="36"/>
      <c r="D62" s="36"/>
    </row>
    <row r="63" spans="1:4" x14ac:dyDescent="0.2">
      <c r="B63" s="36"/>
      <c r="C63" s="36"/>
      <c r="D63" s="36"/>
    </row>
    <row r="64" spans="1:4" x14ac:dyDescent="0.2">
      <c r="B64" s="36"/>
      <c r="C64" s="36"/>
      <c r="D64" s="36"/>
    </row>
    <row r="65" spans="2:4" x14ac:dyDescent="0.2">
      <c r="B65" s="36"/>
      <c r="C65" s="36"/>
      <c r="D65" s="36"/>
    </row>
  </sheetData>
  <phoneticPr fontId="14" type="noConversion"/>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 
</file>

<file path=customXml/item3.xml><?xml version="1.0" encoding="utf-8"?>
<ct:contentTypeSchema xmlns:ct="http://schemas.microsoft.com/office/2006/metadata/contentType" xmlns:ma="http://schemas.microsoft.com/office/2006/metadata/properties/metaAttributes" ct:_="" ma:_="" ma:contentTypeName="Dokument" ma:contentTypeID="0x01010030C11CFABFF98349BD7BFD4811820EAF" ma:contentTypeVersion="5" ma:contentTypeDescription="Opret et nyt dokument." ma:contentTypeScope="" ma:versionID="c492f6f430c3829265f02a6c04163758">
  <xsd:schema xmlns:xsd="http://www.w3.org/2001/XMLSchema" xmlns:xs="http://www.w3.org/2001/XMLSchema" xmlns:p="http://schemas.microsoft.com/office/2006/metadata/properties" xmlns:ns3="7096a9c3-13d0-44a4-a2f7-39c55b9e22c7" xmlns:ns4="ffe4fa7a-95c0-4837-89bf-7ba97c147df7" targetNamespace="http://schemas.microsoft.com/office/2006/metadata/properties" ma:root="true" ma:fieldsID="619340582a67895998d3c54a2923d467" ns3:_="" ns4:_="">
    <xsd:import namespace="7096a9c3-13d0-44a4-a2f7-39c55b9e22c7"/>
    <xsd:import namespace="ffe4fa7a-95c0-4837-89bf-7ba97c147df7"/>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096a9c3-13d0-44a4-a2f7-39c55b9e22c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fe4fa7a-95c0-4837-89bf-7ba97c147df7" elementFormDefault="qualified">
    <xsd:import namespace="http://schemas.microsoft.com/office/2006/documentManagement/types"/>
    <xsd:import namespace="http://schemas.microsoft.com/office/infopath/2007/PartnerControls"/>
    <xsd:element name="SharedWithUsers" ma:index="10" nillable="true" ma:displayName="Delt med"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Delt med detaljer" ma:internalName="SharedWithDetails" ma:readOnly="true">
      <xsd:simpleType>
        <xsd:restriction base="dms:Note">
          <xsd:maxLength value="255"/>
        </xsd:restriction>
      </xsd:simpleType>
    </xsd:element>
    <xsd:element name="SharingHintHash" ma:index="12" nillable="true" ma:displayName="Hashværdi for deling"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dhol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D1A4B8E-7370-43D7-87A4-76B8BFC80C03}">
  <ds:schemaRefs>
    <ds:schemaRef ds:uri="7096a9c3-13d0-44a4-a2f7-39c55b9e22c7"/>
    <ds:schemaRef ds:uri="http://schemas.microsoft.com/office/2006/metadata/properties"/>
    <ds:schemaRef ds:uri="http://www.w3.org/XML/1998/namespace"/>
    <ds:schemaRef ds:uri="http://schemas.microsoft.com/office/2006/documentManagement/types"/>
    <ds:schemaRef ds:uri="http://purl.org/dc/elements/1.1/"/>
    <ds:schemaRef ds:uri="http://schemas.openxmlformats.org/package/2006/metadata/core-properties"/>
    <ds:schemaRef ds:uri="ffe4fa7a-95c0-4837-89bf-7ba97c147df7"/>
    <ds:schemaRef ds:uri="http://schemas.microsoft.com/office/infopath/2007/PartnerControls"/>
    <ds:schemaRef ds:uri="http://purl.org/dc/dcmitype/"/>
    <ds:schemaRef ds:uri="http://purl.org/dc/terms/"/>
  </ds:schemaRefs>
</ds:datastoreItem>
</file>

<file path=customXml/itemProps2.xml><?xml version="1.0" encoding="utf-8"?>
<ds:datastoreItem xmlns:ds="http://schemas.openxmlformats.org/officeDocument/2006/customXml" ds:itemID="{ECFBC3DE-D1C0-45C7-BFCE-96CD4F9A3A30}">
  <ds:schemaRefs>
    <ds:schemaRef ds:uri="http://schemas.microsoft.com/DataMashup"/>
  </ds:schemaRefs>
</ds:datastoreItem>
</file>

<file path=customXml/itemProps3.xml><?xml version="1.0" encoding="utf-8"?>
<ds:datastoreItem xmlns:ds="http://schemas.openxmlformats.org/officeDocument/2006/customXml" ds:itemID="{4A043E7E-7780-43FB-811A-ECD9D04175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096a9c3-13d0-44a4-a2f7-39c55b9e22c7"/>
    <ds:schemaRef ds:uri="ffe4fa7a-95c0-4837-89bf-7ba97c147df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67E941B9-A812-43B6-8E71-7AD0BE65C28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Velkommen</vt:lpstr>
      <vt:lpstr>Data</vt:lpstr>
      <vt:lpstr>DataBeregning</vt:lpstr>
      <vt:lpstr>Lister</vt:lpstr>
      <vt:lpstr>ANOVA</vt:lpstr>
      <vt:lpstr>ANOVA slicer</vt:lpstr>
      <vt:lpstr>Beregningsmetode_liste</vt:lpstr>
      <vt:lpstr>DataHeaders</vt:lpstr>
      <vt:lpstr>Fordeling_liste</vt:lpstr>
      <vt:lpstr>HypoteseRetning_liste</vt:lpstr>
      <vt:lpstr>Hypotesetype_Liste</vt:lpstr>
      <vt:lpstr>Inkluderet_Liste</vt:lpstr>
      <vt:lpstr>SandFalsk_liste</vt:lpstr>
      <vt:lpstr>V_Manual_Data</vt:lpstr>
    </vt:vector>
  </TitlesOfParts>
  <Company>EFIF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JBKstat.ANOVA</dc:title>
  <dc:creator>Jakob Bjerre Knudsen</dc:creator>
  <cp:lastModifiedBy>Jakob</cp:lastModifiedBy>
  <cp:lastPrinted>2019-08-09T07:03:21Z</cp:lastPrinted>
  <dcterms:created xsi:type="dcterms:W3CDTF">2018-12-03T09:30:39Z</dcterms:created>
  <dcterms:modified xsi:type="dcterms:W3CDTF">2021-02-13T12:25:25Z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0x01010030C11CFABFF98349BD7BFD4811820EAF</vt:lpwstr>
  </property>
</Properties>
</file>